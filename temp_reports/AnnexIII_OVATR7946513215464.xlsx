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>
        <is>
          <t>240010</t>
        </is>
      </c>
      <c r="O2" s="22">
        <f>M2=N2</f>
        <v/>
      </c>
      <c r="P2" s="22">
        <f>AND(MONTH(F2)=MONTH(S2), YEAR(F2)=YEAR(S2))</f>
        <v/>
      </c>
      <c r="Q2" s="22">
        <f>"L001-902303751"=U2</f>
        <v/>
      </c>
      <c r="R2" s="29">
        <f>G2-W2</f>
        <v/>
      </c>
      <c r="S2" s="30" t="n">
        <v>45317</v>
      </c>
      <c r="T2" s="26" t="inlineStr">
        <is>
          <t>24-0010</t>
        </is>
      </c>
      <c r="U2" s="26" t="inlineStr">
        <is>
          <t>L001-901637460</t>
        </is>
      </c>
      <c r="V2" s="26" t="inlineStr">
        <is>
          <t>អេវើរី ដេននីសសាន់ អប៊ីអាយអេស (ខេមបូឌា)​ ត្រេឌីង ខូ អិលធីឌី</t>
        </is>
      </c>
      <c r="W2" s="27" t="n">
        <v>33647667</v>
      </c>
      <c r="X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>
        <is>
          <t>240031</t>
        </is>
      </c>
      <c r="O3" s="22">
        <f>M3=N3</f>
        <v/>
      </c>
      <c r="P3" s="22">
        <f>AND(MONTH(F3)=MONTH(S3), YEAR(F3)=YEAR(S3))</f>
        <v/>
      </c>
      <c r="Q3" s="22">
        <f>"L001-902303751"=U3</f>
        <v/>
      </c>
      <c r="R3" s="29">
        <f>G3-W3</f>
        <v/>
      </c>
      <c r="S3" s="30" t="n">
        <v>45366</v>
      </c>
      <c r="T3" s="26" t="inlineStr">
        <is>
          <t>24-0031</t>
        </is>
      </c>
      <c r="U3" s="26" t="inlineStr">
        <is>
          <t>L001-901637460</t>
        </is>
      </c>
      <c r="V3" s="26" t="inlineStr">
        <is>
          <t>អេវើរី ដេននីសសាន់ អប៊ីអាយអេស (ខេមបូឌា)​ ត្រេឌីង ខូ អិលធីឌី</t>
        </is>
      </c>
      <c r="W3" s="27" t="n">
        <v>21090669</v>
      </c>
      <c r="X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>
        <is>
          <t>240052</t>
        </is>
      </c>
      <c r="O4" s="22">
        <f>M4=N4</f>
        <v/>
      </c>
      <c r="P4" s="22">
        <f>AND(MONTH(F4)=MONTH(S4), YEAR(F4)=YEAR(S4))</f>
        <v/>
      </c>
      <c r="Q4" s="22">
        <f>"L001-902303751"=U4</f>
        <v/>
      </c>
      <c r="R4" s="29">
        <f>G4-W4</f>
        <v/>
      </c>
      <c r="S4" s="30" t="n">
        <v>45408</v>
      </c>
      <c r="T4" s="26" t="inlineStr">
        <is>
          <t>24-0052</t>
        </is>
      </c>
      <c r="U4" s="26" t="inlineStr">
        <is>
          <t>L001-901801742</t>
        </is>
      </c>
      <c r="V4" s="26" t="inlineStr">
        <is>
          <t>អេវើរី ដេននីសសាន់ អប៊ីអាយអេស (ខេមបូឌា) ឯ.ក</t>
        </is>
      </c>
      <c r="W4" s="27" t="n">
        <v>20695026</v>
      </c>
      <c r="X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>
        <is>
          <t>240058</t>
        </is>
      </c>
      <c r="O5" s="22">
        <f>M5=N5</f>
        <v/>
      </c>
      <c r="P5" s="22">
        <f>AND(MONTH(F5)=MONTH(S5), YEAR(F5)=YEAR(S5))</f>
        <v/>
      </c>
      <c r="Q5" s="22">
        <f>"L001-902303751"=U5</f>
        <v/>
      </c>
      <c r="R5" s="29">
        <f>G5-W5</f>
        <v/>
      </c>
      <c r="S5" s="30" t="n">
        <v>45422</v>
      </c>
      <c r="T5" s="26" t="inlineStr">
        <is>
          <t>24-0058</t>
        </is>
      </c>
      <c r="U5" s="26" t="inlineStr">
        <is>
          <t>L001-901801742</t>
        </is>
      </c>
      <c r="V5" s="26" t="inlineStr">
        <is>
          <t>អេវើរី ដេននីសសាន់ អប៊ីអាយអេស (ខេមបូឌា) ឯ.ក</t>
        </is>
      </c>
      <c r="W5" s="27" t="n">
        <v>19049823</v>
      </c>
      <c r="X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>
        <is>
          <t>240096</t>
        </is>
      </c>
      <c r="O6" s="22">
        <f>M6=N6</f>
        <v/>
      </c>
      <c r="P6" s="22">
        <f>AND(MONTH(F6)=MONTH(S6), YEAR(F6)=YEAR(S6))</f>
        <v/>
      </c>
      <c r="Q6" s="22">
        <f>"L001-902303751"=U6</f>
        <v/>
      </c>
      <c r="R6" s="29">
        <f>G6-W6</f>
        <v/>
      </c>
      <c r="S6" s="30" t="n">
        <v>45504</v>
      </c>
      <c r="T6" s="26" t="inlineStr">
        <is>
          <t>24-0096</t>
        </is>
      </c>
      <c r="U6" s="26" t="inlineStr">
        <is>
          <t>L001-100051804</t>
        </is>
      </c>
      <c r="V6" s="26" t="inlineStr">
        <is>
          <t>ហុងវ៉ា កម្ពុជា ហ្គាមិន ម៉ាញូហ្វាក់ធឺរីង លីមីធីត</t>
        </is>
      </c>
      <c r="W6" s="27" t="n">
        <v>0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>
        <is>
          <t>240101</t>
        </is>
      </c>
      <c r="O7" s="22">
        <f>M7=N7</f>
        <v/>
      </c>
      <c r="P7" s="22">
        <f>AND(MONTH(F7)=MONTH(S7), YEAR(F7)=YEAR(S7))</f>
        <v/>
      </c>
      <c r="Q7" s="22">
        <f>"L001-902303751"=U7</f>
        <v/>
      </c>
      <c r="R7" s="29">
        <f>G7-W7</f>
        <v/>
      </c>
      <c r="S7" s="30" t="n">
        <v>45520</v>
      </c>
      <c r="T7" s="26" t="inlineStr">
        <is>
          <t>24-0101</t>
        </is>
      </c>
      <c r="U7" s="26" t="inlineStr">
        <is>
          <t>L001-901637460</t>
        </is>
      </c>
      <c r="V7" s="26" t="inlineStr">
        <is>
          <t>អេវើរី ដេននីសសាន់ អប៊ីអាយអេស (ខេមបូឌា)​ ត្រេឌីង ខូ អិលធីឌី</t>
        </is>
      </c>
      <c r="W7" s="27" t="n">
        <v>17623214</v>
      </c>
      <c r="X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>
        <is>
          <t>240102</t>
        </is>
      </c>
      <c r="O8" s="22">
        <f>M8=N8</f>
        <v/>
      </c>
      <c r="P8" s="22">
        <f>AND(MONTH(F8)=MONTH(S8), YEAR(F8)=YEAR(S8))</f>
        <v/>
      </c>
      <c r="Q8" s="22">
        <f>"L001-902303751"=U8</f>
        <v/>
      </c>
      <c r="R8" s="29">
        <f>G8-W8</f>
        <v/>
      </c>
      <c r="S8" s="30" t="n">
        <v>45520</v>
      </c>
      <c r="T8" s="26" t="inlineStr">
        <is>
          <t>24-0102</t>
        </is>
      </c>
      <c r="U8" s="26" t="inlineStr">
        <is>
          <t>L001-901801742</t>
        </is>
      </c>
      <c r="V8" s="26" t="inlineStr">
        <is>
          <t>អេវើរី ដេននីសសាន់ អប៊ីអាយអេស (ខេមបូឌា) ឯ.ក</t>
        </is>
      </c>
      <c r="W8" s="27" t="n">
        <v>30545847</v>
      </c>
      <c r="X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>
        <is>
          <t>240100</t>
        </is>
      </c>
      <c r="O9" s="22">
        <f>M9=N9</f>
        <v/>
      </c>
      <c r="P9" s="22">
        <f>AND(MONTH(F9)=MONTH(S9), YEAR(F9)=YEAR(S9))</f>
        <v/>
      </c>
      <c r="Q9" s="22">
        <f>"L001-902303751"=U9</f>
        <v/>
      </c>
      <c r="R9" s="29">
        <f>G9-W9</f>
        <v/>
      </c>
      <c r="S9" s="30" t="n">
        <v>45513</v>
      </c>
      <c r="T9" s="26" t="inlineStr">
        <is>
          <t>24-0100</t>
        </is>
      </c>
      <c r="U9" s="26" t="inlineStr">
        <is>
          <t>L001-901801742</t>
        </is>
      </c>
      <c r="V9" s="26" t="inlineStr">
        <is>
          <t>អេវើរី ដេននីសសាន់ អប៊ីអាយអេស (ខេមបូឌា) ឯ.ក</t>
        </is>
      </c>
      <c r="W9" s="27" t="n">
        <v>1934056</v>
      </c>
      <c r="X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>
        <is>
          <t>240115</t>
        </is>
      </c>
      <c r="O10" s="22">
        <f>M10=N10</f>
        <v/>
      </c>
      <c r="P10" s="22">
        <f>AND(MONTH(F10)=MONTH(S10), YEAR(F10)=YEAR(S10))</f>
        <v/>
      </c>
      <c r="Q10" s="22">
        <f>"L001-902303751"=U10</f>
        <v/>
      </c>
      <c r="R10" s="29">
        <f>G10-W10</f>
        <v/>
      </c>
      <c r="S10" s="30" t="n">
        <v>45548</v>
      </c>
      <c r="T10" s="26" t="inlineStr">
        <is>
          <t>24-0115</t>
        </is>
      </c>
      <c r="U10" s="26" t="inlineStr">
        <is>
          <t>L001-901801742</t>
        </is>
      </c>
      <c r="V10" s="26" t="inlineStr">
        <is>
          <t>អេវើរី ដេននីសសាន់ អប៊ីអាយអេស (ខេមបូឌា) ឯ.ក</t>
        </is>
      </c>
      <c r="W10" s="27" t="n">
        <v>39150341</v>
      </c>
      <c r="X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>
        <is>
          <t>240141</t>
        </is>
      </c>
      <c r="O11" s="22">
        <f>M11=N11</f>
        <v/>
      </c>
      <c r="P11" s="22">
        <f>AND(MONTH(F11)=MONTH(S11), YEAR(F11)=YEAR(S11))</f>
        <v/>
      </c>
      <c r="Q11" s="22">
        <f>"L001-902303751"=U11</f>
        <v/>
      </c>
      <c r="R11" s="29">
        <f>G11-W11</f>
        <v/>
      </c>
      <c r="S11" s="30" t="n">
        <v>45619</v>
      </c>
      <c r="T11" s="26" t="inlineStr">
        <is>
          <t>24-0141</t>
        </is>
      </c>
      <c r="U11" s="26" t="inlineStr">
        <is>
          <t>L001-100194397</t>
        </is>
      </c>
      <c r="V11" s="26" t="inlineStr">
        <is>
          <t>សេឌូណូ ខេមបូ នីតធីង</t>
        </is>
      </c>
      <c r="W11" s="27" t="n">
        <v>0</v>
      </c>
      <c r="X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>
        <is>
          <t>0002</t>
        </is>
      </c>
      <c r="O12" s="22">
        <f>M12=N12</f>
        <v/>
      </c>
      <c r="P12" s="22">
        <f>AND(MONTH(F12)=MONTH(S12), YEAR(F12)=YEAR(S12))</f>
        <v/>
      </c>
      <c r="Q12" s="22">
        <f>"L001-902303751"=U12</f>
        <v/>
      </c>
      <c r="R12" s="29">
        <f>G12-W12</f>
        <v/>
      </c>
      <c r="S12" s="30" t="n">
        <v>45293</v>
      </c>
      <c r="T12" s="26" t="inlineStr">
        <is>
          <t>0002</t>
        </is>
      </c>
      <c r="U12" s="26" t="inlineStr">
        <is>
          <t>K002-901904174</t>
        </is>
      </c>
      <c r="V12" s="26" t="inlineStr">
        <is>
          <t>ផេនដា ខមមើសល ប៊ែង ម.ក</t>
        </is>
      </c>
      <c r="W12" s="27" t="n">
        <v>2226000</v>
      </c>
      <c r="X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>
        <is>
          <t>0257</t>
        </is>
      </c>
      <c r="O13" s="22">
        <f>M13=N13</f>
        <v/>
      </c>
      <c r="P13" s="22">
        <f>AND(MONTH(F13)=MONTH(S13), YEAR(F13)=YEAR(S13))</f>
        <v/>
      </c>
      <c r="Q13" s="22">
        <f>"L001-902303751"=U13</f>
        <v/>
      </c>
      <c r="R13" s="29">
        <f>G13-W13</f>
        <v/>
      </c>
      <c r="S13" s="30" t="n">
        <v>45322</v>
      </c>
      <c r="T13" s="26" t="inlineStr">
        <is>
          <t>0257</t>
        </is>
      </c>
      <c r="U13" s="26" t="inlineStr">
        <is>
          <t>GC0000001</t>
        </is>
      </c>
      <c r="V13" s="26" t="inlineStr">
        <is>
          <t>អតិថិជនទូទៅ</t>
        </is>
      </c>
      <c r="W13" s="27" t="n">
        <v>48476</v>
      </c>
      <c r="X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>
        <is>
          <t>0034</t>
        </is>
      </c>
      <c r="O14" s="22">
        <f>M14=N14</f>
        <v/>
      </c>
      <c r="P14" s="22">
        <f>AND(MONTH(F14)=MONTH(S14), YEAR(F14)=YEAR(S14))</f>
        <v/>
      </c>
      <c r="Q14" s="22">
        <f>"L001-902303751"=U14</f>
        <v/>
      </c>
      <c r="R14" s="29">
        <f>G14-W14</f>
        <v/>
      </c>
      <c r="S14" s="30" t="n">
        <v>45295</v>
      </c>
      <c r="T14" s="26" t="inlineStr">
        <is>
          <t>0034</t>
        </is>
      </c>
      <c r="U14" s="26" t="inlineStr">
        <is>
          <t>L001-902202741</t>
        </is>
      </c>
      <c r="V14" s="26" t="inlineStr">
        <is>
          <t>អេមតូ ខេមមីខល តិចណឡជី ឯ.ក</t>
        </is>
      </c>
      <c r="W14" s="27" t="n">
        <v>445745</v>
      </c>
      <c r="X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>
        <is>
          <t>0108</t>
        </is>
      </c>
      <c r="O15" s="22">
        <f>M15=N15</f>
        <v/>
      </c>
      <c r="P15" s="22">
        <f>AND(MONTH(F15)=MONTH(S15), YEAR(F15)=YEAR(S15))</f>
        <v/>
      </c>
      <c r="Q15" s="22">
        <f>"L001-902303751"=U15</f>
        <v/>
      </c>
      <c r="R15" s="29">
        <f>G15-W15</f>
        <v/>
      </c>
      <c r="S15" s="30" t="n">
        <v>45296</v>
      </c>
      <c r="T15" s="26" t="inlineStr">
        <is>
          <t>0108</t>
        </is>
      </c>
      <c r="U15" s="26" t="inlineStr">
        <is>
          <t>L001-100141846</t>
        </is>
      </c>
      <c r="V15" s="26" t="inlineStr">
        <is>
          <t>អ៊ីហ្សីខម ខូ អិលធីឌី</t>
        </is>
      </c>
      <c r="W15" s="27" t="n">
        <v>462509</v>
      </c>
      <c r="X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>
        <is>
          <t>0102</t>
        </is>
      </c>
      <c r="O16" s="22">
        <f>M16=N16</f>
        <v/>
      </c>
      <c r="P16" s="22">
        <f>AND(MONTH(F16)=MONTH(S16), YEAR(F16)=YEAR(S16))</f>
        <v/>
      </c>
      <c r="Q16" s="22">
        <f>"L001-902303751"=U16</f>
        <v/>
      </c>
      <c r="R16" s="29">
        <f>G16-W16</f>
        <v/>
      </c>
      <c r="S16" s="30" t="n">
        <v>45296</v>
      </c>
      <c r="T16" s="26" t="inlineStr">
        <is>
          <t>0102</t>
        </is>
      </c>
      <c r="U16" s="26" t="inlineStr">
        <is>
          <t>K002-902002436</t>
        </is>
      </c>
      <c r="V16" s="26" t="inlineStr">
        <is>
          <t>វ៉ូណេត ថេកណឡជី ឯ.ក</t>
        </is>
      </c>
      <c r="W16" s="27" t="n">
        <v>245580</v>
      </c>
      <c r="X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>
        <is>
          <t>0085</t>
        </is>
      </c>
      <c r="O17" s="22">
        <f>M17=N17</f>
        <v/>
      </c>
      <c r="P17" s="22">
        <f>AND(MONTH(F17)=MONTH(S17), YEAR(F17)=YEAR(S17))</f>
        <v/>
      </c>
      <c r="Q17" s="22">
        <f>"L001-902303751"=U17</f>
        <v/>
      </c>
      <c r="R17" s="29">
        <f>G17-W17</f>
        <v/>
      </c>
      <c r="S17" s="30" t="n">
        <v>45296</v>
      </c>
      <c r="T17" s="26" t="inlineStr">
        <is>
          <t>0085</t>
        </is>
      </c>
      <c r="U17" s="26" t="inlineStr">
        <is>
          <t>L001-100141846</t>
        </is>
      </c>
      <c r="V17" s="26" t="inlineStr">
        <is>
          <t>អ៊ីហ្សីខម ខូ អិលធីឌី</t>
        </is>
      </c>
      <c r="W17" s="27" t="n">
        <v>18418</v>
      </c>
      <c r="X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>
        <is>
          <t>0001</t>
        </is>
      </c>
      <c r="O18" s="22">
        <f>M18=N18</f>
        <v/>
      </c>
      <c r="P18" s="22">
        <f>AND(MONTH(F18)=MONTH(S18), YEAR(F18)=YEAR(S18))</f>
        <v/>
      </c>
      <c r="Q18" s="22">
        <f>"L001-902303751"=U18</f>
        <v/>
      </c>
      <c r="R18" s="29">
        <f>G18-W18</f>
        <v/>
      </c>
      <c r="S18" s="30" t="n">
        <v>45293</v>
      </c>
      <c r="T18" s="26" t="inlineStr">
        <is>
          <t>0001</t>
        </is>
      </c>
      <c r="U18" s="26" t="inlineStr">
        <is>
          <t>K002-901502393</t>
        </is>
      </c>
      <c r="V18" s="26" t="inlineStr">
        <is>
          <t>អាល់នីសុន អឌីធីង អេន ខនសាល់ធីង</t>
        </is>
      </c>
      <c r="W18" s="27" t="n">
        <v>228536</v>
      </c>
      <c r="X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>
        <is>
          <t>0011</t>
        </is>
      </c>
      <c r="O19" s="22">
        <f>M19=N19</f>
        <v/>
      </c>
      <c r="P19" s="22">
        <f>AND(MONTH(F19)=MONTH(S19), YEAR(F19)=YEAR(S19))</f>
        <v/>
      </c>
      <c r="Q19" s="22">
        <f>"L001-902303751"=U19</f>
        <v/>
      </c>
      <c r="R19" s="29">
        <f>G19-W19</f>
        <v/>
      </c>
      <c r="S19" s="30" t="n">
        <v>45293</v>
      </c>
      <c r="T19" s="26" t="inlineStr">
        <is>
          <t>0011</t>
        </is>
      </c>
      <c r="U19" s="26" t="inlineStr">
        <is>
          <t>L001-100190731</t>
        </is>
      </c>
      <c r="V19" s="26" t="inlineStr">
        <is>
          <t>តៃអ៊ីហ្ស៊ី អ៊ិនធើណេសិនណល</t>
        </is>
      </c>
      <c r="W19" s="27" t="n">
        <v>222600</v>
      </c>
      <c r="X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>
        <is>
          <t>0281</t>
        </is>
      </c>
      <c r="O20" s="22">
        <f>M20=N20</f>
        <v/>
      </c>
      <c r="P20" s="22">
        <f>AND(MONTH(F20)=MONTH(S20), YEAR(F20)=YEAR(S20))</f>
        <v/>
      </c>
      <c r="Q20" s="22">
        <f>"L001-902303751"=U20</f>
        <v/>
      </c>
      <c r="R20" s="29">
        <f>G20-W20</f>
        <v/>
      </c>
      <c r="S20" s="30" t="n">
        <v>45324</v>
      </c>
      <c r="T20" s="26" t="inlineStr">
        <is>
          <t>0281</t>
        </is>
      </c>
      <c r="U20" s="26" t="inlineStr">
        <is>
          <t>L001-100141846</t>
        </is>
      </c>
      <c r="V20" s="26" t="inlineStr">
        <is>
          <t>អ៊ីហ្សីខម ខូ អិលធីឌី</t>
        </is>
      </c>
      <c r="W20" s="27" t="n">
        <v>388170</v>
      </c>
      <c r="X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>
        <is>
          <t>0280</t>
        </is>
      </c>
      <c r="O21" s="22">
        <f>M21=N21</f>
        <v/>
      </c>
      <c r="P21" s="22">
        <f>AND(MONTH(F21)=MONTH(S21), YEAR(F21)=YEAR(S21))</f>
        <v/>
      </c>
      <c r="Q21" s="22">
        <f>"L001-902303751"=U21</f>
        <v/>
      </c>
      <c r="R21" s="29">
        <f>G21-W21</f>
        <v/>
      </c>
      <c r="S21" s="30" t="n">
        <v>45324</v>
      </c>
      <c r="T21" s="26" t="inlineStr">
        <is>
          <t>0280</t>
        </is>
      </c>
      <c r="U21" s="26" t="inlineStr">
        <is>
          <t>L001-100141846</t>
        </is>
      </c>
      <c r="V21" s="26" t="inlineStr">
        <is>
          <t>អ៊ីហ្សីខម ខូ អិលធីឌី</t>
        </is>
      </c>
      <c r="W21" s="27" t="n">
        <v>110322</v>
      </c>
      <c r="X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>
        <is>
          <t>1208</t>
        </is>
      </c>
      <c r="O22" s="22">
        <f>M22=N22</f>
        <v/>
      </c>
      <c r="P22" s="22">
        <f>AND(MONTH(F22)=MONTH(S22), YEAR(F22)=YEAR(S22))</f>
        <v/>
      </c>
      <c r="Q22" s="22">
        <f>"L001-902303751"=U22</f>
        <v/>
      </c>
      <c r="R22" s="29">
        <f>G22-W22</f>
        <v/>
      </c>
      <c r="S22" s="30" t="n">
        <v>45463</v>
      </c>
      <c r="T22" s="26" t="inlineStr">
        <is>
          <t>1208</t>
        </is>
      </c>
      <c r="U22" s="26" t="inlineStr">
        <is>
          <t>L001-902303751</t>
        </is>
      </c>
      <c r="V22" s="26" t="inlineStr">
        <is>
          <t>អាតធីវើស្ស (ខេមបូឌា) ឯ.ក</t>
        </is>
      </c>
      <c r="W22" s="27" t="n">
        <v>368446</v>
      </c>
      <c r="X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>
        <is>
          <t>2004</t>
        </is>
      </c>
      <c r="O23" s="22">
        <f>M23=N23</f>
        <v/>
      </c>
      <c r="P23" s="22">
        <f>AND(MONTH(F23)=MONTH(S23), YEAR(F23)=YEAR(S23))</f>
        <v/>
      </c>
      <c r="Q23" s="22">
        <f>"L001-902303751"=U23</f>
        <v/>
      </c>
      <c r="R23" s="29">
        <f>G23-W23</f>
        <v/>
      </c>
      <c r="S23" s="30" t="n">
        <v>45224</v>
      </c>
      <c r="T23" s="26" t="inlineStr">
        <is>
          <t>2004</t>
        </is>
      </c>
      <c r="U23" s="26" t="inlineStr">
        <is>
          <t>L001-100191649</t>
        </is>
      </c>
      <c r="V23" s="26" t="inlineStr">
        <is>
          <t>ប៊ីយូធីហ្វ៊ុល វីនដូ អេនធើប្រាយ (ខេមបូឌា)</t>
        </is>
      </c>
      <c r="W23" s="27" t="n">
        <v>1923506</v>
      </c>
      <c r="X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>
        <is>
          <t>2098</t>
        </is>
      </c>
      <c r="O24" s="22">
        <f>M24=N24</f>
        <v/>
      </c>
      <c r="P24" s="22">
        <f>AND(MONTH(F24)=MONTH(S24), YEAR(F24)=YEAR(S24))</f>
        <v/>
      </c>
      <c r="Q24" s="22">
        <f>"L001-902303751"=U24</f>
        <v/>
      </c>
      <c r="R24" s="29">
        <f>G24-W24</f>
        <v/>
      </c>
      <c r="S24" s="30" t="n">
        <v>45233</v>
      </c>
      <c r="T24" s="26" t="inlineStr">
        <is>
          <t>2098</t>
        </is>
      </c>
      <c r="U24" s="26" t="inlineStr">
        <is>
          <t>K002-902002436</t>
        </is>
      </c>
      <c r="V24" s="26" t="inlineStr">
        <is>
          <t>វ៉ូណេត ថេកណឡជី ឯ.ក</t>
        </is>
      </c>
      <c r="W24" s="27" t="n">
        <v>247860</v>
      </c>
      <c r="X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>
        <is>
          <t>2137</t>
        </is>
      </c>
      <c r="O25" s="22">
        <f>M25=N25</f>
        <v/>
      </c>
      <c r="P25" s="22">
        <f>AND(MONTH(F25)=MONTH(S25), YEAR(F25)=YEAR(S25))</f>
        <v/>
      </c>
      <c r="Q25" s="22">
        <f>"L001-902303751"=U25</f>
        <v/>
      </c>
      <c r="R25" s="29">
        <f>G25-W25</f>
        <v/>
      </c>
      <c r="S25" s="30" t="n">
        <v>45240</v>
      </c>
      <c r="T25" s="26" t="inlineStr">
        <is>
          <t>2137</t>
        </is>
      </c>
      <c r="U25" s="26" t="inlineStr">
        <is>
          <t>L001-902303751</t>
        </is>
      </c>
      <c r="V25" s="26" t="inlineStr">
        <is>
          <t>អាតធីវើស្ស (ខេមបូឌា) ឯ.ក</t>
        </is>
      </c>
      <c r="W25" s="27" t="n">
        <v>368446</v>
      </c>
      <c r="X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>
        <is>
          <t>2173</t>
        </is>
      </c>
      <c r="O26" s="22">
        <f>M26=N26</f>
        <v/>
      </c>
      <c r="P26" s="22">
        <f>AND(MONTH(F26)=MONTH(S26), YEAR(F26)=YEAR(S26))</f>
        <v/>
      </c>
      <c r="Q26" s="22">
        <f>"L001-902303751"=U26</f>
        <v/>
      </c>
      <c r="R26" s="29">
        <f>G26-W26</f>
        <v/>
      </c>
      <c r="S26" s="30" t="n">
        <v>45247</v>
      </c>
      <c r="T26" s="26" t="inlineStr">
        <is>
          <t>2173</t>
        </is>
      </c>
      <c r="U26" s="26" t="inlineStr">
        <is>
          <t>011091455</t>
        </is>
      </c>
      <c r="V26" s="26" t="inlineStr">
        <is>
          <t>San Kosal</t>
        </is>
      </c>
      <c r="W26" s="27" t="n">
        <v>148327</v>
      </c>
      <c r="X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>
        <is>
          <t>2098</t>
        </is>
      </c>
      <c r="O27" s="22">
        <f>M27=N27</f>
        <v/>
      </c>
      <c r="P27" s="22">
        <f>AND(MONTH(F27)=MONTH(S27), YEAR(F27)=YEAR(S27))</f>
        <v/>
      </c>
      <c r="Q27" s="22">
        <f>"L001-902303751"=U27</f>
        <v/>
      </c>
      <c r="R27" s="29">
        <f>G27-W27</f>
        <v/>
      </c>
      <c r="S27" s="30" t="n">
        <v>45602</v>
      </c>
      <c r="T27" s="26" t="inlineStr">
        <is>
          <t>2098</t>
        </is>
      </c>
      <c r="U27" s="26" t="inlineStr">
        <is>
          <t>L001-902303751</t>
        </is>
      </c>
      <c r="V27" s="26" t="inlineStr">
        <is>
          <t>អាតធីវើស្ស (ខេមបូឌា) ឯ.ក</t>
        </is>
      </c>
      <c r="W27" s="27" t="n">
        <v>363174</v>
      </c>
      <c r="X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>
        <is>
          <t>2137</t>
        </is>
      </c>
      <c r="O28" s="22">
        <f>M28=N28</f>
        <v/>
      </c>
      <c r="P28" s="22">
        <f>AND(MONTH(F28)=MONTH(S28), YEAR(F28)=YEAR(S28))</f>
        <v/>
      </c>
      <c r="Q28" s="22">
        <f>"L001-902303751"=U28</f>
        <v/>
      </c>
      <c r="R28" s="29">
        <f>G28-W28</f>
        <v/>
      </c>
      <c r="S28" s="30" t="n">
        <v>45607</v>
      </c>
      <c r="T28" s="26" t="inlineStr">
        <is>
          <t>2137</t>
        </is>
      </c>
      <c r="U28" s="26" t="inlineStr">
        <is>
          <t>011473991</t>
        </is>
      </c>
      <c r="V28" s="26" t="inlineStr">
        <is>
          <t>Ly Chheang</t>
        </is>
      </c>
      <c r="W28" s="27" t="n">
        <v>935415</v>
      </c>
      <c r="X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>
        <is>
          <t>2173</t>
        </is>
      </c>
      <c r="O29" s="22">
        <f>M29=N29</f>
        <v/>
      </c>
      <c r="P29" s="22">
        <f>AND(MONTH(F29)=MONTH(S29), YEAR(F29)=YEAR(S29))</f>
        <v/>
      </c>
      <c r="Q29" s="22">
        <f>"L001-902303751"=U29</f>
        <v/>
      </c>
      <c r="R29" s="29">
        <f>G29-W29</f>
        <v/>
      </c>
      <c r="S29" s="30" t="n">
        <v>45617</v>
      </c>
      <c r="T29" s="26" t="inlineStr">
        <is>
          <t>2173</t>
        </is>
      </c>
      <c r="U29" s="26" t="inlineStr">
        <is>
          <t>K002-100177174</t>
        </is>
      </c>
      <c r="V29" s="26" t="inlineStr">
        <is>
          <t>ខេមបូ ផេ ខូ អិលធីឌី</t>
        </is>
      </c>
      <c r="W29" s="27" t="n">
        <v>1723618</v>
      </c>
      <c r="X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>
        <is>
          <t>2004</t>
        </is>
      </c>
      <c r="O30" s="22">
        <f>M30=N30</f>
        <v/>
      </c>
      <c r="P30" s="22">
        <f>AND(MONTH(F30)=MONTH(S30), YEAR(F30)=YEAR(S30))</f>
        <v/>
      </c>
      <c r="Q30" s="22">
        <f>"L001-902303751"=U30</f>
        <v/>
      </c>
      <c r="R30" s="29">
        <f>G30-W30</f>
        <v/>
      </c>
      <c r="S30" s="30" t="n">
        <v>45600</v>
      </c>
      <c r="T30" s="26" t="inlineStr">
        <is>
          <t>2004</t>
        </is>
      </c>
      <c r="U30" s="26" t="inlineStr">
        <is>
          <t>L001-902006955</t>
        </is>
      </c>
      <c r="V30" s="26" t="inlineStr">
        <is>
          <t>ស៊ីណូខេអេច ភើហ្វិក ហ្គាម៉ិន ឯ.ក</t>
        </is>
      </c>
      <c r="W30" s="27" t="n">
        <v>194011</v>
      </c>
      <c r="X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>
        <is>
          <t>TI20240061</t>
        </is>
      </c>
      <c r="O31" s="22">
        <f>M31=N31</f>
        <v/>
      </c>
      <c r="P31" s="22">
        <f>AND(MONTH(F31)=MONTH(S31), YEAR(F31)=YEAR(S31))</f>
        <v/>
      </c>
      <c r="Q31" s="22">
        <f>"L001-902303751"=U31</f>
        <v/>
      </c>
      <c r="R31" s="29">
        <f>G31-W31</f>
        <v/>
      </c>
      <c r="S31" s="30" t="n">
        <v>45369</v>
      </c>
      <c r="T31" s="26" t="inlineStr">
        <is>
          <t>TI2024-0061</t>
        </is>
      </c>
      <c r="U31" s="26" t="inlineStr">
        <is>
          <t>K005-901501105</t>
        </is>
      </c>
      <c r="V31" s="26" t="inlineStr">
        <is>
          <t>ធីវីស៊ី ហ្គាស សឹលូសិន</t>
        </is>
      </c>
      <c r="W31" s="27" t="n">
        <v>2805172</v>
      </c>
      <c r="X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>
        <is>
          <t>TI20240073</t>
        </is>
      </c>
      <c r="O32" s="22">
        <f>M32=N32</f>
        <v/>
      </c>
      <c r="P32" s="22">
        <f>AND(MONTH(F32)=MONTH(S32), YEAR(F32)=YEAR(S32))</f>
        <v/>
      </c>
      <c r="Q32" s="22">
        <f>"L001-902303751"=U32</f>
        <v/>
      </c>
      <c r="R32" s="29">
        <f>G32-W32</f>
        <v/>
      </c>
      <c r="S32" s="30" t="n">
        <v>45390</v>
      </c>
      <c r="T32" s="26" t="inlineStr">
        <is>
          <t>TI2024-0073</t>
        </is>
      </c>
      <c r="U32" s="26" t="inlineStr">
        <is>
          <t>K005-901501105</t>
        </is>
      </c>
      <c r="V32" s="26" t="inlineStr">
        <is>
          <t>ធីវីស៊ី ហ្គាស សឹលូសិន</t>
        </is>
      </c>
      <c r="W32" s="27" t="n">
        <v>2770412</v>
      </c>
      <c r="X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>
        <is>
          <t>TI20240106</t>
        </is>
      </c>
      <c r="O33" s="22">
        <f>M33=N33</f>
        <v/>
      </c>
      <c r="P33" s="22">
        <f>AND(MONTH(F33)=MONTH(S33), YEAR(F33)=YEAR(S33))</f>
        <v/>
      </c>
      <c r="Q33" s="22">
        <f>"L001-902303751"=U33</f>
        <v/>
      </c>
      <c r="R33" s="29">
        <f>G33-W33</f>
        <v/>
      </c>
      <c r="S33" s="30" t="n">
        <v>45435</v>
      </c>
      <c r="T33" s="26" t="inlineStr">
        <is>
          <t>TI2024-0106</t>
        </is>
      </c>
      <c r="U33" s="26" t="inlineStr">
        <is>
          <t>L001-902006563</t>
        </is>
      </c>
      <c r="V33" s="26" t="inlineStr">
        <is>
          <t>ដេនសូ (ខេមបូឌា)</t>
        </is>
      </c>
      <c r="W33" s="27" t="n">
        <v>78278</v>
      </c>
      <c r="X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>
        <is>
          <t>TI20240126</t>
        </is>
      </c>
      <c r="O34" s="22">
        <f>M34=N34</f>
        <v/>
      </c>
      <c r="P34" s="22">
        <f>AND(MONTH(F34)=MONTH(S34), YEAR(F34)=YEAR(S34))</f>
        <v/>
      </c>
      <c r="Q34" s="22">
        <f>"L001-902303751"=U34</f>
        <v/>
      </c>
      <c r="R34" s="29">
        <f>G34-W34</f>
        <v/>
      </c>
      <c r="S34" s="30" t="n">
        <v>45454</v>
      </c>
      <c r="T34" s="26" t="inlineStr">
        <is>
          <t>TI2024-0126</t>
        </is>
      </c>
      <c r="U34" s="26" t="inlineStr">
        <is>
          <t>K005-901501105</t>
        </is>
      </c>
      <c r="V34" s="26" t="inlineStr">
        <is>
          <t>ធីវីស៊ី ហ្គាស សឹលូសិន</t>
        </is>
      </c>
      <c r="W34" s="27" t="n">
        <v>2793570</v>
      </c>
      <c r="X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>
        <is>
          <t>TI20240147</t>
        </is>
      </c>
      <c r="O35" s="22">
        <f>M35=N35</f>
        <v/>
      </c>
      <c r="P35" s="22">
        <f>AND(MONTH(F35)=MONTH(S35), YEAR(F35)=YEAR(S35))</f>
        <v/>
      </c>
      <c r="Q35" s="22">
        <f>"L001-902303751"=U35</f>
        <v/>
      </c>
      <c r="R35" s="29">
        <f>G35-W35</f>
        <v/>
      </c>
      <c r="S35" s="30" t="n">
        <v>45478</v>
      </c>
      <c r="T35" s="26" t="inlineStr">
        <is>
          <t>TI2024-0147</t>
        </is>
      </c>
      <c r="U35" s="26" t="inlineStr">
        <is>
          <t>L001-901803157</t>
        </is>
      </c>
      <c r="V35" s="26" t="inlineStr">
        <is>
          <t>លីលី ខាមេដា ឯ.ក</t>
        </is>
      </c>
      <c r="W35" s="27" t="n">
        <v>3569955</v>
      </c>
      <c r="X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>
        <is>
          <t>240203</t>
        </is>
      </c>
      <c r="O36" s="22">
        <f>M36=N36</f>
        <v/>
      </c>
      <c r="P36" s="22">
        <f>AND(MONTH(F36)=MONTH(S36), YEAR(F36)=YEAR(S36))</f>
        <v/>
      </c>
      <c r="Q36" s="22">
        <f>"L001-902303751"=U36</f>
        <v/>
      </c>
      <c r="R36" s="29">
        <f>G36-W36</f>
        <v/>
      </c>
      <c r="S36" s="30" t="n">
        <v>45294</v>
      </c>
      <c r="T36" s="26" t="inlineStr">
        <is>
          <t>24-0203</t>
        </is>
      </c>
      <c r="U36" s="26" t="inlineStr">
        <is>
          <t>K010-902203244</t>
        </is>
      </c>
      <c r="V36" s="26" t="inlineStr">
        <is>
          <t>ស៊ីអិន អ៊ិសសិន ឡូជីស្ទីក (ខេមបូឌា) ឯ.ក</t>
        </is>
      </c>
      <c r="W36" s="27" t="n">
        <v>0</v>
      </c>
      <c r="X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>
        <is>
          <t>240052</t>
        </is>
      </c>
      <c r="O37" s="22">
        <f>M37=N37</f>
        <v/>
      </c>
      <c r="P37" s="22">
        <f>AND(MONTH(F37)=MONTH(S37), YEAR(F37)=YEAR(S37))</f>
        <v/>
      </c>
      <c r="Q37" s="22">
        <f>"L001-902303751"=U37</f>
        <v/>
      </c>
      <c r="R37" s="29">
        <f>G37-W37</f>
        <v/>
      </c>
      <c r="S37" s="30" t="n">
        <v>45292</v>
      </c>
      <c r="T37" s="26" t="inlineStr">
        <is>
          <t>24-0052</t>
        </is>
      </c>
      <c r="U37" s="26" t="inlineStr">
        <is>
          <t>L001-902300502</t>
        </is>
      </c>
      <c r="V37" s="26" t="inlineStr">
        <is>
          <t>ហ័ង ថេង ផេកខេជីង ឯ.ក</t>
        </is>
      </c>
      <c r="W37" s="27" t="n">
        <v>0</v>
      </c>
      <c r="X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>
        <is>
          <t>240096</t>
        </is>
      </c>
      <c r="O38" s="22">
        <f>M38=N38</f>
        <v/>
      </c>
      <c r="P38" s="22">
        <f>AND(MONTH(F38)=MONTH(S38), YEAR(F38)=YEAR(S38))</f>
        <v/>
      </c>
      <c r="Q38" s="22">
        <f>"L001-902303751"=U38</f>
        <v/>
      </c>
      <c r="R38" s="29">
        <f>G38-W38</f>
        <v/>
      </c>
      <c r="S38" s="30" t="n">
        <v>45292</v>
      </c>
      <c r="T38" s="26" t="inlineStr">
        <is>
          <t>24-0096</t>
        </is>
      </c>
      <c r="U38" s="26" t="inlineStr">
        <is>
          <t>K009-901805370</t>
        </is>
      </c>
      <c r="V38" s="26" t="inlineStr">
        <is>
          <t>អេវើរភីអេនអេច ស៊ីលែនឌែរ ឯ.ក</t>
        </is>
      </c>
      <c r="W38" s="27" t="n">
        <v>0</v>
      </c>
      <c r="X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>
        <is>
          <t>240031</t>
        </is>
      </c>
      <c r="O39" s="22">
        <f>M39=N39</f>
        <v/>
      </c>
      <c r="P39" s="22">
        <f>AND(MONTH(F39)=MONTH(S39), YEAR(F39)=YEAR(S39))</f>
        <v/>
      </c>
      <c r="Q39" s="22">
        <f>"L001-902303751"=U39</f>
        <v/>
      </c>
      <c r="R39" s="29">
        <f>G39-W39</f>
        <v/>
      </c>
      <c r="S39" s="30" t="n">
        <v>45292</v>
      </c>
      <c r="T39" s="26" t="inlineStr">
        <is>
          <t>24-0031</t>
        </is>
      </c>
      <c r="U39" s="26" t="inlineStr">
        <is>
          <t>K008-100152961</t>
        </is>
      </c>
      <c r="V39" s="26" t="inlineStr">
        <is>
          <t>ណៃ ហុង ម៉ាស៊ីនើរី</t>
        </is>
      </c>
      <c r="W39" s="27" t="n">
        <v>110295</v>
      </c>
      <c r="X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>
        <is>
          <t>240141</t>
        </is>
      </c>
      <c r="O40" s="22">
        <f>M40=N40</f>
        <v/>
      </c>
      <c r="P40" s="22">
        <f>AND(MONTH(F40)=MONTH(S40), YEAR(F40)=YEAR(S40))</f>
        <v/>
      </c>
      <c r="Q40" s="22">
        <f>"L001-902303751"=U40</f>
        <v/>
      </c>
      <c r="R40" s="29">
        <f>G40-W40</f>
        <v/>
      </c>
      <c r="S40" s="30" t="n">
        <v>45293</v>
      </c>
      <c r="T40" s="26" t="inlineStr">
        <is>
          <t>24-0141</t>
        </is>
      </c>
      <c r="U40" s="26" t="inlineStr">
        <is>
          <t>L001-100074669</t>
        </is>
      </c>
      <c r="V40" s="26" t="inlineStr">
        <is>
          <t>ខេអិលអិន ហ្វ្រេត (ខេមបូឌា) ឯ.ក</t>
        </is>
      </c>
      <c r="W40" s="27" t="n">
        <v>0</v>
      </c>
      <c r="X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>
        <is>
          <t>240161</t>
        </is>
      </c>
      <c r="O41" s="22">
        <f>M41=N41</f>
        <v/>
      </c>
      <c r="P41" s="22">
        <f>AND(MONTH(F41)=MONTH(S41), YEAR(F41)=YEAR(S41))</f>
        <v/>
      </c>
      <c r="Q41" s="22">
        <f>"L001-902303751"=U41</f>
        <v/>
      </c>
      <c r="R41" s="29">
        <f>G41-W41</f>
        <v/>
      </c>
      <c r="S41" s="30" t="n">
        <v>45294</v>
      </c>
      <c r="T41" s="26" t="inlineStr">
        <is>
          <t>24-0161</t>
        </is>
      </c>
      <c r="U41" s="26" t="inlineStr">
        <is>
          <t>L001-901701167</t>
        </is>
      </c>
      <c r="V41" s="26" t="inlineStr">
        <is>
          <t>ដលហ្វីន អ៊ិនធើណេសិនណល ត្រេនស្ព័រថេសិន ឯ.ក</t>
        </is>
      </c>
      <c r="W41" s="27" t="n">
        <v>0</v>
      </c>
      <c r="X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>
        <is>
          <t>240254</t>
        </is>
      </c>
      <c r="O42" s="22">
        <f>M42=N42</f>
        <v/>
      </c>
      <c r="P42" s="22">
        <f>AND(MONTH(F42)=MONTH(S42), YEAR(F42)=YEAR(S42))</f>
        <v/>
      </c>
      <c r="Q42" s="22">
        <f>"L001-902303751"=U42</f>
        <v/>
      </c>
      <c r="R42" s="29">
        <f>G42-W42</f>
        <v/>
      </c>
      <c r="S42" s="30" t="n">
        <v>45294</v>
      </c>
      <c r="T42" s="26" t="inlineStr">
        <is>
          <t>24-0254</t>
        </is>
      </c>
      <c r="U42" s="26" t="inlineStr">
        <is>
          <t>L001-901701167</t>
        </is>
      </c>
      <c r="V42" s="26" t="inlineStr">
        <is>
          <t>ដលហ្វីន អ៊ិនធើណេសិនណល ត្រេនស្ព័រថេសិន ឯ.ក</t>
        </is>
      </c>
      <c r="W42" s="27" t="n">
        <v>0</v>
      </c>
      <c r="X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>
        <is>
          <t>240058</t>
        </is>
      </c>
      <c r="O43" s="22">
        <f>M43=N43</f>
        <v/>
      </c>
      <c r="P43" s="22">
        <f>AND(MONTH(F43)=MONTH(S43), YEAR(F43)=YEAR(S43))</f>
        <v/>
      </c>
      <c r="Q43" s="22">
        <f>"L001-902303751"=U43</f>
        <v/>
      </c>
      <c r="R43" s="29">
        <f>G43-W43</f>
        <v/>
      </c>
      <c r="S43" s="30" t="n">
        <v>45292</v>
      </c>
      <c r="T43" s="26" t="inlineStr">
        <is>
          <t>24-0058</t>
        </is>
      </c>
      <c r="U43" s="26" t="inlineStr">
        <is>
          <t>L001-901904491</t>
        </is>
      </c>
      <c r="V43" s="26" t="inlineStr">
        <is>
          <t>ហ្សុង ជៀន ជី ជូ ប៊ីលឌីង មេធៀរៀល ឯ.ក</t>
        </is>
      </c>
      <c r="W43" s="27" t="n">
        <v>0</v>
      </c>
      <c r="X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>
        <is>
          <t>240010</t>
        </is>
      </c>
      <c r="O44" s="22">
        <f>M44=N44</f>
        <v/>
      </c>
      <c r="P44" s="22">
        <f>AND(MONTH(F44)=MONTH(S44), YEAR(F44)=YEAR(S44))</f>
        <v/>
      </c>
      <c r="Q44" s="22">
        <f>"L001-902303751"=U44</f>
        <v/>
      </c>
      <c r="R44" s="29">
        <f>G44-W44</f>
        <v/>
      </c>
      <c r="S44" s="30" t="n">
        <v>45292</v>
      </c>
      <c r="T44" s="26" t="inlineStr">
        <is>
          <t>24-0010</t>
        </is>
      </c>
      <c r="U44" s="26" t="inlineStr">
        <is>
          <t>K010-902200585</t>
        </is>
      </c>
      <c r="V44" s="26" t="inlineStr">
        <is>
          <t>ប៊ីថេក សឹបផ្លាយ (ខេមបូឌា) ឯ.ក</t>
        </is>
      </c>
      <c r="W44" s="27" t="n">
        <v>0</v>
      </c>
      <c r="X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>
        <is>
          <t>240101</t>
        </is>
      </c>
      <c r="O45" s="22">
        <f>M45=N45</f>
        <v/>
      </c>
      <c r="P45" s="22">
        <f>AND(MONTH(F45)=MONTH(S45), YEAR(F45)=YEAR(S45))</f>
        <v/>
      </c>
      <c r="Q45" s="22">
        <f>"L001-902303751"=U45</f>
        <v/>
      </c>
      <c r="R45" s="29">
        <f>G45-W45</f>
        <v/>
      </c>
      <c r="S45" s="30" t="n">
        <v>45293</v>
      </c>
      <c r="T45" s="26" t="inlineStr">
        <is>
          <t>24-0101</t>
        </is>
      </c>
      <c r="U45" s="26" t="inlineStr">
        <is>
          <t>K006-902102027</t>
        </is>
      </c>
      <c r="V45" s="26" t="inlineStr">
        <is>
          <t>មហា​ សុខ អភិវឌ្ឍន៍ ត្រេឌីង ឯ.ក</t>
        </is>
      </c>
      <c r="W45" s="27" t="n">
        <v>124062</v>
      </c>
      <c r="X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>
        <is>
          <t>240115</t>
        </is>
      </c>
      <c r="O46" s="22">
        <f>M46=N46</f>
        <v/>
      </c>
      <c r="P46" s="22">
        <f>AND(MONTH(F46)=MONTH(S46), YEAR(F46)=YEAR(S46))</f>
        <v/>
      </c>
      <c r="Q46" s="22">
        <f>"L001-902303751"=U46</f>
        <v/>
      </c>
      <c r="R46" s="29">
        <f>G46-W46</f>
        <v/>
      </c>
      <c r="S46" s="30" t="n">
        <v>45293</v>
      </c>
      <c r="T46" s="26" t="inlineStr">
        <is>
          <t>24-0115</t>
        </is>
      </c>
      <c r="U46" s="26" t="inlineStr">
        <is>
          <t>K009-902301639</t>
        </is>
      </c>
      <c r="V46" s="26" t="inlineStr">
        <is>
          <t>សុខសាឡាម ហ្វ័រវើឌីង ឯ.ក</t>
        </is>
      </c>
      <c r="W46" s="27" t="n">
        <v>112636</v>
      </c>
      <c r="X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>
        <is>
          <t>240226</t>
        </is>
      </c>
      <c r="O47" s="22">
        <f>M47=N47</f>
        <v/>
      </c>
      <c r="P47" s="22">
        <f>AND(MONTH(F47)=MONTH(S47), YEAR(F47)=YEAR(S47))</f>
        <v/>
      </c>
      <c r="Q47" s="22">
        <f>"L001-902303751"=U47</f>
        <v/>
      </c>
      <c r="R47" s="29">
        <f>G47-W47</f>
        <v/>
      </c>
      <c r="S47" s="30" t="n">
        <v>45294</v>
      </c>
      <c r="T47" s="26" t="inlineStr">
        <is>
          <t>24-0226</t>
        </is>
      </c>
      <c r="U47" s="26" t="inlineStr">
        <is>
          <t>K009-902005485</t>
        </is>
      </c>
      <c r="V47" s="26" t="inlineStr">
        <is>
          <t>ហឿង សាន់ ប៊យ ម៉ូធ័រ ឯ.ក</t>
        </is>
      </c>
      <c r="W47" s="27" t="n">
        <v>0</v>
      </c>
      <c r="X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>
        <is>
          <t>240102</t>
        </is>
      </c>
      <c r="O48" s="22">
        <f>M48=N48</f>
        <v/>
      </c>
      <c r="P48" s="22">
        <f>AND(MONTH(F48)=MONTH(S48), YEAR(F48)=YEAR(S48))</f>
        <v/>
      </c>
      <c r="Q48" s="22">
        <f>"L001-902303751"=U48</f>
        <v/>
      </c>
      <c r="R48" s="29">
        <f>G48-W48</f>
        <v/>
      </c>
      <c r="S48" s="30" t="n">
        <v>45293</v>
      </c>
      <c r="T48" s="26" t="inlineStr">
        <is>
          <t>24-0102</t>
        </is>
      </c>
      <c r="U48" s="26" t="inlineStr">
        <is>
          <t>K006-902102027</t>
        </is>
      </c>
      <c r="V48" s="26" t="inlineStr">
        <is>
          <t>មហា​ សុខ អភិវឌ្ឍន៍ ត្រេឌីង ឯ.ក</t>
        </is>
      </c>
      <c r="W48" s="27" t="n">
        <v>0</v>
      </c>
      <c r="X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>
        <is>
          <t>240662</t>
        </is>
      </c>
      <c r="O49" s="22">
        <f>M49=N49</f>
        <v/>
      </c>
      <c r="P49" s="22">
        <f>AND(MONTH(F49)=MONTH(S49), YEAR(F49)=YEAR(S49))</f>
        <v/>
      </c>
      <c r="Q49" s="22">
        <f>"L001-902303751"=U49</f>
        <v/>
      </c>
      <c r="R49" s="29">
        <f>G49-W49</f>
        <v/>
      </c>
      <c r="S49" s="30" t="n">
        <v>45316</v>
      </c>
      <c r="T49" s="26" t="inlineStr">
        <is>
          <t>24-0662</t>
        </is>
      </c>
      <c r="U49" s="26" t="inlineStr">
        <is>
          <t>K006-902203179</t>
        </is>
      </c>
      <c r="V49" s="26" t="inlineStr">
        <is>
          <t>អេស.អ.ស៊ី.អេច.អ អ៊ីមផិច (ខេមបូឌា) ឯ.ក</t>
        </is>
      </c>
      <c r="W49" s="27" t="n">
        <v>0</v>
      </c>
      <c r="X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>
        <is>
          <t>240100</t>
        </is>
      </c>
      <c r="O50" s="22">
        <f>M50=N50</f>
        <v/>
      </c>
      <c r="P50" s="22">
        <f>AND(MONTH(F50)=MONTH(S50), YEAR(F50)=YEAR(S50))</f>
        <v/>
      </c>
      <c r="Q50" s="22">
        <f>"L001-902303751"=U50</f>
        <v/>
      </c>
      <c r="R50" s="29">
        <f>G50-W50</f>
        <v/>
      </c>
      <c r="S50" s="30" t="n">
        <v>45293</v>
      </c>
      <c r="T50" s="26" t="inlineStr">
        <is>
          <t>24-0100</t>
        </is>
      </c>
      <c r="U50" s="26" t="inlineStr">
        <is>
          <t>L001-902000322</t>
        </is>
      </c>
      <c r="V50" s="26" t="inlineStr">
        <is>
          <t>ហ្វេមើស ឡេតដឺវែរ (ខេមបូឌា) ឯ.ក</t>
        </is>
      </c>
      <c r="W50" s="27" t="n">
        <v>0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>
        <is>
          <t>241014</t>
        </is>
      </c>
      <c r="O51" s="22">
        <f>M51=N51</f>
        <v/>
      </c>
      <c r="P51" s="22">
        <f>AND(MONTH(F51)=MONTH(S51), YEAR(F51)=YEAR(S51))</f>
        <v/>
      </c>
      <c r="Q51" s="22">
        <f>"L001-902303751"=U51</f>
        <v/>
      </c>
      <c r="R51" s="29">
        <f>G51-W51</f>
        <v/>
      </c>
      <c r="S51" s="30" t="n">
        <v>45334</v>
      </c>
      <c r="T51" s="26" t="inlineStr">
        <is>
          <t>24-1014</t>
        </is>
      </c>
      <c r="U51" s="26" t="inlineStr">
        <is>
          <t>K002-901500969</t>
        </is>
      </c>
      <c r="V51" s="26" t="inlineStr">
        <is>
          <t>ឃីនថេតស៊ូ វើលដ៍ អ៊ិចប្រេស (ខេមបូឌា) ខូ អិលធីឌី</t>
        </is>
      </c>
      <c r="W51" s="27" t="n">
        <v>0</v>
      </c>
      <c r="X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>
        <is>
          <t>240852</t>
        </is>
      </c>
      <c r="O52" s="22">
        <f>M52=N52</f>
        <v/>
      </c>
      <c r="P52" s="22">
        <f>AND(MONTH(F52)=MONTH(S52), YEAR(F52)=YEAR(S52))</f>
        <v/>
      </c>
      <c r="Q52" s="22">
        <f>"L001-902303751"=U52</f>
        <v/>
      </c>
      <c r="R52" s="29">
        <f>G52-W52</f>
        <v/>
      </c>
      <c r="S52" s="30" t="n">
        <v>45327</v>
      </c>
      <c r="T52" s="26" t="inlineStr">
        <is>
          <t>24-0852</t>
        </is>
      </c>
      <c r="U52" s="26" t="inlineStr">
        <is>
          <t>K010-901703459</t>
        </is>
      </c>
      <c r="V52" s="26" t="inlineStr">
        <is>
          <t>អិក&amp;អ ត្រេឌីង ឯ.ក</t>
        </is>
      </c>
      <c r="W52" s="27" t="n">
        <v>0</v>
      </c>
      <c r="X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>
        <is>
          <t>241230</t>
        </is>
      </c>
      <c r="O53" s="22">
        <f>M53=N53</f>
        <v/>
      </c>
      <c r="P53" s="22">
        <f>AND(MONTH(F53)=MONTH(S53), YEAR(F53)=YEAR(S53))</f>
        <v/>
      </c>
      <c r="Q53" s="22">
        <f>"L001-902303751"=U53</f>
        <v/>
      </c>
      <c r="R53" s="29">
        <f>G53-W53</f>
        <v/>
      </c>
      <c r="S53" s="30" t="n">
        <v>45348</v>
      </c>
      <c r="T53" s="26" t="inlineStr">
        <is>
          <t>24-1230</t>
        </is>
      </c>
      <c r="U53" s="26" t="inlineStr">
        <is>
          <t>K002-901500969</t>
        </is>
      </c>
      <c r="V53" s="26" t="inlineStr">
        <is>
          <t>ឃីនថេតស៊ូ វើលដ៍ អ៊ិចប្រេស (ខេមបូឌា) ខូ អិលធីឌី</t>
        </is>
      </c>
      <c r="W53" s="27" t="n">
        <v>0</v>
      </c>
      <c r="X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>
        <is>
          <t>241064</t>
        </is>
      </c>
      <c r="O54" s="22">
        <f>M54=N54</f>
        <v/>
      </c>
      <c r="P54" s="22">
        <f>AND(MONTH(F54)=MONTH(S54), YEAR(F54)=YEAR(S54))</f>
        <v/>
      </c>
      <c r="Q54" s="22">
        <f>"L001-902303751"=U54</f>
        <v/>
      </c>
      <c r="R54" s="29">
        <f>G54-W54</f>
        <v/>
      </c>
      <c r="S54" s="30" t="n">
        <v>45338</v>
      </c>
      <c r="T54" s="26" t="inlineStr">
        <is>
          <t>24-1064</t>
        </is>
      </c>
      <c r="U54" s="26" t="inlineStr">
        <is>
          <t>L001-902005470</t>
        </is>
      </c>
      <c r="V54" s="26" t="inlineStr">
        <is>
          <t>រួយតូ វ៉ាយអឹរ៍ &amp; ខេប៊ល ឯ.ក</t>
        </is>
      </c>
      <c r="W54" s="27" t="n">
        <v>387220</v>
      </c>
      <c r="X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>
        <is>
          <t>241610</t>
        </is>
      </c>
      <c r="O55" s="22">
        <f>M55=N55</f>
        <v/>
      </c>
      <c r="P55" s="22">
        <f>AND(MONTH(F55)=MONTH(S55), YEAR(F55)=YEAR(S55))</f>
        <v/>
      </c>
      <c r="Q55" s="22">
        <f>"L001-902303751"=U55</f>
        <v/>
      </c>
      <c r="R55" s="29">
        <f>G55-W55</f>
        <v/>
      </c>
      <c r="S55" s="30" t="n">
        <v>45369</v>
      </c>
      <c r="T55" s="26" t="inlineStr">
        <is>
          <t>24-1610</t>
        </is>
      </c>
      <c r="U55" s="26" t="inlineStr">
        <is>
          <t>K005-902205390</t>
        </is>
      </c>
      <c r="V55" s="26" t="inlineStr">
        <is>
          <t>អូ ស៊ី ធី អេ អេស៊ា ត្រេឌីង ឯ.ក</t>
        </is>
      </c>
      <c r="W55" s="27" t="n">
        <v>83169</v>
      </c>
      <c r="X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>
        <is>
          <t>241961</t>
        </is>
      </c>
      <c r="O56" s="22">
        <f>M56=N56</f>
        <v/>
      </c>
      <c r="P56" s="22">
        <f>AND(MONTH(F56)=MONTH(S56), YEAR(F56)=YEAR(S56))</f>
        <v/>
      </c>
      <c r="Q56" s="22">
        <f>"L001-902303751"=U56</f>
        <v/>
      </c>
      <c r="R56" s="29">
        <f>G56-W56</f>
        <v/>
      </c>
      <c r="S56" s="30" t="n">
        <v>45390</v>
      </c>
      <c r="T56" s="26" t="inlineStr">
        <is>
          <t>24-1961</t>
        </is>
      </c>
      <c r="U56" s="26" t="inlineStr">
        <is>
          <t>K007-902105855</t>
        </is>
      </c>
      <c r="V56" s="26" t="inlineStr">
        <is>
          <t>ស៊ីស៊ីខេអេសអិន ស្មាត ត្រេនស្ព័ត ឯ.ក</t>
        </is>
      </c>
      <c r="W56" s="27" t="n">
        <v>111100</v>
      </c>
      <c r="X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>
        <is>
          <t>242536</t>
        </is>
      </c>
      <c r="O57" s="22">
        <f>M57=N57</f>
        <v/>
      </c>
      <c r="P57" s="22">
        <f>AND(MONTH(F57)=MONTH(S57), YEAR(F57)=YEAR(S57))</f>
        <v/>
      </c>
      <c r="Q57" s="22">
        <f>"L001-902303751"=U57</f>
        <v/>
      </c>
      <c r="R57" s="29">
        <f>G57-W57</f>
        <v/>
      </c>
      <c r="S57" s="30" t="n">
        <v>45411</v>
      </c>
      <c r="T57" s="26" t="inlineStr">
        <is>
          <t>24-2536</t>
        </is>
      </c>
      <c r="U57" s="26" t="inlineStr">
        <is>
          <t>K005-901900855</t>
        </is>
      </c>
      <c r="V57" s="26" t="inlineStr">
        <is>
          <t>វិកថឹរី ឡូជីស្ទីក ឯ.ក</t>
        </is>
      </c>
      <c r="W57" s="27" t="n">
        <v>0</v>
      </c>
      <c r="X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>
        <is>
          <t>242509</t>
        </is>
      </c>
      <c r="O58" s="22">
        <f>M58=N58</f>
        <v/>
      </c>
      <c r="P58" s="22">
        <f>AND(MONTH(F58)=MONTH(S58), YEAR(F58)=YEAR(S58))</f>
        <v/>
      </c>
      <c r="Q58" s="22">
        <f>"L001-902303751"=U58</f>
        <v/>
      </c>
      <c r="R58" s="29">
        <f>G58-W58</f>
        <v/>
      </c>
      <c r="S58" s="30" t="n">
        <v>45411</v>
      </c>
      <c r="T58" s="26" t="inlineStr">
        <is>
          <t>24-2509</t>
        </is>
      </c>
      <c r="U58" s="26" t="inlineStr">
        <is>
          <t>L001-100056431</t>
        </is>
      </c>
      <c r="V58" s="26" t="inlineStr">
        <is>
          <t>ស្ពីតម៉ាក ត្រេនស្ព័រថេសិន (ខេមបូឌា)</t>
        </is>
      </c>
      <c r="W58" s="27" t="n">
        <v>85708</v>
      </c>
      <c r="X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>
        <is>
          <t>242510</t>
        </is>
      </c>
      <c r="O59" s="22">
        <f>M59=N59</f>
        <v/>
      </c>
      <c r="P59" s="22">
        <f>AND(MONTH(F59)=MONTH(S59), YEAR(F59)=YEAR(S59))</f>
        <v/>
      </c>
      <c r="Q59" s="22">
        <f>"L001-902303751"=U59</f>
        <v/>
      </c>
      <c r="R59" s="29">
        <f>G59-W59</f>
        <v/>
      </c>
      <c r="S59" s="30" t="n">
        <v>45411</v>
      </c>
      <c r="T59" s="26" t="inlineStr">
        <is>
          <t>24-2510</t>
        </is>
      </c>
      <c r="U59" s="26" t="inlineStr">
        <is>
          <t>K005-103014969</t>
        </is>
      </c>
      <c r="V59" s="26" t="inlineStr">
        <is>
          <t>ម៉ាស្ទ័រ ឌីលីវើរី អ៊ីមផត អិចផត</t>
        </is>
      </c>
      <c r="W59" s="27" t="n">
        <v>22341</v>
      </c>
      <c r="X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>
        <is>
          <t>242505</t>
        </is>
      </c>
      <c r="O60" s="22">
        <f>M60=N60</f>
        <v/>
      </c>
      <c r="P60" s="22">
        <f>AND(MONTH(F60)=MONTH(S60), YEAR(F60)=YEAR(S60))</f>
        <v/>
      </c>
      <c r="Q60" s="22">
        <f>"L001-902303751"=U60</f>
        <v/>
      </c>
      <c r="R60" s="29">
        <f>G60-W60</f>
        <v/>
      </c>
      <c r="S60" s="30" t="n">
        <v>45411</v>
      </c>
      <c r="T60" s="26" t="inlineStr">
        <is>
          <t>24-2505</t>
        </is>
      </c>
      <c r="U60" s="26" t="inlineStr">
        <is>
          <t>K008-901701171</t>
        </is>
      </c>
      <c r="V60" s="26" t="inlineStr">
        <is>
          <t>ដាប់បែលយូអិម ខាហ្គោ សឺវីស (ខេមបូឌា) ឯ.ក</t>
        </is>
      </c>
      <c r="W60" s="27" t="n">
        <v>111705</v>
      </c>
      <c r="X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>
        <is>
          <t>241875</t>
        </is>
      </c>
      <c r="O61" s="22">
        <f>M61=N61</f>
        <v/>
      </c>
      <c r="P61" s="22">
        <f>AND(MONTH(F61)=MONTH(S61), YEAR(F61)=YEAR(S61))</f>
        <v/>
      </c>
      <c r="Q61" s="22">
        <f>"L001-902303751"=U61</f>
        <v/>
      </c>
      <c r="R61" s="29">
        <f>G61-W61</f>
        <v/>
      </c>
      <c r="S61" s="30" t="n">
        <v>45383</v>
      </c>
      <c r="T61" s="26" t="inlineStr">
        <is>
          <t>24-1875</t>
        </is>
      </c>
      <c r="U61" s="26" t="inlineStr">
        <is>
          <t>K006-902203179</t>
        </is>
      </c>
      <c r="V61" s="26" t="inlineStr">
        <is>
          <t>អេស.អ.ស៊ី.អេច.អ អ៊ីមផិច (ខេមបូឌា) ឯ.ក</t>
        </is>
      </c>
      <c r="W61" s="27" t="n">
        <v>111045</v>
      </c>
      <c r="X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>
        <is>
          <t>241877</t>
        </is>
      </c>
      <c r="O62" s="22">
        <f>M62=N62</f>
        <v/>
      </c>
      <c r="P62" s="22">
        <f>AND(MONTH(F62)=MONTH(S62), YEAR(F62)=YEAR(S62))</f>
        <v/>
      </c>
      <c r="Q62" s="22">
        <f>"L001-902303751"=U62</f>
        <v/>
      </c>
      <c r="R62" s="29">
        <f>G62-W62</f>
        <v/>
      </c>
      <c r="S62" s="30" t="n">
        <v>45383</v>
      </c>
      <c r="T62" s="26" t="inlineStr">
        <is>
          <t>24-1877</t>
        </is>
      </c>
      <c r="U62" s="26" t="inlineStr">
        <is>
          <t>K006-902301046</t>
        </is>
      </c>
      <c r="V62" s="26" t="inlineStr">
        <is>
          <t>មីរ៉ាឃូឡឹស អ៊ីមផត អិចផត ឯ.ក</t>
        </is>
      </c>
      <c r="W62" s="27" t="n">
        <v>111045</v>
      </c>
      <c r="X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>
        <is>
          <t>242683</t>
        </is>
      </c>
      <c r="O63" s="22">
        <f>M63=N63</f>
        <v/>
      </c>
      <c r="P63" s="22">
        <f>AND(MONTH(F63)=MONTH(S63), YEAR(F63)=YEAR(S63))</f>
        <v/>
      </c>
      <c r="Q63" s="22">
        <f>"L001-902303751"=U63</f>
        <v/>
      </c>
      <c r="R63" s="29">
        <f>G63-W63</f>
        <v/>
      </c>
      <c r="S63" s="30" t="n">
        <v>45427</v>
      </c>
      <c r="T63" s="26" t="inlineStr">
        <is>
          <t>24-2683</t>
        </is>
      </c>
      <c r="U63" s="26" t="inlineStr">
        <is>
          <t>K010-107018373</t>
        </is>
      </c>
      <c r="V63" s="26" t="inlineStr">
        <is>
          <t>ខេម អ៊ីហ្គល ហ្រ្វេត សឹលូសិន</t>
        </is>
      </c>
      <c r="W63" s="27" t="n">
        <v>144805</v>
      </c>
      <c r="X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>
        <is>
          <t>243375</t>
        </is>
      </c>
      <c r="O64" s="22">
        <f>M64=N64</f>
        <v/>
      </c>
      <c r="P64" s="22">
        <f>AND(MONTH(F64)=MONTH(S64), YEAR(F64)=YEAR(S64))</f>
        <v/>
      </c>
      <c r="Q64" s="22">
        <f>"L001-902303751"=U64</f>
        <v/>
      </c>
      <c r="R64" s="29">
        <f>G64-W64</f>
        <v/>
      </c>
      <c r="S64" s="30" t="n">
        <v>45453</v>
      </c>
      <c r="T64" s="26" t="inlineStr">
        <is>
          <t>24-3375</t>
        </is>
      </c>
      <c r="U64" s="26" t="inlineStr">
        <is>
          <t>K005-100150195</t>
        </is>
      </c>
      <c r="V64" s="26" t="inlineStr">
        <is>
          <t>អេស អ វី ស៊ី ហ្វ្រេត សឺវីស (ខេមបូឌា) ខូ អិលធីឌី</t>
        </is>
      </c>
      <c r="W64" s="27" t="n">
        <v>0</v>
      </c>
      <c r="X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>
        <is>
          <t>243729</t>
        </is>
      </c>
      <c r="O65" s="22">
        <f>M65=N65</f>
        <v/>
      </c>
      <c r="P65" s="22">
        <f>AND(MONTH(F65)=MONTH(S65), YEAR(F65)=YEAR(S65))</f>
        <v/>
      </c>
      <c r="Q65" s="22">
        <f>"L001-902303751"=U65</f>
        <v/>
      </c>
      <c r="R65" s="29">
        <f>G65-W65</f>
        <v/>
      </c>
      <c r="S65" s="30" t="n">
        <v>45488</v>
      </c>
      <c r="T65" s="26" t="inlineStr">
        <is>
          <t>24-3729</t>
        </is>
      </c>
      <c r="U65" s="26" t="inlineStr">
        <is>
          <t>K009-901901239</t>
        </is>
      </c>
      <c r="V65" s="26" t="inlineStr">
        <is>
          <t>ដារីសា ហ្វ្រេត (ខេមបូឌា) ឯ.ក</t>
        </is>
      </c>
      <c r="W65" s="27" t="n">
        <v>1254383</v>
      </c>
      <c r="X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>
        <is>
          <t>244504</t>
        </is>
      </c>
      <c r="O66" s="22">
        <f>M66=N66</f>
        <v/>
      </c>
      <c r="P66" s="22">
        <f>AND(MONTH(F66)=MONTH(S66), YEAR(F66)=YEAR(S66))</f>
        <v/>
      </c>
      <c r="Q66" s="22">
        <f>"L001-902303751"=U66</f>
        <v/>
      </c>
      <c r="R66" s="29">
        <f>G66-W66</f>
        <v/>
      </c>
      <c r="S66" s="30" t="n">
        <v>45558</v>
      </c>
      <c r="T66" s="26" t="inlineStr">
        <is>
          <t>24-4504</t>
        </is>
      </c>
      <c r="U66" s="26" t="inlineStr">
        <is>
          <t>L001-100098630</t>
        </is>
      </c>
      <c r="V66" s="26" t="inlineStr">
        <is>
          <t>អេហ្វ ដាប់បែលយូ អេហ្វ ហ៊្វុល វែល អេន នីស៊ីន ឡូជីស្ទីក</t>
        </is>
      </c>
      <c r="W66" s="27" t="n">
        <v>0</v>
      </c>
      <c r="X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>
        <is>
          <t>244351</t>
        </is>
      </c>
      <c r="O67" s="22">
        <f>M67=N67</f>
        <v/>
      </c>
      <c r="P67" s="22">
        <f>AND(MONTH(F67)=MONTH(S67), YEAR(F67)=YEAR(S67))</f>
        <v/>
      </c>
      <c r="Q67" s="22">
        <f>"L001-902303751"=U67</f>
        <v/>
      </c>
      <c r="R67" s="29">
        <f>G67-W67</f>
        <v/>
      </c>
      <c r="S67" s="30" t="n">
        <v>45544</v>
      </c>
      <c r="T67" s="26" t="inlineStr">
        <is>
          <t>24-4351</t>
        </is>
      </c>
      <c r="U67" s="26" t="inlineStr">
        <is>
          <t>K002-901500969</t>
        </is>
      </c>
      <c r="V67" s="26" t="inlineStr">
        <is>
          <t>ឃីនថេតស៊ូ វើលដ៍ អ៊ិចប្រេស (ខេមបូឌា) ខូ អិលធីឌី</t>
        </is>
      </c>
      <c r="W67" s="27" t="n">
        <v>0</v>
      </c>
      <c r="X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>
        <is>
          <t>244787</t>
        </is>
      </c>
      <c r="O68" s="22">
        <f>M68=N68</f>
        <v/>
      </c>
      <c r="P68" s="22">
        <f>AND(MONTH(F68)=MONTH(S68), YEAR(F68)=YEAR(S68))</f>
        <v/>
      </c>
      <c r="Q68" s="22">
        <f>"L001-902303751"=U68</f>
        <v/>
      </c>
      <c r="R68" s="29">
        <f>G68-W68</f>
        <v/>
      </c>
      <c r="S68" s="30" t="n">
        <v>45586</v>
      </c>
      <c r="T68" s="26" t="inlineStr">
        <is>
          <t>24-4787</t>
        </is>
      </c>
      <c r="U68" s="26" t="inlineStr">
        <is>
          <t>K004-105012505</t>
        </is>
      </c>
      <c r="V68" s="26" t="inlineStr">
        <is>
          <t>អេស៊ាន ហ្វ្រេត (ខេមបូឌា)</t>
        </is>
      </c>
      <c r="W68" s="27" t="n">
        <v>3780503</v>
      </c>
      <c r="X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>
        <is>
          <t>000001</t>
        </is>
      </c>
      <c r="O69" s="22">
        <f>M69=N69</f>
        <v/>
      </c>
      <c r="P69" s="22">
        <f>AND(MONTH(F69)=MONTH(S69), YEAR(F69)=YEAR(S69))</f>
        <v/>
      </c>
      <c r="Q69" s="22">
        <f>"L001-902303751"=U69</f>
        <v/>
      </c>
      <c r="R69" s="29">
        <f>G69-W69</f>
        <v/>
      </c>
      <c r="S69" s="30" t="n">
        <v>45253</v>
      </c>
      <c r="T69" s="26" t="inlineStr">
        <is>
          <t>000001</t>
        </is>
      </c>
      <c r="U69" s="26" t="inlineStr">
        <is>
          <t>L001-902200236</t>
        </is>
      </c>
      <c r="V69" s="26" t="inlineStr">
        <is>
          <t>ជេនេរ៉ល ថាយអឺរ ថេកណឡជី (ខេមបូឌា) ឯ.ក</t>
        </is>
      </c>
      <c r="W69" s="27" t="n">
        <v>1645600</v>
      </c>
      <c r="X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>
        <is>
          <t>202400019</t>
        </is>
      </c>
      <c r="O70" s="22">
        <f>M70=N70</f>
        <v/>
      </c>
      <c r="P70" s="22">
        <f>AND(MONTH(F70)=MONTH(S70), YEAR(F70)=YEAR(S70))</f>
        <v/>
      </c>
      <c r="Q70" s="22">
        <f>"L001-902303751"=U70</f>
        <v/>
      </c>
      <c r="R70" s="29">
        <f>G70-W70</f>
        <v/>
      </c>
      <c r="S70" s="30" t="n">
        <v>45314</v>
      </c>
      <c r="T70" s="26" t="inlineStr">
        <is>
          <t>2024-00019</t>
        </is>
      </c>
      <c r="U70" s="26" t="inlineStr">
        <is>
          <t>L001-901900783</t>
        </is>
      </c>
      <c r="V70" s="26" t="inlineStr">
        <is>
          <t>វ៉ាយ.អេស.ស៊ី យ៉កសាន់ ស្តារ (ខេមបូឌា) ឯ.ក</t>
        </is>
      </c>
      <c r="W70" s="27" t="n">
        <v>0</v>
      </c>
      <c r="X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>
        <is>
          <t>202400016</t>
        </is>
      </c>
      <c r="O71" s="22">
        <f>M71=N71</f>
        <v/>
      </c>
      <c r="P71" s="22">
        <f>AND(MONTH(F71)=MONTH(S71), YEAR(F71)=YEAR(S71))</f>
        <v/>
      </c>
      <c r="Q71" s="22">
        <f>"L001-902303751"=U71</f>
        <v/>
      </c>
      <c r="R71" s="29">
        <f>G71-W71</f>
        <v/>
      </c>
      <c r="S71" s="30" t="n">
        <v>45314</v>
      </c>
      <c r="T71" s="26" t="inlineStr">
        <is>
          <t>2024-00016</t>
        </is>
      </c>
      <c r="U71" s="26" t="inlineStr">
        <is>
          <t>L001-901905400</t>
        </is>
      </c>
      <c r="V71" s="26" t="inlineStr">
        <is>
          <t>អ៊ី យូ ហេនប៊ែក ឯ.ក</t>
        </is>
      </c>
      <c r="W71" s="27" t="n">
        <v>0</v>
      </c>
      <c r="X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>
        <is>
          <t>202400029</t>
        </is>
      </c>
      <c r="O72" s="22">
        <f>M72=N72</f>
        <v/>
      </c>
      <c r="P72" s="22">
        <f>AND(MONTH(F72)=MONTH(S72), YEAR(F72)=YEAR(S72))</f>
        <v/>
      </c>
      <c r="Q72" s="22">
        <f>"L001-902303751"=U72</f>
        <v/>
      </c>
      <c r="R72" s="29">
        <f>G72-W72</f>
        <v/>
      </c>
      <c r="S72" s="30" t="n">
        <v>45320</v>
      </c>
      <c r="T72" s="26" t="inlineStr">
        <is>
          <t>2024-00029</t>
        </is>
      </c>
      <c r="U72" s="26" t="inlineStr">
        <is>
          <t>L001-901907051</t>
        </is>
      </c>
      <c r="V72" s="26" t="inlineStr">
        <is>
          <t>ហ្គោលដេន ប៊ីលាន (ខេមបូឌា) ហ៊ែនប៊ែក ឯ.ក</t>
        </is>
      </c>
      <c r="W72" s="27" t="n">
        <v>0</v>
      </c>
      <c r="X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>
        <is>
          <t>202400030</t>
        </is>
      </c>
      <c r="O73" s="22">
        <f>M73=N73</f>
        <v/>
      </c>
      <c r="P73" s="22">
        <f>AND(MONTH(F73)=MONTH(S73), YEAR(F73)=YEAR(S73))</f>
        <v/>
      </c>
      <c r="Q73" s="22">
        <f>"L001-902303751"=U73</f>
        <v/>
      </c>
      <c r="R73" s="29">
        <f>G73-W73</f>
        <v/>
      </c>
      <c r="S73" s="30" t="n">
        <v>45320</v>
      </c>
      <c r="T73" s="26" t="inlineStr">
        <is>
          <t>2024-00030</t>
        </is>
      </c>
      <c r="U73" s="26" t="inlineStr">
        <is>
          <t>L001-901702990</t>
        </is>
      </c>
      <c r="V73" s="26" t="inlineStr">
        <is>
          <t>យ៉ុងហេងស៊ីង លេឌើរ (ខេមបូឌា) ឯ.ក</t>
        </is>
      </c>
      <c r="W73" s="27" t="n">
        <v>0</v>
      </c>
      <c r="X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>
        <is>
          <t>202400042</t>
        </is>
      </c>
      <c r="O74" s="22">
        <f>M74=N74</f>
        <v/>
      </c>
      <c r="P74" s="22">
        <f>AND(MONTH(F74)=MONTH(S74), YEAR(F74)=YEAR(S74))</f>
        <v/>
      </c>
      <c r="Q74" s="22">
        <f>"L001-902303751"=U74</f>
        <v/>
      </c>
      <c r="R74" s="29">
        <f>G74-W74</f>
        <v/>
      </c>
      <c r="S74" s="30" t="n">
        <v>45320</v>
      </c>
      <c r="T74" s="26" t="inlineStr">
        <is>
          <t>2024-00042</t>
        </is>
      </c>
      <c r="U74" s="26" t="inlineStr">
        <is>
          <t>L001-901700833</t>
        </is>
      </c>
      <c r="V74" s="26" t="inlineStr">
        <is>
          <t>ធី.អេហ្វ.ជី (ខេមបូឌា) ហ្គាមេន ឯ.ក</t>
        </is>
      </c>
      <c r="W74" s="27" t="n">
        <v>2630205</v>
      </c>
      <c r="X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>
        <is>
          <t>202400020</t>
        </is>
      </c>
      <c r="O75" s="22">
        <f>M75=N75</f>
        <v/>
      </c>
      <c r="P75" s="22">
        <f>AND(MONTH(F75)=MONTH(S75), YEAR(F75)=YEAR(S75))</f>
        <v/>
      </c>
      <c r="Q75" s="22">
        <f>"L001-902303751"=U75</f>
        <v/>
      </c>
      <c r="R75" s="29">
        <f>G75-W75</f>
        <v/>
      </c>
      <c r="S75" s="30" t="n">
        <v>45316</v>
      </c>
      <c r="T75" s="26" t="inlineStr">
        <is>
          <t>2024-00020</t>
        </is>
      </c>
      <c r="U75" s="26" t="inlineStr">
        <is>
          <t>L001-100195288</t>
        </is>
      </c>
      <c r="V75" s="26" t="inlineStr">
        <is>
          <t>ស្រ្តង ហែលធ៍ អ៊ិនធើណេសិនណល លីមីធីត</t>
        </is>
      </c>
      <c r="W75" s="27" t="n">
        <v>0</v>
      </c>
      <c r="X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>
        <is>
          <t>202400023</t>
        </is>
      </c>
      <c r="O76" s="22">
        <f>M76=N76</f>
        <v/>
      </c>
      <c r="P76" s="22">
        <f>AND(MONTH(F76)=MONTH(S76), YEAR(F76)=YEAR(S76))</f>
        <v/>
      </c>
      <c r="Q76" s="22">
        <f>"L001-902303751"=U76</f>
        <v/>
      </c>
      <c r="R76" s="29">
        <f>G76-W76</f>
        <v/>
      </c>
      <c r="S76" s="30" t="n">
        <v>45320</v>
      </c>
      <c r="T76" s="26" t="inlineStr">
        <is>
          <t>2024-00023</t>
        </is>
      </c>
      <c r="U76" s="26" t="inlineStr">
        <is>
          <t>L001-100191363</t>
        </is>
      </c>
      <c r="V76" s="26" t="inlineStr">
        <is>
          <t>វ៉ា សាន់ អេចខេ ហ្វេកធើរី (ខេមបូឌា)</t>
        </is>
      </c>
      <c r="W76" s="27" t="n">
        <v>0</v>
      </c>
      <c r="X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>
        <is>
          <t>202400031</t>
        </is>
      </c>
      <c r="O77" s="22">
        <f>M77=N77</f>
        <v/>
      </c>
      <c r="P77" s="22">
        <f>AND(MONTH(F77)=MONTH(S77), YEAR(F77)=YEAR(S77))</f>
        <v/>
      </c>
      <c r="Q77" s="22">
        <f>"L001-902303751"=U77</f>
        <v/>
      </c>
      <c r="R77" s="29">
        <f>G77-W77</f>
        <v/>
      </c>
      <c r="S77" s="30" t="n">
        <v>45320</v>
      </c>
      <c r="T77" s="26" t="inlineStr">
        <is>
          <t>2024-00031</t>
        </is>
      </c>
      <c r="U77" s="26" t="inlineStr">
        <is>
          <t>L001-901702990</t>
        </is>
      </c>
      <c r="V77" s="26" t="inlineStr">
        <is>
          <t>យ៉ុងហេងស៊ីង លេឌើរ (ខេមបូឌា) ឯ.ក</t>
        </is>
      </c>
      <c r="W77" s="27" t="n">
        <v>0</v>
      </c>
      <c r="X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>
        <is>
          <t>202400026</t>
        </is>
      </c>
      <c r="O78" s="22">
        <f>M78=N78</f>
        <v/>
      </c>
      <c r="P78" s="22">
        <f>AND(MONTH(F78)=MONTH(S78), YEAR(F78)=YEAR(S78))</f>
        <v/>
      </c>
      <c r="Q78" s="22">
        <f>"L001-902303751"=U78</f>
        <v/>
      </c>
      <c r="R78" s="29">
        <f>G78-W78</f>
        <v/>
      </c>
      <c r="S78" s="30" t="n">
        <v>45320</v>
      </c>
      <c r="T78" s="26" t="inlineStr">
        <is>
          <t>2024-00026</t>
        </is>
      </c>
      <c r="U78" s="26" t="inlineStr">
        <is>
          <t>L001-100191363</t>
        </is>
      </c>
      <c r="V78" s="26" t="inlineStr">
        <is>
          <t>វ៉ា សាន់ អេចខេ ហ្វេកធើរី (ខេមបូឌា)</t>
        </is>
      </c>
      <c r="W78" s="27" t="n">
        <v>0</v>
      </c>
      <c r="X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>
        <is>
          <t>0001</t>
        </is>
      </c>
      <c r="O79" s="22">
        <f>M79=N79</f>
        <v/>
      </c>
      <c r="P79" s="22">
        <f>AND(MONTH(F79)=MONTH(S79), YEAR(F79)=YEAR(S79))</f>
        <v/>
      </c>
      <c r="Q79" s="22">
        <f>"L001-902303751"=U79</f>
        <v/>
      </c>
      <c r="R79" s="29">
        <f>G79-W79</f>
        <v/>
      </c>
      <c r="S79" s="30" t="n">
        <v>45293</v>
      </c>
      <c r="T79" s="26" t="inlineStr">
        <is>
          <t>0001</t>
        </is>
      </c>
      <c r="U79" s="26" t="inlineStr">
        <is>
          <t>L001-100186351</t>
        </is>
      </c>
      <c r="V79" s="26" t="inlineStr">
        <is>
          <t>ស៊ីភីភីស៊ី អៅដរ វែរ (ខេមបូឌា) ឯ.ក</t>
        </is>
      </c>
      <c r="W79" s="27" t="n">
        <v>189767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>
        <is>
          <t>0011</t>
        </is>
      </c>
      <c r="O80" s="22">
        <f>M80=N80</f>
        <v/>
      </c>
      <c r="P80" s="22">
        <f>AND(MONTH(F80)=MONTH(S80), YEAR(F80)=YEAR(S80))</f>
        <v/>
      </c>
      <c r="Q80" s="22">
        <f>"L001-902303751"=U80</f>
        <v/>
      </c>
      <c r="R80" s="29">
        <f>G80-W80</f>
        <v/>
      </c>
      <c r="S80" s="30" t="n">
        <v>45299</v>
      </c>
      <c r="T80" s="26" t="inlineStr">
        <is>
          <t>0011</t>
        </is>
      </c>
      <c r="U80" s="26" t="inlineStr">
        <is>
          <t>L001-902200959</t>
        </is>
      </c>
      <c r="V80" s="26" t="inlineStr">
        <is>
          <t>អិកស៍.វ៉ាយ.អេច. (ខេមបូឌា) ហ្គាម៉ិន ឯ.ក</t>
        </is>
      </c>
      <c r="W80" s="27" t="n">
        <v>0</v>
      </c>
      <c r="X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>
        <is>
          <t>0002</t>
        </is>
      </c>
      <c r="O81" s="22">
        <f>M81=N81</f>
        <v/>
      </c>
      <c r="P81" s="22">
        <f>AND(MONTH(F81)=MONTH(S81), YEAR(F81)=YEAR(S81))</f>
        <v/>
      </c>
      <c r="Q81" s="22">
        <f>"L001-902303751"=U81</f>
        <v/>
      </c>
      <c r="R81" s="29">
        <f>G81-W81</f>
        <v/>
      </c>
      <c r="S81" s="30" t="n">
        <v>45293</v>
      </c>
      <c r="T81" s="26" t="inlineStr">
        <is>
          <t>0002</t>
        </is>
      </c>
      <c r="U81" s="26" t="inlineStr">
        <is>
          <t>L001-901801168</t>
        </is>
      </c>
      <c r="V81" s="26" t="inlineStr">
        <is>
          <t>ជេអេស លេឌើរ ខលលិកសិន ភ្នំពេញ ឯ.ក</t>
        </is>
      </c>
      <c r="W81" s="27" t="n">
        <v>187726</v>
      </c>
      <c r="X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>
        <is>
          <t>0034</t>
        </is>
      </c>
      <c r="O82" s="22">
        <f>M82=N82</f>
        <v/>
      </c>
      <c r="P82" s="22">
        <f>AND(MONTH(F82)=MONTH(S82), YEAR(F82)=YEAR(S82))</f>
        <v/>
      </c>
      <c r="Q82" s="22">
        <f>"L001-902303751"=U82</f>
        <v/>
      </c>
      <c r="R82" s="29">
        <f>G82-W82</f>
        <v/>
      </c>
      <c r="S82" s="30" t="n">
        <v>45324</v>
      </c>
      <c r="T82" s="26" t="inlineStr">
        <is>
          <t>0034</t>
        </is>
      </c>
      <c r="U82" s="26" t="inlineStr">
        <is>
          <t>L001-100148328</t>
        </is>
      </c>
      <c r="V82" s="26" t="inlineStr">
        <is>
          <t>វឌ្ឍនៈ អ៊ិនវេសមេន លីមីធីត</t>
        </is>
      </c>
      <c r="W82" s="27" t="n">
        <v>164202</v>
      </c>
      <c r="X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>
        <is>
          <t>0085</t>
        </is>
      </c>
      <c r="O83" s="22">
        <f>M83=N83</f>
        <v/>
      </c>
      <c r="P83" s="22">
        <f>AND(MONTH(F83)=MONTH(S83), YEAR(F83)=YEAR(S83))</f>
        <v/>
      </c>
      <c r="Q83" s="22">
        <f>"L001-902303751"=U83</f>
        <v/>
      </c>
      <c r="R83" s="29">
        <f>G83-W83</f>
        <v/>
      </c>
      <c r="S83" s="30" t="n">
        <v>45372</v>
      </c>
      <c r="T83" s="26" t="inlineStr">
        <is>
          <t>0085</t>
        </is>
      </c>
      <c r="U83" s="26" t="inlineStr">
        <is>
          <t>B102-220004919</t>
        </is>
      </c>
      <c r="V83" s="26" t="inlineStr">
        <is>
          <t>ស៊ីធី រ៉ាយស៍ អ៊ីមផត អិចផត ខូ អិលធីឌី</t>
        </is>
      </c>
      <c r="W83" s="27" t="n">
        <v>0</v>
      </c>
      <c r="X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>
        <is>
          <t>0102</t>
        </is>
      </c>
      <c r="O84" s="22">
        <f>M84=N84</f>
        <v/>
      </c>
      <c r="P84" s="22">
        <f>AND(MONTH(F84)=MONTH(S84), YEAR(F84)=YEAR(S84))</f>
        <v/>
      </c>
      <c r="Q84" s="22">
        <f>"L001-902303751"=U84</f>
        <v/>
      </c>
      <c r="R84" s="29">
        <f>G84-W84</f>
        <v/>
      </c>
      <c r="S84" s="30" t="n">
        <v>45390</v>
      </c>
      <c r="T84" s="26" t="inlineStr">
        <is>
          <t>0102</t>
        </is>
      </c>
      <c r="U84" s="26" t="inlineStr">
        <is>
          <t>L001-902005946</t>
        </is>
      </c>
      <c r="V84" s="26" t="inlineStr">
        <is>
          <t>ខេ1000 ត្រេឌីង ឯ.ក</t>
        </is>
      </c>
      <c r="W84" s="27" t="n">
        <v>0</v>
      </c>
      <c r="X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>
        <is>
          <t>0108</t>
        </is>
      </c>
      <c r="O85" s="22">
        <f>M85=N85</f>
        <v/>
      </c>
      <c r="P85" s="22">
        <f>AND(MONTH(F85)=MONTH(S85), YEAR(F85)=YEAR(S85))</f>
        <v/>
      </c>
      <c r="Q85" s="22">
        <f>"L001-902303751"=U85</f>
        <v/>
      </c>
      <c r="R85" s="29">
        <f>G85-W85</f>
        <v/>
      </c>
      <c r="S85" s="30" t="n">
        <v>45411</v>
      </c>
      <c r="T85" s="26" t="inlineStr">
        <is>
          <t>0108</t>
        </is>
      </c>
      <c r="U85" s="26" t="inlineStr">
        <is>
          <t>L001-100186351</t>
        </is>
      </c>
      <c r="V85" s="26" t="inlineStr">
        <is>
          <t>ស៊ីភីភីស៊ី អៅដរ វែរ (ខេមបូឌា) ឯ.ក</t>
        </is>
      </c>
      <c r="W85" s="27" t="n">
        <v>187664</v>
      </c>
      <c r="X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>
        <is>
          <t>0280</t>
        </is>
      </c>
      <c r="O86" s="22">
        <f>M86=N86</f>
        <v/>
      </c>
      <c r="P86" s="22">
        <f>AND(MONTH(F86)=MONTH(S86), YEAR(F86)=YEAR(S86))</f>
        <v/>
      </c>
      <c r="Q86" s="22">
        <f>"L001-902303751"=U86</f>
        <v/>
      </c>
      <c r="R86" s="29">
        <f>G86-W86</f>
        <v/>
      </c>
      <c r="S86" s="30" t="n">
        <v>45489</v>
      </c>
      <c r="T86" s="26" t="inlineStr">
        <is>
          <t>0280</t>
        </is>
      </c>
      <c r="U86" s="26" t="inlineStr">
        <is>
          <t>L001-902006751</t>
        </is>
      </c>
      <c r="V86" s="26" t="inlineStr">
        <is>
          <t>ជុនតេង អ៊ិនដាសស្ទ្រៀល (ខេមបូឌា) ឯ.ក</t>
        </is>
      </c>
      <c r="W86" s="27" t="n">
        <v>0</v>
      </c>
      <c r="X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>
        <is>
          <t>0281</t>
        </is>
      </c>
      <c r="O87" s="22">
        <f>M87=N87</f>
        <v/>
      </c>
      <c r="P87" s="22">
        <f>AND(MONTH(F87)=MONTH(S87), YEAR(F87)=YEAR(S87))</f>
        <v/>
      </c>
      <c r="Q87" s="22">
        <f>"L001-902303751"=U87</f>
        <v/>
      </c>
      <c r="R87" s="29">
        <f>G87-W87</f>
        <v/>
      </c>
      <c r="S87" s="30" t="n">
        <v>45491</v>
      </c>
      <c r="T87" s="26" t="inlineStr">
        <is>
          <t>0281</t>
        </is>
      </c>
      <c r="U87" s="26" t="inlineStr">
        <is>
          <t>L001-100186351</t>
        </is>
      </c>
      <c r="V87" s="26" t="inlineStr">
        <is>
          <t>ស៊ីភីភីស៊ី អៅដរ វែរ (ខេមបូឌា) ឯ.ក</t>
        </is>
      </c>
      <c r="W87" s="27" t="n">
        <v>162226</v>
      </c>
      <c r="X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>
        <is>
          <t>0257</t>
        </is>
      </c>
      <c r="O88" s="22">
        <f>M88=N88</f>
        <v/>
      </c>
      <c r="P88" s="22">
        <f>AND(MONTH(F88)=MONTH(S88), YEAR(F88)=YEAR(S88))</f>
        <v/>
      </c>
      <c r="Q88" s="22">
        <f>"L001-902303751"=U88</f>
        <v/>
      </c>
      <c r="R88" s="29">
        <f>G88-W88</f>
        <v/>
      </c>
      <c r="S88" s="30" t="n">
        <v>45482</v>
      </c>
      <c r="T88" s="26" t="inlineStr">
        <is>
          <t>0257</t>
        </is>
      </c>
      <c r="U88" s="26" t="inlineStr">
        <is>
          <t>L001-100187269</t>
        </is>
      </c>
      <c r="V88" s="26" t="inlineStr">
        <is>
          <t>យ៉កម៉ាស (ខេមបូឌា) ហ្គាមេន អិមអេហ្វជី</t>
        </is>
      </c>
      <c r="W88" s="27" t="n">
        <v>199626</v>
      </c>
      <c r="X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>
        <is>
          <t>001</t>
        </is>
      </c>
      <c r="O89" s="22">
        <f>M89=N89</f>
        <v/>
      </c>
      <c r="P89" s="22">
        <f>AND(MONTH(F89)=MONTH(S89), YEAR(F89)=YEAR(S89))</f>
        <v/>
      </c>
      <c r="Q89" s="22">
        <f>"L001-902303751"=U89</f>
        <v/>
      </c>
      <c r="R89" s="29">
        <f>G89-W89</f>
        <v/>
      </c>
      <c r="S89" s="30" t="n">
        <v>45293</v>
      </c>
      <c r="T89" s="26" t="inlineStr">
        <is>
          <t>001</t>
        </is>
      </c>
      <c r="U89" s="26" t="inlineStr">
        <is>
          <t>L001-901700459</t>
        </is>
      </c>
      <c r="V89" s="26" t="inlineStr">
        <is>
          <t>ធេនថេក ខមភើហ្សាយ (ខេមបូឌា) ឯ.ក</t>
        </is>
      </c>
      <c r="W89" s="27" t="n">
        <v>13207601</v>
      </c>
      <c r="X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>
        <is>
          <t>002</t>
        </is>
      </c>
      <c r="O90" s="22">
        <f>M90=N90</f>
        <v/>
      </c>
      <c r="P90" s="22">
        <f>AND(MONTH(F90)=MONTH(S90), YEAR(F90)=YEAR(S90))</f>
        <v/>
      </c>
      <c r="Q90" s="22">
        <f>"L001-902303751"=U90</f>
        <v/>
      </c>
      <c r="R90" s="29">
        <f>G90-W90</f>
        <v/>
      </c>
      <c r="S90" s="30" t="n">
        <v>45327</v>
      </c>
      <c r="T90" s="26" t="inlineStr">
        <is>
          <t>002</t>
        </is>
      </c>
      <c r="U90" s="26" t="inlineStr">
        <is>
          <t>L001-902200282</t>
        </is>
      </c>
      <c r="V90" s="26" t="inlineStr">
        <is>
          <t xml:space="preserve">សូឡាស្ពេស ញូ អេនើជី (ខេមបូឌា) ឯ.ក </t>
        </is>
      </c>
      <c r="W90" s="27" t="n">
        <v>1084302</v>
      </c>
      <c r="X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>
        <is>
          <t>009</t>
        </is>
      </c>
      <c r="O91" s="22">
        <f>M91=N91</f>
        <v/>
      </c>
      <c r="P91" s="22">
        <f>AND(MONTH(F91)=MONTH(S91), YEAR(F91)=YEAR(S91))</f>
        <v/>
      </c>
      <c r="Q91" s="22">
        <f>"L001-902303751"=U91</f>
        <v/>
      </c>
      <c r="R91" s="29">
        <f>G91-W91</f>
        <v/>
      </c>
      <c r="S91" s="30" t="n">
        <v>45401</v>
      </c>
      <c r="T91" s="26" t="inlineStr">
        <is>
          <t>009</t>
        </is>
      </c>
      <c r="U91" s="26" t="inlineStr">
        <is>
          <t>L001-902200282</t>
        </is>
      </c>
      <c r="V91" s="26" t="inlineStr">
        <is>
          <t xml:space="preserve">សូឡាស្ពេស ញូ អេនើជី (ខេមបូឌា) ឯ.ក </t>
        </is>
      </c>
      <c r="W91" s="27" t="n">
        <v>345355</v>
      </c>
      <c r="X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>
        <is>
          <t>009</t>
        </is>
      </c>
      <c r="O92" s="22">
        <f>M92=N92</f>
        <v/>
      </c>
      <c r="P92" s="22">
        <f>AND(MONTH(F92)=MONTH(S92), YEAR(F92)=YEAR(S92))</f>
        <v/>
      </c>
      <c r="Q92" s="22">
        <f>"L001-902303751"=U92</f>
        <v/>
      </c>
      <c r="R92" s="29">
        <f>G92-W92</f>
        <v/>
      </c>
      <c r="S92" s="30" t="n">
        <v>45275</v>
      </c>
      <c r="T92" s="26" t="inlineStr">
        <is>
          <t>009</t>
        </is>
      </c>
      <c r="U92" s="26" t="inlineStr">
        <is>
          <t>L001-902303231</t>
        </is>
      </c>
      <c r="V92" s="26" t="inlineStr">
        <is>
          <t>ឃីង មេធល (ខេមបូឌា) ហាដវែរ សឹបផ្លាយ ឯ.ក</t>
        </is>
      </c>
      <c r="W92" s="27" t="n">
        <v>143850</v>
      </c>
      <c r="X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"L001-902303751"=U93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"L001-902303751"=U94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"L001-902303751"=U95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"L001-902303751"=U96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"L001-902303751"=U97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"L001-902303751"=U98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"L001-902303751"=U99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"L001-902303751"=U100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"L001-902303751"=U101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"L001-902303751"=U102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"L001-902303751"=U103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"L001-902303751"=U104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"L001-902303751"=U105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"L001-902303751"=U106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"L001-902303751"=U107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"L001-902303751"=U108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"L001-902303751"=U109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"L001-902303751"=U110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"L001-902303751"=U111</f>
        <v/>
      </c>
      <c r="R111">
        <f>G111-W111</f>
        <v/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"L001-902303751"=U112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"L001-902303751"=U113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"L001-902303751"=U114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"L001-902303751"=U115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"L001-902303751"=U116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"L001-902303751"=U117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"L001-902303751"=U118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"L001-902303751"=U119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"L001-902303751"=U120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"L001-902303751"=U121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"L001-902303751"=U122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"L001-902303751"=U123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"L001-902303751"=U124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"L001-902303751"=U125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"L001-902303751"=U126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"L001-902303751"=U127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"L001-902303751"=U128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"L001-902303751"=U129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"L001-902303751"=U130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"L001-902303751"=U131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"L001-902303751"=U132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"L001-902303751"=U133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"L001-902303751"=U134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"L001-902303751"=U135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"L001-902303751"=U136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"L001-902303751"=U137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"L001-902303751"=U138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"L001-902303751"=U139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"L001-902303751"=U140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"L001-902303751"=U141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"L001-902303751"=U142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"L001-902303751"=U143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"L001-902303751"=U144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"L001-902303751"=U145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"L001-902303751"=U146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"L001-902303751"=U147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"L001-902303751"=U148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"L001-902303751"=U149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"L001-902303751"=U150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"L001-902303751"=U151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"L001-902303751"=U152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"L001-902303751"=U153</f>
        <v/>
      </c>
      <c r="R153">
        <f>G153-W153</f>
        <v/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"L001-902303751"=U154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"L001-902303751"=U155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"L001-902303751"=U156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"L001-902303751"=U157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"L001-902303751"=U158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"L001-902303751"=U159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"L001-902303751"=U160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"L001-902303751"=U161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"L001-902303751"=U162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"L001-902303751"=U163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"L001-902303751"=U164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"L001-902303751"=U165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"L001-902303751"=U166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"L001-902303751"=U167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"L001-902303751"=U168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"L001-902303751"=U169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"L001-902303751"=U170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"L001-902303751"=U171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"L001-902303751"=U172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"L001-902303751"=U173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"L001-902303751"=U174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"L001-902303751"=U175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"L001-902303751"=U176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"L001-902303751"=U177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"L001-902303751"=U178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"L001-902303751"=U179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"L001-902303751"=U180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"L001-902303751"=U181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"L001-902303751"=U182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"L001-902303751"=U183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"L001-902303751"=U184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"L001-902303751"=U185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"L001-902303751"=U186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"L001-902303751"=U187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"L001-902303751"=U188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"L001-902303751"=U189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"L001-902303751"=U190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"L001-902303751"=U191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"L001-902303751"=U192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"L001-902303751"=U193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"L001-902303751"=U194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"L001-902303751"=U195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"L001-902303751"=U196</f>
        <v/>
      </c>
      <c r="R196">
        <f>G196-W196</f>
        <v/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"L001-902303751"=U197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"L001-902303751"=U198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"L001-902303751"=U199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"L001-902303751"=U200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"L001-902303751"=U201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"L001-902303751"=U202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"L001-902303751"=U203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"L001-902303751"=U204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"L001-902303751"=U205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"L001-902303751"=U206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"L001-902303751"=U207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"L001-902303751"=U208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"L001-902303751"=U209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"L001-902303751"=U210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"L001-902303751"=U211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"L001-902303751"=U212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"L001-902303751"=U213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"L001-902303751"=U214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"L001-902303751"=U215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"L001-902303751"=U216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"L001-902303751"=U217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"L001-902303751"=U218</f>
        <v/>
      </c>
      <c r="R218">
        <f>G218-W218</f>
        <v/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"L001-902303751"=U219</f>
        <v/>
      </c>
      <c r="R219">
        <f>G219-W219</f>
        <v/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"L001-902303751"=U220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"L001-902303751"=U221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"L001-902303751"=U222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"L001-902303751"=U223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"L001-902303751"=U224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"L001-902303751"=U225</f>
        <v/>
      </c>
      <c r="R225">
        <f>G225-W225</f>
        <v/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"L001-902303751"=U226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"L001-902303751"=U227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"L001-902303751"=U228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"L001-902303751"=U229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"L001-902303751"=U230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"L001-902303751"=U231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"L001-902303751"=U232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"L001-902303751"=U233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"L001-902303751"=U234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"L001-902303751"=U235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"L001-902303751"=U236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"L001-902303751"=U237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"L001-902303751"=U238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"L001-902303751"=U239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"L001-902303751"=U240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"L001-902303751"=U241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"L001-902303751"=U242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"L001-902303751"=U243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"L001-902303751"=U244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"L001-902303751"=U245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"L001-902303751"=U246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"L001-902303751"=U247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"L001-902303751"=U248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"L001-902303751"=U249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"L001-902303751"=U250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"L001-902303751"=U251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"L001-902303751"=U252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"L001-902303751"=U253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"L001-902303751"=U254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"L001-902303751"=U255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"L001-902303751"=U256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"L001-902303751"=U257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"L001-902303751"=U258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"L001-902303751"=U259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"L001-902303751"=U260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"L001-902303751"=U261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"L001-902303751"=U262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"L001-902303751"=U263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"L001-902303751"=U264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"L001-902303751"=U265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"L001-902303751"=U266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"L001-902303751"=U267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"L001-902303751"=U268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"L001-902303751"=U269</f>
        <v/>
      </c>
      <c r="R269">
        <f>G269-W269</f>
        <v/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"L001-902303751"=U270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"L001-902303751"=U271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"L001-902303751"=U272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"L001-902303751"=U273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"L001-902303751"=U274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"L001-902303751"=U275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"L001-902303751"=U276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"L001-902303751"=U277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"L001-902303751"=U278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"L001-902303751"=U279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"L001-902303751"=U280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"L001-902303751"=U281</f>
        <v/>
      </c>
      <c r="R281">
        <f>G281-W281</f>
        <v/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"L001-902303751"=U282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"L001-902303751"=U283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"L001-902303751"=U284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"L001-902303751"=U285</f>
        <v/>
      </c>
      <c r="R285">
        <f>G285-W285</f>
        <v/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"L001-902303751"=U286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"L001-902303751"=U287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"L001-902303751"=U288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"L001-902303751"=U289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"L001-902303751"=U290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"L001-902303751"=U291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"L001-902303751"=U292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"L001-902303751"=U293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"L001-902303751"=U294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"L001-902303751"=U295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"L001-902303751"=U296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"L001-902303751"=U297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"L001-902303751"=U298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"L001-902303751"=U299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"L001-902303751"=U300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"L001-902303751"=U301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"L001-902303751"=U302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"L001-902303751"=U303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"L001-902303751"=U304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"L001-902303751"=U305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"L001-902303751"=U306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"L001-902303751"=U307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"L001-902303751"=U308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"L001-902303751"=U309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"L001-902303751"=U310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"L001-902303751"=U311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"L001-902303751"=U312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"L001-902303751"=U313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"L001-902303751"=U314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"L001-902303751"=U315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"L001-902303751"=U316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"L001-902303751"=U317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"L001-902303751"=U318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"L001-902303751"=U319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"L001-902303751"=U320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"L001-902303751"=U321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"L001-902303751"=U322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"L001-902303751"=U323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"L001-902303751"=U324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"L001-902303751"=U325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"L001-902303751"=U326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"L001-902303751"=U327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"L001-902303751"=U328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"L001-902303751"=U329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"L001-902303751"=U330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"L001-902303751"=U331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"L001-902303751"=U332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"L001-902303751"=U333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"L001-902303751"=U334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"L001-902303751"=U335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"L001-902303751"=U336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"L001-902303751"=U337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"L001-902303751"=U338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"L001-902303751"=U339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"L001-902303751"=U340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"L001-902303751"=U341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"L001-902303751"=U342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"L001-902303751"=U343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"L001-902303751"=U344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"L001-902303751"=U345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"L001-902303751"=U346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"L001-902303751"=U347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"L001-902303751"=U348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"L001-902303751"=U349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"L001-902303751"=U350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"L001-902303751"=U351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"L001-902303751"=U352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"L001-902303751"=U353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"L001-902303751"=U354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"L001-902303751"=U355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"L001-902303751"=U356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"L001-902303751"=U357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"L001-902303751"=U358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"L001-902303751"=U359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"L001-902303751"=U360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"L001-902303751"=U361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"L001-902303751"=U362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"L001-902303751"=U363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"L001-902303751"=U364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"L001-902303751"=U365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"L001-902303751"=U366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"L001-902303751"=U367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"L001-902303751"=U368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"L001-902303751"=U369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"L001-902303751"=U370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"L001-902303751"=U371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"L001-902303751"=U372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"L001-902303751"=U373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"L001-902303751"=U374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"L001-902303751"=U375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"L001-902303751"=U376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"L001-902303751"=U377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"L001-902303751"=U378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"L001-902303751"=U379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"L001-902303751"=U380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"L001-902303751"=U381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"L001-902303751"=U382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"L001-902303751"=U383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"L001-902303751"=U384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"L001-902303751"=U385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"L001-902303751"=U386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"L001-902303751"=U387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"L001-902303751"=U388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"L001-902303751"=U389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"L001-902303751"=U390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"L001-902303751"=U391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"L001-902303751"=U392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"L001-902303751"=U393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"L001-902303751"=U394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"L001-902303751"=U395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"L001-902303751"=U396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"L001-902303751"=U397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"L001-902303751"=U398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"L001-902303751"=U399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"L001-902303751"=U400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"L001-902303751"=U401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"L001-902303751"=U402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"L001-902303751"=U403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"L001-902303751"=U404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"L001-902303751"=U405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"L001-902303751"=U406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"L001-902303751"=U407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"L001-902303751"=U408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"L001-902303751"=U409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"L001-902303751"=U410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"L001-902303751"=U411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"L001-902303751"=U412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"L001-902303751"=U413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"L001-902303751"=U414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"L001-902303751"=U415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"L001-902303751"=U416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"L001-902303751"=U417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"L001-902303751"=U418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"L001-902303751"=U419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"L001-902303751"=U420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"L001-902303751"=U421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"L001-902303751"=U422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"L001-902303751"=U423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"L001-902303751"=U424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"L001-902303751"=U425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"L001-902303751"=U426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"L001-902303751"=U427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"L001-902303751"=U428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"L001-902303751"=U429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"L001-902303751"=U430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"L001-902303751"=U431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"L001-902303751"=U432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"L001-902303751"=U433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"L001-902303751"=U434</f>
        <v/>
      </c>
      <c r="R434">
        <f>G434-W434</f>
        <v/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"L001-902303751"=U435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"L001-902303751"=U436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"L001-902303751"=U437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"L001-902303751"=U438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"L001-902303751"=U439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"L001-902303751"=U440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"L001-902303751"=U441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"L001-902303751"=U442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"L001-902303751"=U443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"L001-902303751"=U444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"L001-902303751"=U445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"L001-902303751"=U446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"L001-902303751"=U447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"L001-902303751"=U448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"L001-902303751"=U449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"L001-902303751"=U450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"L001-902303751"=U451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"L001-902303751"=U452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"L001-902303751"=U453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"L001-902303751"=U454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"L001-902303751"=U455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"L001-902303751"=U456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"L001-902303751"=U457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"L001-902303751"=U458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"L001-902303751"=U459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"L001-902303751"=U460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"L001-902303751"=U461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"L001-902303751"=U462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"L001-902303751"=U463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"L001-902303751"=U464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"L001-902303751"=U465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"L001-902303751"=U466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"L001-902303751"=U467</f>
        <v/>
      </c>
      <c r="R467">
        <f>G467-W467</f>
        <v/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"L001-902303751"=U468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"L001-902303751"=U469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"L001-902303751"=U470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"L001-902303751"=U471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"L001-902303751"=U472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"L001-902303751"=U473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"L001-902303751"=U474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"L001-902303751"=U475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"L001-902303751"=U476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"L001-902303751"=U477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"L001-902303751"=U478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"L001-902303751"=U479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"L001-902303751"=U480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"L001-902303751"=U481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"L001-902303751"=U482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"L001-902303751"=U483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"L001-902303751"=U484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"L001-902303751"=U485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"L001-902303751"=U486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"L001-902303751"=U487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"L001-902303751"=U488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"L001-902303751"=U489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"L001-902303751"=U490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"L001-902303751"=U491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"L001-902303751"=U492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"L001-902303751"=U493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"L001-902303751"=U494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"L001-902303751"=U495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"L001-902303751"=U496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"L001-902303751"=U497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"L001-902303751"=U498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"L001-902303751"=U499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"L001-902303751"=U500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"L001-902303751"=U501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"L001-902303751"=U502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"L001-902303751"=U503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"L001-902303751"=U504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"L001-902303751"=U505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"L001-902303751"=U506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"L001-902303751"=U507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"L001-902303751"=U508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"L001-902303751"=U509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"L001-902303751"=U510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"L001-902303751"=U511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"L001-902303751"=U512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"L001-902303751"=U513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"L001-902303751"=U514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"L001-902303751"=U515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"L001-902303751"=U516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"L001-902303751"=U517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"L001-902303751"=U518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"L001-902303751"=U519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"L001-902303751"=U520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"L001-902303751"=U521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"L001-902303751"=U522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"L001-902303751"=U523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"L001-902303751"=U524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"L001-902303751"=U525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"L001-902303751"=U526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"L001-902303751"=U527</f>
        <v/>
      </c>
      <c r="R527">
        <f>G527-W527</f>
        <v/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"L001-902303751"=U528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"L001-902303751"=U529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"L001-902303751"=U530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"L001-902303751"=U531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"L001-902303751"=U532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"L001-902303751"=U533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"L001-902303751"=U534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"L001-902303751"=U535</f>
        <v/>
      </c>
      <c r="R535">
        <f>G535-W535</f>
        <v/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"L001-902303751"=U536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"L001-902303751"=U537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"L001-902303751"=U538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"L001-902303751"=U539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"L001-902303751"=U540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"L001-902303751"=U541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"L001-902303751"=U542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"L001-902303751"=U543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"L001-902303751"=U544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"L001-902303751"=U545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"L001-902303751"=U546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"L001-902303751"=U547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"L001-902303751"=U548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"L001-902303751"=U549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"L001-902303751"=U550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"L001-902303751"=U551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"L001-902303751"=U552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"L001-902303751"=U553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"L001-902303751"=U554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"L001-902303751"=U555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"L001-902303751"=U556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"L001-902303751"=U557</f>
        <v/>
      </c>
      <c r="R557">
        <f>G557-W557</f>
        <v/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"L001-902303751"=U558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"L001-902303751"=U559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"L001-902303751"=U560</f>
        <v/>
      </c>
      <c r="R560">
        <f>G560-W560</f>
        <v/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"L001-902303751"=U561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"L001-902303751"=U562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"L001-902303751"=U563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"L001-902303751"=U564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"L001-902303751"=U565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"L001-902303751"=U566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"L001-902303751"=U567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"L001-902303751"=U568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"L001-902303751"=U569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"L001-902303751"=U570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"L001-902303751"=U571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"L001-902303751"=U572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"L001-902303751"=U573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"L001-902303751"=U574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"L001-902303751"=U575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"L001-902303751"=U576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"L001-902303751"=U577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"L001-902303751"=U578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"L001-902303751"=U579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"L001-902303751"=U580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"L001-902303751"=U581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"L001-902303751"=U582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"L001-902303751"=U583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"L001-902303751"=U584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"L001-902303751"=U585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"L001-902303751"=U586</f>
        <v/>
      </c>
      <c r="R586">
        <f>G586-W586</f>
        <v/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"L001-902303751"=U587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"L001-902303751"=U588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"L001-902303751"=U589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"L001-902303751"=U590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"L001-902303751"=U591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"L001-902303751"=U592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"L001-902303751"=U593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"L001-902303751"=U594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"L001-902303751"=U595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"L001-902303751"=U596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"L001-902303751"=U597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"L001-902303751"=U598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"L001-902303751"=U599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"L001-902303751"=U600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"L001-902303751"=U601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"L001-902303751"=U602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"L001-902303751"=U603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"L001-902303751"=U604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"L001-902303751"=U605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"L001-902303751"=U606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"L001-902303751"=U607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"L001-902303751"=U608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"L001-902303751"=U609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"L001-902303751"=U610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"L001-902303751"=U611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"L001-902303751"=U612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"L001-902303751"=U613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"L001-902303751"=U614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"L001-902303751"=U615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"L001-902303751"=U616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"L001-902303751"=U617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"L001-902303751"=U618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"L001-902303751"=U619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"L001-902303751"=U620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"L001-902303751"=U621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"L001-902303751"=U622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"L001-902303751"=U623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"L001-902303751"=U624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"L001-902303751"=U625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"L001-902303751"=U626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"L001-902303751"=U627</f>
        <v/>
      </c>
      <c r="R627">
        <f>G627-W627</f>
        <v/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"L001-902303751"=U628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"L001-902303751"=U629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"L001-902303751"=U630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"L001-902303751"=U631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"L001-902303751"=U632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"L001-902303751"=U633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"L001-902303751"=U634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"L001-902303751"=U635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"L001-902303751"=U636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"L001-902303751"=U637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"L001-902303751"=U638</f>
        <v/>
      </c>
      <c r="R638">
        <f>G638-W638</f>
        <v/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"L001-902303751"=U639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"L001-902303751"=U640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"L001-902303751"=U641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"L001-902303751"=U642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"L001-902303751"=U643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"L001-902303751"=U644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"L001-902303751"=U645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"L001-902303751"=U646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"L001-902303751"=U647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"L001-902303751"=U648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"L001-902303751"=U649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"L001-902303751"=U650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"L001-902303751"=U651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"L001-902303751"=U652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"L001-902303751"=U653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"L001-902303751"=U654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"L001-902303751"=U655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"L001-902303751"=U656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"L001-902303751"=U657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"L001-902303751"=U658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"L001-902303751"=U659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"L001-902303751"=U660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"L001-902303751"=U661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"L001-902303751"=U662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"L001-902303751"=U663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"L001-902303751"=U664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"L001-902303751"=U665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"L001-902303751"=U666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"L001-902303751"=U667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"L001-902303751"=U668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"L001-902303751"=U669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"L001-902303751"=U670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"L001-902303751"=U671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"L001-902303751"=U672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"L001-902303751"=U673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"L001-902303751"=U674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"L001-902303751"=U675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"L001-902303751"=U676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"L001-902303751"=U677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"L001-902303751"=U678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"L001-902303751"=U679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"L001-902303751"=U680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"L001-902303751"=U681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"L001-902303751"=U682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"L001-902303751"=U683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"L001-902303751"=U684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"L001-902303751"=U685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"L001-902303751"=U686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"L001-902303751"=U687</f>
        <v/>
      </c>
      <c r="R687">
        <f>G687-W687</f>
        <v/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"L001-902303751"=U688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"L001-902303751"=U689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"L001-902303751"=U690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"L001-902303751"=U691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"L001-902303751"=U692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"L001-902303751"=U693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"L001-902303751"=U694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"L001-902303751"=U695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"L001-902303751"=U696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"L001-902303751"=U697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"L001-902303751"=U698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"L001-902303751"=U699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"L001-902303751"=U700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"L001-902303751"=U701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"L001-902303751"=U702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"L001-902303751"=U703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"L001-902303751"=U704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"L001-902303751"=U705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"L001-902303751"=U706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"L001-902303751"=U707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"L001-902303751"=U708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"L001-902303751"=U709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"L001-902303751"=U710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"L001-902303751"=U711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"L001-902303751"=U712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"L001-902303751"=U713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"L001-902303751"=U714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"L001-902303751"=U715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"L001-902303751"=U716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"L001-902303751"=U717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"L001-902303751"=U718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"L001-902303751"=U719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"L001-902303751"=U720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"L001-902303751"=U721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"L001-902303751"=U722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"L001-902303751"=U723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"L001-902303751"=U724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"L001-902303751"=U725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"L001-902303751"=U726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"L001-902303751"=U727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"L001-902303751"=U728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"L001-902303751"=U729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"L001-902303751"=U730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"L001-902303751"=U731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"L001-902303751"=U732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"L001-902303751"=U733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"L001-902303751"=U734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"L001-902303751"=U735</f>
        <v/>
      </c>
      <c r="R735">
        <f>G735-W735</f>
        <v/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"L001-902303751"=U736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"L001-902303751"=U737</f>
        <v/>
      </c>
      <c r="R737">
        <f>G737-W737</f>
        <v/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"L001-902303751"=U738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"L001-902303751"=U739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"L001-902303751"=U740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"L001-902303751"=U741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"L001-902303751"=U742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"L001-902303751"=U743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"L001-902303751"=U744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"L001-902303751"=U745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"L001-902303751"=U746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"L001-902303751"=U747</f>
        <v/>
      </c>
      <c r="R747">
        <f>G747-W747</f>
        <v/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"L001-902303751"=U748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"L001-902303751"=U749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"L001-902303751"=U750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"L001-902303751"=U751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"L001-902303751"=U752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"L001-902303751"=U753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"L001-902303751"=U754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"L001-902303751"=U755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"L001-902303751"=U756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"L001-902303751"=U757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"L001-902303751"=U758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"L001-902303751"=U759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"L001-902303751"=U760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"L001-902303751"=U761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"L001-902303751"=U762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"L001-902303751"=U763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"L001-902303751"=U764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"L001-902303751"=U765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"L001-902303751"=U766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"L001-902303751"=U767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"L001-902303751"=U768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"L001-902303751"=U769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"L001-902303751"=U770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"L001-902303751"=U771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"L001-902303751"=U772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"L001-902303751"=U773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"L001-902303751"=U774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"L001-902303751"=U775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"L001-902303751"=U776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"L001-902303751"=U777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"L001-902303751"=U778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"L001-902303751"=U779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"L001-902303751"=U780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"L001-902303751"=U781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"L001-902303751"=U782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"L001-902303751"=U783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"L001-902303751"=U784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"L001-902303751"=U785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"L001-902303751"=U786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"L001-902303751"=U787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"L001-902303751"=U788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"L001-902303751"=U789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"L001-902303751"=U790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"L001-902303751"=U791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"L001-902303751"=U792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"L001-902303751"=U793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"L001-902303751"=U794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"L001-902303751"=U795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"L001-902303751"=U796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"L001-902303751"=U797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"L001-902303751"=U798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"L001-902303751"=U799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"L001-902303751"=U800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"L001-902303751"=U801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"L001-902303751"=U802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"L001-902303751"=U803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"L001-902303751"=U804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"L001-902303751"=U805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"L001-902303751"=U806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"L001-902303751"=U807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"L001-902303751"=U808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"L001-902303751"=U809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"L001-902303751"=U810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"L001-902303751"=U811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"L001-902303751"=U812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"L001-902303751"=U813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"L001-902303751"=U814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"L001-902303751"=U815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"L001-902303751"=U816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"L001-902303751"=U817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"L001-902303751"=U818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"L001-902303751"=U819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"L001-902303751"=U820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"L001-902303751"=U821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"L001-902303751"=U822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"L001-902303751"=U823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"L001-902303751"=U824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"L001-902303751"=U825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"L001-902303751"=U826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"L001-902303751"=U827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"L001-902303751"=U828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"L001-902303751"=U829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"L001-902303751"=U830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"L001-902303751"=U831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"L001-902303751"=U832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"L001-902303751"=U833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"L001-902303751"=U834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"L001-902303751"=U835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"L001-902303751"=U836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"L001-902303751"=U837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"L001-902303751"=U838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"L001-902303751"=U839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"L001-902303751"=U840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"L001-902303751"=U841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"L001-902303751"=U842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"L001-902303751"=U843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"L001-902303751"=U844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"L001-902303751"=U845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"L001-902303751"=U846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"L001-902303751"=U847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"L001-902303751"=U848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"L001-902303751"=U849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"L001-902303751"=U850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"L001-902303751"=U851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"L001-902303751"=U852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"L001-902303751"=U853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"L001-902303751"=U854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"L001-902303751"=U855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"L001-902303751"=U856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"L001-902303751"=U857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"L001-902303751"=U858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"L001-902303751"=U859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"L001-902303751"=U860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"L001-902303751"=U861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"L001-902303751"=U862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"L001-902303751"=U863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"L001-902303751"=U864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"L001-902303751"=U865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"L001-902303751"=U866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"L001-902303751"=U867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"L001-902303751"=U868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"L001-902303751"=U869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"L001-902303751"=U870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"L001-902303751"=U871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"L001-902303751"=U872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"L001-902303751"=U873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"L001-902303751"=U874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"L001-902303751"=U875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"L001-902303751"=U876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"L001-902303751"=U877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"L001-902303751"=U878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"L001-902303751"=U879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"L001-902303751"=U880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"L001-902303751"=U881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"L001-902303751"=U882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"L001-902303751"=U883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"L001-902303751"=U884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"L001-902303751"=U885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"L001-902303751"=U886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"L001-902303751"=U887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"L001-902303751"=U888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"L001-902303751"=U889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"L001-902303751"=U890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"L001-902303751"=U891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"L001-902303751"=U892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"L001-902303751"=U893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"L001-902303751"=U894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"L001-902303751"=U895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"L001-902303751"=U896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"L001-902303751"=U897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"L001-902303751"=U898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"L001-902303751"=U899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"L001-902303751"=U900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"L001-902303751"=U901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"L001-902303751"=U902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"L001-902303751"=U903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"L001-902303751"=U904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"L001-902303751"=U905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"L001-902303751"=U906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"L001-902303751"=U907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"L001-902303751"=U908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"L001-902303751"=U909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"L001-902303751"=U910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"L001-902303751"=U911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"L001-902303751"=U912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"L001-902303751"=U913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"L001-902303751"=U914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"L001-902303751"=U915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"L001-902303751"=U916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"L001-902303751"=U917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"L001-902303751"=U918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"L001-902303751"=U919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"L001-902303751"=U920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"L001-902303751"=U921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"L001-902303751"=U922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"L001-902303751"=U923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"L001-902303751"=U924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"L001-902303751"=U925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"L001-902303751"=U926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"L001-902303751"=U927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"L001-902303751"=U928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"L001-902303751"=U929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"L001-902303751"=U930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"L001-902303751"=U931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"L001-902303751"=U932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"L001-902303751"=U933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"L001-902303751"=U934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"L001-902303751"=U935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"L001-902303751"=U936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"L001-902303751"=U937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"L001-902303751"=U938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"L001-902303751"=U939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"L001-902303751"=U940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"L001-902303751"=U941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"L001-902303751"=U942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"L001-902303751"=U943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"L001-902303751"=U944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"L001-902303751"=U945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"L001-902303751"=U946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"L001-902303751"=U947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"L001-902303751"=U948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"L001-902303751"=U949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"L001-902303751"=U950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"L001-902303751"=U951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"L001-902303751"=U952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"L001-902303751"=U953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"L001-902303751"=U954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"L001-902303751"=U955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"L001-902303751"=U956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"L001-902303751"=U957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"L001-902303751"=U958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"L001-902303751"=U959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"L001-902303751"=U960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"L001-902303751"=U961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"L001-902303751"=U962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"L001-902303751"=U963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"L001-902303751"=U964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"L001-902303751"=U965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"L001-902303751"=U966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"L001-902303751"=U967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"L001-902303751"=U968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"L001-902303751"=U969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"L001-902303751"=U970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"L001-902303751"=U971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"L001-902303751"=U972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"L001-902303751"=U973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"L001-902303751"=U974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"L001-902303751"=U975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"L001-902303751"=U976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"L001-902303751"=U977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"L001-902303751"=U978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"L001-902303751"=U979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"L001-902303751"=U980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"L001-902303751"=U981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"L001-902303751"=U982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"L001-902303751"=U983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"L001-902303751"=U984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"L001-902303751"=U985</f>
        <v/>
      </c>
      <c r="R985">
        <f>G985-W985</f>
        <v/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"L001-902303751"=U986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"L001-902303751"=U987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"L001-902303751"=U988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"L001-902303751"=U989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"L001-902303751"=U990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"L001-902303751"=U991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"L001-902303751"=U992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"L001-902303751"=U993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"L001-902303751"=U994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"L001-902303751"=U995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"L001-902303751"=U996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"L001-902303751"=U997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"L001-902303751"=U998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"L001-902303751"=U999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"L001-902303751"=U1000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"L001-902303751"=U1001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"L001-902303751"=U1002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"L001-902303751"=U1003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"L001-902303751"=U1004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"L001-902303751"=U1005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"L001-902303751"=U1006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"L001-902303751"=U1007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"L001-902303751"=U1008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"L001-902303751"=U1009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"L001-902303751"=U1010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"L001-902303751"=U1011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"L001-902303751"=U1012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"L001-902303751"=U1013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"L001-902303751"=U1014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"L001-902303751"=U1015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"L001-902303751"=U1016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"L001-902303751"=U1017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"L001-902303751"=U1018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"L001-902303751"=U1019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"L001-902303751"=U1020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"L001-902303751"=U1021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"L001-902303751"=U1022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"L001-902303751"=U1023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"L001-902303751"=U1024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"L001-902303751"=U1025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"L001-902303751"=U1026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"L001-902303751"=U1027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"L001-902303751"=U1028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"L001-902303751"=U1029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"L001-902303751"=U1030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"L001-902303751"=U1031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"L001-902303751"=U1032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"L001-902303751"=U1033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"L001-902303751"=U1034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"L001-902303751"=U1035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"L001-902303751"=U1036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"L001-902303751"=U1037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"L001-902303751"=U1038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"L001-902303751"=U1039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"L001-902303751"=U1040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"L001-902303751"=U1041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"L001-902303751"=U1042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"L001-902303751"=U1043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"L001-902303751"=U1044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"L001-902303751"=U1045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"L001-902303751"=U1046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"L001-902303751"=U1047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"L001-902303751"=U1048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"L001-902303751"=U1049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"L001-902303751"=U1050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"L001-902303751"=U1051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"L001-902303751"=U1052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"L001-902303751"=U1053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"L001-902303751"=U1054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"L001-902303751"=U1055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"L001-902303751"=U1056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"L001-902303751"=U1057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"L001-902303751"=U1058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"L001-902303751"=U1059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"L001-902303751"=U1060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"L001-902303751"=U1061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"L001-902303751"=U1062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"L001-902303751"=U1063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"L001-902303751"=U1064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"L001-902303751"=U1065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"L001-902303751"=U1066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"L001-902303751"=U1067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"L001-902303751"=U1068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"L001-902303751"=U1069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"L001-902303751"=U1070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"L001-902303751"=U1071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"L001-902303751"=U1072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"L001-902303751"=U1073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"L001-902303751"=U1074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"L001-902303751"=U1075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"L001-902303751"=U1076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"L001-902303751"=U1077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"L001-902303751"=U1078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"L001-902303751"=U1079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"L001-902303751"=U1080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"L001-902303751"=U1081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"L001-902303751"=U1082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"L001-902303751"=U1083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"L001-902303751"=U1084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"L001-902303751"=U1085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"L001-902303751"=U1086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"L001-902303751"=U1087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"L001-902303751"=U1088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"L001-902303751"=U1089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"L001-902303751"=U1090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"L001-902303751"=U1091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"L001-902303751"=U1092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"L001-902303751"=U1093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"L001-902303751"=U1094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"L001-902303751"=U1095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"L001-902303751"=U1096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"L001-902303751"=U1097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"L001-902303751"=U1098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"L001-902303751"=U1099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"L001-902303751"=U1100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"L001-902303751"=U1101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"L001-902303751"=U1102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"L001-902303751"=U1103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"L001-902303751"=U1104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"L001-902303751"=U1105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"L001-902303751"=U1106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"L001-902303751"=U1107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"L001-902303751"=U1108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"L001-902303751"=U1109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"L001-902303751"=U1110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"L001-902303751"=U1111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"L001-902303751"=U1112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"L001-902303751"=U1113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"L001-902303751"=U1114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"L001-902303751"=U1115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"L001-902303751"=U1116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"L001-902303751"=U1117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"L001-902303751"=U1118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"L001-902303751"=U1119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"L001-902303751"=U1120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"L001-902303751"=U1121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"L001-902303751"=U1122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"L001-902303751"=U1123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"L001-902303751"=U1124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"L001-902303751"=U1125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"L001-902303751"=U1126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"L001-902303751"=U1127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"L001-902303751"=U1128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"L001-902303751"=U1129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"L001-902303751"=U1130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"L001-902303751"=U1131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"L001-902303751"=U1132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"L001-902303751"=U1133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"L001-902303751"=U1134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"L001-902303751"=U1135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"L001-902303751"=U1136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"L001-902303751"=U1137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"L001-902303751"=U1138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"L001-902303751"=U1139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"L001-902303751"=U1140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"L001-902303751"=U1141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"L001-902303751"=U1142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"L001-902303751"=U1143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"L001-902303751"=U1144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"L001-902303751"=U1145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"L001-902303751"=U1146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"L001-902303751"=U1147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"L001-902303751"=U1148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"L001-902303751"=U1149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"L001-902303751"=U1150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"L001-902303751"=U1151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"L001-902303751"=U1152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"L001-902303751"=U1153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"L001-902303751"=U1154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"L001-902303751"=U1155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"L001-902303751"=U1156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"L001-902303751"=U1157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"L001-902303751"=U1158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"L001-902303751"=U1159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"L001-902303751"=U1160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"L001-902303751"=U1161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"L001-902303751"=U1162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"L001-902303751"=U1163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"L001-902303751"=U1164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"L001-902303751"=U1165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"L001-902303751"=U1166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"L001-902303751"=U1167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"L001-902303751"=U1168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"L001-902303751"=U1169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"L001-902303751"=U1170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"L001-902303751"=U1171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"L001-902303751"=U1172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"L001-902303751"=U1173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"L001-902303751"=U1174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"L001-902303751"=U1175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"L001-902303751"=U1176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"L001-902303751"=U1177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"L001-902303751"=U1178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"L001-902303751"=U1179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"L001-902303751"=U1180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"L001-902303751"=U1181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"L001-902303751"=U1182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"L001-902303751"=U1183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"L001-902303751"=U1184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"L001-902303751"=U1185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"L001-902303751"=U1186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"L001-902303751"=U1187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"L001-902303751"=U1188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"L001-902303751"=U1189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"L001-902303751"=U1190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"L001-902303751"=U1191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"L001-902303751"=U1192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"L001-902303751"=U1193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"L001-902303751"=U1194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"L001-902303751"=U1195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"L001-902303751"=U1196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"L001-902303751"=U1197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"L001-902303751"=U1198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"L001-902303751"=U1199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"L001-902303751"=U1200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"L001-902303751"=U1201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"L001-902303751"=U1202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"L001-902303751"=U1203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"L001-902303751"=U1204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"L001-902303751"=U1205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"L001-902303751"=U1206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"L001-902303751"=U1207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"L001-902303751"=U1208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"L001-902303751"=U1209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"L001-902303751"=U1210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"L001-902303751"=U1211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"L001-902303751"=U1212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"L001-902303751"=U1213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"L001-902303751"=U1214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"L001-902303751"=U1215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"L001-902303751"=U1216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"L001-902303751"=U1217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"L001-902303751"=U1218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"L001-902303751"=U1219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"L001-902303751"=U1220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"L001-902303751"=U1221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"L001-902303751"=U1222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"L001-902303751"=U1223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"L001-902303751"=U1224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"L001-902303751"=U1225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"L001-902303751"=U1226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"L001-902303751"=U1227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"L001-902303751"=U1228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"L001-902303751"=U1229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"L001-902303751"=U1230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"L001-902303751"=U1231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"L001-902303751"=U1232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"L001-902303751"=U1233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"L001-902303751"=U1234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"L001-902303751"=U1235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"L001-902303751"=U1236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"L001-902303751"=U1237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"L001-902303751"=U1238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"L001-902303751"=U1239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"L001-902303751"=U1240</f>
        <v/>
      </c>
      <c r="R1240">
        <f>G1240-W1240</f>
        <v/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"L001-902303751"=U1241</f>
        <v/>
      </c>
      <c r="R1241">
        <f>G1241-W1241</f>
        <v/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"L001-902303751"=U1242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"L001-902303751"=U1243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"L001-902303751"=U1244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"L001-902303751"=U1245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"L001-902303751"=U1246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"L001-902303751"=U1247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"L001-902303751"=U1248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"L001-902303751"=U1249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"L001-902303751"=U1250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"L001-902303751"=U1251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"L001-902303751"=U1252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"L001-902303751"=U1253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"L001-902303751"=U1254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"L001-902303751"=U1255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"L001-902303751"=U1256</f>
        <v/>
      </c>
      <c r="R1256">
        <f>G1256-W1256</f>
        <v/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"L001-902303751"=U1257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"L001-902303751"=U1258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"L001-902303751"=U1259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"L001-902303751"=U1260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"L001-902303751"=U1261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"L001-902303751"=U1262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"L001-902303751"=U1263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"L001-902303751"=U1264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"L001-902303751"=U1265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"L001-902303751"=U1266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"L001-902303751"=U1267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"L001-902303751"=U1268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"L001-902303751"=U1269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"L001-902303751"=U1270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"L001-902303751"=U1271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"L001-902303751"=U1272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"L001-902303751"=U1273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"L001-902303751"=U1274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"L001-902303751"=U1275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"L001-902303751"=U1276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"L001-902303751"=U1277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"L001-902303751"=U1278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"L001-902303751"=U1279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"L001-902303751"=U1280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"L001-902303751"=U1281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"L001-902303751"=U1282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"L001-902303751"=U1283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"L001-902303751"=U1284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"L001-902303751"=U1285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"L001-902303751"=U1286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"L001-902303751"=U1287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"L001-902303751"=U1288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"L001-902303751"=U1289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"L001-902303751"=U1290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"L001-902303751"=U1291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"L001-902303751"=U1292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"L001-902303751"=U1293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"L001-902303751"=U1294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"L001-902303751"=U1295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"L001-902303751"=U1296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"L001-902303751"=U1297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"L001-902303751"=U1298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"L001-902303751"=U1299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"L001-902303751"=U1300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"L001-902303751"=U1301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"L001-902303751"=U1302</f>
        <v/>
      </c>
      <c r="R1302">
        <f>G1302-W1302</f>
        <v/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"L001-902303751"=U1303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"L001-902303751"=U1304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"L001-902303751"=U1305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"L001-902303751"=U1306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"L001-902303751"=U1307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"L001-902303751"=U1308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"L001-902303751"=U1309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"L001-902303751"=U1310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"L001-902303751"=U1311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"L001-902303751"=U1312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"L001-902303751"=U1313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"L001-902303751"=U1314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"L001-902303751"=U1315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"L001-902303751"=U1316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"L001-902303751"=U1317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"L001-902303751"=U1318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"L001-902303751"=U1319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"L001-902303751"=U1320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"L001-902303751"=U1321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"L001-902303751"=U1322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"L001-902303751"=U1323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"L001-902303751"=U1324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"L001-902303751"=U1325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"L001-902303751"=U1326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"L001-902303751"=U1327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"L001-902303751"=U1328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"L001-902303751"=U1329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"L001-902303751"=U1330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"L001-902303751"=U1331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"L001-902303751"=U1332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"L001-902303751"=U1333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"L001-902303751"=U1334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"L001-902303751"=U1335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"L001-902303751"=U1336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"L001-902303751"=U1337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"L001-902303751"=U1338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"L001-902303751"=U1339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"L001-902303751"=U1340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"L001-902303751"=U1341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"L001-902303751"=U1342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"L001-902303751"=U1343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"L001-902303751"=U1344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"L001-902303751"=U1345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"L001-902303751"=U1346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"L001-902303751"=U1347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"L001-902303751"=U1348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"L001-902303751"=U1349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"L001-902303751"=U1350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"L001-902303751"=U1351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"L001-902303751"=U1352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"L001-902303751"=U1353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"L001-902303751"=U1354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"L001-902303751"=U1355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"L001-902303751"=U1356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"L001-902303751"=U1357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"L001-902303751"=U1358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"L001-902303751"=U1359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"L001-902303751"=U1360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"L001-902303751"=U1361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"L001-902303751"=U1362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"L001-902303751"=U1363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"L001-902303751"=U1364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"L001-902303751"=U1365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"L001-902303751"=U1366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"L001-902303751"=U1367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"L001-902303751"=U1368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"L001-902303751"=U1369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"L001-902303751"=U1370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"L001-902303751"=U1371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"L001-902303751"=U1372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"L001-902303751"=U1373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"L001-902303751"=U1374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"L001-902303751"=U1375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"L001-902303751"=U1376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"L001-902303751"=U1377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"L001-902303751"=U1378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"L001-902303751"=U1379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"L001-902303751"=U1380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"L001-902303751"=U1381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"L001-902303751"=U1382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"L001-902303751"=U1383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"L001-902303751"=U1384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"L001-902303751"=U1385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"L001-902303751"=U1386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"L001-902303751"=U1387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"L001-902303751"=U1388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"L001-902303751"=U1389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"L001-902303751"=U1390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"L001-902303751"=U1391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"L001-902303751"=U1392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"L001-902303751"=U1393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"L001-902303751"=U1394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"L001-902303751"=U1395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"L001-902303751"=U1396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"L001-902303751"=U1397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"L001-902303751"=U1398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"L001-902303751"=U1399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"L001-902303751"=U1400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"L001-902303751"=U1401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"L001-902303751"=U1402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"L001-902303751"=U1403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"L001-902303751"=U1404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"L001-902303751"=U1405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"L001-902303751"=U1406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"L001-902303751"=U1407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"L001-902303751"=U1408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"L001-902303751"=U1409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"L001-902303751"=U1410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"L001-902303751"=U1411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"L001-902303751"=U1412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"L001-902303751"=U1413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"L001-902303751"=U1414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"L001-902303751"=U1415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"L001-902303751"=U1416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"L001-902303751"=U1417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"L001-902303751"=U1418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"L001-902303751"=U1419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"L001-902303751"=U1420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"L001-902303751"=U1421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"L001-902303751"=U1422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"L001-902303751"=U1423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"L001-902303751"=U1424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"L001-902303751"=U1425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"L001-902303751"=U1426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"L001-902303751"=U1427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"L001-902303751"=U1428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"L001-902303751"=U1429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"L001-902303751"=U1430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"L001-902303751"=U1431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"L001-902303751"=U1432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"L001-902303751"=U1433</f>
        <v/>
      </c>
      <c r="R1433">
        <f>G1433-W1433</f>
        <v/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"L001-902303751"=U1434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"L001-902303751"=U1435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"L001-902303751"=U1436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"L001-902303751"=U1437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"L001-902303751"=U1438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"L001-902303751"=U1439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"L001-902303751"=U1440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"L001-902303751"=U1441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"L001-902303751"=U1442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"L001-902303751"=U1443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"L001-902303751"=U1444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"L001-902303751"=U1445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"L001-902303751"=U1446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"L001-902303751"=U1447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"L001-902303751"=U1448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"L001-902303751"=U1449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"L001-902303751"=U1450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"L001-902303751"=U1451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"L001-902303751"=U1452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"L001-902303751"=U1453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"L001-902303751"=U1454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"L001-902303751"=U1455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"L001-902303751"=U1456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"L001-902303751"=U1457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"L001-902303751"=U1458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"L001-902303751"=U1459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"L001-902303751"=U1460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"L001-902303751"=U1461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"L001-902303751"=U1462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"L001-902303751"=U1463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"L001-902303751"=U1464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"L001-902303751"=U1465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"L001-902303751"=U1466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"L001-902303751"=U1467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"L001-902303751"=U1468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"L001-902303751"=U1469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"L001-902303751"=U1470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"L001-902303751"=U1471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"L001-902303751"=U1472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"L001-902303751"=U1473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"L001-902303751"=U1474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"L001-902303751"=U1475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"L001-902303751"=U1476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"L001-902303751"=U1477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"L001-902303751"=U1478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"L001-902303751"=U1479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"L001-902303751"=U1480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"L001-902303751"=U1481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"L001-902303751"=U1482</f>
        <v/>
      </c>
      <c r="R1482">
        <f>G1482-W1482</f>
        <v/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"L001-902303751"=U1483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"L001-902303751"=U1484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"L001-902303751"=U1485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"L001-902303751"=U1486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"L001-902303751"=U1487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"L001-902303751"=U1488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"L001-902303751"=U1489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"L001-902303751"=U1490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"L001-902303751"=U1491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"L001-902303751"=U1492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"L001-902303751"=U1493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"L001-902303751"=U1494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"L001-902303751"=U1495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"L001-902303751"=U1496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"L001-902303751"=U1497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"L001-902303751"=U1498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"L001-902303751"=U1499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"L001-902303751"=U1500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"L001-902303751"=U1501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"L001-902303751"=U1502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"L001-902303751"=U1503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"L001-902303751"=U1504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"L001-902303751"=U1505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"L001-902303751"=U1506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"L001-902303751"=U1507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"L001-902303751"=U1508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"L001-902303751"=U1509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"L001-902303751"=U1510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"L001-902303751"=U1511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"L001-902303751"=U1512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"L001-902303751"=U1513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"L001-902303751"=U1514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"L001-902303751"=U1515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"L001-902303751"=U1516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"L001-902303751"=U1517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"L001-902303751"=U1518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"L001-902303751"=U1519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"L001-902303751"=U1520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"L001-902303751"=U1521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"L001-902303751"=U1522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"L001-902303751"=U1523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"L001-902303751"=U1524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"L001-902303751"=U1525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"L001-902303751"=U1526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"L001-902303751"=U1527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"L001-902303751"=U1528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"L001-902303751"=U1529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"L001-902303751"=U1530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"L001-902303751"=U1531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"L001-902303751"=U1532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"L001-902303751"=U1533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"L001-902303751"=U1534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"L001-902303751"=U1535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"L001-902303751"=U1536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"L001-902303751"=U1537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"L001-902303751"=U1538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"L001-902303751"=U1539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"L001-902303751"=U1540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"L001-902303751"=U1541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"L001-902303751"=U1542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"L001-902303751"=U1543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"L001-902303751"=U1544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"L001-902303751"=U1545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"L001-902303751"=U1546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"L001-902303751"=U1547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"L001-902303751"=U1548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"L001-902303751"=U1549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"L001-902303751"=U1550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"L001-902303751"=U1551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"L001-902303751"=U1552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"L001-902303751"=U1553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"L001-902303751"=U1554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"L001-902303751"=U1555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"L001-902303751"=U1556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"L001-902303751"=U1557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"L001-902303751"=U1558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"L001-902303751"=U1559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"L001-902303751"=U1560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"L001-902303751"=U1561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"L001-902303751"=U1562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"L001-902303751"=U1563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"L001-902303751"=U1564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"L001-902303751"=U1565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"L001-902303751"=U1566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"L001-902303751"=U1567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"L001-902303751"=U1568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"L001-902303751"=U1569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"L001-902303751"=U1570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"L001-902303751"=U1571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"L001-902303751"=U1572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"L001-902303751"=U1573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"L001-902303751"=U1574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"L001-902303751"=U1575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"L001-902303751"=U1576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"L001-902303751"=U1577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"L001-902303751"=U1578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"L001-902303751"=U1579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"L001-902303751"=U1580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"L001-902303751"=U1581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"L001-902303751"=U1582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"L001-902303751"=U1583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"L001-902303751"=U1584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"L001-902303751"=U1585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"L001-902303751"=U1586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"L001-902303751"=U1587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"L001-902303751"=U1588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"L001-902303751"=U1589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"L001-902303751"=U1590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"L001-902303751"=U1591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"L001-902303751"=U1592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"L001-902303751"=U1593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"L001-902303751"=U1594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"L001-902303751"=U1595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"L001-902303751"=U1596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"L001-902303751"=U1597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"L001-902303751"=U1598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"L001-902303751"=U1599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"L001-902303751"=U1600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"L001-902303751"=U1601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"L001-902303751"=U1602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"L001-902303751"=U1603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"L001-902303751"=U1604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"L001-902303751"=U1605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"L001-902303751"=U1606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"L001-902303751"=U1607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"L001-902303751"=U1608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"L001-902303751"=U1609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"L001-902303751"=U1610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"L001-902303751"=U1611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"L001-902303751"=U1612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"L001-902303751"=U1613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"L001-902303751"=U1614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"L001-902303751"=U1615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"L001-902303751"=U1616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"L001-902303751"=U1617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"L001-902303751"=U1618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"L001-902303751"=U1619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"L001-902303751"=U1620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"L001-902303751"=U1621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"L001-902303751"=U1622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"L001-902303751"=U1623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"L001-902303751"=U1624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"L001-902303751"=U1625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"L001-902303751"=U1626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"L001-902303751"=U1627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"L001-902303751"=U1628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"L001-902303751"=U1629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"L001-902303751"=U1630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"L001-902303751"=U1631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"L001-902303751"=U1632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"L001-902303751"=U1633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"L001-902303751"=U1634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"L001-902303751"=U1635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"L001-902303751"=U1636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"L001-902303751"=U1637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"L001-902303751"=U1638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"L001-902303751"=U1639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"L001-902303751"=U1640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"L001-902303751"=U1641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"L001-902303751"=U1642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"L001-902303751"=U1643</f>
        <v/>
      </c>
      <c r="R1643">
        <f>G1643-W1643</f>
        <v/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"L001-902303751"=U1644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"L001-902303751"=U1645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"L001-902303751"=U1646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"L001-902303751"=U1647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"L001-902303751"=U1648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"L001-902303751"=U1649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"L001-902303751"=U1650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"L001-902303751"=U1651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"L001-902303751"=U1652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"L001-902303751"=U1653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"L001-902303751"=U1654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"L001-902303751"=U1655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"L001-902303751"=U1656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"L001-902303751"=U1657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"L001-902303751"=U1658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"L001-902303751"=U1659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"L001-902303751"=U1660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"L001-902303751"=U1661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"L001-902303751"=U1662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"L001-902303751"=U1663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"L001-902303751"=U1664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"L001-902303751"=U1665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"L001-902303751"=U1666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"L001-902303751"=U1667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"L001-902303751"=U1668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"L001-902303751"=U1669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"L001-902303751"=U1670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"L001-902303751"=U1671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"L001-902303751"=U1672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"L001-902303751"=U1673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"L001-902303751"=U1674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"L001-902303751"=U1675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"L001-902303751"=U1676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"L001-902303751"=U1677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"L001-902303751"=U1678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"L001-902303751"=U1679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"L001-902303751"=U1680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"L001-902303751"=U1681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"L001-902303751"=U1682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"L001-902303751"=U1683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"L001-902303751"=U1684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"L001-902303751"=U1685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"L001-902303751"=U1686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"L001-902303751"=U1687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"L001-902303751"=U1688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"L001-902303751"=U1689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"L001-902303751"=U1690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"L001-902303751"=U1691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"L001-902303751"=U1692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"L001-902303751"=U1693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"L001-902303751"=U1694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"L001-902303751"=U1695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"L001-902303751"=U1696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"L001-902303751"=U1697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"L001-902303751"=U1698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"L001-902303751"=U1699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"L001-902303751"=U1700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"L001-902303751"=U1701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"L001-902303751"=U1702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"L001-902303751"=U1703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"L001-902303751"=U1704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"L001-902303751"=U1705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"L001-902303751"=U1706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"L001-902303751"=U1707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"L001-902303751"=U1708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"L001-902303751"=U1709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"L001-902303751"=U1710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"L001-902303751"=U1711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"L001-902303751"=U1712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"L001-902303751"=U1713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"L001-902303751"=U1714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"L001-902303751"=U1715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"L001-902303751"=U1716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"L001-902303751"=U1717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"L001-902303751"=U1718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"L001-902303751"=U1719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"L001-902303751"=U1720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"L001-902303751"=U1721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"L001-902303751"=U1722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"L001-902303751"=U1723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"L001-902303751"=U1724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"L001-902303751"=U1725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"L001-902303751"=U1726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"L001-902303751"=U1727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"L001-902303751"=U1728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"L001-902303751"=U1729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"L001-902303751"=U1730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"L001-902303751"=U1731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"L001-902303751"=U1732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"L001-902303751"=U1733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"L001-902303751"=U1734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"L001-902303751"=U1735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"L001-902303751"=U1736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"L001-902303751"=U1737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"L001-902303751"=U1738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"L001-902303751"=U1739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"L001-902303751"=U1740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"L001-902303751"=U1741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"L001-902303751"=U1742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"L001-902303751"=U1743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"L001-902303751"=U1744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"L001-902303751"=U1745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"L001-902303751"=U1746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"L001-902303751"=U1747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"L001-902303751"=U1748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"L001-902303751"=U1749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"L001-902303751"=U1750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"L001-902303751"=U1751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"L001-902303751"=U1752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"L001-902303751"=U1753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"L001-902303751"=U1754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"L001-902303751"=U1755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"L001-902303751"=U1756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"L001-902303751"=U1757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"L001-902303751"=U1758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"L001-902303751"=U1759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"L001-902303751"=U1760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"L001-902303751"=U1761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"L001-902303751"=U1762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"L001-902303751"=U1763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"L001-902303751"=U1764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"L001-902303751"=U1765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"L001-902303751"=U1766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"L001-902303751"=U1767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"L001-902303751"=U1768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"L001-902303751"=U1769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"L001-902303751"=U1770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"L001-902303751"=U1771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"L001-902303751"=U1772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"L001-902303751"=U1773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"L001-902303751"=U1774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"L001-902303751"=U1775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"L001-902303751"=U1776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"L001-902303751"=U1777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"L001-902303751"=U1778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"L001-902303751"=U1779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"L001-902303751"=U1780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"L001-902303751"=U1781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"L001-902303751"=U1782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"L001-902303751"=U1783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"L001-902303751"=U1784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"L001-902303751"=U1785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"L001-902303751"=U1786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"L001-902303751"=U1787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"L001-902303751"=U1788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"L001-902303751"=U1789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"L001-902303751"=U1790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"L001-902303751"=U1791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"L001-902303751"=U1792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"L001-902303751"=U1793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"L001-902303751"=U1794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"L001-902303751"=U1795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"L001-902303751"=U1796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"L001-902303751"=U1797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"L001-902303751"=U1798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"L001-902303751"=U1799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"L001-902303751"=U1800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"L001-902303751"=U1801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"L001-902303751"=U1802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"L001-902303751"=U1803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"L001-902303751"=U1804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"L001-902303751"=U1805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"L001-902303751"=U1806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"L001-902303751"=U1807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"L001-902303751"=U1808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"L001-902303751"=U1809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"L001-902303751"=U1810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"L001-902303751"=U1811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"L001-902303751"=U1812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"L001-902303751"=U1813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"L001-902303751"=U1814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"L001-902303751"=U1815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"L001-902303751"=U1816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"L001-902303751"=U1817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"L001-902303751"=U1818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"L001-902303751"=U1819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"L001-902303751"=U1820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"L001-902303751"=U1821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"L001-902303751"=U1822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"L001-902303751"=U1823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"L001-902303751"=U1824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"L001-902303751"=U1825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"L001-902303751"=U1826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"L001-902303751"=U1827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"L001-902303751"=U1828</f>
        <v/>
      </c>
      <c r="R1828">
        <f>G1828-W1828</f>
        <v/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"L001-902303751"=U1829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"L001-902303751"=U1830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"L001-902303751"=U1831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"L001-902303751"=U1832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"L001-902303751"=U1833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"L001-902303751"=U1834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"L001-902303751"=U1835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"L001-902303751"=U1836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"L001-902303751"=U1837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"L001-902303751"=U1838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"L001-902303751"=U1839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"L001-902303751"=U1840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"L001-902303751"=U1841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"L001-902303751"=U1842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"L001-902303751"=U1843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"L001-902303751"=U1844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"L001-902303751"=U1845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"L001-902303751"=U1846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"L001-902303751"=U1847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"L001-902303751"=U1848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"L001-902303751"=U1849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"L001-902303751"=U1850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"L001-902303751"=U1851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"L001-902303751"=U1852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"L001-902303751"=U1853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"L001-902303751"=U1854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"L001-902303751"=U1855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"L001-902303751"=U1856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"L001-902303751"=U1857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"L001-902303751"=U1858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"L001-902303751"=U1859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"L001-902303751"=U1860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"L001-902303751"=U1861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"L001-902303751"=U1862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"L001-902303751"=U1863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"L001-902303751"=U1864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"L001-902303751"=U1865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"L001-902303751"=U1866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"L001-902303751"=U1867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"L001-902303751"=U1868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"L001-902303751"=U1869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"L001-902303751"=U1870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"L001-902303751"=U1871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"L001-902303751"=U1872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"L001-902303751"=U1873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"L001-902303751"=U1874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"L001-902303751"=U1875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"L001-902303751"=U1876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"L001-902303751"=U1877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"L001-902303751"=U1878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"L001-902303751"=U1879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"L001-902303751"=U1880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"L001-902303751"=U1881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"L001-902303751"=U1882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"L001-902303751"=U1883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"L001-902303751"=U1884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"L001-902303751"=U1885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"L001-902303751"=U1886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"L001-902303751"=U1887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"L001-902303751"=U1888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"L001-902303751"=U1889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"L001-902303751"=U1890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"L001-902303751"=U1891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"L001-902303751"=U1892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"L001-902303751"=U1893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"L001-902303751"=U1894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"L001-902303751"=U1895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"L001-902303751"=U1896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"L001-902303751"=U1897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"L001-902303751"=U1898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"L001-902303751"=U1899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"L001-902303751"=U1900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"L001-902303751"=U1901</f>
        <v/>
      </c>
      <c r="R1901">
        <f>G1901-W1901</f>
        <v/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"L001-902303751"=U1902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"L001-902303751"=U1903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"L001-902303751"=U1904</f>
        <v/>
      </c>
      <c r="R1904">
        <f>G1904-W1904</f>
        <v/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"L001-902303751"=U1905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"L001-902303751"=U1906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"L001-902303751"=U1907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"L001-902303751"=U1908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"L001-902303751"=U1909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"L001-902303751"=U1910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"L001-902303751"=U1911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"L001-902303751"=U1912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"L001-902303751"=U1913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"L001-902303751"=U1914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"L001-902303751"=U1915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"L001-902303751"=U1916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"L001-902303751"=U1917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"L001-902303751"=U1918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"L001-902303751"=U1919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"L001-902303751"=U1920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"L001-902303751"=U1921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"L001-902303751"=U1922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"L001-902303751"=U1923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"L001-902303751"=U1924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"L001-902303751"=U1925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"L001-902303751"=U1926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"L001-902303751"=U1927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"L001-902303751"=U1928</f>
        <v/>
      </c>
      <c r="R1928">
        <f>G1928-W1928</f>
        <v/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"L001-902303751"=U1929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"L001-902303751"=U1930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"L001-902303751"=U1931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"L001-902303751"=U1932</f>
        <v/>
      </c>
      <c r="R1932">
        <f>G1932-W1932</f>
        <v/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"L001-902303751"=U1933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"L001-902303751"=U1934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"L001-902303751"=U1935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"L001-902303751"=U1936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"L001-902303751"=U1937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"L001-902303751"=U1938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"L001-902303751"=U1939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"L001-902303751"=U1940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"L001-902303751"=U1941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"L001-902303751"=U1942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"L001-902303751"=U1943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"L001-902303751"=U1944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"L001-902303751"=U1945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"L001-902303751"=U1946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"L001-902303751"=U1947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"L001-902303751"=U1948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"L001-902303751"=U1949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"L001-902303751"=U1950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"L001-902303751"=U1951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"L001-902303751"=U1952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"L001-902303751"=U1953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"L001-902303751"=U1954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"L001-902303751"=U1955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"L001-902303751"=U1956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"L001-902303751"=U1957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"L001-902303751"=U1958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"L001-902303751"=U1959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"L001-902303751"=U1960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"L001-902303751"=U1961</f>
        <v/>
      </c>
      <c r="R1961">
        <f>G1961-W1961</f>
        <v/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"L001-902303751"=U1962</f>
        <v/>
      </c>
      <c r="R1962">
        <f>G1962-W1962</f>
        <v/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"L001-902303751"=U1963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"L001-902303751"=U1964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"L001-902303751"=U1965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"L001-902303751"=U1966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"L001-902303751"=U1967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"L001-902303751"=U1968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"L001-902303751"=U1969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"L001-902303751"=U1970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"L001-902303751"=U1971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"L001-902303751"=U1972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"L001-902303751"=U1973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"L001-902303751"=U1974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"L001-902303751"=U1975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"L001-902303751"=U1976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"L001-902303751"=U1977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"L001-902303751"=U1978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"L001-902303751"=U1979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"L001-902303751"=U1980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"L001-902303751"=U1981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"L001-902303751"=U1982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"L001-902303751"=U1983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"L001-902303751"=U1984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"L001-902303751"=U1985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"L001-902303751"=U1986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"L001-902303751"=U1987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"L001-902303751"=U1988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"L001-902303751"=U1989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"L001-902303751"=U1990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"L001-902303751"=U1991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"L001-902303751"=U1992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"L001-902303751"=U1993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"L001-902303751"=U1994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"L001-902303751"=U1995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"L001-902303751"=U1996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"L001-902303751"=U1997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"L001-902303751"=U1998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"L001-902303751"=U1999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"L001-902303751"=U2000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"L001-902303751"=U2001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"L001-902303751"=U2002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"L001-902303751"=U2003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"L001-902303751"=U2004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"L001-902303751"=U2005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"L001-902303751"=U2006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"L001-902303751"=U2007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"L001-902303751"=U2008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"L001-902303751"=U2009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"L001-902303751"=U2010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"L001-902303751"=U2011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"L001-902303751"=U2012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"L001-902303751"=U2013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"L001-902303751"=U2014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"L001-902303751"=U2015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"L001-902303751"=U2016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"L001-902303751"=U2017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"L001-902303751"=U2018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"L001-902303751"=U2019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"L001-902303751"=U2020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"L001-902303751"=U2021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"L001-902303751"=U2022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"L001-902303751"=U2023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"L001-902303751"=U2024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"L001-902303751"=U2025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"L001-902303751"=U2026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"L001-902303751"=U2027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"L001-902303751"=U2028</f>
        <v/>
      </c>
      <c r="R2028">
        <f>G2028-W2028</f>
        <v/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"L001-902303751"=U2029</f>
        <v/>
      </c>
      <c r="R2029">
        <f>G2029-W2029</f>
        <v/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"L001-902303751"=U2030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"L001-902303751"=U2031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"L001-902303751"=U2032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"L001-902303751"=U2033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"L001-902303751"=U2034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"L001-902303751"=U2035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"L001-902303751"=U2036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"L001-902303751"=U2037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"L001-902303751"=U2038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"L001-902303751"=U2039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"L001-902303751"=U2040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"L001-902303751"=U2041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"L001-902303751"=U2042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"L001-902303751"=U2043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"L001-902303751"=U2044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"L001-902303751"=U2045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"L001-902303751"=U2046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"L001-902303751"=U2047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"L001-902303751"=U2048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"L001-902303751"=U2049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"L001-902303751"=U2050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"L001-902303751"=U2051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"L001-902303751"=U2052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"L001-902303751"=U2053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"L001-902303751"=U2054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"L001-902303751"=U2055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"L001-902303751"=U2056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"L001-902303751"=U2057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"L001-902303751"=U2058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"L001-902303751"=U2059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"L001-902303751"=U2060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"L001-902303751"=U2061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"L001-902303751"=U2062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"L001-902303751"=U2063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"L001-902303751"=U2064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"L001-902303751"=U2065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"L001-902303751"=U2066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"L001-902303751"=U2067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"L001-902303751"=U2068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"L001-902303751"=U2069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"L001-902303751"=U2070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"L001-902303751"=U2071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"L001-902303751"=U2072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"L001-902303751"=U2073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"L001-902303751"=U2074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"L001-902303751"=U2075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"L001-902303751"=U2076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"L001-902303751"=U2077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"L001-902303751"=U2078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"L001-902303751"=U2079</f>
        <v/>
      </c>
      <c r="R2079">
        <f>G2079-W2079</f>
        <v/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"L001-902303751"=U2080</f>
        <v/>
      </c>
      <c r="R2080">
        <f>G2080-W2080</f>
        <v/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"L001-902303751"=U2081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"L001-902303751"=U2082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"L001-902303751"=U2083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"L001-902303751"=U2084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"L001-902303751"=U2085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"L001-902303751"=U2086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"L001-902303751"=U2087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"L001-902303751"=U2088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"L001-902303751"=U2089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"L001-902303751"=U2090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"L001-902303751"=U2091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"L001-902303751"=U2092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"L001-902303751"=U2093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"L001-902303751"=U2094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"L001-902303751"=U2095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"L001-902303751"=U2096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"L001-902303751"=U2097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"L001-902303751"=U2098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"L001-902303751"=U2099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"L001-902303751"=U2100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"L001-902303751"=U2101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"L001-902303751"=U2102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"L001-902303751"=U2103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"L001-902303751"=U2104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"L001-902303751"=U2105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"L001-902303751"=U2106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"L001-902303751"=U2107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"L001-902303751"=U2108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"L001-902303751"=U2109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"L001-902303751"=U2110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"L001-902303751"=U2111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"L001-902303751"=U2112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"L001-902303751"=U2113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"L001-902303751"=U2114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"L001-902303751"=U2115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"L001-902303751"=U2116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"L001-902303751"=U2117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"L001-902303751"=U2118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"L001-902303751"=U2119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"L001-902303751"=U2120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"L001-902303751"=U2121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"L001-902303751"=U2122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"L001-902303751"=U2123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"L001-902303751"=U2124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"L001-902303751"=U2125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"L001-902303751"=U2126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"L001-902303751"=U2127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"L001-902303751"=U2128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"L001-902303751"=U2129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"L001-902303751"=U2130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"L001-902303751"=U2131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"L001-902303751"=U2132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"L001-902303751"=U2133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"L001-902303751"=U2134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"L001-902303751"=U2135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"L001-902303751"=U2136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"L001-902303751"=U2137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"L001-902303751"=U2138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"L001-902303751"=U2139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"L001-902303751"=U2140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"L001-902303751"=U2141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"L001-902303751"=U2142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"L001-902303751"=U2143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"L001-902303751"=U2144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"L001-902303751"=U2145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"L001-902303751"=U2146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2026-02-01T15:59:51Z</dcterms:modified>
  <cp:lastModifiedBy>Sophara Rith</cp:lastModifiedBy>
</cp:coreProperties>
</file>