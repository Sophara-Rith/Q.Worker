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nnexIII-Local Pur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A">#REF!</definedName>
    <definedName name="\D">#REF!</definedName>
    <definedName name="\E">#REF!</definedName>
    <definedName name="\G">'[1]Company Related Premises'!#REF!</definedName>
    <definedName name="\H">'[1]Company Related Premises'!#REF!</definedName>
    <definedName name="\L">'[1]Company Related Premises'!#REF!</definedName>
    <definedName name="\M">'[1]Company Related Premises'!#REF!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xy">#REF!</definedName>
    <definedName name="\Y">#REF!</definedName>
    <definedName name="\Z">#REF!</definedName>
    <definedName name="__PR1">[2]Sheet!#REF!</definedName>
    <definedName name="__SR1">#REF!</definedName>
    <definedName name="__SR2">#REF!</definedName>
    <definedName name="_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_Order1" hidden="1">255</definedName>
    <definedName name="_Order2" hidden="1">255</definedName>
    <definedName name="_PR1">[2]Sheet!#REF!</definedName>
    <definedName name="_SR1">#REF!</definedName>
    <definedName name="_SR2">#REF!</definedName>
    <definedName name="_wb2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a">#REF!</definedName>
    <definedName name="aaa">#REF!</definedName>
    <definedName name="a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abcd">#REF!</definedName>
    <definedName name="All">#REF!</definedName>
    <definedName name="ANLAGE_III">[3]Anlagevermögen!$A$1:$Z$29</definedName>
    <definedName name="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hhourn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CMDR1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data84">'[4]Purchase Order'!$E$40</definedName>
    <definedName name="dflt3">'[4]Customize Your Purchase Order'!$F$24</definedName>
    <definedName name="dflt4">'[4]Customize Your Purchase Order'!$E$25</definedName>
    <definedName name="DRPAUSE">#REF!</definedName>
    <definedName name="DSCTEMP">[5]DSCTEMP!$A$1:$B$65536</definedName>
    <definedName name="FTBSch">[2]Sheet!#REF!</definedName>
    <definedName name="hh">[2]Sheet!#REF!</definedName>
    <definedName name="is">'[6]Company Related Premises'!#REF!</definedName>
    <definedName name="jngiüorajg">#REF!</definedName>
    <definedName name="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kaksjak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ll">#REF!</definedName>
    <definedName name="new">#REF!</definedName>
    <definedName name="PeriodsInYear">#REF!</definedName>
    <definedName name="PrintArea">#REF!</definedName>
    <definedName name="qqqqqqqqqqqqqqqqqqqqq">#REF!</definedName>
    <definedName name="RANDO">#REF!</definedName>
    <definedName name="RANDU">#REF!</definedName>
    <definedName name="re">[7]Sheet!#REF!</definedName>
    <definedName name="Report">#REF!</definedName>
    <definedName name="RM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Sale">#REF!</definedName>
    <definedName name="SalSch">#REF!</definedName>
    <definedName name="Seite1">#REF!</definedName>
    <definedName name="Seite2">#REF!</definedName>
    <definedName name="Seite3">#REF!</definedName>
    <definedName name="Spec">#REF!</definedName>
    <definedName name="SR">#REF!</definedName>
    <definedName name="SRC">#REF!</definedName>
    <definedName name="tes">[2]Sheet!#REF!</definedName>
    <definedName name="Test">[2]Sheet!#REF!</definedName>
    <definedName name="uebergabe1">#REF!</definedName>
    <definedName name="w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b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rn.Total.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ww">[2]Sheet!#REF!</definedName>
    <definedName name="x">#REF!</definedName>
    <definedName name="xx">#REF!</definedName>
    <definedName name="xxx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x">'[1]Company Related Premises'!#REF!</definedName>
    <definedName name="yxc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definedName>
    <definedName name="yy">[2]Sheet!#REF!</definedName>
    <definedName name="ថ">[2]Sheet!#REF!</definedName>
    <definedName name="_xlnm.Print_Area" localSheetId="0">'AnnexIII-Local Pur'!$A$1:$I$100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yyyy-mm-dd"/>
  </numFmts>
  <fonts count="10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Khmer OS Siemreap"/>
      <b val="1"/>
      <sz val="11"/>
    </font>
    <font>
      <name val="Khmer OS Siemreap"/>
      <b val="1"/>
      <color theme="1"/>
      <sz val="11"/>
    </font>
    <font>
      <name val="Khmer OS Siemreap"/>
      <color theme="1"/>
      <sz val="11"/>
    </font>
    <font>
      <name val="Khmer OS Siemreap"/>
      <sz val="11"/>
    </font>
    <font>
      <name val="Times New Roman"/>
      <family val="1"/>
      <sz val="12"/>
    </font>
    <font>
      <name val="Khmer OS Siemreap"/>
      <b val="1"/>
      <color rgb="FF2F303A"/>
      <sz val="11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6">
    <xf numFmtId="0" fontId="3" fillId="0" borderId="0" applyAlignment="1">
      <alignment vertical="top"/>
    </xf>
    <xf numFmtId="43" fontId="3" fillId="0" borderId="0"/>
    <xf numFmtId="0" fontId="3" fillId="0" borderId="0"/>
    <xf numFmtId="0" fontId="2" fillId="0" borderId="0"/>
    <xf numFmtId="43" fontId="2" fillId="0" borderId="0"/>
    <xf numFmtId="43" fontId="8" fillId="0" borderId="0"/>
  </cellStyleXfs>
  <cellXfs count="36">
    <xf numFmtId="0" fontId="0" fillId="0" borderId="0" applyAlignment="1" pivotButton="0" quotePrefix="0" xfId="0">
      <alignment vertical="top"/>
    </xf>
    <xf numFmtId="164" fontId="6" fillId="0" borderId="0" applyAlignment="1" pivotButton="0" quotePrefix="0" xfId="1">
      <alignment vertical="center"/>
    </xf>
    <xf numFmtId="0" fontId="6" fillId="0" borderId="0" applyAlignment="1" pivotButton="0" quotePrefix="0" xfId="3">
      <alignment vertical="center"/>
    </xf>
    <xf numFmtId="0" fontId="6" fillId="0" borderId="1" applyAlignment="1" pivotButton="0" quotePrefix="0" xfId="3">
      <alignment horizontal="center" vertical="center"/>
    </xf>
    <xf numFmtId="0" fontId="7" fillId="2" borderId="1" applyAlignment="1" pivotButton="0" quotePrefix="0" xfId="3">
      <alignment horizontal="left" vertical="center"/>
    </xf>
    <xf numFmtId="0" fontId="7" fillId="2" borderId="1" applyAlignment="1" pivotButton="0" quotePrefix="0" xfId="3">
      <alignment horizontal="center" vertical="center"/>
    </xf>
    <xf numFmtId="49" fontId="7" fillId="2" borderId="1" applyAlignment="1" pivotButton="0" quotePrefix="0" xfId="3">
      <alignment horizontal="center" vertical="center" wrapText="1"/>
    </xf>
    <xf numFmtId="15" fontId="7" fillId="2" borderId="1" applyAlignment="1" pivotButton="0" quotePrefix="0" xfId="3">
      <alignment horizontal="center" vertical="center"/>
    </xf>
    <xf numFmtId="164" fontId="6" fillId="2" borderId="1" applyAlignment="1" pivotButton="0" quotePrefix="0" xfId="4">
      <alignment vertical="center"/>
    </xf>
    <xf numFmtId="0" fontId="6" fillId="3" borderId="1" applyAlignment="1" pivotButton="0" quotePrefix="0" xfId="3">
      <alignment vertical="center"/>
    </xf>
    <xf numFmtId="1" fontId="7" fillId="2" borderId="1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/>
    </xf>
    <xf numFmtId="0" fontId="4" fillId="6" borderId="2" applyAlignment="1" pivotButton="0" quotePrefix="0" xfId="3">
      <alignment horizontal="center" vertical="center" wrapText="1"/>
    </xf>
    <xf numFmtId="0" fontId="4" fillId="6" borderId="1" applyAlignment="1" pivotButton="0" quotePrefix="0" xfId="3">
      <alignment horizontal="center" vertical="center"/>
    </xf>
    <xf numFmtId="164" fontId="4" fillId="6" borderId="1" applyAlignment="1" pivotButton="0" quotePrefix="0" xfId="4">
      <alignment horizontal="center" vertical="center"/>
    </xf>
    <xf numFmtId="0" fontId="5" fillId="6" borderId="1" applyAlignment="1" pivotButton="0" quotePrefix="0" xfId="3">
      <alignment horizontal="center" vertical="center"/>
    </xf>
    <xf numFmtId="164" fontId="5" fillId="6" borderId="0" applyAlignment="1" pivotButton="0" quotePrefix="0" xfId="1">
      <alignment horizontal="center" vertical="center"/>
    </xf>
    <xf numFmtId="0" fontId="4" fillId="6" borderId="3" applyAlignment="1" pivotButton="0" quotePrefix="0" xfId="3">
      <alignment horizontal="center" vertical="center" wrapText="1"/>
    </xf>
    <xf numFmtId="15" fontId="9" fillId="6" borderId="4" applyAlignment="1" pivotButton="0" quotePrefix="0" xfId="0">
      <alignment horizontal="center" vertical="center"/>
    </xf>
    <xf numFmtId="0" fontId="9" fillId="6" borderId="4" applyAlignment="1" pivotButton="0" quotePrefix="0" xfId="0">
      <alignment horizontal="center" vertical="center" wrapText="1"/>
    </xf>
    <xf numFmtId="0" fontId="6" fillId="4" borderId="1" applyAlignment="1" pivotButton="0" quotePrefix="0" xfId="1">
      <alignment vertical="center"/>
    </xf>
    <xf numFmtId="0" fontId="6" fillId="4" borderId="1" applyAlignment="1" pivotButton="0" quotePrefix="0" xfId="3">
      <alignment vertical="center"/>
    </xf>
    <xf numFmtId="0" fontId="9" fillId="6" borderId="5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/>
    </xf>
    <xf numFmtId="43" fontId="9" fillId="6" borderId="5" applyAlignment="1" pivotButton="0" quotePrefix="0" xfId="1">
      <alignment horizontal="center" vertical="center"/>
    </xf>
    <xf numFmtId="0" fontId="6" fillId="5" borderId="1" pivotButton="0" quotePrefix="0" xfId="0"/>
    <xf numFmtId="43" fontId="6" fillId="5" borderId="1" pivotButton="0" quotePrefix="0" xfId="1"/>
    <xf numFmtId="164" fontId="4" fillId="6" borderId="2" applyAlignment="1" pivotButton="0" quotePrefix="0" xfId="1">
      <alignment horizontal="center" vertical="center" wrapText="1"/>
    </xf>
    <xf numFmtId="164" fontId="6" fillId="4" borderId="1" applyAlignment="1" pivotButton="0" quotePrefix="0" xfId="1">
      <alignment vertical="center"/>
    </xf>
    <xf numFmtId="15" fontId="6" fillId="5" borderId="1" applyAlignment="1" pivotButton="0" quotePrefix="0" xfId="0">
      <alignment horizontal="center"/>
    </xf>
    <xf numFmtId="164" fontId="6" fillId="0" borderId="0" applyAlignment="1" pivotButton="0" quotePrefix="0" xfId="1">
      <alignment horizontal="center" vertical="center"/>
    </xf>
    <xf numFmtId="164" fontId="4" fillId="6" borderId="2" applyAlignment="1" pivotButton="0" quotePrefix="0" xfId="1">
      <alignment horizontal="center" vertical="center"/>
    </xf>
    <xf numFmtId="164" fontId="6" fillId="0" borderId="1" applyAlignment="1" pivotButton="0" quotePrefix="0" xfId="1">
      <alignment vertical="center"/>
    </xf>
    <xf numFmtId="0" fontId="0" fillId="0" borderId="0" pivotButton="0" quotePrefix="0" xfId="0"/>
    <xf numFmtId="165" fontId="0" fillId="0" borderId="0" pivotButton="0" quotePrefix="0" xfId="0"/>
  </cellXfs>
  <cellStyles count="6">
    <cellStyle name="Normal" xfId="0" builtinId="0"/>
    <cellStyle name="Comma" xfId="1" builtinId="3"/>
    <cellStyle name="Normal 2 2" xfId="2"/>
    <cellStyle name="Normal 5" xfId="3"/>
    <cellStyle name="Comma 4" xfId="4"/>
    <cellStyle name="Comma 2 2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H:\MSOffice\Excel\ARBEIT\UPL\UPL-PLPA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O:\Users\DarySo\AppData\Local\Microsoft\Windows\Temporary%20Internet%20Files\Content.Outlook\R252VFRG\Documents%20and%20Settings\lpauline.VN\Local%20Settings\Temp\KPMG05-Info%20require%20for%20preparing%20Sal%20tax-S1412-LPL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HH-AUDIT\OLY017\DIAGNOST\ENGLISCH\OLYMPUS\ANLAGEN.XLS" TargetMode="External" Id="rId1" /></Relationships>
</file>

<file path=xl/externalLinks/_rels/externalLink4.xml.rels><Relationships xmlns="http://schemas.openxmlformats.org/package/2006/relationships"><Relationship Type="http://schemas.microsoft.com/office/2006/relationships/xlExternalLinkPath/xlPathMissing" Target="Purchase%20Order1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S:\QA%20report\Financial\Sale%20report_for%20accounting_Version%202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A:\GC-A\SoF_UPL00\SoF%20Company\UPL-PLPA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Documents%20and%20Settings\lpauline.VN\Local%20Settings\Temp\KPMG05-Info%20require%20for%20preparing%20Sal%20tax-S1412-LPL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  <sheetName val="S. 5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al_tax11"/>
      <sheetName val="Purchase_Journal3"/>
      <sheetName val="SFBT"/>
      <sheetName val="Vendor"/>
      <sheetName val="COA"/>
      <sheetName val="v (104)"/>
      <sheetName val="v (103)"/>
      <sheetName val="v (105)"/>
      <sheetName val="v (106)"/>
      <sheetName val="v (107)"/>
      <sheetName val="v (108)"/>
      <sheetName val="v (109)"/>
      <sheetName val="v (110)"/>
      <sheetName val="v (111)"/>
      <sheetName val="v (112)"/>
      <sheetName val="v (113)"/>
      <sheetName val="v (114)"/>
      <sheetName val="v (115)"/>
      <sheetName val="v (116)"/>
      <sheetName val="v (117)"/>
      <sheetName val="v (118)"/>
      <sheetName val="v (119)"/>
      <sheetName val="v (120)"/>
      <sheetName val="v (121)"/>
      <sheetName val="v (122)"/>
      <sheetName val="v (123)"/>
      <sheetName val="v (124)"/>
      <sheetName val="v (125)"/>
      <sheetName val="v (126)"/>
      <sheetName val="v (127)"/>
      <sheetName val="v (128)"/>
      <sheetName val="v (129)"/>
      <sheetName val="v (130)"/>
      <sheetName val="v (131)"/>
      <sheetName val="v (132)"/>
      <sheetName val="v (133)"/>
      <sheetName val="v (134)"/>
      <sheetName val="v (135)"/>
      <sheetName val="v (136)"/>
      <sheetName val="Sheet10"/>
      <sheetName val="AC17"/>
      <sheetName val="Main Cash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Sheet1"/>
      <sheetName val="april2005"/>
      <sheetName val="nhan cong"/>
      <sheetName val="Stock-06"/>
      <sheetName val="SCE_13"/>
      <sheetName val="2016-12"/>
      <sheetName val="2002"/>
      <sheetName val="Tax Depre"/>
      <sheetName val="Budgets"/>
      <sheetName val="OPL98 - SKK Dec98"/>
      <sheetName val="SCE_1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Anlagevermögen"/>
    </sheetNames>
    <sheetDataSet>
      <sheetData sheetId="0">
        <row r="1">
          <cell r="Z1" t="str">
            <v>EXHIBIT 3</v>
          </cell>
        </row>
        <row r="2">
          <cell r="Z2" t="str">
            <v>Page 3</v>
          </cell>
        </row>
        <row r="5">
          <cell r="C5" t="str">
            <v>Statement of fixed assets movements</v>
          </cell>
        </row>
        <row r="10">
          <cell r="D10" t="str">
            <v>AQUISITION COST</v>
          </cell>
          <cell r="N10" t="str">
            <v>ACCUMULATED DEPRECIATION</v>
          </cell>
          <cell r="X10" t="str">
            <v>NET BOOK VALUE</v>
          </cell>
        </row>
        <row r="11">
          <cell r="J11" t="str">
            <v xml:space="preserve">Exchange </v>
          </cell>
          <cell r="T11" t="str">
            <v>Exchange</v>
          </cell>
        </row>
        <row r="12">
          <cell r="D12" t="str">
            <v>April 1, 1995</v>
          </cell>
          <cell r="F12" t="str">
            <v>Additions</v>
          </cell>
          <cell r="H12" t="str">
            <v>Disposals</v>
          </cell>
          <cell r="J12" t="str">
            <v>Difference</v>
          </cell>
          <cell r="L12" t="str">
            <v>March 31, 1996</v>
          </cell>
          <cell r="N12" t="str">
            <v>April 1, 1995</v>
          </cell>
          <cell r="P12" t="str">
            <v>Additions</v>
          </cell>
          <cell r="R12" t="str">
            <v>Disposals</v>
          </cell>
          <cell r="T12" t="str">
            <v>Difference</v>
          </cell>
          <cell r="V12" t="str">
            <v>March 31, 1996</v>
          </cell>
          <cell r="X12" t="str">
            <v>March 31, 1996</v>
          </cell>
          <cell r="Z12" t="str">
            <v>March 31, 1995</v>
          </cell>
        </row>
        <row r="13">
          <cell r="D13" t="str">
            <v>DM</v>
          </cell>
          <cell r="F13" t="str">
            <v>DM</v>
          </cell>
          <cell r="H13" t="str">
            <v>DM</v>
          </cell>
          <cell r="J13" t="str">
            <v>DM</v>
          </cell>
          <cell r="L13" t="str">
            <v>DM</v>
          </cell>
          <cell r="N13" t="str">
            <v>DM</v>
          </cell>
          <cell r="P13" t="str">
            <v>DM</v>
          </cell>
          <cell r="R13" t="str">
            <v>DM</v>
          </cell>
          <cell r="T13" t="str">
            <v>DM</v>
          </cell>
          <cell r="V13" t="str">
            <v>DM</v>
          </cell>
          <cell r="X13" t="str">
            <v>DM</v>
          </cell>
          <cell r="Z13" t="str">
            <v>DM</v>
          </cell>
        </row>
        <row r="15">
          <cell r="A15" t="str">
            <v>I.</v>
          </cell>
          <cell r="B15" t="str">
            <v>INTANGIBLE ASSETS</v>
          </cell>
        </row>
        <row r="17">
          <cell r="C17" t="str">
            <v>Franchises, trademarks, patents, licences, and similar rights and licences to such rights</v>
          </cell>
          <cell r="D17">
            <v>1177602</v>
          </cell>
          <cell r="F17">
            <v>535543</v>
          </cell>
          <cell r="H17">
            <v>0</v>
          </cell>
          <cell r="J17">
            <v>33507</v>
          </cell>
          <cell r="L17">
            <v>1746652</v>
          </cell>
          <cell r="N17">
            <v>1169056</v>
          </cell>
          <cell r="P17">
            <v>518223</v>
          </cell>
          <cell r="R17">
            <v>0</v>
          </cell>
          <cell r="T17">
            <v>33508</v>
          </cell>
          <cell r="V17">
            <v>1720787</v>
          </cell>
          <cell r="X17">
            <v>25865</v>
          </cell>
          <cell r="Z17">
            <v>8546</v>
          </cell>
        </row>
        <row r="20">
          <cell r="A20" t="str">
            <v>II.</v>
          </cell>
          <cell r="B20" t="str">
            <v>PROPERTY, PLANT AND EQUIPMENT</v>
          </cell>
        </row>
        <row r="22">
          <cell r="B22" t="str">
            <v>1.</v>
          </cell>
          <cell r="C22" t="str">
            <v>Land, leasehold rights and buildings,</v>
          </cell>
        </row>
        <row r="23">
          <cell r="C23" t="str">
            <v>including buildings on non-owned land</v>
          </cell>
          <cell r="D23">
            <v>5044829</v>
          </cell>
          <cell r="F23">
            <v>0</v>
          </cell>
          <cell r="H23">
            <v>0</v>
          </cell>
          <cell r="J23">
            <v>147080</v>
          </cell>
          <cell r="L23">
            <v>5191909</v>
          </cell>
          <cell r="N23">
            <v>2608657</v>
          </cell>
          <cell r="P23">
            <v>129397</v>
          </cell>
          <cell r="R23">
            <v>0</v>
          </cell>
          <cell r="T23">
            <v>77093</v>
          </cell>
          <cell r="V23">
            <v>2815147</v>
          </cell>
          <cell r="X23">
            <v>2376762</v>
          </cell>
          <cell r="Z23">
            <v>2436172</v>
          </cell>
        </row>
        <row r="24">
          <cell r="B24" t="str">
            <v>2.</v>
          </cell>
          <cell r="C24" t="str">
            <v xml:space="preserve">Other equipment, operational and </v>
          </cell>
        </row>
        <row r="25">
          <cell r="C25" t="str">
            <v>office equipment</v>
          </cell>
          <cell r="D25">
            <v>11635933</v>
          </cell>
          <cell r="F25">
            <v>4656110</v>
          </cell>
          <cell r="H25">
            <v>-1917556</v>
          </cell>
          <cell r="J25">
            <v>245073</v>
          </cell>
          <cell r="L25">
            <v>14619560</v>
          </cell>
          <cell r="N25">
            <v>8181318</v>
          </cell>
          <cell r="P25">
            <v>2348299</v>
          </cell>
          <cell r="R25">
            <v>-827341</v>
          </cell>
          <cell r="T25">
            <v>201854</v>
          </cell>
          <cell r="V25">
            <v>9904130</v>
          </cell>
          <cell r="X25">
            <v>4715430</v>
          </cell>
          <cell r="Z25">
            <v>3454615</v>
          </cell>
        </row>
        <row r="27">
          <cell r="D27">
            <v>16680762</v>
          </cell>
          <cell r="F27">
            <v>4656110</v>
          </cell>
          <cell r="H27">
            <v>-1917556</v>
          </cell>
          <cell r="J27">
            <v>392153</v>
          </cell>
          <cell r="L27">
            <v>19811469</v>
          </cell>
          <cell r="N27">
            <v>10789975.140000001</v>
          </cell>
          <cell r="P27">
            <v>2477696</v>
          </cell>
          <cell r="R27">
            <v>-827341</v>
          </cell>
          <cell r="T27">
            <v>278947</v>
          </cell>
          <cell r="V27">
            <v>12719277.140000001</v>
          </cell>
          <cell r="X27">
            <v>7092192</v>
          </cell>
          <cell r="Z27">
            <v>5890787</v>
          </cell>
        </row>
        <row r="29">
          <cell r="D29">
            <v>17858363.649999999</v>
          </cell>
          <cell r="F29">
            <v>5191653</v>
          </cell>
          <cell r="H29">
            <v>-1917556</v>
          </cell>
          <cell r="I29">
            <v>0</v>
          </cell>
          <cell r="J29">
            <v>425660</v>
          </cell>
          <cell r="L29">
            <v>21558121</v>
          </cell>
          <cell r="N29">
            <v>11959031.140000001</v>
          </cell>
          <cell r="O29">
            <v>0</v>
          </cell>
          <cell r="P29">
            <v>2995919</v>
          </cell>
          <cell r="Q29">
            <v>0</v>
          </cell>
          <cell r="R29">
            <v>-827341</v>
          </cell>
          <cell r="S29">
            <v>0</v>
          </cell>
          <cell r="T29">
            <v>312455</v>
          </cell>
          <cell r="U29">
            <v>0</v>
          </cell>
          <cell r="V29">
            <v>14440064.140000001</v>
          </cell>
          <cell r="X29">
            <v>7118057</v>
          </cell>
          <cell r="Y29">
            <v>0</v>
          </cell>
          <cell r="Z29">
            <v>5899333</v>
          </cell>
        </row>
      </sheetData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utoOpen Stub Data"/>
      <sheetName val="Customize Your Purchase Order"/>
      <sheetName val="Purchase Order"/>
      <sheetName val="Macros"/>
      <sheetName val="ATW"/>
      <sheetName val="Lock"/>
      <sheetName val="Intl Data Table"/>
      <sheetName val="TemplateInformation"/>
      <sheetName val="Purchase Order1"/>
      <sheetName val="Loan Amortization Schedule"/>
      <sheetName val="APR'09"/>
      <sheetName val="Customize_Your_Purchase_Order"/>
      <sheetName val="Purchase_Order"/>
      <sheetName val="AutoOpen_Stub_Data"/>
      <sheetName val="Customize_Your_Purchase_Order1"/>
      <sheetName val="Purchase_Order1"/>
      <sheetName val="Intl_Data_Table"/>
      <sheetName val="Purchase_Order11"/>
      <sheetName val="Loan_Amortization_Schedule"/>
      <sheetName val="Customize_Your_Purchase_Order2"/>
      <sheetName val="Purchase_Order2"/>
      <sheetName val="AutoOpen_Stub_Data1"/>
      <sheetName val="Customize_Your_Purchase_Order3"/>
      <sheetName val="Purchase_Order3"/>
      <sheetName val="Intl_Data_Table1"/>
      <sheetName val="Purchase_Order12"/>
      <sheetName val="Loan_Amortization_Schedule1"/>
      <sheetName val="Customize_Your_Purchase_Order4"/>
      <sheetName val="Purchase_Order4"/>
      <sheetName val="DETAIL "/>
      <sheetName val="List"/>
      <sheetName val="Boq(1)"/>
      <sheetName val="外気負荷"/>
      <sheetName val="C-LOAD(L-FACTORY.)"/>
      <sheetName val="summary"/>
      <sheetName val="SAN REDUCED 1"/>
      <sheetName val="covere"/>
      <sheetName val="SH-D"/>
      <sheetName val="SH-G"/>
      <sheetName val="ค่าวัสดุ"/>
      <sheetName val="SH-E"/>
      <sheetName val="SH-C"/>
      <sheetName val="Defect Report(M&amp;E)"/>
      <sheetName val="EXF"/>
      <sheetName val="Code"/>
      <sheetName val="Price per model"/>
      <sheetName val="建築代価"/>
      <sheetName val="Data"/>
      <sheetName val="SOURCE"/>
      <sheetName val="A กลาง"/>
      <sheetName val="A กลาง เกสร"/>
      <sheetName val="A แฝด"/>
      <sheetName val="A ริม"/>
      <sheetName val="B กลาง"/>
      <sheetName val="B ริม"/>
      <sheetName val="B แฝด"/>
      <sheetName val="C กลาง"/>
      <sheetName val="C ริม"/>
      <sheetName val="C แฝด"/>
      <sheetName val="สรุป"/>
      <sheetName val="เอกสารแนบ"/>
      <sheetName val="SOR"/>
      <sheetName val="cov-estimate"/>
      <sheetName val="040"/>
      <sheetName val="060"/>
      <sheetName val="TABLES"/>
      <sheetName val="Currency Rate"/>
      <sheetName val="BQ-E20-02(Rp)"/>
      <sheetName val="SILICATE"/>
      <sheetName val="Intro"/>
      <sheetName val="Template"/>
      <sheetName val="Variables"/>
      <sheetName val="Report"/>
      <sheetName val="DETAIL_"/>
      <sheetName val="SAN_REDUCED_1"/>
      <sheetName val="C-LOAD(L-FACTORY_)"/>
      <sheetName val="DETAIL_1"/>
      <sheetName val="SAN_REDUCED_11"/>
      <sheetName val="C-LOAD(L-FACTORY_)1"/>
      <sheetName val="Invoice"/>
      <sheetName val="Sheet1 (3)"/>
      <sheetName val="COMMOND LINE"/>
      <sheetName val="Book 1 Summary"/>
      <sheetName val="Total"/>
      <sheetName val="sort2"/>
      <sheetName val="AutoOpen_Stub_Data2"/>
      <sheetName val="Intl_Data_Table2"/>
      <sheetName val="SAN_REDUCED_12"/>
      <sheetName val="DETAIL_2"/>
      <sheetName val="C-LOAD(L-FACTORY_)2"/>
      <sheetName val="COMP"/>
      <sheetName val="cu_ผลรวม"/>
      <sheetName val="cu_รหัส"/>
      <sheetName val="cu_วัน"/>
      <sheetName val="PO(Thai)"/>
      <sheetName val="IMV"/>
      <sheetName val="CrEstimate"/>
      <sheetName val="797T輸入部品リスト"/>
      <sheetName val="data list"/>
      <sheetName val="Plate_Bumper"/>
      <sheetName val="Nov.'02"/>
      <sheetName val="Man7"/>
      <sheetName val="Record"/>
      <sheetName val="Sheet1"/>
      <sheetName val="Customize Your Invoice"/>
      <sheetName val="CST1198"/>
      <sheetName val="Purchases-April"/>
      <sheetName val="JobOrder"/>
      <sheetName val="ค่าโทรศัพท์ค้างจ่าย"/>
      <sheetName val="Register_Local"/>
      <sheetName val="CODE,NAME"/>
      <sheetName val="Phase 2 project"/>
      <sheetName val="AC"/>
      <sheetName val="일위대가목차"/>
      <sheetName val="COA-17"/>
      <sheetName val="C-18"/>
      <sheetName val="Comsole"/>
      <sheetName val="CRITERIA1"/>
      <sheetName val="55435-0D060"/>
      <sheetName val="55436-0D060"/>
      <sheetName val="ConfigModel"/>
      <sheetName val="ResourceModel"/>
      <sheetName val="ＦＣ～FT"/>
      <sheetName val="New DYNA"/>
      <sheetName val="CRITERIA2"/>
      <sheetName val="PRODUCT MIX TRUCK"/>
      <sheetName val="BOM 043L,351L,299L"/>
      <sheetName val="DailyInput"/>
      <sheetName val="Main Summary"/>
      <sheetName val="2.1.1Take pipe"/>
      <sheetName val="2.1.2Take Copper Pipe"/>
      <sheetName val="MASTER"/>
      <sheetName val="CUSTOMER"/>
      <sheetName val="Order List"/>
      <sheetName val="Construction cost assumption"/>
      <sheetName val="JLL Assumption"/>
      <sheetName val="Retail Program&amp;Rev Assumption"/>
      <sheetName val="Annual Production"/>
      <sheetName val="POV"/>
      <sheetName val="ＴＦ関連Ｐｒｊ日程表"/>
      <sheetName val="FC"/>
      <sheetName val="Evaluation"/>
      <sheetName val="Mat"/>
      <sheetName val="AutoOpen_Stub_Data4"/>
      <sheetName val="Customize_Your_Purchase_Order5"/>
      <sheetName val="Purchase_Order5"/>
      <sheetName val="Intl_Data_Table4"/>
      <sheetName val="DETAIL_4"/>
      <sheetName val="AutoOpen_Stub_Data3"/>
      <sheetName val="Intl_Data_Table3"/>
      <sheetName val="DETAIL_3"/>
      <sheetName val="Cover"/>
      <sheetName val="日程"/>
      <sheetName val="supp_name"/>
      <sheetName val="Fill this out first___"/>
      <sheetName val="ITB COST"/>
      <sheetName val=""/>
      <sheetName val="Direct Cost"/>
      <sheetName val="Rate"/>
      <sheetName val="SH-F"/>
      <sheetName val=" ELECTRICAL ROOM CENTER.xlsx"/>
      <sheetName val="Income Statement"/>
      <sheetName val="Balance Sheet"/>
      <sheetName val="Cost_Categories"/>
      <sheetName val="Cost Data"/>
      <sheetName val="Material"/>
      <sheetName val="boq"/>
      <sheetName val="電気設備表"/>
      <sheetName val="Buy vs. Lease Car"/>
      <sheetName val="gvl"/>
      <sheetName val="UP"/>
      <sheetName val="SUM"/>
      <sheetName val="Pipe"/>
      <sheetName val="Recovered_Sheet1"/>
      <sheetName val="Sheet1_(3)"/>
      <sheetName val="COMMOND_LINE"/>
      <sheetName val="Nov_'02"/>
      <sheetName val="data_list"/>
      <sheetName val="New_DYNA"/>
      <sheetName val="PRODUCT_MIX_TRUCK"/>
      <sheetName val="BOM_043L,351L,299L"/>
      <sheetName val="Defect_Report(M&amp;E)"/>
      <sheetName val="ARM 39C "/>
      <sheetName val="n"/>
      <sheetName val="Supplier Master IF"/>
      <sheetName val="Sh&amp;Hd"/>
      <sheetName val="รวมราคาทั้งสิ้น"/>
      <sheetName val="Database"/>
      <sheetName val="Output"/>
      <sheetName val="코드관리"/>
      <sheetName val="Interial"/>
      <sheetName val="ProductName"/>
      <sheetName val="FS(E)"/>
      <sheetName val="รายละเอียดเสาเข็มที่ใช้แต่ละแบบ"/>
      <sheetName val="Waterg"/>
      <sheetName val="Grand Summary"/>
      <sheetName val="Sub Summary"/>
      <sheetName val="Prelim"/>
      <sheetName val="Hotel A type A"/>
      <sheetName val="Hotel A type B"/>
      <sheetName val="Hotel A type C"/>
      <sheetName val="Hotel B type B"/>
      <sheetName val="Hotel B type C"/>
      <sheetName val="Hote C. type C"/>
      <sheetName val="Hotel A suite"/>
      <sheetName val="Bar&amp;Resturant"/>
      <sheetName val="Gyp Pavilion"/>
      <sheetName val="Reception Pavilion"/>
      <sheetName val="WC. Reception"/>
      <sheetName val="Corridor Hote A."/>
      <sheetName val="Corridor Hote B."/>
      <sheetName val="Corridor Hote C."/>
      <sheetName val="e_test_ผลรวม"/>
      <sheetName val="df_ผลรวม"/>
      <sheetName val="df_รหัส"/>
      <sheetName val="df_วัน"/>
      <sheetName val="Cu1_sample"/>
      <sheetName val="DF_sample"/>
      <sheetName val="MK_sample"/>
      <sheetName val="SM"/>
      <sheetName val="SM_sample"/>
      <sheetName val="v_cut_วัน"/>
      <sheetName val="試作台数"/>
      <sheetName val="dr_ผลรวม"/>
      <sheetName val="dr_รหัส"/>
      <sheetName val="dr_วัน"/>
      <sheetName val="e_test_รหัส"/>
      <sheetName val="e_test_วัน"/>
      <sheetName val="etching_ผลรวม"/>
      <sheetName val="etching_รหัส"/>
      <sheetName val="etching_วัน"/>
      <sheetName val="f_test_ผลรวม"/>
      <sheetName val="f_test_รหัส"/>
      <sheetName val="f_test_วัน"/>
      <sheetName val="fqc_ผลรวม"/>
      <sheetName val="fqc_รหัส"/>
      <sheetName val="fqc_วัน"/>
      <sheetName val="hl_ผลรวม"/>
      <sheetName val="hl_รหัส"/>
      <sheetName val="hl_วัน"/>
      <sheetName val="mk_ผลรวม"/>
      <sheetName val="mk_รหัส"/>
      <sheetName val="mk_วัน"/>
      <sheetName val="sm_ผลรวม"/>
      <sheetName val="sm_รหัส"/>
      <sheetName val="sm_วัน"/>
      <sheetName val="v_cut_ผลรวม"/>
      <sheetName val="v_cut_รหัส"/>
      <sheetName val="LOT_ACCP"/>
      <sheetName val="Jan"/>
      <sheetName val="Sample"/>
      <sheetName val=" Sample request (JC41-00834A) -"/>
      <sheetName val="Group"/>
      <sheetName val="MAN"/>
      <sheetName val="Manufacturability"/>
      <sheetName val="JE786"/>
      <sheetName val="A1.2"/>
      <sheetName val="main sum (hotel &amp; residences)"/>
      <sheetName val="ตารางส่วนลด EE."/>
      <sheetName val="bk unit rate"/>
      <sheetName val="STMspry"/>
      <sheetName val="PsychroData"/>
      <sheetName val="DETAIL"/>
      <sheetName val="#REF"/>
      <sheetName val="BUR4-Rd"/>
      <sheetName val="BUR3-DrnRC"/>
      <sheetName val="SPT vs PHI"/>
      <sheetName val="노무비"/>
      <sheetName val="GAAP Pru"/>
      <sheetName val="SAN_REDUCED_13"/>
      <sheetName val="C-LOAD(L-FACTORY_)3"/>
      <sheetName val="A_กลาง"/>
      <sheetName val="A_กลาง_เกสร"/>
      <sheetName val="A_แฝด"/>
      <sheetName val="A_ริม"/>
      <sheetName val="B_กลาง"/>
      <sheetName val="B_ริม"/>
      <sheetName val="B_แฝด"/>
      <sheetName val="C_กลาง"/>
      <sheetName val="C_ริม"/>
      <sheetName val="C_แฝด"/>
      <sheetName val="Price_per_model"/>
      <sheetName val="Currency_Rate"/>
      <sheetName val="Book_1_Summary"/>
      <sheetName val="Main_Summary"/>
      <sheetName val="2_1_1Take_pipe"/>
      <sheetName val="2_1_2Take_Copper_Pipe"/>
      <sheetName val="Order_List"/>
      <sheetName val="Currency"/>
      <sheetName val="21"/>
      <sheetName val="Ceil."/>
      <sheetName val="งานภายนอก"/>
      <sheetName val="Paint."/>
      <sheetName val="Roof"/>
      <sheetName val="Struc."/>
      <sheetName val="SanFix"/>
      <sheetName val="Wall"/>
      <sheetName val="SH-A"/>
      <sheetName val="stair"/>
      <sheetName val="footing"/>
      <sheetName val="Manpower"/>
      <sheetName val="status"/>
      <sheetName val="ราคาต่ำสุด-721"/>
      <sheetName val="Attendance配合费"/>
      <sheetName val="EFR30696"/>
      <sheetName val="Cert1"/>
      <sheetName val="Customize_Your_Purchase_Order6"/>
      <sheetName val="Purchase_Order6"/>
      <sheetName val="AutoOpen_Stub_Data6"/>
      <sheetName val="Customize_Your_Purchase_Order8"/>
      <sheetName val="Purchase_Order8"/>
      <sheetName val="Intl_Data_Table6"/>
      <sheetName val="DETAIL_6"/>
      <sheetName val="SAN_REDUCED_14"/>
      <sheetName val="C-LOAD(L-FACTORY_)4"/>
      <sheetName val="Purchase_Order13"/>
      <sheetName val="A_กลาง1"/>
      <sheetName val="A_กลาง_เกสร1"/>
      <sheetName val="A_แฝด1"/>
      <sheetName val="A_ริม1"/>
      <sheetName val="B_กลาง1"/>
      <sheetName val="B_ริม1"/>
      <sheetName val="B_แฝด1"/>
      <sheetName val="C_กลาง1"/>
      <sheetName val="C_ริม1"/>
      <sheetName val="C_แฝด1"/>
      <sheetName val="Defect_Report(M&amp;E)2"/>
      <sheetName val="Price_per_model1"/>
      <sheetName val="Currency_Rate1"/>
      <sheetName val="Book_1_Summary1"/>
      <sheetName val="Sheet1_(3)2"/>
      <sheetName val="COMMOND_LINE2"/>
      <sheetName val="2_1_1Take_pipe1"/>
      <sheetName val="2_1_2Take_Copper_Pipe1"/>
      <sheetName val="Main_Summary1"/>
      <sheetName val="Nov_'022"/>
      <sheetName val="data_list2"/>
      <sheetName val="New_DYNA2"/>
      <sheetName val="PRODUCT_MIX_TRUCK2"/>
      <sheetName val="BOM_043L,351L,299L2"/>
      <sheetName val="Order_List1"/>
      <sheetName val="Construction_cost_assumption1"/>
      <sheetName val="JLL_Assumption1"/>
      <sheetName val="Retail_Program&amp;Rev_Assumption1"/>
      <sheetName val="Annual_Production1"/>
      <sheetName val="Fill_this_out_first___1"/>
      <sheetName val="ITB_COST1"/>
      <sheetName val="Direct_Cost1"/>
      <sheetName val="_ELECTRICAL_ROOM_CENTER_xlsx1"/>
      <sheetName val="Income_Statement1"/>
      <sheetName val="Balance_Sheet1"/>
      <sheetName val="ARM_39C_1"/>
      <sheetName val="Supplier_Master_IF1"/>
      <sheetName val="Cost_Data1"/>
      <sheetName val="Buy_vs__Lease_Car1"/>
      <sheetName val="AutoOpen_Stub_Data5"/>
      <sheetName val="Customize_Your_Purchase_Order7"/>
      <sheetName val="Purchase_Order7"/>
      <sheetName val="Intl_Data_Table5"/>
      <sheetName val="DETAIL_5"/>
      <sheetName val="Defect_Report(M&amp;E)1"/>
      <sheetName val="Sheet1_(3)1"/>
      <sheetName val="COMMOND_LINE1"/>
      <sheetName val="Nov_'021"/>
      <sheetName val="data_list1"/>
      <sheetName val="New_DYNA1"/>
      <sheetName val="PRODUCT_MIX_TRUCK1"/>
      <sheetName val="BOM_043L,351L,299L1"/>
      <sheetName val="Construction_cost_assumption"/>
      <sheetName val="JLL_Assumption"/>
      <sheetName val="Retail_Program&amp;Rev_Assumption"/>
      <sheetName val="Annual_Production"/>
      <sheetName val="Fill_this_out_first___"/>
      <sheetName val="ITB_COST"/>
      <sheetName val="Direct_Cost"/>
      <sheetName val="_ELECTRICAL_ROOM_CENTER_xlsx"/>
      <sheetName val="Income_Statement"/>
      <sheetName val="Balance_Sheet"/>
      <sheetName val="ARM_39C_"/>
      <sheetName val="Supplier_Master_IF"/>
      <sheetName val="Cost_Data"/>
      <sheetName val="Buy_vs__Lease_Car"/>
      <sheetName val="Sch  3"/>
      <sheetName val="Equipment"/>
      <sheetName val="unitcost"/>
      <sheetName val="inWords"/>
      <sheetName val="Breakdown"/>
      <sheetName val="402"/>
      <sheetName val="sheetNO"/>
      <sheetName val="ｺｽﾄｾﾝﾀｰ別設備稼働費ﾚｰﾄ算出表"/>
      <sheetName val="基準ｲﾝﾌﾟｯﾄ"/>
      <sheetName val="2nd"/>
      <sheetName val="A1_2"/>
      <sheetName val="_Sample_request_(JC41-00834A)_-"/>
      <sheetName val="GAAP_Pru"/>
      <sheetName val="bp bill"/>
      <sheetName val="A1_Summary"/>
      <sheetName val="A"/>
      <sheetName val="Discounted Cash Flow"/>
      <sheetName val="LpC"/>
      <sheetName val="Form"/>
      <sheetName val="Structure"/>
      <sheetName val="Artisan一类材料进度表-丽萍更新"/>
      <sheetName val="Sheet1 _2_"/>
      <sheetName val="Sheet5"/>
      <sheetName val="Sheet2"/>
      <sheetName val="Sheet3"/>
      <sheetName val="รวม"/>
      <sheetName val="HTP"/>
      <sheetName val="Purchase"/>
      <sheetName val="Extract"/>
      <sheetName val="Fagor04-A3112e"/>
      <sheetName val="Assumptions"/>
      <sheetName val="FORM6"/>
      <sheetName val="FORM8(1)"/>
      <sheetName val="FORM1"/>
      <sheetName val="Employee"/>
      <sheetName val="table"/>
      <sheetName val="Sale 0407"/>
      <sheetName val="Account"/>
      <sheetName val="Data3"/>
      <sheetName val="วงเครดิต 3"/>
      <sheetName val="description"/>
      <sheetName val="ExRates"/>
      <sheetName val="2006"/>
      <sheetName val="COST_RM_0208"/>
      <sheetName val="JOB_FO"/>
      <sheetName val="Table Master"/>
      <sheetName val="HYO"/>
      <sheetName val="PASTE N CUT"/>
      <sheetName val="Sheet1 (2)"/>
      <sheetName val="Amortization Table"/>
      <sheetName val="SEA"/>
      <sheetName val="FF-3"/>
      <sheetName val="IP標時xls"/>
      <sheetName val="Loan_Amortization_Schedule2"/>
      <sheetName val="Allocate96-98"/>
      <sheetName val="Parameters"/>
      <sheetName val="Drop_list"/>
      <sheetName val="mnly"/>
      <sheetName val="COST"/>
      <sheetName val="計算結果"/>
      <sheetName val="Ref"/>
    </sheetNames>
    <sheetDataSet>
      <sheetData sheetId="0" refreshError="1"/>
      <sheetData sheetId="1" refreshError="1">
        <row r="21">
          <cell r="E21" t="b">
            <v>0</v>
          </cell>
        </row>
        <row r="24">
          <cell r="F24">
            <v>0.22</v>
          </cell>
        </row>
        <row r="25">
          <cell r="E25" t="b">
            <v>1</v>
          </cell>
        </row>
      </sheetData>
      <sheetData sheetId="2" refreshError="1">
        <row r="23">
          <cell r="F23" t="str">
            <v>State</v>
          </cell>
        </row>
        <row r="40">
          <cell r="E40">
            <v>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AGE"/>
      <sheetName val="Ls_AgXLB_WorkbookFile"/>
      <sheetName val="SBC"/>
      <sheetName val="SBI"/>
      <sheetName val="SAP"/>
      <sheetName val="SAPTEMP"/>
      <sheetName val="DSC"/>
      <sheetName val="DSCTEMP"/>
      <sheetName val="SBP"/>
      <sheetName val="SBPTEMP"/>
      <sheetName val="SBPDATE"/>
      <sheetName val="SBPMTD"/>
      <sheetName val="SBPYTD"/>
      <sheetName val="SBPLASTY"/>
      <sheetName val="Sheet1"/>
      <sheetName val="Ls_XLB_WorkbookFile"/>
      <sheetName val="Purchase Order"/>
      <sheetName val="Customize Your Purchase Order"/>
      <sheetName val="Purchase_Order1"/>
      <sheetName val="Customize_Your_Purchase_Order1"/>
      <sheetName val="Purchase_Order"/>
      <sheetName val="Customize_Your_Purchase_Order"/>
      <sheetName val="Purchase_Order2"/>
      <sheetName val="Customize_Your_Purchase_Order2"/>
      <sheetName val="Purchase_Order3"/>
      <sheetName val="Customize_Your_Purchase_Order3"/>
      <sheetName val="Purchase_Order4"/>
      <sheetName val="Customize_Your_Purchase_Order4"/>
      <sheetName val="dpc cost"/>
      <sheetName val="SUMMERY"/>
      <sheetName val="12"/>
      <sheetName val="10-Invt."/>
      <sheetName val="6-SAAGLEDGER"/>
      <sheetName val="5 Analysis"/>
      <sheetName val="Lead Time"/>
      <sheetName val="#REF"/>
      <sheetName val="G. Ledger Crescent"/>
      <sheetName val="Trial balance"/>
      <sheetName val="ARDEBT"/>
      <sheetName val="10-Invt_"/>
      <sheetName val="5_Analysis"/>
      <sheetName val="Lead_Time"/>
      <sheetName val="G__Ledger_Crescent"/>
      <sheetName val="Trial_balance"/>
      <sheetName val="Transition Calculations"/>
      <sheetName val="BFM"/>
      <sheetName val="Transition Resourcing"/>
      <sheetName val="Skill_Matrix"/>
      <sheetName val="10-Invt_1"/>
      <sheetName val="5_Analysis1"/>
      <sheetName val="Lead_Time1"/>
      <sheetName val="G__Ledger_Crescent1"/>
      <sheetName val="Trial_balance1"/>
      <sheetName val="Transition_Calculations"/>
      <sheetName val="Transition_Resourcing"/>
      <sheetName val="inputs"/>
      <sheetName val="operating"/>
      <sheetName val="NOTED"/>
      <sheetName val="Summary Allocation"/>
      <sheetName val="Purchase_Order5"/>
      <sheetName val="Customize_Your_Purchase_Order5"/>
      <sheetName val="dpc_cost"/>
      <sheetName val="Purchase_Order6"/>
      <sheetName val="Customize_Your_Purchase_Order6"/>
      <sheetName val="dpc_cost1"/>
      <sheetName val="Purchase_Order7"/>
      <sheetName val="Customize_Your_Purchase_Order7"/>
      <sheetName val="dpc_cost2"/>
      <sheetName val="10-Invt_2"/>
      <sheetName val="5_Analysis2"/>
      <sheetName val="Lead_Time2"/>
      <sheetName val="G__Ledger_Crescent2"/>
      <sheetName val="Trial_balance2"/>
      <sheetName val="Cover"/>
      <sheetName val="Send to bank"/>
      <sheetName val="Memo"/>
      <sheetName val="Pay by COH"/>
      <sheetName val="Pay by Bank "/>
      <sheetName val="New Tax"/>
      <sheetName val="YLP"/>
      <sheetName val="EKP"/>
      <sheetName val="PEP"/>
      <sheetName val="IEP"/>
      <sheetName val="Sing"/>
      <sheetName val="Purchase_Order8"/>
      <sheetName val="Customize_Your_Purchase_Order8"/>
      <sheetName val="dpc_cost3"/>
      <sheetName val="10-Invt_3"/>
      <sheetName val="5_Analysis3"/>
      <sheetName val="Lead_Time3"/>
      <sheetName val="G__Ledger_Crescent3"/>
      <sheetName val="Trial_balance3"/>
      <sheetName val="Purchase"/>
      <sheetName val="H1b Accounts Payable"/>
      <sheetName val="W"/>
      <sheetName val="Summary_Allocation"/>
      <sheetName val="Purchase_Order9"/>
      <sheetName val="Customize_Your_Purchase_Order9"/>
      <sheetName val="dpc_cost4"/>
      <sheetName val="10-Invt_4"/>
      <sheetName val="5_Analysis4"/>
      <sheetName val="Lead_Time4"/>
      <sheetName val="G__Ledger_Crescent4"/>
      <sheetName val="Trial_balance4"/>
      <sheetName val="Transition_Calculations1"/>
      <sheetName val="Transition_Resourcing1"/>
      <sheetName val="DONVIBAN"/>
      <sheetName val="NGUON"/>
      <sheetName val="Purchase_Order10"/>
      <sheetName val="Customize_Your_Purchase_Order10"/>
      <sheetName val="dpc_cost5"/>
      <sheetName val="10-Invt_5"/>
      <sheetName val="5_Analysis5"/>
      <sheetName val="Lead_Time5"/>
      <sheetName val="G__Ledger_Crescent5"/>
      <sheetName val="Trial_balance5"/>
      <sheetName val="Transition_Calculations2"/>
      <sheetName val="Transition_Resourcing2"/>
      <sheetName val="Summary_Allocation1"/>
      <sheetName val="H1b_Accounts_Payable"/>
      <sheetName val="Send_to_bank"/>
      <sheetName val="Pay_by_COH"/>
      <sheetName val="Pay_by_Bank_"/>
      <sheetName val="New_Tax"/>
      <sheetName val="PD EXP 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1" t="str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mpany Related Premises"/>
    </sheetNames>
    <sheetDataSet>
      <sheetData sheetId="0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Sal tax"/>
      <sheetName val="Sheet"/>
      <sheetName val="Sal_tax"/>
      <sheetName val="Sal_tax1"/>
      <sheetName val="Sal_tax2"/>
      <sheetName val="Sal_tax3"/>
      <sheetName val="Sal_tax4"/>
      <sheetName val="Purchase Journal"/>
      <sheetName val="Collection"/>
      <sheetName val="Glo_Sales"/>
      <sheetName val="Global"/>
      <sheetName val="Global mth"/>
      <sheetName val="Summary"/>
      <sheetName val="Data Entry"/>
      <sheetName val="mktgwise"/>
      <sheetName val="PBCMemberwise"/>
      <sheetName val="cost27-09-08"/>
      <sheetName val="Dist-AD"/>
      <sheetName val="Sal_tax5"/>
      <sheetName val="Sal_tax6"/>
      <sheetName val="Sal_tax7"/>
      <sheetName val="Sal_tax8"/>
      <sheetName val="Purchase_Journal"/>
      <sheetName val="Sal_tax9"/>
      <sheetName val="Purchase_Journal1"/>
      <sheetName val="NOTED"/>
      <sheetName val="Dropdown data"/>
      <sheetName val="cwip on 31.03.2003"/>
      <sheetName val="Purchase"/>
      <sheetName val="차수"/>
      <sheetName val="FO1"/>
      <sheetName val="Cost"/>
      <sheetName val="Sal_tax10"/>
      <sheetName val="Purchase_Journal2"/>
      <sheetName val="Sheet8"/>
      <sheetName val="Exchange"/>
      <sheetName val="Plan"/>
      <sheetName val="Sheet1"/>
      <sheetName val="april2005"/>
      <sheetName val="nhan cong"/>
      <sheetName val="Stock-06"/>
      <sheetName val="Sheet2"/>
      <sheetName val="Balance"/>
      <sheetName val="DO AM DT"/>
      <sheetName val="Sal_tax11"/>
      <sheetName val="Purchase_Journal3"/>
      <sheetName val="SFB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/>
      <sheetData sheetId="45"/>
      <sheetData sheetId="4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233"/>
  <sheetViews>
    <sheetView tabSelected="1" zoomScale="70" zoomScaleNormal="70" zoomScaleSheetLayoutView="70" workbookViewId="0">
      <pane xSplit="1" ySplit="1" topLeftCell="I2" activePane="bottomRight" state="frozen"/>
      <selection pane="topRight" activeCell="B1" sqref="B1"/>
      <selection pane="bottomLeft" activeCell="A10" sqref="A10"/>
      <selection pane="bottomRight" activeCell="O4" sqref="O4"/>
    </sheetView>
  </sheetViews>
  <sheetFormatPr baseColWidth="8" defaultColWidth="9.109375" defaultRowHeight="22.8"/>
  <cols>
    <col width="12.109375" customWidth="1" style="11" min="1" max="1"/>
    <col width="67.5546875" bestFit="1" customWidth="1" style="2" min="2" max="2"/>
    <col width="43" customWidth="1" style="2" min="3" max="3"/>
    <col width="23" bestFit="1" customWidth="1" style="11" min="4" max="4"/>
    <col width="20.44140625" customWidth="1" style="11" min="5" max="5"/>
    <col width="14" customWidth="1" style="2" min="6" max="6"/>
    <col width="18.6640625" customWidth="1" style="2" min="7" max="7"/>
    <col width="23.109375" bestFit="1" customWidth="1" style="2" min="8" max="8"/>
    <col width="18.77734375" customWidth="1" style="1" min="9" max="9"/>
    <col width="35.33203125" bestFit="1" customWidth="1" style="1" min="10" max="10"/>
    <col width="16.6640625" bestFit="1" customWidth="1" style="1" min="11" max="11"/>
    <col width="34.109375" customWidth="1" style="1" min="12" max="12"/>
    <col width="15.77734375" bestFit="1" customWidth="1" style="2" min="13" max="13"/>
    <col width="23.21875" customWidth="1" style="2" min="14" max="14"/>
    <col width="26.33203125" customWidth="1" style="2" min="15" max="15"/>
    <col width="18.33203125" bestFit="1" customWidth="1" style="1" min="16" max="16"/>
    <col width="12.6640625" bestFit="1" customWidth="1" style="31" min="17" max="17"/>
    <col width="22" customWidth="1" style="1" min="18" max="18"/>
    <col width="27.33203125" customWidth="1" style="1" min="19" max="19"/>
    <col width="22.109375" customWidth="1" style="1" min="20" max="20"/>
    <col width="18.33203125" bestFit="1" customWidth="1" style="1" min="21" max="21"/>
    <col width="18.88671875" bestFit="1" customWidth="1" style="1" min="22" max="22"/>
    <col width="9.109375" customWidth="1" style="2" min="23" max="16384"/>
  </cols>
  <sheetData>
    <row r="1" ht="65.40000000000001" customHeight="1" s="34">
      <c r="A1" s="12" t="inlineStr">
        <is>
          <t>ល.រ</t>
        </is>
      </c>
      <c r="B1" s="12" t="inlineStr">
        <is>
          <t>បរិយាយ</t>
        </is>
      </c>
      <c r="C1" s="12" t="inlineStr">
        <is>
          <t>អ្នកផ្គត់ផ្គង់</t>
        </is>
      </c>
      <c r="D1" s="13" t="inlineStr">
        <is>
          <t>លេខ អតប</t>
        </is>
      </c>
      <c r="E1" s="14" t="inlineStr">
        <is>
          <t>លេខ</t>
        </is>
      </c>
      <c r="F1" s="14" t="inlineStr">
        <is>
          <t>ថ្ងៃ ខែ ឆ្នាំ</t>
        </is>
      </c>
      <c r="G1" s="15" t="inlineStr">
        <is>
          <t>ជារៀល</t>
        </is>
      </c>
      <c r="H1" s="13" t="inlineStr">
        <is>
          <t>ស្ថានភាព</t>
        </is>
      </c>
      <c r="I1" s="32" t="inlineStr">
        <is>
          <t>ផ្សេង (សម្គាល់)</t>
        </is>
      </c>
      <c r="J1" s="16" t="inlineStr">
        <is>
          <t>បានប្រកាស</t>
        </is>
      </c>
      <c r="K1" s="16" t="inlineStr">
        <is>
          <t>នៅខ្វះ</t>
        </is>
      </c>
      <c r="L1" s="17" t="inlineStr">
        <is>
          <t>Note</t>
        </is>
      </c>
      <c r="M1" s="18" t="inlineStr">
        <is>
          <t>VAR INVOICE
T/F</t>
        </is>
      </c>
      <c r="N1" s="18" t="inlineStr">
        <is>
          <t>VAR. DATE
T/F</t>
        </is>
      </c>
      <c r="O1" s="18" t="inlineStr">
        <is>
          <t>VAR. SUPPLIER &amp; PUCHASER</t>
        </is>
      </c>
      <c r="P1" s="28" t="inlineStr">
        <is>
          <t>តេស្តទឹកប្រាក់លម្អៀង</t>
        </is>
      </c>
      <c r="Q1" s="19" t="inlineStr">
        <is>
          <t xml:space="preserve">កាលបរិច្ឆេទ </t>
        </is>
      </c>
      <c r="R1" s="20" t="inlineStr">
        <is>
          <t xml:space="preserve">លេខវិក្កយបត្រ ឬប្រតិវេទគយ </t>
        </is>
      </c>
      <c r="S1" s="23" t="inlineStr">
        <is>
          <t>លេខសម្គាល់ចុះបញ្ជីពន្ធដា TIN/BIN/TID</t>
        </is>
      </c>
      <c r="T1" s="24" t="inlineStr">
        <is>
          <t>ឈ្មោះ</t>
        </is>
      </c>
      <c r="U1" s="25" t="inlineStr">
        <is>
          <t>ការលក់ក្នុងស្រុក</t>
        </is>
      </c>
      <c r="V1" s="24" t="inlineStr">
        <is>
          <t>អតបលើការនាំចេញ</t>
        </is>
      </c>
    </row>
    <row r="2">
      <c r="A2" s="3" t="n">
        <v>1</v>
      </c>
      <c r="B2" s="4" t="inlineStr">
        <is>
          <t>Security Guard</t>
        </is>
      </c>
      <c r="C2" s="4" t="inlineStr">
        <is>
          <t>សុខ វុទ្ធី ស៊ីឃ្យួរឹធី</t>
        </is>
      </c>
      <c r="D2" s="5" t="inlineStr">
        <is>
          <t>K010-108012816</t>
        </is>
      </c>
      <c r="E2" s="6" t="inlineStr">
        <is>
          <t>S0085</t>
        </is>
      </c>
      <c r="F2" s="7" t="inlineStr">
        <is>
          <t>02-10-2023</t>
        </is>
      </c>
      <c r="G2" s="8" t="n">
        <v>1302552</v>
      </c>
      <c r="H2" s="9" t="n"/>
      <c r="I2" s="33">
        <f>G2</f>
        <v/>
      </c>
      <c r="J2" s="21" t="n"/>
      <c r="K2" s="21">
        <f>I2-G2</f>
        <v/>
      </c>
      <c r="L2" s="22" t="n"/>
      <c r="M2" s="22">
        <f>R2=E2</f>
        <v/>
      </c>
      <c r="N2" s="22">
        <f>AND(MONTH(F2)=MONTH(Q2), YEAR(F2)=YEAR(Q2))</f>
        <v/>
      </c>
      <c r="O2" s="22">
        <f>"L001-902303751"=S2</f>
        <v/>
      </c>
      <c r="P2" s="29">
        <f>G2-U2</f>
        <v/>
      </c>
      <c r="Q2" s="30" t="n">
        <v>45293</v>
      </c>
      <c r="R2" s="26" t="n">
        <v>20405</v>
      </c>
      <c r="S2" s="26" t="inlineStr">
        <is>
          <t>K003-901635943</t>
        </is>
      </c>
      <c r="T2" s="26" t="inlineStr">
        <is>
          <t>អ៊ីឃ្យូឡាញ វើលវ៉ាយដ៍ ឡូជីស្ទីក</t>
        </is>
      </c>
      <c r="U2" s="27" t="n">
        <v>20405</v>
      </c>
      <c r="V2" s="26" t="n">
        <v>0</v>
      </c>
    </row>
    <row r="3">
      <c r="A3" s="3" t="n">
        <v>2</v>
      </c>
      <c r="B3" s="4" t="inlineStr">
        <is>
          <t>Automatic cutting blade,sponge strips,stencil pin</t>
        </is>
      </c>
      <c r="C3" s="4" t="inlineStr">
        <is>
          <t>យីស៊ូ ធេមផ្លេត ក្រាហ្វ ឯ.ក</t>
        </is>
      </c>
      <c r="D3" s="5" t="inlineStr">
        <is>
          <t>K010-902200360</t>
        </is>
      </c>
      <c r="E3" s="6" t="inlineStr">
        <is>
          <t>23-0236</t>
        </is>
      </c>
      <c r="F3" s="7" t="inlineStr">
        <is>
          <t>01-11-2023</t>
        </is>
      </c>
      <c r="G3" s="8" t="n">
        <v>95772</v>
      </c>
      <c r="H3" s="9" t="n"/>
      <c r="I3" s="33">
        <f>G3</f>
        <v/>
      </c>
      <c r="J3" s="21" t="n"/>
      <c r="K3" s="21">
        <f>I3-G3</f>
        <v/>
      </c>
      <c r="L3" s="22" t="n"/>
      <c r="M3" s="22">
        <f>R3=E3</f>
        <v/>
      </c>
      <c r="N3" s="22">
        <f>AND(MONTH(F3)=MONTH(Q3), YEAR(F3)=YEAR(Q3))</f>
        <v/>
      </c>
      <c r="O3" s="22">
        <f>"L001-902303751"=S3</f>
        <v/>
      </c>
      <c r="P3" s="29">
        <f>G3-U3</f>
        <v/>
      </c>
      <c r="Q3" s="30" t="n">
        <v>45313</v>
      </c>
      <c r="R3" s="26" t="inlineStr"/>
      <c r="S3" s="26" t="inlineStr">
        <is>
          <t>K003-901635943</t>
        </is>
      </c>
      <c r="T3" s="26" t="inlineStr">
        <is>
          <t>អ៊ីឃ្យូឡាញ វើលវ៉ាយដ៍ ឡូជីស្ទីក</t>
        </is>
      </c>
      <c r="U3" s="27" t="n">
        <v>0</v>
      </c>
      <c r="V3" s="26" t="n">
        <v>0</v>
      </c>
    </row>
    <row r="4">
      <c r="A4" s="3" t="n">
        <v>3</v>
      </c>
      <c r="B4" s="4" t="inlineStr">
        <is>
          <t>Forklift wheel</t>
        </is>
      </c>
      <c r="C4" s="4" t="inlineStr">
        <is>
          <t>ដេកូស៍ អ៊ិនដាសស្ទ្រី ឯ.ក</t>
        </is>
      </c>
      <c r="D4" s="5" t="inlineStr">
        <is>
          <t>K007-901639102</t>
        </is>
      </c>
      <c r="E4" s="6" t="inlineStr">
        <is>
          <t>000160</t>
        </is>
      </c>
      <c r="F4" s="7" t="inlineStr">
        <is>
          <t>01-11-2023</t>
        </is>
      </c>
      <c r="G4" s="8" t="n">
        <v>70312</v>
      </c>
      <c r="H4" s="9" t="n"/>
      <c r="I4" s="33">
        <f>G4</f>
        <v/>
      </c>
      <c r="J4" s="21" t="n"/>
      <c r="K4" s="21">
        <f>I4-G4</f>
        <v/>
      </c>
      <c r="L4" s="22" t="n"/>
      <c r="M4" s="22">
        <f>R4=E4</f>
        <v/>
      </c>
      <c r="N4" s="22">
        <f>AND(MONTH(F4)=MONTH(Q4), YEAR(F4)=YEAR(Q4))</f>
        <v/>
      </c>
      <c r="O4" s="22">
        <f>"L001-902303751"=S4</f>
        <v/>
      </c>
      <c r="P4" s="29">
        <f>G4-U4</f>
        <v/>
      </c>
      <c r="Q4" s="30" t="n">
        <v>45320</v>
      </c>
      <c r="R4" s="26" t="inlineStr"/>
      <c r="S4" s="26" t="inlineStr">
        <is>
          <t>L001-104015799</t>
        </is>
      </c>
      <c r="T4" s="26" t="inlineStr">
        <is>
          <t>យូសេន ឡូជីស្ទីក (ខេមបូឌា) ខូ អិលធីឌី</t>
        </is>
      </c>
      <c r="U4" s="27" t="n">
        <v>0</v>
      </c>
      <c r="V4" s="26" t="n">
        <v>0</v>
      </c>
    </row>
    <row r="5">
      <c r="A5" s="3" t="n">
        <v>4</v>
      </c>
      <c r="B5" s="4" t="inlineStr">
        <is>
          <t>PVC,sponge strips,automactic cutting blade)</t>
        </is>
      </c>
      <c r="C5" s="4" t="inlineStr">
        <is>
          <t>យីស៊ូ ធេមផ្លេត ក្រាហ្វ ឯ.ក</t>
        </is>
      </c>
      <c r="D5" s="5" t="inlineStr">
        <is>
          <t>K010-902200360</t>
        </is>
      </c>
      <c r="E5" s="6" t="inlineStr">
        <is>
          <t>23-0250</t>
        </is>
      </c>
      <c r="F5" s="7" t="inlineStr">
        <is>
          <t>20-11-2023</t>
        </is>
      </c>
      <c r="G5" s="8" t="n">
        <v>1182852</v>
      </c>
      <c r="H5" s="9" t="n"/>
      <c r="I5" s="33">
        <f>G5</f>
        <v/>
      </c>
      <c r="J5" s="21" t="n"/>
      <c r="K5" s="21">
        <f>I5-G5</f>
        <v/>
      </c>
      <c r="L5" s="22" t="n"/>
      <c r="M5" s="22">
        <f>R5=E5</f>
        <v/>
      </c>
      <c r="N5" s="22">
        <f>AND(MONTH(F5)=MONTH(Q5), YEAR(F5)=YEAR(Q5))</f>
        <v/>
      </c>
      <c r="O5" s="22">
        <f>"L001-902303751"=S5</f>
        <v/>
      </c>
      <c r="P5" s="29">
        <f>G5-U5</f>
        <v/>
      </c>
      <c r="Q5" s="30" t="n">
        <v>45320</v>
      </c>
      <c r="R5" s="26" t="n">
        <v>187726</v>
      </c>
      <c r="S5" s="26" t="inlineStr">
        <is>
          <t>K009-901605081</t>
        </is>
      </c>
      <c r="T5" s="26" t="inlineStr">
        <is>
          <t>ទ្រូ ខមភែនៀន ឡូជីស្ទីក (ខេមបូឌា)</t>
        </is>
      </c>
      <c r="U5" s="27" t="n">
        <v>187726</v>
      </c>
      <c r="V5" s="26" t="n">
        <v>0</v>
      </c>
    </row>
    <row r="6">
      <c r="A6" s="3" t="n">
        <v>5</v>
      </c>
      <c r="B6" s="4" t="inlineStr">
        <is>
          <t>Internet fee</t>
        </is>
      </c>
      <c r="C6" s="4" t="inlineStr">
        <is>
          <t>សៅ អ៊ីស្ត អេស៊ា ធេលីខម (ខេមបូឌា)</t>
        </is>
      </c>
      <c r="D6" s="5" t="inlineStr">
        <is>
          <t>L001-100111467</t>
        </is>
      </c>
      <c r="E6" s="10" t="inlineStr">
        <is>
          <t>2137</t>
        </is>
      </c>
      <c r="F6" s="7" t="inlineStr">
        <is>
          <t>10-11-2023</t>
        </is>
      </c>
      <c r="G6" s="8" t="n">
        <v>368446</v>
      </c>
      <c r="H6" s="9" t="n"/>
      <c r="I6" s="33">
        <f>G6</f>
        <v/>
      </c>
      <c r="J6" s="21" t="n"/>
      <c r="K6" s="21">
        <f>I6-G6</f>
        <v/>
      </c>
      <c r="L6" s="22" t="n"/>
      <c r="M6" s="22">
        <f>R6=E6</f>
        <v/>
      </c>
      <c r="N6" s="22">
        <f>AND(MONTH(F6)=MONTH(Q6), YEAR(F6)=YEAR(Q6))</f>
        <v/>
      </c>
      <c r="O6" s="22">
        <f>"L001-902303751"=S6</f>
        <v/>
      </c>
      <c r="P6" s="29">
        <f>G6-U6</f>
        <v/>
      </c>
      <c r="Q6" s="30" t="n">
        <v>45306</v>
      </c>
      <c r="R6" s="26" t="n">
        <v>269754</v>
      </c>
      <c r="S6" s="26" t="inlineStr">
        <is>
          <t>K003-901635943</t>
        </is>
      </c>
      <c r="T6" s="26" t="inlineStr">
        <is>
          <t>អ៊ីឃ្យូឡាញ វើលវ៉ាយដ៍ ឡូជីស្ទីក</t>
        </is>
      </c>
      <c r="U6" s="27" t="n">
        <v>269754</v>
      </c>
      <c r="V6" s="26" t="n">
        <v>0</v>
      </c>
    </row>
    <row r="7">
      <c r="A7" s="3" t="n">
        <v>6</v>
      </c>
      <c r="B7" s="4" t="inlineStr">
        <is>
          <t>Internet fee</t>
        </is>
      </c>
      <c r="C7" s="4" t="inlineStr">
        <is>
          <t>អេស.អាយ គ្រុប</t>
        </is>
      </c>
      <c r="D7" s="5" t="inlineStr">
        <is>
          <t>L001-100129250</t>
        </is>
      </c>
      <c r="E7" s="10" t="inlineStr">
        <is>
          <t>2310-0107-01523</t>
        </is>
      </c>
      <c r="F7" s="7" t="inlineStr">
        <is>
          <t>01-11-2023</t>
        </is>
      </c>
      <c r="G7" s="8" t="n">
        <v>206750</v>
      </c>
      <c r="H7" s="9" t="n"/>
      <c r="I7" s="33">
        <f>G7</f>
        <v/>
      </c>
      <c r="J7" s="21" t="n"/>
      <c r="K7" s="21">
        <f>I7-G7</f>
        <v/>
      </c>
      <c r="L7" s="22" t="n"/>
      <c r="M7" s="22">
        <f>R7=E7</f>
        <v/>
      </c>
      <c r="N7" s="22">
        <f>AND(MONTH(F7)=MONTH(Q7), YEAR(F7)=YEAR(Q7))</f>
        <v/>
      </c>
      <c r="O7" s="22">
        <f>"L001-902303751"=S7</f>
        <v/>
      </c>
      <c r="P7" s="29">
        <f>G7-U7</f>
        <v/>
      </c>
      <c r="Q7" s="30" t="n">
        <v>45308</v>
      </c>
      <c r="R7" s="26" t="n">
        <v>187864</v>
      </c>
      <c r="S7" s="26" t="inlineStr">
        <is>
          <t>K009-901605081</t>
        </is>
      </c>
      <c r="T7" s="26" t="inlineStr">
        <is>
          <t>ទ្រូ ខមភែនៀន ឡូជីស្ទីក (ខេមបូឌា)</t>
        </is>
      </c>
      <c r="U7" s="27" t="n">
        <v>187864</v>
      </c>
      <c r="V7" s="26" t="n">
        <v>0</v>
      </c>
    </row>
    <row r="8">
      <c r="A8" s="3" t="n">
        <v>7</v>
      </c>
      <c r="B8" s="4" t="inlineStr">
        <is>
          <t>Copy machine rental</t>
        </is>
      </c>
      <c r="C8" s="4" t="inlineStr">
        <is>
          <t>វី.អាយ.អេស ខភៀ ឯ.ក</t>
        </is>
      </c>
      <c r="D8" s="5" t="inlineStr">
        <is>
          <t>K007-901705195</t>
        </is>
      </c>
      <c r="E8" s="10" t="inlineStr">
        <is>
          <t>RNT231124</t>
        </is>
      </c>
      <c r="F8" s="7" t="inlineStr">
        <is>
          <t>06-11-2023</t>
        </is>
      </c>
      <c r="G8" s="8" t="n">
        <v>57834</v>
      </c>
      <c r="H8" s="9" t="n"/>
      <c r="I8" s="33">
        <f>G8</f>
        <v/>
      </c>
      <c r="J8" s="21" t="n"/>
      <c r="K8" s="21">
        <f>I8-G8</f>
        <v/>
      </c>
      <c r="L8" s="22" t="n"/>
      <c r="M8" s="22">
        <f>R8=E8</f>
        <v/>
      </c>
      <c r="N8" s="22">
        <f>AND(MONTH(F8)=MONTH(Q8), YEAR(F8)=YEAR(Q8))</f>
        <v/>
      </c>
      <c r="O8" s="22">
        <f>"L001-902303751"=S8</f>
        <v/>
      </c>
      <c r="P8" s="29">
        <f>G8-U8</f>
        <v/>
      </c>
      <c r="Q8" s="30" t="n">
        <v>45303</v>
      </c>
      <c r="R8" s="26" t="n">
        <v>113127</v>
      </c>
      <c r="S8" s="26" t="inlineStr">
        <is>
          <t>L001-107041723</t>
        </is>
      </c>
      <c r="T8" s="26" t="inlineStr">
        <is>
          <t>ឌីប៊ី សេនឃើរ (ខេមបូឌា) លីមីធីត</t>
        </is>
      </c>
      <c r="U8" s="27" t="n">
        <v>113127</v>
      </c>
      <c r="V8" s="26" t="n">
        <v>0</v>
      </c>
    </row>
    <row r="9">
      <c r="A9" s="3" t="n">
        <v>8</v>
      </c>
      <c r="B9" s="4" t="inlineStr">
        <is>
          <t>Copy machine rental</t>
        </is>
      </c>
      <c r="C9" s="4" t="inlineStr">
        <is>
          <t>វី.អាយ.អេស ខភៀ ឯ.ក</t>
        </is>
      </c>
      <c r="D9" s="5" t="inlineStr">
        <is>
          <t>K007-901705195</t>
        </is>
      </c>
      <c r="E9" s="10" t="inlineStr">
        <is>
          <t>RNT231125</t>
        </is>
      </c>
      <c r="F9" s="7" t="inlineStr">
        <is>
          <t>06-11-2023</t>
        </is>
      </c>
      <c r="G9" s="8" t="n">
        <v>26852</v>
      </c>
      <c r="H9" s="9" t="n"/>
      <c r="I9" s="33">
        <f>G9</f>
        <v/>
      </c>
      <c r="J9" s="21" t="n"/>
      <c r="K9" s="21">
        <f>I9-G9</f>
        <v/>
      </c>
      <c r="L9" s="22" t="n"/>
      <c r="M9" s="22">
        <f>R9=E9</f>
        <v/>
      </c>
      <c r="N9" s="22">
        <f>AND(MONTH(F9)=MONTH(Q9), YEAR(F9)=YEAR(Q9))</f>
        <v/>
      </c>
      <c r="O9" s="22">
        <f>"L001-902303751"=S9</f>
        <v/>
      </c>
      <c r="P9" s="29">
        <f>G9-U9</f>
        <v/>
      </c>
      <c r="Q9" s="30" t="n">
        <v>45295</v>
      </c>
      <c r="R9" s="26" t="n">
        <v>187956</v>
      </c>
      <c r="S9" s="26" t="inlineStr">
        <is>
          <t>K009-901605081</t>
        </is>
      </c>
      <c r="T9" s="26" t="inlineStr">
        <is>
          <t>ទ្រូ ខមភែនៀន ឡូជីស្ទីក (ខេមបូឌា)</t>
        </is>
      </c>
      <c r="U9" s="27" t="n">
        <v>187956</v>
      </c>
      <c r="V9" s="26" t="n">
        <v>0</v>
      </c>
    </row>
    <row r="10">
      <c r="A10" s="3" t="n">
        <v>9</v>
      </c>
      <c r="B10" s="4" t="inlineStr">
        <is>
          <t>Copy machine rental</t>
        </is>
      </c>
      <c r="C10" s="4" t="inlineStr">
        <is>
          <t>វី.អាយ.អេស ខភៀ ឯ.ក</t>
        </is>
      </c>
      <c r="D10" s="5" t="inlineStr">
        <is>
          <t>K007-901705195</t>
        </is>
      </c>
      <c r="E10" s="10" t="inlineStr">
        <is>
          <t>RNT231126</t>
        </is>
      </c>
      <c r="F10" s="7" t="inlineStr">
        <is>
          <t>06-11-2023</t>
        </is>
      </c>
      <c r="G10" s="8" t="n">
        <v>28917</v>
      </c>
      <c r="H10" s="9" t="n"/>
      <c r="I10" s="33">
        <f>G10</f>
        <v/>
      </c>
      <c r="J10" s="21" t="n"/>
      <c r="K10" s="21">
        <f>I10-G10</f>
        <v/>
      </c>
      <c r="L10" s="22" t="n"/>
      <c r="M10" s="22">
        <f>R10=E10</f>
        <v/>
      </c>
      <c r="N10" s="22">
        <f>AND(MONTH(F10)=MONTH(Q10), YEAR(F10)=YEAR(Q10))</f>
        <v/>
      </c>
      <c r="O10" s="22">
        <f>"L001-902303751"=S10</f>
        <v/>
      </c>
      <c r="P10" s="29">
        <f>G10-U10</f>
        <v/>
      </c>
      <c r="Q10" s="30" t="n">
        <v>45313</v>
      </c>
      <c r="R10" s="26" t="n">
        <v>176898</v>
      </c>
      <c r="S10" s="26" t="inlineStr">
        <is>
          <t>K003-901635943</t>
        </is>
      </c>
      <c r="T10" s="26" t="inlineStr">
        <is>
          <t>អ៊ីឃ្យូឡាញ វើលវ៉ាយដ៍ ឡូជីស្ទីក</t>
        </is>
      </c>
      <c r="U10" s="27" t="n">
        <v>176898</v>
      </c>
      <c r="V10" s="26" t="n">
        <v>0</v>
      </c>
    </row>
    <row r="11">
      <c r="A11" s="3" t="n">
        <v>10</v>
      </c>
      <c r="B11" s="4" t="inlineStr">
        <is>
          <t>Copy machine rental</t>
        </is>
      </c>
      <c r="C11" s="4" t="inlineStr">
        <is>
          <t>វី.អាយ.អេស ខភៀ ឯ.ក</t>
        </is>
      </c>
      <c r="D11" s="5" t="inlineStr">
        <is>
          <t>K007-901705195</t>
        </is>
      </c>
      <c r="E11" s="10" t="inlineStr">
        <is>
          <t>RNT231127</t>
        </is>
      </c>
      <c r="F11" s="7" t="inlineStr">
        <is>
          <t>06-11-2023</t>
        </is>
      </c>
      <c r="G11" s="8" t="n">
        <v>57834</v>
      </c>
      <c r="H11" s="9" t="n"/>
      <c r="I11" s="33">
        <f>G11</f>
        <v/>
      </c>
      <c r="J11" s="21" t="n"/>
      <c r="K11" s="21">
        <f>I11-G11</f>
        <v/>
      </c>
      <c r="L11" s="22" t="n"/>
      <c r="M11" s="22">
        <f>R11=E11</f>
        <v/>
      </c>
      <c r="N11" s="22">
        <f>AND(MONTH(F11)=MONTH(Q11), YEAR(F11)=YEAR(Q11))</f>
        <v/>
      </c>
      <c r="O11" s="22">
        <f>"L001-902303751"=S11</f>
        <v/>
      </c>
      <c r="P11" s="29">
        <f>G11-U11</f>
        <v/>
      </c>
      <c r="Q11" s="30" t="n">
        <v>45320</v>
      </c>
      <c r="R11" s="26" t="n">
        <v>177115</v>
      </c>
      <c r="S11" s="26" t="inlineStr">
        <is>
          <t>K003-901635943</t>
        </is>
      </c>
      <c r="T11" s="26" t="inlineStr">
        <is>
          <t>អ៊ីឃ្យូឡាញ វើលវ៉ាយដ៍ ឡូជីស្ទីក</t>
        </is>
      </c>
      <c r="U11" s="27" t="n">
        <v>177115</v>
      </c>
      <c r="V11" s="26" t="n">
        <v>0</v>
      </c>
    </row>
    <row r="12">
      <c r="A12" s="3" t="n">
        <v>11</v>
      </c>
      <c r="B12" s="4" t="inlineStr">
        <is>
          <t>Spare Part for Sewing Machine</t>
        </is>
      </c>
      <c r="C12" s="4" t="inlineStr">
        <is>
          <t>ក្លាក ហ៊ូ ឯ.ក</t>
        </is>
      </c>
      <c r="D12" s="5" t="inlineStr">
        <is>
          <t>K007-901639199</t>
        </is>
      </c>
      <c r="E12" s="10" t="inlineStr">
        <is>
          <t>IN1497</t>
        </is>
      </c>
      <c r="F12" s="7" t="inlineStr">
        <is>
          <t>01-11-2023</t>
        </is>
      </c>
      <c r="G12" s="8" t="n">
        <v>1303931</v>
      </c>
      <c r="H12" s="9" t="n"/>
      <c r="I12" s="33">
        <f>G12</f>
        <v/>
      </c>
      <c r="J12" s="21" t="n"/>
      <c r="K12" s="21">
        <f>I12-G12</f>
        <v/>
      </c>
      <c r="L12" s="22" t="n"/>
      <c r="M12" s="22">
        <f>R12=E12</f>
        <v/>
      </c>
      <c r="N12" s="22">
        <f>AND(MONTH(F12)=MONTH(Q12), YEAR(F12)=YEAR(Q12))</f>
        <v/>
      </c>
      <c r="O12" s="22">
        <f>"L001-902303751"=S12</f>
        <v/>
      </c>
      <c r="P12" s="29">
        <f>G12-U12</f>
        <v/>
      </c>
      <c r="Q12" s="30" t="n">
        <v>45315</v>
      </c>
      <c r="R12" s="26" t="n">
        <v>187588</v>
      </c>
      <c r="S12" s="26" t="inlineStr">
        <is>
          <t>K009-901605081</t>
        </is>
      </c>
      <c r="T12" s="26" t="inlineStr">
        <is>
          <t>ទ្រូ ខមភែនៀន ឡូជីស្ទីក (ខេមបូឌា)</t>
        </is>
      </c>
      <c r="U12" s="27" t="n">
        <v>187588</v>
      </c>
      <c r="V12" s="26" t="n">
        <v>0</v>
      </c>
    </row>
    <row r="13">
      <c r="A13" s="3" t="n">
        <v>12</v>
      </c>
      <c r="B13" s="4" t="inlineStr">
        <is>
          <t>Abrasive tape.karft paper,under paper,marker paper</t>
        </is>
      </c>
      <c r="C13" s="4" t="inlineStr">
        <is>
          <t>អាន រ៉ុង ហ្ស៊ី យី ឯ.ក</t>
        </is>
      </c>
      <c r="D13" s="5" t="inlineStr">
        <is>
          <t>L001-902000739</t>
        </is>
      </c>
      <c r="E13" s="10" t="inlineStr">
        <is>
          <t>AR23000898</t>
        </is>
      </c>
      <c r="F13" s="7" t="inlineStr">
        <is>
          <t>01-11-2023</t>
        </is>
      </c>
      <c r="G13" s="8" t="n">
        <v>939099</v>
      </c>
      <c r="H13" s="9" t="n"/>
      <c r="I13" s="33">
        <f>G13</f>
        <v/>
      </c>
      <c r="J13" s="21" t="n"/>
      <c r="K13" s="21">
        <f>I13-G13</f>
        <v/>
      </c>
      <c r="L13" s="22" t="n"/>
      <c r="M13" s="22">
        <f>R13=E13</f>
        <v/>
      </c>
      <c r="N13" s="22">
        <f>AND(MONTH(F13)=MONTH(Q13), YEAR(F13)=YEAR(Q13))</f>
        <v/>
      </c>
      <c r="O13" s="22">
        <f>"L001-902303751"=S13</f>
        <v/>
      </c>
      <c r="P13" s="29">
        <f>G13-U13</f>
        <v/>
      </c>
      <c r="Q13" s="30" t="n">
        <v>45295</v>
      </c>
      <c r="R13" s="26" t="n">
        <v>187956</v>
      </c>
      <c r="S13" s="26" t="inlineStr">
        <is>
          <t>K009-901605081</t>
        </is>
      </c>
      <c r="T13" s="26" t="inlineStr">
        <is>
          <t>ទ្រូ ខមភែនៀន ឡូជីស្ទីក (ខេមបូឌា)</t>
        </is>
      </c>
      <c r="U13" s="27" t="n">
        <v>187956</v>
      </c>
      <c r="V13" s="26" t="n">
        <v>0</v>
      </c>
    </row>
    <row r="14">
      <c r="A14" s="3" t="n">
        <v>13</v>
      </c>
      <c r="B14" s="4" t="inlineStr">
        <is>
          <t>Thread</t>
        </is>
      </c>
      <c r="C14" s="4" t="inlineStr">
        <is>
          <t>គ្លូប៊ល សុីលីន ហ្គាមុិន អេកសេសឺរី ឯ.ក</t>
        </is>
      </c>
      <c r="D14" s="5" t="inlineStr">
        <is>
          <t>L001-902200857</t>
        </is>
      </c>
      <c r="E14" s="10" t="inlineStr">
        <is>
          <t>000695</t>
        </is>
      </c>
      <c r="F14" s="7" t="inlineStr">
        <is>
          <t>01-11-2023</t>
        </is>
      </c>
      <c r="G14" s="8" t="n">
        <v>107640</v>
      </c>
      <c r="H14" s="9" t="n"/>
      <c r="I14" s="33">
        <f>G14</f>
        <v/>
      </c>
      <c r="J14" s="21" t="n"/>
      <c r="K14" s="21">
        <f>I14-G14</f>
        <v/>
      </c>
      <c r="L14" s="22" t="n"/>
      <c r="M14" s="22">
        <f>R14=E14</f>
        <v/>
      </c>
      <c r="N14" s="22">
        <f>AND(MONTH(F14)=MONTH(Q14), YEAR(F14)=YEAR(Q14))</f>
        <v/>
      </c>
      <c r="O14" s="22">
        <f>"L001-902303751"=S14</f>
        <v/>
      </c>
      <c r="P14" s="29">
        <f>G14-U14</f>
        <v/>
      </c>
      <c r="Q14" s="30" t="n">
        <v>45299</v>
      </c>
      <c r="R14" s="26" t="n">
        <v>177766</v>
      </c>
      <c r="S14" s="26" t="inlineStr">
        <is>
          <t>K003-901635943</t>
        </is>
      </c>
      <c r="T14" s="26" t="inlineStr">
        <is>
          <t>អ៊ីឃ្យូឡាញ វើលវ៉ាយដ៍ ឡូជីស្ទីក</t>
        </is>
      </c>
      <c r="U14" s="27" t="n">
        <v>177766</v>
      </c>
      <c r="V14" s="26" t="n">
        <v>0</v>
      </c>
    </row>
    <row r="15">
      <c r="A15" s="3" t="n">
        <v>14</v>
      </c>
      <c r="B15" s="4" t="inlineStr">
        <is>
          <t>Stationary</t>
        </is>
      </c>
      <c r="C15" s="4" t="inlineStr">
        <is>
          <t>ស៊ី &amp; ជី ត្រេឌីង ឯ.ក</t>
        </is>
      </c>
      <c r="D15" s="5" t="inlineStr">
        <is>
          <t>K010-902205065</t>
        </is>
      </c>
      <c r="E15" s="6" t="inlineStr">
        <is>
          <t>2023-0056</t>
        </is>
      </c>
      <c r="F15" s="7" t="inlineStr">
        <is>
          <t>01-11-2023</t>
        </is>
      </c>
      <c r="G15" s="8" t="n">
        <v>544577</v>
      </c>
      <c r="H15" s="9" t="n"/>
      <c r="I15" s="33">
        <f>G15</f>
        <v/>
      </c>
      <c r="J15" s="21" t="n"/>
      <c r="K15" s="21">
        <f>I15-G15</f>
        <v/>
      </c>
      <c r="L15" s="22" t="n"/>
      <c r="M15" s="22">
        <f>R15=E15</f>
        <v/>
      </c>
      <c r="N15" s="22">
        <f>AND(MONTH(F15)=MONTH(Q15), YEAR(F15)=YEAR(Q15))</f>
        <v/>
      </c>
      <c r="O15" s="22">
        <f>"L001-902303751"=S15</f>
        <v/>
      </c>
      <c r="P15" s="29">
        <f>G15-U15</f>
        <v/>
      </c>
      <c r="Q15" s="30" t="n">
        <v>45320</v>
      </c>
      <c r="R15" s="26" t="n">
        <v>96720</v>
      </c>
      <c r="S15" s="26" t="inlineStr">
        <is>
          <t>L001-104015799</t>
        </is>
      </c>
      <c r="T15" s="26" t="inlineStr">
        <is>
          <t>យូសេន ឡូជីស្ទីក (ខេមបូឌា) ខូ អិលធីឌី</t>
        </is>
      </c>
      <c r="U15" s="27" t="n">
        <v>96720</v>
      </c>
      <c r="V15" s="26" t="n">
        <v>0</v>
      </c>
    </row>
    <row r="16">
      <c r="A16" s="3" t="n">
        <v>15</v>
      </c>
      <c r="B16" s="4" t="inlineStr">
        <is>
          <t>DNS SERVICE</t>
        </is>
      </c>
      <c r="C16" s="4" t="inlineStr">
        <is>
          <t>អង្គរ ដាតា ខមម្ញូនីខេសិន គ្រុប (អេ ឌី​ ស៊ី)</t>
        </is>
      </c>
      <c r="D16" s="5" t="inlineStr">
        <is>
          <t>L001-100078885</t>
        </is>
      </c>
      <c r="E16" s="6" t="inlineStr">
        <is>
          <t>TIPP2366080</t>
        </is>
      </c>
      <c r="F16" s="7" t="inlineStr">
        <is>
          <t>01-12-2023</t>
        </is>
      </c>
      <c r="G16" s="8" t="n">
        <v>20635</v>
      </c>
      <c r="H16" s="9" t="n"/>
      <c r="I16" s="33">
        <f>G16</f>
        <v/>
      </c>
      <c r="J16" s="21" t="n"/>
      <c r="K16" s="21">
        <f>I16-G16</f>
        <v/>
      </c>
      <c r="L16" s="22" t="n"/>
      <c r="M16" s="22">
        <f>R16=E16</f>
        <v/>
      </c>
      <c r="N16" s="22">
        <f>AND(MONTH(F16)=MONTH(Q16), YEAR(F16)=YEAR(Q16))</f>
        <v/>
      </c>
      <c r="O16" s="22">
        <f>"L001-902303751"=S16</f>
        <v/>
      </c>
      <c r="P16" s="29">
        <f>G16-U16</f>
        <v/>
      </c>
      <c r="Q16" s="30" t="n">
        <v>45315</v>
      </c>
      <c r="R16" s="26" t="n">
        <v>2222510</v>
      </c>
      <c r="S16" s="26" t="inlineStr">
        <is>
          <t>K009-901605081</t>
        </is>
      </c>
      <c r="T16" s="26" t="inlineStr">
        <is>
          <t>ទ្រូ ខមភែនៀន ឡូជីស្ទីក (ខេមបូឌា)</t>
        </is>
      </c>
      <c r="U16" s="27" t="n">
        <v>2222510</v>
      </c>
      <c r="V16" s="26" t="n">
        <v>0</v>
      </c>
    </row>
    <row r="17">
      <c r="A17" s="3" t="n">
        <v>16</v>
      </c>
      <c r="B17" s="4" t="inlineStr">
        <is>
          <t>Machine rental</t>
        </is>
      </c>
      <c r="C17" s="4" t="inlineStr">
        <is>
          <t>ក្លាក ហ៊ូ ឯ.ក</t>
        </is>
      </c>
      <c r="D17" s="5" t="inlineStr">
        <is>
          <t>K007-901639199</t>
        </is>
      </c>
      <c r="E17" s="6" t="inlineStr">
        <is>
          <t>IN1842</t>
        </is>
      </c>
      <c r="F17" s="7" t="inlineStr">
        <is>
          <t>23-12-2023</t>
        </is>
      </c>
      <c r="G17" s="8" t="n">
        <v>50865</v>
      </c>
      <c r="H17" s="9" t="n"/>
      <c r="I17" s="33">
        <f>G17</f>
        <v/>
      </c>
      <c r="J17" s="21" t="n"/>
      <c r="K17" s="21">
        <f>I17-G17</f>
        <v/>
      </c>
      <c r="L17" s="22" t="n"/>
      <c r="M17" s="22">
        <f>R17=E17</f>
        <v/>
      </c>
      <c r="N17" s="22">
        <f>AND(MONTH(F17)=MONTH(Q17), YEAR(F17)=YEAR(Q17))</f>
        <v/>
      </c>
      <c r="O17" s="22">
        <f>"L001-902303751"=S17</f>
        <v/>
      </c>
      <c r="P17" s="29">
        <f>G17-U17</f>
        <v/>
      </c>
      <c r="Q17" s="30" t="n">
        <v>45299</v>
      </c>
      <c r="R17" s="26" t="n">
        <v>84787</v>
      </c>
      <c r="S17" s="26" t="inlineStr">
        <is>
          <t>L001-104015799</t>
        </is>
      </c>
      <c r="T17" s="26" t="inlineStr">
        <is>
          <t>យូសេន ឡូជីស្ទីក (ខេមបូឌា) ខូ អិលធីឌី</t>
        </is>
      </c>
      <c r="U17" s="27" t="n">
        <v>84787</v>
      </c>
      <c r="V17" s="26" t="n">
        <v>0</v>
      </c>
    </row>
    <row r="18">
      <c r="A18" s="3" t="n">
        <v>17</v>
      </c>
      <c r="B18" s="4" t="inlineStr">
        <is>
          <t>Machine rental</t>
        </is>
      </c>
      <c r="C18" s="4" t="inlineStr">
        <is>
          <t>ក្លាក ហ៊ូ ឯ.ក</t>
        </is>
      </c>
      <c r="D18" s="5" t="inlineStr">
        <is>
          <t>K007-901639199</t>
        </is>
      </c>
      <c r="E18" s="6" t="inlineStr">
        <is>
          <t>IN1932</t>
        </is>
      </c>
      <c r="F18" s="7" t="inlineStr">
        <is>
          <t>30-12-2023</t>
        </is>
      </c>
      <c r="G18" s="8" t="n">
        <v>73530</v>
      </c>
      <c r="H18" s="9" t="n"/>
      <c r="I18" s="33">
        <f>G18</f>
        <v/>
      </c>
      <c r="J18" s="21" t="n"/>
      <c r="K18" s="21">
        <f>I18-G18</f>
        <v/>
      </c>
      <c r="L18" s="22" t="n"/>
      <c r="M18" s="22">
        <f>R18=E18</f>
        <v/>
      </c>
      <c r="N18" s="22">
        <f>AND(MONTH(F18)=MONTH(Q18), YEAR(F18)=YEAR(Q18))</f>
        <v/>
      </c>
      <c r="O18" s="22">
        <f>"L001-902303751"=S18</f>
        <v/>
      </c>
      <c r="P18" s="29">
        <f>G18-U18</f>
        <v/>
      </c>
      <c r="Q18" s="30" t="n">
        <v>45306</v>
      </c>
      <c r="R18" s="26" t="inlineStr"/>
      <c r="S18" s="26" t="inlineStr">
        <is>
          <t>K003-901635943</t>
        </is>
      </c>
      <c r="T18" s="26" t="inlineStr">
        <is>
          <t>អ៊ីឃ្យូឡាញ វើលវ៉ាយដ៍ ឡូជីស្ទីក</t>
        </is>
      </c>
      <c r="U18" s="27" t="n">
        <v>0</v>
      </c>
      <c r="V18" s="26" t="n">
        <v>0</v>
      </c>
    </row>
    <row r="19">
      <c r="A19" s="3" t="n">
        <v>18</v>
      </c>
      <c r="B19" s="4" t="inlineStr">
        <is>
          <t>MACHINERY AND EQUIPMENT</t>
        </is>
      </c>
      <c r="C19" s="4" t="inlineStr">
        <is>
          <t>ខ្វាន់ទុម ហ្គាមេន ឯ.ក</t>
        </is>
      </c>
      <c r="D19" s="5" t="inlineStr">
        <is>
          <t>L001-100181244</t>
        </is>
      </c>
      <c r="E19" s="10" t="inlineStr">
        <is>
          <t>CBK-202300023</t>
        </is>
      </c>
      <c r="F19" s="7" t="inlineStr">
        <is>
          <t>25-12-2023</t>
        </is>
      </c>
      <c r="G19" s="8" t="n">
        <v>32573680</v>
      </c>
      <c r="H19" s="9" t="n"/>
      <c r="I19" s="33">
        <f>G19</f>
        <v/>
      </c>
      <c r="J19" s="21" t="n"/>
      <c r="K19" s="21">
        <f>I19-G19</f>
        <v/>
      </c>
      <c r="L19" s="22" t="n"/>
      <c r="M19" s="22">
        <f>R19=E19</f>
        <v/>
      </c>
      <c r="N19" s="22">
        <f>AND(MONTH(F19)=MONTH(Q19), YEAR(F19)=YEAR(Q19))</f>
        <v/>
      </c>
      <c r="O19" s="22">
        <f>"L001-902303751"=S19</f>
        <v/>
      </c>
      <c r="P19" s="29">
        <f>G19-U19</f>
        <v/>
      </c>
      <c r="Q19" s="30" t="n">
        <v>45316</v>
      </c>
      <c r="R19" s="26" t="n">
        <v>187634</v>
      </c>
      <c r="S19" s="26" t="inlineStr">
        <is>
          <t>K009-901605081</t>
        </is>
      </c>
      <c r="T19" s="26" t="inlineStr">
        <is>
          <t>ទ្រូ ខមភែនៀន ឡូជីស្ទីក (ខេមបូឌា)</t>
        </is>
      </c>
      <c r="U19" s="27" t="n">
        <v>187634</v>
      </c>
      <c r="V19" s="26" t="n">
        <v>0</v>
      </c>
    </row>
    <row r="20">
      <c r="A20" s="3" t="n">
        <v>19</v>
      </c>
      <c r="B20" s="4" t="inlineStr">
        <is>
          <t>FACTORY DECORATION FEE</t>
        </is>
      </c>
      <c r="C20" s="4" t="inlineStr">
        <is>
          <t>ខ្វាន់ទុម ហ្គាមេន ឯ.ក</t>
        </is>
      </c>
      <c r="D20" s="5" t="inlineStr">
        <is>
          <t>L001-100181244</t>
        </is>
      </c>
      <c r="E20" s="10" t="inlineStr">
        <is>
          <t>CBK-202300024</t>
        </is>
      </c>
      <c r="F20" s="7" t="inlineStr">
        <is>
          <t>25-12-2023</t>
        </is>
      </c>
      <c r="G20" s="8" t="n">
        <v>40602535</v>
      </c>
      <c r="H20" s="9" t="n"/>
      <c r="I20" s="33">
        <f>G20</f>
        <v/>
      </c>
      <c r="J20" s="21" t="n"/>
      <c r="K20" s="21">
        <f>I20-G20</f>
        <v/>
      </c>
      <c r="L20" s="22" t="n"/>
      <c r="M20" s="22">
        <f>R20=E20</f>
        <v/>
      </c>
      <c r="N20" s="22">
        <f>AND(MONTH(F20)=MONTH(Q20), YEAR(F20)=YEAR(Q20))</f>
        <v/>
      </c>
      <c r="O20" s="22">
        <f>"L001-902303751"=S20</f>
        <v/>
      </c>
      <c r="P20" s="29">
        <f>G20-U20</f>
        <v/>
      </c>
      <c r="Q20" s="30" t="n">
        <v>45313</v>
      </c>
      <c r="R20" s="26" t="n">
        <v>84373</v>
      </c>
      <c r="S20" s="26" t="inlineStr">
        <is>
          <t>L001-104015799</t>
        </is>
      </c>
      <c r="T20" s="26" t="inlineStr">
        <is>
          <t>យូសេន ឡូជីស្ទីក (ខេមបូឌា) ខូ អិលធីឌី</t>
        </is>
      </c>
      <c r="U20" s="27" t="n">
        <v>84373</v>
      </c>
      <c r="V20" s="26" t="n">
        <v>0</v>
      </c>
    </row>
    <row r="21">
      <c r="A21" s="3" t="n">
        <v>20</v>
      </c>
      <c r="B21" s="4" t="inlineStr">
        <is>
          <t>PVC thin film</t>
        </is>
      </c>
      <c r="C21" s="4" t="inlineStr">
        <is>
          <t>ដេកូស៍ អ៊ិនដាសស្ទ្រី ឯ.ក</t>
        </is>
      </c>
      <c r="D21" s="5" t="inlineStr">
        <is>
          <t>K007-901639102</t>
        </is>
      </c>
      <c r="E21" s="10" t="inlineStr">
        <is>
          <t>000178</t>
        </is>
      </c>
      <c r="F21" s="7" t="inlineStr">
        <is>
          <t>01-12-2023</t>
        </is>
      </c>
      <c r="G21" s="8" t="n">
        <v>90486</v>
      </c>
      <c r="H21" s="9" t="n"/>
      <c r="I21" s="33">
        <f>G21</f>
        <v/>
      </c>
      <c r="J21" s="21" t="n"/>
      <c r="K21" s="21">
        <f>I21-G21</f>
        <v/>
      </c>
      <c r="L21" s="22" t="n"/>
      <c r="M21" s="22">
        <f>R21=E21</f>
        <v/>
      </c>
      <c r="N21" s="22">
        <f>AND(MONTH(F21)=MONTH(Q21), YEAR(F21)=YEAR(Q21))</f>
        <v/>
      </c>
      <c r="O21" s="22">
        <f>"L001-902303751"=S21</f>
        <v/>
      </c>
      <c r="P21" s="29">
        <f>G21-U21</f>
        <v/>
      </c>
      <c r="Q21" s="30" t="n">
        <v>45313</v>
      </c>
      <c r="R21" s="26" t="n">
        <v>2221420</v>
      </c>
      <c r="S21" s="26" t="inlineStr">
        <is>
          <t>K009-901605081</t>
        </is>
      </c>
      <c r="T21" s="26" t="inlineStr">
        <is>
          <t>ទ្រូ ខមភែនៀន ឡូជីស្ទីក (ខេមបូឌា)</t>
        </is>
      </c>
      <c r="U21" s="27" t="n">
        <v>2221420</v>
      </c>
      <c r="V21" s="26" t="n">
        <v>0</v>
      </c>
    </row>
    <row r="22">
      <c r="A22" s="3" t="n">
        <v>21</v>
      </c>
      <c r="B22" s="4" t="inlineStr">
        <is>
          <t>Stationary</t>
        </is>
      </c>
      <c r="C22" s="4" t="inlineStr">
        <is>
          <t>ស៊ី &amp; ជី ត្រេឌីង ឯ.ក</t>
        </is>
      </c>
      <c r="D22" s="5" t="inlineStr">
        <is>
          <t>K010-902205065</t>
        </is>
      </c>
      <c r="E22" s="10" t="inlineStr">
        <is>
          <t>2023-0062</t>
        </is>
      </c>
      <c r="F22" s="7" t="inlineStr">
        <is>
          <t>01-12-2023</t>
        </is>
      </c>
      <c r="G22" s="8" t="n">
        <v>362107</v>
      </c>
      <c r="H22" s="9" t="n"/>
      <c r="I22" s="33">
        <f>G22</f>
        <v/>
      </c>
      <c r="J22" s="21" t="n"/>
      <c r="K22" s="21">
        <f>I22-G22</f>
        <v/>
      </c>
      <c r="L22" s="22" t="n"/>
      <c r="M22" s="22">
        <f>R22=E22</f>
        <v/>
      </c>
      <c r="N22" s="22">
        <f>AND(MONTH(F22)=MONTH(Q22), YEAR(F22)=YEAR(Q22))</f>
        <v/>
      </c>
      <c r="O22" s="22">
        <f>"L001-902303751"=S22</f>
        <v/>
      </c>
      <c r="P22" s="29">
        <f>G22-U22</f>
        <v/>
      </c>
      <c r="Q22" s="30" t="n">
        <v>45308</v>
      </c>
      <c r="R22" s="26" t="n">
        <v>2225780</v>
      </c>
      <c r="S22" s="26" t="inlineStr">
        <is>
          <t>K009-901605081</t>
        </is>
      </c>
      <c r="T22" s="26" t="inlineStr">
        <is>
          <t>ទ្រូ ខមភែនៀន ឡូជីស្ទីក (ខេមបូឌា)</t>
        </is>
      </c>
      <c r="U22" s="27" t="n">
        <v>2225780</v>
      </c>
      <c r="V22" s="26" t="n">
        <v>0</v>
      </c>
    </row>
    <row r="23">
      <c r="A23" s="3" t="n">
        <v>22</v>
      </c>
      <c r="B23" s="4" t="inlineStr">
        <is>
          <t>PVC thin film</t>
        </is>
      </c>
      <c r="C23" s="4" t="inlineStr">
        <is>
          <t>ដេកូស៍ អ៊ិនដាសស្ទ្រី ឯ.ក</t>
        </is>
      </c>
      <c r="D23" s="5" t="inlineStr">
        <is>
          <t>K007-901639102</t>
        </is>
      </c>
      <c r="E23" s="10" t="inlineStr">
        <is>
          <t>000190</t>
        </is>
      </c>
      <c r="F23" s="7" t="inlineStr">
        <is>
          <t>18-12-2023</t>
        </is>
      </c>
      <c r="G23" s="8" t="n">
        <v>271128</v>
      </c>
      <c r="H23" s="9" t="n"/>
      <c r="I23" s="33">
        <f>G23</f>
        <v/>
      </c>
      <c r="J23" s="21" t="n"/>
      <c r="K23" s="21">
        <f>I23-G23</f>
        <v/>
      </c>
      <c r="L23" s="22" t="n"/>
      <c r="M23" s="22">
        <f>R23=E23</f>
        <v/>
      </c>
      <c r="N23" s="22">
        <f>AND(MONTH(F23)=MONTH(Q23), YEAR(F23)=YEAR(Q23))</f>
        <v/>
      </c>
      <c r="O23" s="22">
        <f>"L001-902303751"=S23</f>
        <v/>
      </c>
      <c r="P23" s="29">
        <f>G23-U23</f>
        <v/>
      </c>
      <c r="Q23" s="30" t="n">
        <v>45320</v>
      </c>
      <c r="R23" s="26" t="n">
        <v>2224145</v>
      </c>
      <c r="S23" s="26" t="inlineStr">
        <is>
          <t>K009-901605081</t>
        </is>
      </c>
      <c r="T23" s="26" t="inlineStr">
        <is>
          <t>ទ្រូ ខមភែនៀន ឡូជីស្ទីក (ខេមបូឌា)</t>
        </is>
      </c>
      <c r="U23" s="27" t="n">
        <v>2224145</v>
      </c>
      <c r="V23" s="26" t="n">
        <v>0</v>
      </c>
    </row>
    <row r="24">
      <c r="A24" s="3" t="n">
        <v>23</v>
      </c>
      <c r="B24" s="4" t="inlineStr">
        <is>
          <t>FACTORY RENTAL AND DECORATION FEE</t>
        </is>
      </c>
      <c r="C24" s="4" t="inlineStr">
        <is>
          <t>ខ្វាន់ទុម ហ្គាមេន ឯ.ក</t>
        </is>
      </c>
      <c r="D24" s="5" t="inlineStr">
        <is>
          <t>L001-100181244</t>
        </is>
      </c>
      <c r="E24" s="10" t="inlineStr">
        <is>
          <t>CBK-202300025</t>
        </is>
      </c>
      <c r="F24" s="7" t="inlineStr">
        <is>
          <t>25-12-2023</t>
        </is>
      </c>
      <c r="G24" s="8" t="n">
        <v>14046183</v>
      </c>
      <c r="H24" s="9" t="n"/>
      <c r="I24" s="33">
        <f>G24</f>
        <v/>
      </c>
      <c r="J24" s="21" t="n"/>
      <c r="K24" s="21">
        <f>I24-G24</f>
        <v/>
      </c>
      <c r="L24" s="22" t="n"/>
      <c r="M24" s="22">
        <f>R24=E24</f>
        <v/>
      </c>
      <c r="N24" s="22">
        <f>AND(MONTH(F24)=MONTH(Q24), YEAR(F24)=YEAR(Q24))</f>
        <v/>
      </c>
      <c r="O24" s="22">
        <f>"L001-902303751"=S24</f>
        <v/>
      </c>
      <c r="P24" s="29">
        <f>G24-U24</f>
        <v/>
      </c>
      <c r="Q24" s="30" t="n">
        <v>45295</v>
      </c>
      <c r="R24" s="26" t="n">
        <v>2226870</v>
      </c>
      <c r="S24" s="26" t="inlineStr">
        <is>
          <t>K009-901605081</t>
        </is>
      </c>
      <c r="T24" s="26" t="inlineStr">
        <is>
          <t>ទ្រូ ខមភែនៀន ឡូជីស្ទីក (ខេមបូឌា)</t>
        </is>
      </c>
      <c r="U24" s="27" t="n">
        <v>2226870</v>
      </c>
      <c r="V24" s="26" t="n">
        <v>0</v>
      </c>
    </row>
    <row r="25">
      <c r="A25" s="3" t="n">
        <v>24</v>
      </c>
      <c r="B25" s="4" t="inlineStr">
        <is>
          <t>IRON TABLE</t>
        </is>
      </c>
      <c r="C25" s="4" t="inlineStr">
        <is>
          <t>ខ្វាន់ទុម ខ្លូស៊ីង (ខេមបូឌា) លីមីធីត</t>
        </is>
      </c>
      <c r="D25" s="5" t="inlineStr">
        <is>
          <t>L001-100052436</t>
        </is>
      </c>
      <c r="E25" s="10" t="inlineStr">
        <is>
          <t>CBQ-20230016</t>
        </is>
      </c>
      <c r="F25" s="7" t="inlineStr">
        <is>
          <t>31-12-2023</t>
        </is>
      </c>
      <c r="G25" s="8" t="n">
        <v>625005</v>
      </c>
      <c r="H25" s="9" t="n"/>
      <c r="I25" s="33">
        <f>G25</f>
        <v/>
      </c>
      <c r="J25" s="21" t="n"/>
      <c r="K25" s="21">
        <f>I25-G25</f>
        <v/>
      </c>
      <c r="L25" s="22" t="n"/>
      <c r="M25" s="22">
        <f>R25=E25</f>
        <v/>
      </c>
      <c r="N25" s="22">
        <f>AND(MONTH(F25)=MONTH(Q25), YEAR(F25)=YEAR(Q25))</f>
        <v/>
      </c>
      <c r="O25" s="22">
        <f>"L001-902303751"=S25</f>
        <v/>
      </c>
      <c r="P25" s="29">
        <f>G25-U25</f>
        <v/>
      </c>
      <c r="Q25" s="30" t="n">
        <v>45322</v>
      </c>
      <c r="R25" s="26" t="n">
        <v>20415</v>
      </c>
      <c r="S25" s="26" t="inlineStr">
        <is>
          <t>L001-104015799</t>
        </is>
      </c>
      <c r="T25" s="26" t="inlineStr">
        <is>
          <t>យូសេន ឡូជីស្ទីក (ខេមបូឌា) ខូ អិលធីឌី</t>
        </is>
      </c>
      <c r="U25" s="27" t="n">
        <v>20415</v>
      </c>
      <c r="V25" s="26" t="n">
        <v>0</v>
      </c>
    </row>
    <row r="26">
      <c r="A26" s="3" t="n">
        <v>25</v>
      </c>
      <c r="B26" s="4" t="inlineStr">
        <is>
          <t>COATED PAPER, THERMAL TRANSFER RIBBON</t>
        </is>
      </c>
      <c r="C26" s="4" t="inlineStr">
        <is>
          <t>ហ្គូដញូ ភែកឃីជីង ថេកណឡជី ឯ.ក</t>
        </is>
      </c>
      <c r="D26" s="5" t="inlineStr">
        <is>
          <t>L001-901704919</t>
        </is>
      </c>
      <c r="E26" s="10" t="inlineStr">
        <is>
          <t>TI-GN-2023-62</t>
        </is>
      </c>
      <c r="F26" s="7" t="inlineStr">
        <is>
          <t>18-12-2023</t>
        </is>
      </c>
      <c r="G26" s="8" t="n">
        <v>258930</v>
      </c>
      <c r="H26" s="9" t="n"/>
      <c r="I26" s="33">
        <f>G26</f>
        <v/>
      </c>
      <c r="J26" s="21" t="n"/>
      <c r="K26" s="21">
        <f>I26-G26</f>
        <v/>
      </c>
      <c r="L26" s="22" t="n"/>
      <c r="M26" s="22">
        <f>R26=E26</f>
        <v/>
      </c>
      <c r="N26" s="22">
        <f>AND(MONTH(F26)=MONTH(Q26), YEAR(F26)=YEAR(Q26))</f>
        <v/>
      </c>
      <c r="O26" s="22">
        <f>"L001-902303751"=S26</f>
        <v/>
      </c>
      <c r="P26" s="29">
        <f>G26-U26</f>
        <v/>
      </c>
      <c r="Q26" s="30" t="n">
        <v>45313</v>
      </c>
      <c r="R26" s="26" t="n">
        <v>187496</v>
      </c>
      <c r="S26" s="26" t="inlineStr">
        <is>
          <t>K009-901605081</t>
        </is>
      </c>
      <c r="T26" s="26" t="inlineStr">
        <is>
          <t>ទ្រូ ខមភែនៀន ឡូជីស្ទីក (ខេមបូឌា)</t>
        </is>
      </c>
      <c r="U26" s="27" t="n">
        <v>187496</v>
      </c>
      <c r="V26" s="26" t="n">
        <v>0</v>
      </c>
    </row>
    <row r="27">
      <c r="A27" s="3" t="n">
        <v>26</v>
      </c>
      <c r="B27" s="4" t="inlineStr">
        <is>
          <t>Stationary</t>
        </is>
      </c>
      <c r="C27" s="4" t="inlineStr">
        <is>
          <t>ស៊ី &amp; ជី ត្រេឌីង ឯ.ក</t>
        </is>
      </c>
      <c r="D27" s="5" t="inlineStr">
        <is>
          <t>K010-902205065</t>
        </is>
      </c>
      <c r="E27" s="10" t="inlineStr">
        <is>
          <t>2023-0070</t>
        </is>
      </c>
      <c r="F27" s="7" t="inlineStr">
        <is>
          <t>20-12-2023</t>
        </is>
      </c>
      <c r="G27" s="8" t="n">
        <v>57484</v>
      </c>
      <c r="H27" s="9" t="n"/>
      <c r="I27" s="33">
        <f>G27</f>
        <v/>
      </c>
      <c r="J27" s="21" t="n"/>
      <c r="K27" s="21">
        <f>I27-G27</f>
        <v/>
      </c>
      <c r="L27" s="22" t="n"/>
      <c r="M27" s="22">
        <f>R27=E27</f>
        <v/>
      </c>
      <c r="N27" s="22">
        <f>AND(MONTH(F27)=MONTH(Q27), YEAR(F27)=YEAR(Q27))</f>
        <v/>
      </c>
      <c r="O27" s="22">
        <f>"L001-902303751"=S27</f>
        <v/>
      </c>
      <c r="P27" s="29">
        <f>G27-U27</f>
        <v/>
      </c>
      <c r="Q27" s="30" t="n">
        <v>45299</v>
      </c>
      <c r="R27" s="26" t="n">
        <v>97075</v>
      </c>
      <c r="S27" s="26" t="inlineStr">
        <is>
          <t>L001-104015799</t>
        </is>
      </c>
      <c r="T27" s="26" t="inlineStr">
        <is>
          <t>យូសេន ឡូជីស្ទីក (ខេមបូឌា) ខូ អិលធីឌី</t>
        </is>
      </c>
      <c r="U27" s="27" t="n">
        <v>97075</v>
      </c>
      <c r="V27" s="26" t="n">
        <v>0</v>
      </c>
    </row>
    <row r="28">
      <c r="A28" s="3" t="n">
        <v>27</v>
      </c>
      <c r="B28" s="4" t="inlineStr">
        <is>
          <t>INTERNET SERVICE</t>
        </is>
      </c>
      <c r="C28" s="4" t="inlineStr">
        <is>
          <t>អេស.អាយ គ្រុប</t>
        </is>
      </c>
      <c r="D28" s="5" t="inlineStr">
        <is>
          <t>L001-100129250</t>
        </is>
      </c>
      <c r="E28" s="6" t="inlineStr">
        <is>
          <t>2312-1005-00008</t>
        </is>
      </c>
      <c r="F28" s="7" t="inlineStr">
        <is>
          <t>05-12-2023</t>
        </is>
      </c>
      <c r="G28" s="8" t="n">
        <v>20560</v>
      </c>
      <c r="H28" s="9" t="n"/>
      <c r="I28" s="33">
        <f>G28</f>
        <v/>
      </c>
      <c r="J28" s="21" t="n"/>
      <c r="K28" s="21">
        <f>I28-G28</f>
        <v/>
      </c>
      <c r="L28" s="22" t="n"/>
      <c r="M28" s="22">
        <f>R28=E28</f>
        <v/>
      </c>
      <c r="N28" s="22">
        <f>AND(MONTH(F28)=MONTH(Q28), YEAR(F28)=YEAR(Q28))</f>
        <v/>
      </c>
      <c r="O28" s="22">
        <f>"L001-902303751"=S28</f>
        <v/>
      </c>
      <c r="P28" s="29">
        <f>G28-U28</f>
        <v/>
      </c>
      <c r="Q28" s="30" t="n">
        <v>45299</v>
      </c>
      <c r="R28" s="26" t="inlineStr"/>
      <c r="S28" s="26" t="inlineStr">
        <is>
          <t>K003-901635943</t>
        </is>
      </c>
      <c r="T28" s="26" t="inlineStr">
        <is>
          <t>អ៊ីឃ្យូឡាញ វើលវ៉ាយដ៍ ឡូជីស្ទីក</t>
        </is>
      </c>
      <c r="U28" s="27" t="n">
        <v>0</v>
      </c>
      <c r="V28" s="26" t="n">
        <v>0</v>
      </c>
    </row>
    <row r="29">
      <c r="A29" s="3" t="n">
        <v>28</v>
      </c>
      <c r="B29" s="4" t="inlineStr">
        <is>
          <t>INTERNET SERVICE</t>
        </is>
      </c>
      <c r="C29" s="4" t="inlineStr">
        <is>
          <t>អេស.អាយ គ្រុប</t>
        </is>
      </c>
      <c r="D29" s="5" t="inlineStr">
        <is>
          <t>L001-100129250</t>
        </is>
      </c>
      <c r="E29" s="6" t="inlineStr">
        <is>
          <t>2312-1003-00117</t>
        </is>
      </c>
      <c r="F29" s="7" t="inlineStr">
        <is>
          <t>04-12-2023</t>
        </is>
      </c>
      <c r="G29" s="8" t="n">
        <v>1151176</v>
      </c>
      <c r="H29" s="9" t="n"/>
      <c r="I29" s="33">
        <f>G29</f>
        <v/>
      </c>
      <c r="J29" s="21" t="n"/>
      <c r="K29" s="21">
        <f>I29-G29</f>
        <v/>
      </c>
      <c r="L29" s="22" t="n"/>
      <c r="M29" s="22">
        <f>R29=E29</f>
        <v/>
      </c>
      <c r="N29" s="22">
        <f>AND(MONTH(F29)=MONTH(Q29), YEAR(F29)=YEAR(Q29))</f>
        <v/>
      </c>
      <c r="O29" s="22">
        <f>"L001-902303751"=S29</f>
        <v/>
      </c>
      <c r="P29" s="29">
        <f>G29-U29</f>
        <v/>
      </c>
      <c r="Q29" s="30" t="n">
        <v>45299</v>
      </c>
      <c r="R29" s="26" t="inlineStr"/>
      <c r="S29" s="26" t="inlineStr">
        <is>
          <t>L001-104015799</t>
        </is>
      </c>
      <c r="T29" s="26" t="inlineStr">
        <is>
          <t>យូសេន ឡូជីស្ទីក (ខេមបូឌា) ខូ អិលធីឌី</t>
        </is>
      </c>
      <c r="U29" s="27" t="n">
        <v>0</v>
      </c>
      <c r="V29" s="26" t="n">
        <v>0</v>
      </c>
    </row>
    <row r="30">
      <c r="A30" s="3" t="n">
        <v>29</v>
      </c>
      <c r="B30" s="4" t="inlineStr">
        <is>
          <t>Stationary</t>
        </is>
      </c>
      <c r="C30" s="4" t="inlineStr">
        <is>
          <t>ស៊ី &amp; ជី ត្រេឌីង ឯ.ក</t>
        </is>
      </c>
      <c r="D30" s="5" t="inlineStr">
        <is>
          <t>K010-902205065</t>
        </is>
      </c>
      <c r="E30" s="6" t="inlineStr">
        <is>
          <t>2023-0074</t>
        </is>
      </c>
      <c r="F30" s="7" t="inlineStr">
        <is>
          <t>20-12-2023</t>
        </is>
      </c>
      <c r="G30" s="8" t="n">
        <v>529727</v>
      </c>
      <c r="H30" s="9" t="n"/>
      <c r="I30" s="33">
        <f>G30</f>
        <v/>
      </c>
      <c r="J30" s="21" t="n"/>
      <c r="K30" s="21">
        <f>I30-G30</f>
        <v/>
      </c>
      <c r="L30" s="22" t="n"/>
      <c r="M30" s="22">
        <f>R30=E30</f>
        <v/>
      </c>
      <c r="N30" s="22">
        <f>AND(MONTH(F30)=MONTH(Q30), YEAR(F30)=YEAR(Q30))</f>
        <v/>
      </c>
      <c r="O30" s="22">
        <f>"L001-902303751"=S30</f>
        <v/>
      </c>
      <c r="P30" s="29">
        <f>G30-U30</f>
        <v/>
      </c>
      <c r="Q30" s="30" t="n">
        <v>45320</v>
      </c>
      <c r="R30" s="26" t="n">
        <v>96720</v>
      </c>
      <c r="S30" s="26" t="inlineStr">
        <is>
          <t>L001-104015799</t>
        </is>
      </c>
      <c r="T30" s="26" t="inlineStr">
        <is>
          <t>យូសេន ឡូជីស្ទីក (ខេមបូឌា) ខូ អិលធីឌី</t>
        </is>
      </c>
      <c r="U30" s="27" t="n">
        <v>96720</v>
      </c>
      <c r="V30" s="26" t="n">
        <v>0</v>
      </c>
    </row>
    <row r="31">
      <c r="A31" s="3" t="n">
        <v>30</v>
      </c>
      <c r="B31" s="4" t="inlineStr">
        <is>
          <t>SODIUM METABISULFITE, HYDROGEN PEROXIDE</t>
        </is>
      </c>
      <c r="C31" s="4" t="inlineStr">
        <is>
          <t>គី ស៊ីង អ៊ីមផត អិចផត ឯ.ក</t>
        </is>
      </c>
      <c r="D31" s="5" t="inlineStr">
        <is>
          <t>B108-901805414</t>
        </is>
      </c>
      <c r="E31" s="6" t="inlineStr">
        <is>
          <t>QX0326</t>
        </is>
      </c>
      <c r="F31" s="7" t="inlineStr">
        <is>
          <t>29-12-2023</t>
        </is>
      </c>
      <c r="G31" s="8" t="n">
        <v>130720</v>
      </c>
      <c r="H31" s="9" t="n"/>
      <c r="I31" s="33">
        <f>G31</f>
        <v/>
      </c>
      <c r="J31" s="21" t="n"/>
      <c r="K31" s="21">
        <f>I31-G31</f>
        <v/>
      </c>
      <c r="L31" s="22" t="n"/>
      <c r="M31" s="22">
        <f>R31=E31</f>
        <v/>
      </c>
      <c r="N31" s="22">
        <f>AND(MONTH(F31)=MONTH(Q31), YEAR(F31)=YEAR(Q31))</f>
        <v/>
      </c>
      <c r="O31" s="22">
        <f>"L001-902303751"=S31</f>
        <v/>
      </c>
      <c r="P31" s="29">
        <f>G31-U31</f>
        <v/>
      </c>
      <c r="Q31" s="30" t="n">
        <v>45320</v>
      </c>
      <c r="R31" s="26" t="inlineStr"/>
      <c r="S31" s="26" t="inlineStr">
        <is>
          <t>K003-901635943</t>
        </is>
      </c>
      <c r="T31" s="26" t="inlineStr">
        <is>
          <t>អ៊ីឃ្យូឡាញ វើលវ៉ាយដ៍ ឡូជីស្ទីក</t>
        </is>
      </c>
      <c r="U31" s="27" t="n">
        <v>0</v>
      </c>
      <c r="V31" s="26" t="n">
        <v>0</v>
      </c>
    </row>
    <row r="32">
      <c r="A32" s="3" t="n">
        <v>31</v>
      </c>
      <c r="B32" s="4" t="inlineStr">
        <is>
          <t>DELL PE T150 E-2314 16GB</t>
        </is>
      </c>
      <c r="C32" s="4" t="inlineStr">
        <is>
          <t>ធី-អូ គ្រុប ខូ អិលធីឌី</t>
        </is>
      </c>
      <c r="D32" s="5" t="inlineStr">
        <is>
          <t>L001-100096832</t>
        </is>
      </c>
      <c r="E32" s="10" t="inlineStr">
        <is>
          <t>23-02218</t>
        </is>
      </c>
      <c r="F32" s="7" t="inlineStr">
        <is>
          <t>18-12-2023</t>
        </is>
      </c>
      <c r="G32" s="8" t="n">
        <v>596095</v>
      </c>
      <c r="H32" s="9" t="n"/>
      <c r="I32" s="33">
        <f>G32</f>
        <v/>
      </c>
      <c r="J32" s="21" t="n"/>
      <c r="K32" s="21">
        <f>I32-G32</f>
        <v/>
      </c>
      <c r="L32" s="22" t="n"/>
      <c r="M32" s="22">
        <f>R32=E32</f>
        <v/>
      </c>
      <c r="N32" s="22">
        <f>AND(MONTH(F32)=MONTH(Q32), YEAR(F32)=YEAR(Q32))</f>
        <v/>
      </c>
      <c r="O32" s="22">
        <f>"L001-902303751"=S32</f>
        <v/>
      </c>
      <c r="P32" s="29">
        <f>G32-U32</f>
        <v/>
      </c>
      <c r="Q32" s="30" t="n">
        <v>45320</v>
      </c>
      <c r="R32" s="26" t="n">
        <v>84477</v>
      </c>
      <c r="S32" s="26" t="inlineStr">
        <is>
          <t>L001-104015799</t>
        </is>
      </c>
      <c r="T32" s="26" t="inlineStr">
        <is>
          <t>យូសេន ឡូជីស្ទីក (ខេមបូឌា) ខូ អិលធីឌី</t>
        </is>
      </c>
      <c r="U32" s="27" t="n">
        <v>84477</v>
      </c>
      <c r="V32" s="26" t="n">
        <v>0</v>
      </c>
    </row>
    <row r="33">
      <c r="A33" s="3" t="n">
        <v>32</v>
      </c>
      <c r="B33" s="4" t="inlineStr">
        <is>
          <t>Stationary</t>
        </is>
      </c>
      <c r="C33" s="4" t="inlineStr">
        <is>
          <t>ស៊ី &amp; ជី ត្រេឌីង ឯ.ក</t>
        </is>
      </c>
      <c r="D33" s="5" t="inlineStr">
        <is>
          <t>K010-902205065</t>
        </is>
      </c>
      <c r="E33" s="10" t="inlineStr">
        <is>
          <t>2023-0065</t>
        </is>
      </c>
      <c r="F33" s="7" t="inlineStr">
        <is>
          <t>01-12-2023</t>
        </is>
      </c>
      <c r="G33" s="8" t="n">
        <v>1062960</v>
      </c>
      <c r="H33" s="9" t="n"/>
      <c r="I33" s="33">
        <f>G33</f>
        <v/>
      </c>
      <c r="J33" s="21" t="n"/>
      <c r="K33" s="21">
        <f>I33-G33</f>
        <v/>
      </c>
      <c r="L33" s="22" t="n"/>
      <c r="M33" s="22">
        <f>R33=E33</f>
        <v/>
      </c>
      <c r="N33" s="22">
        <f>AND(MONTH(F33)=MONTH(Q33), YEAR(F33)=YEAR(Q33))</f>
        <v/>
      </c>
      <c r="O33" s="22">
        <f>"L001-902303751"=S33</f>
        <v/>
      </c>
      <c r="P33" s="29">
        <f>G33-U33</f>
        <v/>
      </c>
      <c r="Q33" s="30" t="n">
        <v>45320</v>
      </c>
      <c r="R33" s="26" t="inlineStr"/>
      <c r="S33" s="26" t="inlineStr">
        <is>
          <t>L001-104015799</t>
        </is>
      </c>
      <c r="T33" s="26" t="inlineStr">
        <is>
          <t>យូសេន ឡូជីស្ទីក (ខេមបូឌា) ខូ អិលធីឌី</t>
        </is>
      </c>
      <c r="U33" s="27" t="n">
        <v>0</v>
      </c>
      <c r="V33" s="26" t="n">
        <v>0</v>
      </c>
    </row>
    <row r="34">
      <c r="A34" s="3" t="n">
        <v>33</v>
      </c>
      <c r="B34" s="4" t="inlineStr">
        <is>
          <t>MONTLY CHARGE OF PHOTO COPIER RENTAL</t>
        </is>
      </c>
      <c r="C34" s="4" t="inlineStr">
        <is>
          <t>វី.អាយ.អេស ខភៀ ឯ.ក</t>
        </is>
      </c>
      <c r="D34" s="5" t="inlineStr">
        <is>
          <t>K007-901705195</t>
        </is>
      </c>
      <c r="E34" s="10" t="inlineStr">
        <is>
          <t>RNT231227</t>
        </is>
      </c>
      <c r="F34" s="7" t="inlineStr">
        <is>
          <t>06-12-2023</t>
        </is>
      </c>
      <c r="G34" s="8" t="n">
        <v>57596</v>
      </c>
      <c r="H34" s="9" t="n"/>
      <c r="I34" s="33">
        <f>G34</f>
        <v/>
      </c>
      <c r="J34" s="21" t="n"/>
      <c r="K34" s="21">
        <f>I34-G34</f>
        <v/>
      </c>
      <c r="L34" s="22" t="n"/>
      <c r="M34" s="22">
        <f>R34=E34</f>
        <v/>
      </c>
      <c r="N34" s="22">
        <f>AND(MONTH(F34)=MONTH(Q34), YEAR(F34)=YEAR(Q34))</f>
        <v/>
      </c>
      <c r="O34" s="22">
        <f>"L001-902303751"=S34</f>
        <v/>
      </c>
      <c r="P34" s="29">
        <f>G34-U34</f>
        <v/>
      </c>
      <c r="Q34" s="30" t="n">
        <v>45295</v>
      </c>
      <c r="R34" s="26" t="n">
        <v>2226870</v>
      </c>
      <c r="S34" s="26" t="inlineStr">
        <is>
          <t>K009-901605081</t>
        </is>
      </c>
      <c r="T34" s="26" t="inlineStr">
        <is>
          <t>ទ្រូ ខមភែនៀន ឡូជីស្ទីក (ខេមបូឌា)</t>
        </is>
      </c>
      <c r="U34" s="27" t="n">
        <v>2226870</v>
      </c>
      <c r="V34" s="26" t="n">
        <v>0</v>
      </c>
    </row>
    <row r="35">
      <c r="A35" s="3" t="n">
        <v>34</v>
      </c>
      <c r="B35" s="4" t="inlineStr">
        <is>
          <t>MONTLY CHARGE OF PHOTO COPIER RENTAL</t>
        </is>
      </c>
      <c r="C35" s="4" t="inlineStr">
        <is>
          <t>វី.អាយ.អេស ខភៀ ឯ.ក</t>
        </is>
      </c>
      <c r="D35" s="5" t="inlineStr">
        <is>
          <t>K007-901705195</t>
        </is>
      </c>
      <c r="E35" s="10" t="inlineStr">
        <is>
          <t>RNT231226</t>
        </is>
      </c>
      <c r="F35" s="7" t="inlineStr">
        <is>
          <t>06-12-2023</t>
        </is>
      </c>
      <c r="G35" s="8" t="n">
        <v>28798</v>
      </c>
      <c r="H35" s="9" t="n"/>
      <c r="I35" s="33">
        <f>G35</f>
        <v/>
      </c>
      <c r="J35" s="21" t="n"/>
      <c r="K35" s="21">
        <f>I35-G35</f>
        <v/>
      </c>
      <c r="L35" s="22" t="n"/>
      <c r="M35" s="22">
        <f>R35=E35</f>
        <v/>
      </c>
      <c r="N35" s="22">
        <f>AND(MONTH(F35)=MONTH(Q35), YEAR(F35)=YEAR(Q35))</f>
        <v/>
      </c>
      <c r="O35" s="22">
        <f>"L001-902303751"=S35</f>
        <v/>
      </c>
      <c r="P35" s="29">
        <f>G35-U35</f>
        <v/>
      </c>
      <c r="Q35" s="30" t="n">
        <v>45316</v>
      </c>
      <c r="R35" s="26" t="n">
        <v>2223055</v>
      </c>
      <c r="S35" s="26" t="inlineStr">
        <is>
          <t>K009-901605081</t>
        </is>
      </c>
      <c r="T35" s="26" t="inlineStr">
        <is>
          <t>ទ្រូ ខមភែនៀន ឡូជីស្ទីក (ខេមបូឌា)</t>
        </is>
      </c>
      <c r="U35" s="27" t="n">
        <v>2223055</v>
      </c>
      <c r="V35" s="26" t="n">
        <v>0</v>
      </c>
    </row>
    <row r="36">
      <c r="A36" s="3" t="n">
        <v>35</v>
      </c>
      <c r="B36" s="4" t="inlineStr">
        <is>
          <t>MONTLY CHARGE OF PHOTO COPIER RENTAL</t>
        </is>
      </c>
      <c r="C36" s="4" t="inlineStr">
        <is>
          <t>វី.អាយ.អេស ខភៀ ឯ.ក</t>
        </is>
      </c>
      <c r="D36" s="5" t="inlineStr">
        <is>
          <t>K007-901705195</t>
        </is>
      </c>
      <c r="E36" s="10" t="inlineStr">
        <is>
          <t>RNT231225</t>
        </is>
      </c>
      <c r="F36" s="7" t="inlineStr">
        <is>
          <t>06-12-2023</t>
        </is>
      </c>
      <c r="G36" s="8" t="n">
        <v>26741</v>
      </c>
      <c r="H36" s="9" t="n"/>
      <c r="I36" s="33">
        <f>G36</f>
        <v/>
      </c>
      <c r="J36" s="21" t="n"/>
      <c r="K36" s="21">
        <f>I36-G36</f>
        <v/>
      </c>
      <c r="L36" s="22" t="n"/>
      <c r="M36" s="22">
        <f>R36=E36</f>
        <v/>
      </c>
      <c r="N36" s="22">
        <f>AND(MONTH(F36)=MONTH(Q36), YEAR(F36)=YEAR(Q36))</f>
        <v/>
      </c>
      <c r="O36" s="22">
        <f>"L001-902303751"=S36</f>
        <v/>
      </c>
      <c r="P36" s="29">
        <f>G36-U36</f>
        <v/>
      </c>
      <c r="Q36" s="30" t="n">
        <v>45329</v>
      </c>
      <c r="R36" s="26" t="n">
        <v>89782</v>
      </c>
      <c r="S36" s="26" t="inlineStr">
        <is>
          <t>L001-100098134</t>
        </is>
      </c>
      <c r="T36" s="26" t="inlineStr">
        <is>
          <t>បុងកាហ្វេ (ខេមបូឌា)</t>
        </is>
      </c>
      <c r="U36" s="27" t="n">
        <v>89782</v>
      </c>
      <c r="V36" s="26" t="n">
        <v>0</v>
      </c>
    </row>
    <row r="37">
      <c r="A37" s="3" t="n">
        <v>36</v>
      </c>
      <c r="B37" s="4" t="inlineStr">
        <is>
          <t>MONTLY CHARGE OF PHOTO COPIER RENTAL</t>
        </is>
      </c>
      <c r="C37" s="4" t="inlineStr">
        <is>
          <t>វី.អាយ.អេស ខភៀ ឯ.ក</t>
        </is>
      </c>
      <c r="D37" s="5" t="inlineStr">
        <is>
          <t>K007-901705195</t>
        </is>
      </c>
      <c r="E37" s="10" t="inlineStr">
        <is>
          <t>RNT231224</t>
        </is>
      </c>
      <c r="F37" s="7" t="inlineStr">
        <is>
          <t>06-12-2023</t>
        </is>
      </c>
      <c r="G37" s="8" t="n">
        <v>57596</v>
      </c>
      <c r="H37" s="9" t="n"/>
      <c r="I37" s="33">
        <f>G37</f>
        <v/>
      </c>
      <c r="J37" s="21" t="n"/>
      <c r="K37" s="21">
        <f>I37-G37</f>
        <v/>
      </c>
      <c r="L37" s="22" t="n"/>
      <c r="M37" s="22">
        <f>R37=E37</f>
        <v/>
      </c>
      <c r="N37" s="22">
        <f>AND(MONTH(F37)=MONTH(Q37), YEAR(F37)=YEAR(Q37))</f>
        <v/>
      </c>
      <c r="O37" s="22">
        <f>"L001-902303751"=S37</f>
        <v/>
      </c>
      <c r="P37" s="29">
        <f>G37-U37</f>
        <v/>
      </c>
      <c r="Q37" s="30" t="n">
        <v>45336</v>
      </c>
      <c r="R37" s="26" t="n">
        <v>130368</v>
      </c>
      <c r="S37" s="26" t="inlineStr">
        <is>
          <t>L001-105000965</t>
        </is>
      </c>
      <c r="T37" s="26" t="inlineStr">
        <is>
          <t>រែភីដ ហ្រ្វេត ឡូជីស្ទីក (ខេមបូឌា)</t>
        </is>
      </c>
      <c r="U37" s="27" t="n">
        <v>130368</v>
      </c>
      <c r="V37" s="26" t="n">
        <v>0</v>
      </c>
    </row>
    <row r="38">
      <c r="A38" s="3" t="n">
        <v>37</v>
      </c>
      <c r="B38" s="4" t="inlineStr">
        <is>
          <t>SPARE PART MACHINE</t>
        </is>
      </c>
      <c r="C38" s="4" t="inlineStr">
        <is>
          <t>ក្លាក ហ៊ូ ឯ.ក</t>
        </is>
      </c>
      <c r="D38" s="5" t="inlineStr">
        <is>
          <t>K007-901639199</t>
        </is>
      </c>
      <c r="E38" s="10" t="inlineStr">
        <is>
          <t>IN1725</t>
        </is>
      </c>
      <c r="F38" s="7" t="inlineStr">
        <is>
          <t>01-12-2023</t>
        </is>
      </c>
      <c r="G38" s="8" t="n">
        <v>796417</v>
      </c>
      <c r="H38" s="9" t="n"/>
      <c r="I38" s="33">
        <f>G38</f>
        <v/>
      </c>
      <c r="J38" s="21" t="n"/>
      <c r="K38" s="21">
        <f>I38-G38</f>
        <v/>
      </c>
      <c r="L38" s="22" t="n"/>
      <c r="M38" s="22">
        <f>R38=E38</f>
        <v/>
      </c>
      <c r="N38" s="22">
        <f>AND(MONTH(F38)=MONTH(Q38), YEAR(F38)=YEAR(Q38))</f>
        <v/>
      </c>
      <c r="O38" s="22">
        <f>"L001-902303751"=S38</f>
        <v/>
      </c>
      <c r="P38" s="29">
        <f>G38-U38</f>
        <v/>
      </c>
      <c r="Q38" s="30" t="n">
        <v>45328</v>
      </c>
      <c r="R38" s="26" t="n">
        <v>1122275</v>
      </c>
      <c r="S38" s="26" t="inlineStr">
        <is>
          <t>K009-901605081</t>
        </is>
      </c>
      <c r="T38" s="26" t="inlineStr">
        <is>
          <t>ទ្រូ ខមភែនៀន ឡូជីស្ទីក (ខេមបូឌា)</t>
        </is>
      </c>
      <c r="U38" s="27" t="n">
        <v>1122275</v>
      </c>
      <c r="V38" s="26" t="n">
        <v>0</v>
      </c>
    </row>
    <row r="39">
      <c r="A39" s="3" t="n">
        <v>38</v>
      </c>
      <c r="B39" s="4" t="inlineStr">
        <is>
          <t>Security Guard</t>
        </is>
      </c>
      <c r="C39" s="4" t="inlineStr">
        <is>
          <t>សុខ វុទ្ធី ស៊ីឃ្យួរឹធី</t>
        </is>
      </c>
      <c r="D39" s="5" t="inlineStr">
        <is>
          <t>K010-108012816</t>
        </is>
      </c>
      <c r="E39" s="10" t="inlineStr">
        <is>
          <t>S0114</t>
        </is>
      </c>
      <c r="F39" s="7" t="inlineStr">
        <is>
          <t>01-12-2023</t>
        </is>
      </c>
      <c r="G39" s="8" t="n">
        <v>934928</v>
      </c>
      <c r="H39" s="9" t="n"/>
      <c r="I39" s="33">
        <f>G39</f>
        <v/>
      </c>
      <c r="J39" s="21" t="n"/>
      <c r="K39" s="21">
        <f>I39-G39</f>
        <v/>
      </c>
      <c r="L39" s="22" t="n"/>
      <c r="M39" s="22">
        <f>R39=E39</f>
        <v/>
      </c>
      <c r="N39" s="22">
        <f>AND(MONTH(F39)=MONTH(Q39), YEAR(F39)=YEAR(Q39))</f>
        <v/>
      </c>
      <c r="O39" s="22">
        <f>"L001-902303751"=S39</f>
        <v/>
      </c>
      <c r="P39" s="29">
        <f>G39-U39</f>
        <v/>
      </c>
      <c r="Q39" s="30" t="n">
        <v>45327</v>
      </c>
      <c r="R39" s="26" t="n">
        <v>113127</v>
      </c>
      <c r="S39" s="26" t="inlineStr">
        <is>
          <t>L001-107041723</t>
        </is>
      </c>
      <c r="T39" s="26" t="inlineStr">
        <is>
          <t>ឌីប៊ី សេនឃើរ (ខេមបូឌា) លីមីធីត</t>
        </is>
      </c>
      <c r="U39" s="27" t="n">
        <v>113127</v>
      </c>
      <c r="V39" s="26" t="n">
        <v>0</v>
      </c>
    </row>
    <row r="40">
      <c r="A40" s="3" t="n">
        <v>39</v>
      </c>
      <c r="B40" s="4" t="inlineStr">
        <is>
          <t>Security Guard</t>
        </is>
      </c>
      <c r="C40" s="4" t="inlineStr">
        <is>
          <t>សុខ វុទ្ធី ស៊ីឃ្យួរឹធី</t>
        </is>
      </c>
      <c r="D40" s="5" t="inlineStr">
        <is>
          <t>K010-108012816</t>
        </is>
      </c>
      <c r="E40" s="10" t="inlineStr">
        <is>
          <t>S0099</t>
        </is>
      </c>
      <c r="F40" s="7" t="inlineStr">
        <is>
          <t>01-12-2023</t>
        </is>
      </c>
      <c r="G40" s="8" t="n">
        <v>810460</v>
      </c>
      <c r="H40" s="9" t="n"/>
      <c r="I40" s="33">
        <f>G40</f>
        <v/>
      </c>
      <c r="J40" s="21" t="n"/>
      <c r="K40" s="21">
        <f>I40-G40</f>
        <v/>
      </c>
      <c r="L40" s="22" t="n"/>
      <c r="M40" s="22">
        <f>R40=E40</f>
        <v/>
      </c>
      <c r="N40" s="22">
        <f>AND(MONTH(F40)=MONTH(Q40), YEAR(F40)=YEAR(Q40))</f>
        <v/>
      </c>
      <c r="O40" s="22">
        <f>"L001-902303751"=S40</f>
        <v/>
      </c>
      <c r="P40" s="29">
        <f>G40-U40</f>
        <v/>
      </c>
      <c r="Q40" s="30" t="n">
        <v>45327</v>
      </c>
      <c r="R40" s="26" t="n">
        <v>177246</v>
      </c>
      <c r="S40" s="26" t="inlineStr">
        <is>
          <t>K003-901635943</t>
        </is>
      </c>
      <c r="T40" s="26" t="inlineStr">
        <is>
          <t>អ៊ីឃ្យូឡាញ វើលវ៉ាយដ៍ ឡូជីស្ទីក</t>
        </is>
      </c>
      <c r="U40" s="27" t="n">
        <v>177246</v>
      </c>
      <c r="V40" s="26" t="n">
        <v>0</v>
      </c>
    </row>
    <row r="41">
      <c r="A41" s="3" t="n">
        <v>40</v>
      </c>
      <c r="B41" s="4" t="inlineStr">
        <is>
          <t>Thread</t>
        </is>
      </c>
      <c r="C41" s="4" t="inlineStr">
        <is>
          <t>គ្លូប៊ល សុីលីន ហ្គាមុិន អេកសេសឺរី ឯ.ក</t>
        </is>
      </c>
      <c r="D41" s="5" t="inlineStr">
        <is>
          <t>L001-902200857</t>
        </is>
      </c>
      <c r="E41" s="6" t="inlineStr">
        <is>
          <t>000772</t>
        </is>
      </c>
      <c r="F41" s="7" t="inlineStr">
        <is>
          <t>01-12-2023</t>
        </is>
      </c>
      <c r="G41" s="8" t="n">
        <v>106990</v>
      </c>
      <c r="H41" s="9" t="n"/>
      <c r="I41" s="33">
        <f>G41</f>
        <v/>
      </c>
      <c r="J41" s="21" t="n"/>
      <c r="K41" s="21">
        <f>I41-G41</f>
        <v/>
      </c>
      <c r="L41" s="22" t="n"/>
      <c r="M41" s="22">
        <f>R41=E41</f>
        <v/>
      </c>
      <c r="N41" s="22">
        <f>AND(MONTH(F41)=MONTH(Q41), YEAR(F41)=YEAR(Q41))</f>
        <v/>
      </c>
      <c r="O41" s="22">
        <f>"L001-902303751"=S41</f>
        <v/>
      </c>
      <c r="P41" s="29">
        <f>G41-U41</f>
        <v/>
      </c>
      <c r="Q41" s="30" t="n">
        <v>45334</v>
      </c>
      <c r="R41" s="26" t="inlineStr"/>
      <c r="S41" s="26" t="inlineStr">
        <is>
          <t>K003-901635943</t>
        </is>
      </c>
      <c r="T41" s="26" t="inlineStr">
        <is>
          <t>អ៊ីឃ្យូឡាញ វើលវ៉ាយដ៍ ឡូជីស្ទីក</t>
        </is>
      </c>
      <c r="U41" s="27" t="n">
        <v>0</v>
      </c>
      <c r="V41" s="26" t="n">
        <v>0</v>
      </c>
    </row>
    <row r="42">
      <c r="A42" s="3" t="n">
        <v>41</v>
      </c>
      <c r="B42" s="4" t="inlineStr">
        <is>
          <t>Hardware</t>
        </is>
      </c>
      <c r="C42" s="4" t="inlineStr">
        <is>
          <t>ភ្នំពេញ ថប វើលដ៍ ខនស្ត្រាក់សិន &amp; អេនជីនារីង ឯ.ក</t>
        </is>
      </c>
      <c r="D42" s="5" t="inlineStr">
        <is>
          <t>K005-901638261</t>
        </is>
      </c>
      <c r="E42" s="6" t="inlineStr">
        <is>
          <t>000003</t>
        </is>
      </c>
      <c r="F42" s="7" t="inlineStr">
        <is>
          <t>04-01-2024</t>
        </is>
      </c>
      <c r="G42" s="8" t="n">
        <v>2029189</v>
      </c>
      <c r="H42" s="9" t="n"/>
      <c r="I42" s="33">
        <f>G42</f>
        <v/>
      </c>
      <c r="J42" s="21" t="n"/>
      <c r="K42" s="21">
        <f>I42-G42</f>
        <v/>
      </c>
      <c r="L42" s="22" t="n"/>
      <c r="M42" s="22">
        <f>R42=E42</f>
        <v/>
      </c>
      <c r="N42" s="22">
        <f>AND(MONTH(F42)=MONTH(Q42), YEAR(F42)=YEAR(Q42))</f>
        <v/>
      </c>
      <c r="O42" s="22">
        <f>"L001-902303751"=S42</f>
        <v/>
      </c>
      <c r="P42" s="29">
        <f>G42-U42</f>
        <v/>
      </c>
      <c r="Q42" s="30" t="n">
        <v>45348</v>
      </c>
      <c r="R42" s="26" t="n">
        <v>84353</v>
      </c>
      <c r="S42" s="26" t="inlineStr">
        <is>
          <t>K009-901605081</t>
        </is>
      </c>
      <c r="T42" s="26" t="inlineStr">
        <is>
          <t>ទ្រូ ខមភែនៀន ឡូជីស្ទីក (ខេមបូឌា)</t>
        </is>
      </c>
      <c r="U42" s="27" t="n">
        <v>84353</v>
      </c>
      <c r="V42" s="26" t="n">
        <v>0</v>
      </c>
    </row>
    <row r="43">
      <c r="A43" s="3" t="n">
        <v>42</v>
      </c>
      <c r="B43" s="4" t="inlineStr">
        <is>
          <t>Monthly Charge of Photo Copier Rental from 06-12-2023-06-01-2024</t>
        </is>
      </c>
      <c r="C43" s="4" t="inlineStr">
        <is>
          <t>វី.អាយ.អេស ខភៀ ឯ.ក</t>
        </is>
      </c>
      <c r="D43" s="5" t="inlineStr">
        <is>
          <t>K007-901705195</t>
        </is>
      </c>
      <c r="E43" s="6" t="inlineStr">
        <is>
          <t>RNT240124</t>
        </is>
      </c>
      <c r="F43" s="7" t="inlineStr">
        <is>
          <t>06-01-2024</t>
        </is>
      </c>
      <c r="G43" s="8" t="n">
        <v>57302</v>
      </c>
      <c r="H43" s="9" t="n"/>
      <c r="I43" s="33">
        <f>G43</f>
        <v/>
      </c>
      <c r="J43" s="21" t="n"/>
      <c r="K43" s="21">
        <f>I43-G43</f>
        <v/>
      </c>
      <c r="L43" s="22" t="n"/>
      <c r="M43" s="22">
        <f>R43=E43</f>
        <v/>
      </c>
      <c r="N43" s="22">
        <f>AND(MONTH(F43)=MONTH(Q43), YEAR(F43)=YEAR(Q43))</f>
        <v/>
      </c>
      <c r="O43" s="22">
        <f>"L001-902303751"=S43</f>
        <v/>
      </c>
      <c r="P43" s="29">
        <f>G43-U43</f>
        <v/>
      </c>
      <c r="Q43" s="30" t="n">
        <v>45344</v>
      </c>
      <c r="R43" s="26" t="n">
        <v>187634</v>
      </c>
      <c r="S43" s="26" t="inlineStr">
        <is>
          <t>K009-901605081</t>
        </is>
      </c>
      <c r="T43" s="26" t="inlineStr">
        <is>
          <t>ទ្រូ ខមភែនៀន ឡូជីស្ទីក (ខេមបូឌា)</t>
        </is>
      </c>
      <c r="U43" s="27" t="n">
        <v>187634</v>
      </c>
      <c r="V43" s="26" t="n">
        <v>0</v>
      </c>
    </row>
    <row r="44">
      <c r="A44" s="3" t="n">
        <v>43</v>
      </c>
      <c r="B44" s="4" t="inlineStr">
        <is>
          <t>Monthly Charge of Photo Copier Rental from 06-12-2023-06-01-2024</t>
        </is>
      </c>
      <c r="C44" s="4" t="inlineStr">
        <is>
          <t>វី.អាយ.អេស ខភៀ ឯ.ក</t>
        </is>
      </c>
      <c r="D44" s="5" t="inlineStr">
        <is>
          <t>K007-901705195</t>
        </is>
      </c>
      <c r="E44" s="6" t="inlineStr">
        <is>
          <t>RNT240125</t>
        </is>
      </c>
      <c r="F44" s="7" t="inlineStr">
        <is>
          <t>06-01-2024</t>
        </is>
      </c>
      <c r="G44" s="8" t="n">
        <v>26605</v>
      </c>
      <c r="H44" s="9" t="n"/>
      <c r="I44" s="33">
        <f>G44</f>
        <v/>
      </c>
      <c r="J44" s="21" t="n"/>
      <c r="K44" s="21">
        <f>I44-G44</f>
        <v/>
      </c>
      <c r="L44" s="22" t="n"/>
      <c r="M44" s="22">
        <f>R44=E44</f>
        <v/>
      </c>
      <c r="N44" s="22">
        <f>AND(MONTH(F44)=MONTH(Q44), YEAR(F44)=YEAR(Q44))</f>
        <v/>
      </c>
      <c r="O44" s="22">
        <f>"L001-902303751"=S44</f>
        <v/>
      </c>
      <c r="P44" s="29">
        <f>G44-U44</f>
        <v/>
      </c>
      <c r="Q44" s="30" t="n">
        <v>45332</v>
      </c>
      <c r="R44" s="26" t="n">
        <v>84435</v>
      </c>
      <c r="S44" s="26" t="inlineStr">
        <is>
          <t>L001-104015799</t>
        </is>
      </c>
      <c r="T44" s="26" t="inlineStr">
        <is>
          <t>យូសេន ឡូជីស្ទីក (ខេមបូឌា) ខូ អិលធីឌី</t>
        </is>
      </c>
      <c r="U44" s="27" t="n">
        <v>84435</v>
      </c>
      <c r="V44" s="26" t="n">
        <v>0</v>
      </c>
    </row>
    <row r="45">
      <c r="A45" s="3" t="n">
        <v>44</v>
      </c>
      <c r="B45" s="4" t="inlineStr">
        <is>
          <t>Motherboard, Host, Techincian service fee</t>
        </is>
      </c>
      <c r="C45" s="4" t="inlineStr">
        <is>
          <t>ក្លាក ហ៊ូ ឯ.ក</t>
        </is>
      </c>
      <c r="D45" s="5" t="inlineStr">
        <is>
          <t>K007-901639199</t>
        </is>
      </c>
      <c r="E45" s="10" t="inlineStr">
        <is>
          <t>IN0080</t>
        </is>
      </c>
      <c r="F45" s="7" t="inlineStr">
        <is>
          <t>18-01-2024</t>
        </is>
      </c>
      <c r="G45" s="8" t="n">
        <v>816200</v>
      </c>
      <c r="H45" s="9" t="n"/>
      <c r="I45" s="33">
        <f>G45</f>
        <v/>
      </c>
      <c r="J45" s="21" t="n"/>
      <c r="K45" s="21">
        <f>I45-G45</f>
        <v/>
      </c>
      <c r="L45" s="22" t="n"/>
      <c r="M45" s="22">
        <f>R45=E45</f>
        <v/>
      </c>
      <c r="N45" s="22">
        <f>AND(MONTH(F45)=MONTH(Q45), YEAR(F45)=YEAR(Q45))</f>
        <v/>
      </c>
      <c r="O45" s="22">
        <f>"L001-902303751"=S45</f>
        <v/>
      </c>
      <c r="P45" s="29">
        <f>G45-U45</f>
        <v/>
      </c>
      <c r="Q45" s="30" t="n">
        <v>45348</v>
      </c>
      <c r="R45" s="26" t="n">
        <v>96578</v>
      </c>
      <c r="S45" s="26" t="inlineStr">
        <is>
          <t>L001-104015799</t>
        </is>
      </c>
      <c r="T45" s="26" t="inlineStr">
        <is>
          <t>យូសេន ឡូជីស្ទីក (ខេមបូឌា) ខូ អិលធីឌី</t>
        </is>
      </c>
      <c r="U45" s="27" t="n">
        <v>96578</v>
      </c>
      <c r="V45" s="26" t="n">
        <v>0</v>
      </c>
    </row>
    <row r="46">
      <c r="A46" s="3" t="n">
        <v>45</v>
      </c>
      <c r="B46" s="4" t="inlineStr">
        <is>
          <t>Monthly Charge of Photo Copier Rental from 06-12-2023-06-01-2024</t>
        </is>
      </c>
      <c r="C46" s="4" t="inlineStr">
        <is>
          <t>វី.អាយ.អេស ខភៀ ឯ.ក</t>
        </is>
      </c>
      <c r="D46" s="5" t="inlineStr">
        <is>
          <t>K007-901705195</t>
        </is>
      </c>
      <c r="E46" s="10" t="inlineStr">
        <is>
          <t>RNT240126</t>
        </is>
      </c>
      <c r="F46" s="7" t="inlineStr">
        <is>
          <t>06-01-2024</t>
        </is>
      </c>
      <c r="G46" s="8" t="n">
        <v>28651</v>
      </c>
      <c r="H46" s="9" t="n"/>
      <c r="I46" s="33">
        <f>G46</f>
        <v/>
      </c>
      <c r="J46" s="21" t="n"/>
      <c r="K46" s="21">
        <f>I46-G46</f>
        <v/>
      </c>
      <c r="L46" s="22" t="n"/>
      <c r="M46" s="22">
        <f>R46=E46</f>
        <v/>
      </c>
      <c r="N46" s="22">
        <f>AND(MONTH(F46)=MONTH(Q46), YEAR(F46)=YEAR(Q46))</f>
        <v/>
      </c>
      <c r="O46" s="22">
        <f>"L001-902303751"=S46</f>
        <v/>
      </c>
      <c r="P46" s="29">
        <f>G46-U46</f>
        <v/>
      </c>
      <c r="Q46" s="30" t="n">
        <v>45336</v>
      </c>
      <c r="R46" s="26" t="n">
        <v>9370</v>
      </c>
      <c r="S46" s="26" t="inlineStr">
        <is>
          <t>L001-105000965</t>
        </is>
      </c>
      <c r="T46" s="26" t="inlineStr">
        <is>
          <t>រែភីដ ហ្រ្វេត ឡូជីស្ទីក (ខេមបូឌា)</t>
        </is>
      </c>
      <c r="U46" s="27" t="n">
        <v>9370</v>
      </c>
      <c r="V46" s="26" t="n">
        <v>0</v>
      </c>
    </row>
    <row r="47">
      <c r="A47" s="3" t="n">
        <v>46</v>
      </c>
      <c r="B47" s="4" t="inlineStr">
        <is>
          <t>Marchine Rental for January 2024 (Buckle wrapping and Hot melt buckle winding machine)</t>
        </is>
      </c>
      <c r="C47" s="4" t="inlineStr">
        <is>
          <t>ក្លាក ហ៊ូ ឯ.ក</t>
        </is>
      </c>
      <c r="D47" s="5" t="inlineStr">
        <is>
          <t>K007-901639199</t>
        </is>
      </c>
      <c r="E47" s="10" t="inlineStr">
        <is>
          <t>IN0122</t>
        </is>
      </c>
      <c r="F47" s="7" t="inlineStr">
        <is>
          <t>24-01-2024</t>
        </is>
      </c>
      <c r="G47" s="8" t="n">
        <v>47305</v>
      </c>
      <c r="H47" s="9" t="n"/>
      <c r="I47" s="33">
        <f>G47</f>
        <v/>
      </c>
      <c r="J47" s="21" t="n"/>
      <c r="K47" s="21">
        <f>I47-G47</f>
        <v/>
      </c>
      <c r="L47" s="22" t="n"/>
      <c r="M47" s="22">
        <f>R47=E47</f>
        <v/>
      </c>
      <c r="N47" s="22">
        <f>AND(MONTH(F47)=MONTH(Q47), YEAR(F47)=YEAR(Q47))</f>
        <v/>
      </c>
      <c r="O47" s="22">
        <f>"L001-902303751"=S47</f>
        <v/>
      </c>
      <c r="P47" s="29">
        <f>G47-U47</f>
        <v/>
      </c>
      <c r="Q47" s="30" t="n">
        <v>45337</v>
      </c>
      <c r="R47" s="26" t="n">
        <v>187450</v>
      </c>
      <c r="S47" s="26" t="inlineStr">
        <is>
          <t>K009-901605081</t>
        </is>
      </c>
      <c r="T47" s="26" t="inlineStr">
        <is>
          <t>ទ្រូ ខមភែនៀន ឡូជីស្ទីក (ខេមបូឌា)</t>
        </is>
      </c>
      <c r="U47" s="27" t="n">
        <v>187450</v>
      </c>
      <c r="V47" s="26" t="n">
        <v>0</v>
      </c>
    </row>
    <row r="48">
      <c r="A48" s="3" t="n">
        <v>47</v>
      </c>
      <c r="B48" s="4" t="inlineStr">
        <is>
          <t>Monthly Charge of Photo Copier Rental from 06-12-2023-06-01-2024</t>
        </is>
      </c>
      <c r="C48" s="4" t="inlineStr">
        <is>
          <t>វី.អាយ.អេស ខភៀ ឯ.ក</t>
        </is>
      </c>
      <c r="D48" s="5" t="inlineStr">
        <is>
          <t>K007-901705195</t>
        </is>
      </c>
      <c r="E48" s="10" t="inlineStr">
        <is>
          <t>RNT240127</t>
        </is>
      </c>
      <c r="F48" s="7" t="inlineStr">
        <is>
          <t>06-01-2024</t>
        </is>
      </c>
      <c r="G48" s="8" t="n">
        <v>57302</v>
      </c>
      <c r="H48" s="9" t="n"/>
      <c r="I48" s="33">
        <f>G48</f>
        <v/>
      </c>
      <c r="J48" s="21" t="n"/>
      <c r="K48" s="21">
        <f>I48-G48</f>
        <v/>
      </c>
      <c r="L48" s="22" t="n"/>
      <c r="M48" s="22">
        <f>R48=E48</f>
        <v/>
      </c>
      <c r="N48" s="22">
        <f>AND(MONTH(F48)=MONTH(Q48), YEAR(F48)=YEAR(Q48))</f>
        <v/>
      </c>
      <c r="O48" s="22">
        <f>"L001-902303751"=S48</f>
        <v/>
      </c>
      <c r="P48" s="29">
        <f>G48-U48</f>
        <v/>
      </c>
      <c r="Q48" s="30" t="n">
        <v>45341</v>
      </c>
      <c r="R48" s="26" t="inlineStr"/>
      <c r="S48" s="26" t="inlineStr">
        <is>
          <t>K003-901635943</t>
        </is>
      </c>
      <c r="T48" s="26" t="inlineStr">
        <is>
          <t>អ៊ីឃ្យូឡាញ វើលវ៉ាយដ៍ ឡូជីស្ទីក</t>
        </is>
      </c>
      <c r="U48" s="27" t="n">
        <v>0</v>
      </c>
      <c r="V48" s="26" t="n">
        <v>0</v>
      </c>
    </row>
    <row r="49">
      <c r="A49" s="3" t="n">
        <v>48</v>
      </c>
      <c r="B49" s="4" t="inlineStr">
        <is>
          <t>Marchine Rental for January 2024 (Automatic thread trimming left cutter net machine)</t>
        </is>
      </c>
      <c r="C49" s="4" t="inlineStr">
        <is>
          <t>ក្លាក ហ៊ូ ឯ.ក</t>
        </is>
      </c>
      <c r="D49" s="5" t="inlineStr">
        <is>
          <t>K007-901639199</t>
        </is>
      </c>
      <c r="E49" s="10" t="inlineStr">
        <is>
          <t>IN0123</t>
        </is>
      </c>
      <c r="F49" s="7" t="inlineStr">
        <is>
          <t>24-01-2024</t>
        </is>
      </c>
      <c r="G49" s="8" t="n">
        <v>260992</v>
      </c>
      <c r="H49" s="9" t="n"/>
      <c r="I49" s="33">
        <f>G49</f>
        <v/>
      </c>
      <c r="J49" s="21" t="n"/>
      <c r="K49" s="21">
        <f>I49-G49</f>
        <v/>
      </c>
      <c r="L49" s="22" t="n"/>
      <c r="M49" s="22">
        <f>R49=E49</f>
        <v/>
      </c>
      <c r="N49" s="22">
        <f>AND(MONTH(F49)=MONTH(Q49), YEAR(F49)=YEAR(Q49))</f>
        <v/>
      </c>
      <c r="O49" s="22">
        <f>"L001-902303751"=S49</f>
        <v/>
      </c>
      <c r="P49" s="29">
        <f>G49-U49</f>
        <v/>
      </c>
      <c r="Q49" s="30" t="n">
        <v>45344</v>
      </c>
      <c r="R49" s="26" t="n">
        <v>2223055</v>
      </c>
      <c r="S49" s="26" t="inlineStr">
        <is>
          <t>K009-901605081</t>
        </is>
      </c>
      <c r="T49" s="26" t="inlineStr">
        <is>
          <t>ទ្រូ ខមភែនៀន ឡូជីស្ទីក (ខេមបូឌា)</t>
        </is>
      </c>
      <c r="U49" s="27" t="n">
        <v>2223055</v>
      </c>
      <c r="V49" s="26" t="n">
        <v>0</v>
      </c>
    </row>
    <row r="50">
      <c r="A50" s="3" t="n">
        <v>49</v>
      </c>
      <c r="B50" s="4" t="inlineStr">
        <is>
          <t>PV (Template) 120x150, Sponge strips</t>
        </is>
      </c>
      <c r="C50" s="4" t="inlineStr">
        <is>
          <t>យីស៊ូ ធេមផ្លេត ក្រាហ្វ ឯ.ក</t>
        </is>
      </c>
      <c r="D50" s="5" t="inlineStr">
        <is>
          <t>K010-902200360</t>
        </is>
      </c>
      <c r="E50" s="10" t="inlineStr">
        <is>
          <t>24-0010</t>
        </is>
      </c>
      <c r="F50" s="7" t="inlineStr">
        <is>
          <t>17-01-2024</t>
        </is>
      </c>
      <c r="G50" s="8" t="n">
        <v>402682</v>
      </c>
      <c r="H50" s="9" t="n"/>
      <c r="I50" s="33">
        <f>G50</f>
        <v/>
      </c>
      <c r="J50" s="21" t="n"/>
      <c r="K50" s="21">
        <f>I50-G50</f>
        <v/>
      </c>
      <c r="L50" s="22" t="n"/>
      <c r="M50" s="22">
        <f>R50=E50</f>
        <v/>
      </c>
      <c r="N50" s="22">
        <f>AND(MONTH(F50)=MONTH(Q50), YEAR(F50)=YEAR(Q50))</f>
        <v/>
      </c>
      <c r="O50" s="22">
        <f>"L001-902303751"=S50</f>
        <v/>
      </c>
      <c r="P50" s="29">
        <f>G50-U50</f>
        <v/>
      </c>
      <c r="Q50" s="30" t="n">
        <v>45334</v>
      </c>
      <c r="R50" s="26" t="n">
        <v>176985</v>
      </c>
      <c r="S50" s="26" t="inlineStr">
        <is>
          <t>K003-901635943</t>
        </is>
      </c>
      <c r="T50" s="26" t="inlineStr">
        <is>
          <t>អ៊ីឃ្យូឡាញ វើលវ៉ាយដ៍ ឡូជីស្ទីក</t>
        </is>
      </c>
      <c r="U50" s="27" t="n">
        <v>176985</v>
      </c>
      <c r="V50" s="26" t="n">
        <v>0</v>
      </c>
    </row>
    <row r="51">
      <c r="A51" s="3" t="n">
        <v>50</v>
      </c>
      <c r="B51" s="4" t="inlineStr">
        <is>
          <t>Non Woven Interlining (Paper) 50D-OW</t>
        </is>
      </c>
      <c r="C51" s="4" t="inlineStr">
        <is>
          <t>ដេលី ហ្គាមេន អេកសេសឺរី</t>
        </is>
      </c>
      <c r="D51" s="5" t="inlineStr">
        <is>
          <t>L001-108012794</t>
        </is>
      </c>
      <c r="E51" s="10" t="inlineStr">
        <is>
          <t>00036</t>
        </is>
      </c>
      <c r="F51" s="7" t="inlineStr">
        <is>
          <t>30-01-2024</t>
        </is>
      </c>
      <c r="G51" s="8" t="n">
        <v>73458</v>
      </c>
      <c r="H51" s="9" t="n"/>
      <c r="I51" s="33">
        <f>G51</f>
        <v/>
      </c>
      <c r="J51" s="21" t="n"/>
      <c r="K51" s="21">
        <f>I51-G51</f>
        <v/>
      </c>
      <c r="L51" s="22" t="n"/>
      <c r="M51" s="22">
        <f>R51=E51</f>
        <v/>
      </c>
      <c r="N51" s="22">
        <f>AND(MONTH(F51)=MONTH(Q51), YEAR(F51)=YEAR(Q51))</f>
        <v/>
      </c>
      <c r="O51" s="22">
        <f>"L001-902303751"=S51</f>
        <v/>
      </c>
      <c r="P51" s="29">
        <f>G51-U51</f>
        <v/>
      </c>
      <c r="Q51" s="30" t="n">
        <v>45327</v>
      </c>
      <c r="R51" s="26" t="n">
        <v>84539</v>
      </c>
      <c r="S51" s="26" t="inlineStr">
        <is>
          <t>L001-104015799</t>
        </is>
      </c>
      <c r="T51" s="26" t="inlineStr">
        <is>
          <t>យូសេន ឡូជីស្ទីក (ខេមបូឌា) ខូ អិលធីឌី</t>
        </is>
      </c>
      <c r="U51" s="27" t="n">
        <v>84539</v>
      </c>
      <c r="V51" s="26" t="n">
        <v>0</v>
      </c>
    </row>
    <row r="52">
      <c r="A52" s="3" t="n">
        <v>51</v>
      </c>
      <c r="B52" s="4" t="inlineStr">
        <is>
          <t>Thread</t>
        </is>
      </c>
      <c r="C52" s="4" t="inlineStr">
        <is>
          <t>គ្លូប៊ល សុីលីន ហ្គាមុិន អេកសេសឺរី ឯ.ក</t>
        </is>
      </c>
      <c r="D52" s="5" t="inlineStr">
        <is>
          <t>L001-902200857</t>
        </is>
      </c>
      <c r="E52" s="10" t="inlineStr">
        <is>
          <t>000073</t>
        </is>
      </c>
      <c r="F52" s="7" t="inlineStr">
        <is>
          <t>30-01-2024</t>
        </is>
      </c>
      <c r="G52" s="8" t="n">
        <v>94238</v>
      </c>
      <c r="H52" s="9" t="n"/>
      <c r="I52" s="33">
        <f>G52</f>
        <v/>
      </c>
      <c r="J52" s="21" t="n"/>
      <c r="K52" s="21">
        <f>I52-G52</f>
        <v/>
      </c>
      <c r="L52" s="22" t="n"/>
      <c r="M52" s="22">
        <f>R52=E52</f>
        <v/>
      </c>
      <c r="N52" s="22">
        <f>AND(MONTH(F52)=MONTH(Q52), YEAR(F52)=YEAR(Q52))</f>
        <v/>
      </c>
      <c r="O52" s="22">
        <f>"L001-902303751"=S52</f>
        <v/>
      </c>
      <c r="P52" s="29">
        <f>G52-U52</f>
        <v/>
      </c>
      <c r="Q52" s="30" t="n">
        <v>45348</v>
      </c>
      <c r="R52" s="26" t="n">
        <v>205380</v>
      </c>
      <c r="S52" s="26" t="inlineStr">
        <is>
          <t>K003-901635943</t>
        </is>
      </c>
      <c r="T52" s="26" t="inlineStr">
        <is>
          <t>អ៊ីឃ្យូឡាញ វើលវ៉ាយដ៍ ឡូជីស្ទីក</t>
        </is>
      </c>
      <c r="U52" s="27" t="n">
        <v>205380</v>
      </c>
      <c r="V52" s="26" t="n">
        <v>0</v>
      </c>
    </row>
    <row r="53">
      <c r="A53" s="3" t="n">
        <v>52</v>
      </c>
      <c r="B53" s="4" t="inlineStr">
        <is>
          <t>Security Fee for 01-Jan-2024 to 30-Jan-2024</t>
        </is>
      </c>
      <c r="C53" s="4" t="inlineStr">
        <is>
          <t>អិល.ប៊ី.អិល.អេច ស៊ីឃ្យូរឹធី ឯ.ក</t>
        </is>
      </c>
      <c r="D53" s="5" t="inlineStr">
        <is>
          <t>K010-902202247</t>
        </is>
      </c>
      <c r="E53" s="10" t="inlineStr">
        <is>
          <t>L.B.L.H00001</t>
        </is>
      </c>
      <c r="F53" s="7" t="inlineStr">
        <is>
          <t>01-01-2024</t>
        </is>
      </c>
      <c r="G53" s="8" t="n">
        <v>1402200</v>
      </c>
      <c r="H53" s="9" t="n"/>
      <c r="I53" s="33">
        <f>G53</f>
        <v/>
      </c>
      <c r="J53" s="21" t="n"/>
      <c r="K53" s="21">
        <f>I53-G53</f>
        <v/>
      </c>
      <c r="L53" s="22" t="n"/>
      <c r="M53" s="22">
        <f>R53=E53</f>
        <v/>
      </c>
      <c r="N53" s="22">
        <f>AND(MONTH(F53)=MONTH(Q53), YEAR(F53)=YEAR(Q53))</f>
        <v/>
      </c>
      <c r="O53" s="22">
        <f>"L001-902303751"=S53</f>
        <v/>
      </c>
      <c r="P53" s="29">
        <f>G53-U53</f>
        <v/>
      </c>
      <c r="Q53" s="30" t="n">
        <v>45348</v>
      </c>
      <c r="R53" s="26" t="inlineStr"/>
      <c r="S53" s="26" t="inlineStr">
        <is>
          <t>K003-901635943</t>
        </is>
      </c>
      <c r="T53" s="26" t="inlineStr">
        <is>
          <t>អ៊ីឃ្យូឡាញ វើលវ៉ាយដ៍ ឡូជីស្ទីក</t>
        </is>
      </c>
      <c r="U53" s="27" t="n">
        <v>0</v>
      </c>
      <c r="V53" s="26" t="n">
        <v>0</v>
      </c>
    </row>
    <row r="54">
      <c r="A54" s="3" t="n">
        <v>53</v>
      </c>
      <c r="B54" s="4" t="inlineStr">
        <is>
          <t>Automatic cutting blade, Sponge strips</t>
        </is>
      </c>
      <c r="C54" s="4" t="inlineStr">
        <is>
          <t>យីស៊ូ ធេមផ្លេត ក្រាហ្វ ឯ.ក</t>
        </is>
      </c>
      <c r="D54" s="5" t="inlineStr">
        <is>
          <t>K010-902200360</t>
        </is>
      </c>
      <c r="E54" s="6" t="inlineStr">
        <is>
          <t>23-0298</t>
        </is>
      </c>
      <c r="F54" s="7" t="inlineStr">
        <is>
          <t>01-01-2024</t>
        </is>
      </c>
      <c r="G54" s="8" t="n">
        <v>354782</v>
      </c>
      <c r="H54" s="9" t="n"/>
      <c r="I54" s="33">
        <f>G54</f>
        <v/>
      </c>
      <c r="J54" s="21" t="n"/>
      <c r="K54" s="21">
        <f>I54-G54</f>
        <v/>
      </c>
      <c r="L54" s="22" t="n"/>
      <c r="M54" s="22">
        <f>R54=E54</f>
        <v/>
      </c>
      <c r="N54" s="22">
        <f>AND(MONTH(F54)=MONTH(Q54), YEAR(F54)=YEAR(Q54))</f>
        <v/>
      </c>
      <c r="O54" s="22">
        <f>"L001-902303751"=S54</f>
        <v/>
      </c>
      <c r="P54" s="29">
        <f>G54-U54</f>
        <v/>
      </c>
      <c r="Q54" s="30" t="n">
        <v>45336</v>
      </c>
      <c r="R54" s="26" t="n">
        <v>187404</v>
      </c>
      <c r="S54" s="26" t="inlineStr">
        <is>
          <t>K009-901605081</t>
        </is>
      </c>
      <c r="T54" s="26" t="inlineStr">
        <is>
          <t>ទ្រូ ខមភែនៀន ឡូជីស្ទីក (ខេមបូឌា)</t>
        </is>
      </c>
      <c r="U54" s="27" t="n">
        <v>187404</v>
      </c>
      <c r="V54" s="26" t="n">
        <v>0</v>
      </c>
    </row>
    <row r="55">
      <c r="A55" s="3" t="n">
        <v>54</v>
      </c>
      <c r="B55" s="4" t="inlineStr">
        <is>
          <t>Import Shippment Expense</t>
        </is>
      </c>
      <c r="C55" s="4" t="inlineStr">
        <is>
          <t>អេស អ វី ស៊ី ហ្វ្រេត សឺវីស (ខេមបូឌា) ខូ អិលធីឌី</t>
        </is>
      </c>
      <c r="D55" s="5" t="inlineStr">
        <is>
          <t>K005-100150195</t>
        </is>
      </c>
      <c r="E55" s="6" t="inlineStr">
        <is>
          <t>SRVI2400392</t>
        </is>
      </c>
      <c r="F55" s="7" t="inlineStr">
        <is>
          <t>24-01-2024</t>
        </is>
      </c>
      <c r="G55" s="8" t="n">
        <v>50419</v>
      </c>
      <c r="H55" s="9" t="n"/>
      <c r="I55" s="33">
        <f>G55</f>
        <v/>
      </c>
      <c r="J55" s="21" t="n"/>
      <c r="K55" s="21">
        <f>I55-G55</f>
        <v/>
      </c>
      <c r="L55" s="22" t="n"/>
      <c r="M55" s="22">
        <f>R55=E55</f>
        <v/>
      </c>
      <c r="N55" s="22">
        <f>AND(MONTH(F55)=MONTH(Q55), YEAR(F55)=YEAR(Q55))</f>
        <v/>
      </c>
      <c r="O55" s="22">
        <f>"L001-902303751"=S55</f>
        <v/>
      </c>
      <c r="P55" s="29">
        <f>G55-U55</f>
        <v/>
      </c>
      <c r="Q55" s="30" t="n">
        <v>45329</v>
      </c>
      <c r="R55" s="26" t="n">
        <v>9386</v>
      </c>
      <c r="S55" s="26" t="inlineStr">
        <is>
          <t>L001-100098134</t>
        </is>
      </c>
      <c r="T55" s="26" t="inlineStr">
        <is>
          <t>បុងកាហ្វេ (ខេមបូឌា)</t>
        </is>
      </c>
      <c r="U55" s="27" t="n">
        <v>9386</v>
      </c>
      <c r="V55" s="26" t="n">
        <v>0</v>
      </c>
    </row>
    <row r="56">
      <c r="A56" s="3" t="n">
        <v>55</v>
      </c>
      <c r="B56" s="4" t="inlineStr">
        <is>
          <t>Import Shippment Expense</t>
        </is>
      </c>
      <c r="C56" s="4" t="inlineStr">
        <is>
          <t>ខេអិលអិន ហ្វ្រេត (ខេមបូឌា) ឯ.ក</t>
        </is>
      </c>
      <c r="D56" s="5" t="inlineStr">
        <is>
          <t>L001-100074669</t>
        </is>
      </c>
      <c r="E56" s="6" t="inlineStr">
        <is>
          <t>IVO00505</t>
        </is>
      </c>
      <c r="F56" s="7" t="inlineStr">
        <is>
          <t>10-01-2024</t>
        </is>
      </c>
      <c r="G56" s="8" t="n">
        <v>103169</v>
      </c>
      <c r="H56" s="9" t="n"/>
      <c r="I56" s="33">
        <f>G56</f>
        <v/>
      </c>
      <c r="J56" s="21" t="n"/>
      <c r="K56" s="21">
        <f>I56-G56</f>
        <v/>
      </c>
      <c r="L56" s="22" t="n"/>
      <c r="M56" s="22">
        <f>R56=E56</f>
        <v/>
      </c>
      <c r="N56" s="22">
        <f>AND(MONTH(F56)=MONTH(Q56), YEAR(F56)=YEAR(Q56))</f>
        <v/>
      </c>
      <c r="O56" s="22">
        <f>"L001-902303751"=S56</f>
        <v/>
      </c>
      <c r="P56" s="29">
        <f>G56-U56</f>
        <v/>
      </c>
      <c r="Q56" s="30" t="n">
        <v>45336</v>
      </c>
      <c r="R56" s="26" t="n">
        <v>2220330</v>
      </c>
      <c r="S56" s="26" t="inlineStr">
        <is>
          <t>K009-901605081</t>
        </is>
      </c>
      <c r="T56" s="26" t="inlineStr">
        <is>
          <t>ទ្រូ ខមភែនៀន ឡូជីស្ទីក (ខេមបូឌា)</t>
        </is>
      </c>
      <c r="U56" s="27" t="n">
        <v>2220330</v>
      </c>
      <c r="V56" s="26" t="n">
        <v>0</v>
      </c>
    </row>
    <row r="57">
      <c r="A57" s="3" t="n">
        <v>56</v>
      </c>
      <c r="B57" s="4" t="inlineStr">
        <is>
          <t>LIFT-ON , Gate Fee 40'</t>
        </is>
      </c>
      <c r="C57" s="4" t="inlineStr">
        <is>
          <t>កំពង់ផែស្វយ័តភ្នំពេញ "ក.ស.ភ"</t>
        </is>
      </c>
      <c r="D57" s="5" t="inlineStr">
        <is>
          <t>L001-100044999</t>
        </is>
      </c>
      <c r="E57" s="6" t="inlineStr">
        <is>
          <t>INV20240103847</t>
        </is>
      </c>
      <c r="F57" s="7" t="inlineStr">
        <is>
          <t>20-01-2024</t>
        </is>
      </c>
      <c r="G57" s="8" t="n">
        <v>28532</v>
      </c>
      <c r="H57" s="9" t="n"/>
      <c r="I57" s="33">
        <f>G57</f>
        <v/>
      </c>
      <c r="J57" s="21" t="n"/>
      <c r="K57" s="21">
        <f>I57-G57</f>
        <v/>
      </c>
      <c r="L57" s="22" t="n"/>
      <c r="M57" s="22">
        <f>R57=E57</f>
        <v/>
      </c>
      <c r="N57" s="22">
        <f>AND(MONTH(F57)=MONTH(Q57), YEAR(F57)=YEAR(Q57))</f>
        <v/>
      </c>
      <c r="O57" s="22">
        <f>"L001-902303751"=S57</f>
        <v/>
      </c>
      <c r="P57" s="29">
        <f>G57-U57</f>
        <v/>
      </c>
      <c r="Q57" s="30" t="n">
        <v>45338</v>
      </c>
      <c r="R57" s="26" t="n">
        <v>112905</v>
      </c>
      <c r="S57" s="26" t="inlineStr">
        <is>
          <t>L001-104015799</t>
        </is>
      </c>
      <c r="T57" s="26" t="inlineStr">
        <is>
          <t>យូសេន ឡូជីស្ទីក (ខេមបូឌា) ខូ អិលធីឌី</t>
        </is>
      </c>
      <c r="U57" s="27" t="n">
        <v>112905</v>
      </c>
      <c r="V57" s="26" t="n">
        <v>0</v>
      </c>
    </row>
    <row r="58">
      <c r="A58" s="3" t="n">
        <v>57</v>
      </c>
      <c r="B58" s="4" t="inlineStr">
        <is>
          <t>LOLO for Container 40'</t>
        </is>
      </c>
      <c r="C58" s="4" t="inlineStr">
        <is>
          <t>កំពង់ផែស្វយ័តភ្នំពេញ "ក.ស.ភ"</t>
        </is>
      </c>
      <c r="D58" s="5" t="inlineStr">
        <is>
          <t>L001-100044999</t>
        </is>
      </c>
      <c r="E58" s="10" t="inlineStr">
        <is>
          <t>INV20240103769</t>
        </is>
      </c>
      <c r="F58" s="7" t="inlineStr">
        <is>
          <t>20-01-2024</t>
        </is>
      </c>
      <c r="G58" s="8" t="n">
        <v>10190</v>
      </c>
      <c r="H58" s="9" t="n"/>
      <c r="I58" s="33">
        <f>G58</f>
        <v/>
      </c>
      <c r="J58" s="21" t="n"/>
      <c r="K58" s="21">
        <f>I58-G58</f>
        <v/>
      </c>
      <c r="L58" s="22" t="n"/>
      <c r="M58" s="22">
        <f>R58=E58</f>
        <v/>
      </c>
      <c r="N58" s="22">
        <f>AND(MONTH(F58)=MONTH(Q58), YEAR(F58)=YEAR(Q58))</f>
        <v/>
      </c>
      <c r="O58" s="22">
        <f>"L001-902303751"=S58</f>
        <v/>
      </c>
      <c r="P58" s="29">
        <f>G58-U58</f>
        <v/>
      </c>
      <c r="Q58" s="30" t="n">
        <v>45348</v>
      </c>
      <c r="R58" s="26" t="inlineStr"/>
      <c r="S58" s="26" t="inlineStr">
        <is>
          <t>L001-104015799</t>
        </is>
      </c>
      <c r="T58" s="26" t="inlineStr">
        <is>
          <t>យូសេន ឡូជីស្ទីក (ខេមបូឌា) ខូ អិលធីឌី</t>
        </is>
      </c>
      <c r="U58" s="27" t="n">
        <v>0</v>
      </c>
      <c r="V58" s="26" t="n">
        <v>0</v>
      </c>
    </row>
    <row r="59">
      <c r="A59" s="3" t="n">
        <v>58</v>
      </c>
      <c r="B59" s="4" t="inlineStr">
        <is>
          <t>THC, DOC FEE, CONTAINER IMBALANCE</t>
        </is>
      </c>
      <c r="C59" s="4" t="inlineStr">
        <is>
          <t>សាខាក្រុមហ៊ុន ជីម៉ាឌីប ស៊ីបភីង ខមភេនី លីមីធីត</t>
        </is>
      </c>
      <c r="D59" s="5" t="inlineStr">
        <is>
          <t>L001-901704777</t>
        </is>
      </c>
      <c r="E59" s="10" t="inlineStr">
        <is>
          <t>24-00199</t>
        </is>
      </c>
      <c r="F59" s="7" t="inlineStr">
        <is>
          <t>19-01-2024</t>
        </is>
      </c>
      <c r="G59" s="8" t="n">
        <v>136546</v>
      </c>
      <c r="H59" s="9" t="n"/>
      <c r="I59" s="33">
        <f>G59</f>
        <v/>
      </c>
      <c r="J59" s="21" t="n"/>
      <c r="K59" s="21">
        <f>I59-G59</f>
        <v/>
      </c>
      <c r="L59" s="22" t="n"/>
      <c r="M59" s="22">
        <f>R59=E59</f>
        <v/>
      </c>
      <c r="N59" s="22">
        <f>AND(MONTH(F59)=MONTH(Q59), YEAR(F59)=YEAR(Q59))</f>
        <v/>
      </c>
      <c r="O59" s="22">
        <f>"L001-902303751"=S59</f>
        <v/>
      </c>
      <c r="P59" s="29">
        <f>G59-U59</f>
        <v/>
      </c>
      <c r="Q59" s="30" t="n">
        <v>45328</v>
      </c>
      <c r="R59" s="26" t="n">
        <v>93863</v>
      </c>
      <c r="S59" s="26" t="inlineStr">
        <is>
          <t>K009-901605081</t>
        </is>
      </c>
      <c r="T59" s="26" t="inlineStr">
        <is>
          <t>ទ្រូ ខមភែនៀន ឡូជីស្ទីក (ខេមបូឌា)</t>
        </is>
      </c>
      <c r="U59" s="27" t="n">
        <v>93863</v>
      </c>
      <c r="V59" s="26" t="n">
        <v>0</v>
      </c>
    </row>
    <row r="60">
      <c r="A60" s="3" t="n">
        <v>59</v>
      </c>
      <c r="B60" s="4" t="inlineStr">
        <is>
          <t>TRUCKING FEE, CUSTOMS CLEARANCE</t>
        </is>
      </c>
      <c r="C60" s="4" t="inlineStr">
        <is>
          <t>ត្រាយអ៊ែងហ្គល ឡូជីស្ទីក (ខេមបូឌា) ឯ.ក</t>
        </is>
      </c>
      <c r="D60" s="5" t="inlineStr">
        <is>
          <t>K010-902101743</t>
        </is>
      </c>
      <c r="E60" s="10" t="inlineStr">
        <is>
          <t>TAG-24-00012</t>
        </is>
      </c>
      <c r="F60" s="7" t="inlineStr">
        <is>
          <t>22-01-2024</t>
        </is>
      </c>
      <c r="G60" s="8" t="n">
        <v>69292</v>
      </c>
      <c r="H60" s="9" t="n"/>
      <c r="I60" s="33">
        <f>G60</f>
        <v/>
      </c>
      <c r="J60" s="21" t="n"/>
      <c r="K60" s="21">
        <f>I60-G60</f>
        <v/>
      </c>
      <c r="L60" s="22" t="n"/>
      <c r="M60" s="22">
        <f>R60=E60</f>
        <v/>
      </c>
      <c r="N60" s="22">
        <f>AND(MONTH(F60)=MONTH(Q60), YEAR(F60)=YEAR(Q60))</f>
        <v/>
      </c>
      <c r="O60" s="22">
        <f>"L001-902303751"=S60</f>
        <v/>
      </c>
      <c r="P60" s="29">
        <f>G60-U60</f>
        <v/>
      </c>
      <c r="Q60" s="30" t="n">
        <v>45337</v>
      </c>
      <c r="R60" s="26" t="n">
        <v>2220875</v>
      </c>
      <c r="S60" s="26" t="inlineStr">
        <is>
          <t>K009-901605081</t>
        </is>
      </c>
      <c r="T60" s="26" t="inlineStr">
        <is>
          <t>ទ្រូ ខមភែនៀន ឡូជីស្ទីក (ខេមបូឌា)</t>
        </is>
      </c>
      <c r="U60" s="27" t="n">
        <v>2220875</v>
      </c>
      <c r="V60" s="26" t="n">
        <v>0</v>
      </c>
    </row>
    <row r="61">
      <c r="A61" s="3" t="n">
        <v>60</v>
      </c>
      <c r="B61" s="4" t="inlineStr">
        <is>
          <t>LIFT-ON , Gate Fee 40'</t>
        </is>
      </c>
      <c r="C61" s="4" t="inlineStr">
        <is>
          <t>កំពង់ផែស្វយ័តភ្នំពេញ "ក.ស.ភ"</t>
        </is>
      </c>
      <c r="D61" s="5" t="inlineStr">
        <is>
          <t>L001-100044999</t>
        </is>
      </c>
      <c r="E61" s="10" t="inlineStr">
        <is>
          <t>INV20240104872</t>
        </is>
      </c>
      <c r="F61" s="7" t="inlineStr">
        <is>
          <t>24-01-2024</t>
        </is>
      </c>
      <c r="G61" s="8" t="n">
        <v>28546</v>
      </c>
      <c r="H61" s="9" t="n"/>
      <c r="I61" s="33">
        <f>G61</f>
        <v/>
      </c>
      <c r="J61" s="21" t="n"/>
      <c r="K61" s="21">
        <f>I61-G61</f>
        <v/>
      </c>
      <c r="L61" s="22" t="n"/>
      <c r="M61" s="22">
        <f>R61=E61</f>
        <v/>
      </c>
      <c r="N61" s="22">
        <f>AND(MONTH(F61)=MONTH(Q61), YEAR(F61)=YEAR(Q61))</f>
        <v/>
      </c>
      <c r="O61" s="22">
        <f>"L001-902303751"=S61</f>
        <v/>
      </c>
      <c r="P61" s="29">
        <f>G61-U61</f>
        <v/>
      </c>
      <c r="Q61" s="30" t="n">
        <v>45327</v>
      </c>
      <c r="R61" s="26" t="n">
        <v>113127</v>
      </c>
      <c r="S61" s="26" t="inlineStr">
        <is>
          <t>L001-104015799</t>
        </is>
      </c>
      <c r="T61" s="26" t="inlineStr">
        <is>
          <t>យូសេន ឡូជីស្ទីក (ខេមបូឌា) ខូ អិលធីឌី</t>
        </is>
      </c>
      <c r="U61" s="27" t="n">
        <v>113127</v>
      </c>
      <c r="V61" s="26" t="n">
        <v>0</v>
      </c>
    </row>
    <row r="62">
      <c r="A62" s="3" t="n">
        <v>61</v>
      </c>
      <c r="B62" s="4" t="inlineStr">
        <is>
          <t>LOLO for Container 40'</t>
        </is>
      </c>
      <c r="C62" s="4" t="inlineStr">
        <is>
          <t>កំពង់ផែស្វយ័តភ្នំពេញ "ក.ស.ភ"</t>
        </is>
      </c>
      <c r="D62" s="5" t="inlineStr">
        <is>
          <t>L001-100044999</t>
        </is>
      </c>
      <c r="E62" s="10" t="inlineStr">
        <is>
          <t>INV20240104891</t>
        </is>
      </c>
      <c r="F62" s="7" t="inlineStr">
        <is>
          <t>25-01-2024</t>
        </is>
      </c>
      <c r="G62" s="8" t="n">
        <v>10198</v>
      </c>
      <c r="H62" s="9" t="n"/>
      <c r="I62" s="33">
        <f>G62</f>
        <v/>
      </c>
      <c r="J62" s="21" t="n"/>
      <c r="K62" s="21">
        <f>I62-G62</f>
        <v/>
      </c>
      <c r="L62" s="22" t="n"/>
      <c r="M62" s="22">
        <f>R62=E62</f>
        <v/>
      </c>
      <c r="N62" s="22">
        <f>AND(MONTH(F62)=MONTH(Q62), YEAR(F62)=YEAR(Q62))</f>
        <v/>
      </c>
      <c r="O62" s="22">
        <f>"L001-902303751"=S62</f>
        <v/>
      </c>
      <c r="P62" s="29">
        <f>G62-U62</f>
        <v/>
      </c>
      <c r="Q62" s="30" t="n">
        <v>45327</v>
      </c>
      <c r="R62" s="26" t="inlineStr"/>
      <c r="S62" s="26" t="inlineStr">
        <is>
          <t>K003-901635943</t>
        </is>
      </c>
      <c r="T62" s="26" t="inlineStr">
        <is>
          <t>អ៊ីឃ្យូឡាញ វើលវ៉ាយដ៍ ឡូជីស្ទីក</t>
        </is>
      </c>
      <c r="U62" s="27" t="n">
        <v>0</v>
      </c>
      <c r="V62" s="26" t="n">
        <v>0</v>
      </c>
    </row>
    <row r="63">
      <c r="A63" s="3" t="n">
        <v>62</v>
      </c>
      <c r="B63" s="4" t="inlineStr">
        <is>
          <t>THC, DOC FEE, CONTAINER IMBALANCE</t>
        </is>
      </c>
      <c r="C63" s="4" t="inlineStr">
        <is>
          <t>សាខាក្រុមហ៊ុន ជីម៉ាឌីប ស៊ីបភីង ខមភេនី លីមីធីត</t>
        </is>
      </c>
      <c r="D63" s="5" t="inlineStr">
        <is>
          <t>L001-901704777</t>
        </is>
      </c>
      <c r="E63" s="10" t="inlineStr">
        <is>
          <t>24-00225</t>
        </is>
      </c>
      <c r="F63" s="7" t="inlineStr">
        <is>
          <t>22-01-2024</t>
        </is>
      </c>
      <c r="G63" s="8" t="n">
        <v>136546</v>
      </c>
      <c r="H63" s="9" t="n"/>
      <c r="I63" s="33">
        <f>G63</f>
        <v/>
      </c>
      <c r="J63" s="21" t="n"/>
      <c r="K63" s="21">
        <f>I63-G63</f>
        <v/>
      </c>
      <c r="L63" s="22" t="n"/>
      <c r="M63" s="22">
        <f>R63=E63</f>
        <v/>
      </c>
      <c r="N63" s="22">
        <f>AND(MONTH(F63)=MONTH(Q63), YEAR(F63)=YEAR(Q63))</f>
        <v/>
      </c>
      <c r="O63" s="22">
        <f>"L001-902303751"=S63</f>
        <v/>
      </c>
      <c r="P63" s="29">
        <f>G63-U63</f>
        <v/>
      </c>
      <c r="Q63" s="30" t="n">
        <v>45329</v>
      </c>
      <c r="R63" s="26" t="n">
        <v>20405</v>
      </c>
      <c r="S63" s="26" t="inlineStr">
        <is>
          <t>K003-901635943</t>
        </is>
      </c>
      <c r="T63" s="26" t="inlineStr">
        <is>
          <t>អ៊ីឃ្យូឡាញ វើលវ៉ាយដ៍ ឡូជីស្ទីក</t>
        </is>
      </c>
      <c r="U63" s="27" t="n">
        <v>20405</v>
      </c>
      <c r="V63" s="26" t="n">
        <v>0</v>
      </c>
    </row>
    <row r="64">
      <c r="A64" s="3" t="n">
        <v>63</v>
      </c>
      <c r="B64" s="4" t="inlineStr">
        <is>
          <t>TRUCKING FEE, CUSTOMS CLEARANCE</t>
        </is>
      </c>
      <c r="C64" s="4" t="inlineStr">
        <is>
          <t>ត្រាយអ៊ែងហ្គល ឡូជីស្ទីក (ខេមបូឌា) ឯ.ក</t>
        </is>
      </c>
      <c r="D64" s="5" t="inlineStr">
        <is>
          <t>K010-902101743</t>
        </is>
      </c>
      <c r="E64" s="10" t="inlineStr">
        <is>
          <t>TAG-24-00017</t>
        </is>
      </c>
      <c r="F64" s="7" t="inlineStr">
        <is>
          <t>29-01-2024</t>
        </is>
      </c>
      <c r="G64" s="8" t="n">
        <v>69377</v>
      </c>
      <c r="H64" s="9" t="n"/>
      <c r="I64" s="33">
        <f>G64</f>
        <v/>
      </c>
      <c r="J64" s="21" t="n"/>
      <c r="K64" s="21">
        <f>I64-G64</f>
        <v/>
      </c>
      <c r="L64" s="22" t="n"/>
      <c r="M64" s="22">
        <f>R64=E64</f>
        <v/>
      </c>
      <c r="N64" s="22">
        <f>AND(MONTH(F64)=MONTH(Q64), YEAR(F64)=YEAR(Q64))</f>
        <v/>
      </c>
      <c r="O64" s="22">
        <f>"L001-902303751"=S64</f>
        <v/>
      </c>
      <c r="P64" s="29">
        <f>G64-U64</f>
        <v/>
      </c>
      <c r="Q64" s="30" t="n">
        <v>45341</v>
      </c>
      <c r="R64" s="26" t="n">
        <v>176985</v>
      </c>
      <c r="S64" s="26" t="inlineStr">
        <is>
          <t>K003-901635943</t>
        </is>
      </c>
      <c r="T64" s="26" t="inlineStr">
        <is>
          <t>អ៊ីឃ្យូឡាញ វើលវ៉ាយដ៍ ឡូជីស្ទីក</t>
        </is>
      </c>
      <c r="U64" s="27" t="n">
        <v>176985</v>
      </c>
      <c r="V64" s="26" t="n">
        <v>0</v>
      </c>
    </row>
    <row r="65">
      <c r="A65" s="3" t="n">
        <v>64</v>
      </c>
      <c r="B65" s="4" t="inlineStr">
        <is>
          <t>Gate Fee Charge</t>
        </is>
      </c>
      <c r="C65" s="4" t="inlineStr">
        <is>
          <t>កំពង់ផែស្វយ័តភ្នំពេញ "ក.ស.ភ"</t>
        </is>
      </c>
      <c r="D65" s="5" t="inlineStr">
        <is>
          <t>L001-100044999</t>
        </is>
      </c>
      <c r="E65" s="10" t="inlineStr">
        <is>
          <t>INV20240104902</t>
        </is>
      </c>
      <c r="F65" s="7" t="inlineStr">
        <is>
          <t>25-01-2024</t>
        </is>
      </c>
      <c r="G65" s="8" t="n">
        <v>816</v>
      </c>
      <c r="H65" s="9" t="n"/>
      <c r="I65" s="33">
        <f>G65</f>
        <v/>
      </c>
      <c r="J65" s="21" t="n"/>
      <c r="K65" s="21">
        <f>I65-G65</f>
        <v/>
      </c>
      <c r="L65" s="22" t="n"/>
      <c r="M65" s="22">
        <f>R65=E65</f>
        <v/>
      </c>
      <c r="N65" s="22">
        <f>AND(MONTH(F65)=MONTH(Q65), YEAR(F65)=YEAR(Q65))</f>
        <v/>
      </c>
      <c r="O65" s="22">
        <f>"L001-902303751"=S65</f>
        <v/>
      </c>
      <c r="P65" s="29">
        <f>G65-U65</f>
        <v/>
      </c>
      <c r="Q65" s="30" t="n">
        <v>45364</v>
      </c>
      <c r="R65" s="26" t="n">
        <v>185886</v>
      </c>
      <c r="S65" s="26" t="inlineStr">
        <is>
          <t>K009-901605081</t>
        </is>
      </c>
      <c r="T65" s="26" t="inlineStr">
        <is>
          <t>ទ្រូ ខមភែនៀន ឡូជីស្ទីក (ខេមបូឌា)</t>
        </is>
      </c>
      <c r="U65" s="27" t="n">
        <v>185886</v>
      </c>
      <c r="V65" s="26" t="n">
        <v>0</v>
      </c>
    </row>
    <row r="66">
      <c r="A66" s="3" t="n">
        <v>65</v>
      </c>
      <c r="B66" s="4" t="inlineStr">
        <is>
          <t>TRUCKING FEE, CUSTOMS CLEARANCE</t>
        </is>
      </c>
      <c r="C66" s="4" t="inlineStr">
        <is>
          <t>ត្រាយអ៊ែងហ្គល ឡូជីស្ទីក (ខេមបូឌា) ឯ.ក</t>
        </is>
      </c>
      <c r="D66" s="5" t="inlineStr">
        <is>
          <t>K010-902101743</t>
        </is>
      </c>
      <c r="E66" s="10" t="inlineStr">
        <is>
          <t>TAG-24-00016</t>
        </is>
      </c>
      <c r="F66" s="7" t="inlineStr">
        <is>
          <t>29-01-2024</t>
        </is>
      </c>
      <c r="G66" s="8" t="n">
        <v>64317</v>
      </c>
      <c r="H66" s="9" t="n"/>
      <c r="I66" s="33">
        <f>G66</f>
        <v/>
      </c>
      <c r="J66" s="21" t="n"/>
      <c r="K66" s="21">
        <f>I66-G66</f>
        <v/>
      </c>
      <c r="L66" s="22" t="n"/>
      <c r="M66" s="22">
        <f>R66=E66</f>
        <v/>
      </c>
      <c r="N66" s="22">
        <f>AND(MONTH(F66)=MONTH(Q66), YEAR(F66)=YEAR(Q66))</f>
        <v/>
      </c>
      <c r="O66" s="22">
        <f>"L001-902303751"=S66</f>
        <v/>
      </c>
      <c r="P66" s="29">
        <f>G66-U66</f>
        <v/>
      </c>
      <c r="Q66" s="30" t="n">
        <v>45355</v>
      </c>
      <c r="R66" s="26" t="n">
        <v>339595</v>
      </c>
      <c r="S66" s="26" t="inlineStr">
        <is>
          <t>K002-901900264</t>
        </is>
      </c>
      <c r="T66" s="26" t="inlineStr">
        <is>
          <t>ហេកធ័រ ត្រេនស្ព័រថេសិន (ខេមបូឌា) ឯ.ក</t>
        </is>
      </c>
      <c r="U66" s="27" t="n">
        <v>339595</v>
      </c>
      <c r="V66" s="26" t="n">
        <v>0</v>
      </c>
    </row>
    <row r="67">
      <c r="A67" s="3" t="n">
        <v>66</v>
      </c>
      <c r="B67" s="4" t="inlineStr">
        <is>
          <t>TRUCKING FEE, CUSTOMS CLEARANCE</t>
        </is>
      </c>
      <c r="C67" s="4" t="inlineStr">
        <is>
          <t>ត្រាយអ៊ែងហ្គល ឡូជីស្ទីក (ខេមបូឌា) ឯ.ក</t>
        </is>
      </c>
      <c r="D67" s="5" t="inlineStr">
        <is>
          <t>K010-902101743</t>
        </is>
      </c>
      <c r="E67" s="6" t="inlineStr">
        <is>
          <t>TAG-24-00018</t>
        </is>
      </c>
      <c r="F67" s="7" t="inlineStr">
        <is>
          <t>29-01-2024</t>
        </is>
      </c>
      <c r="G67" s="8" t="n">
        <v>28567</v>
      </c>
      <c r="H67" s="9" t="n"/>
      <c r="I67" s="33">
        <f>G67</f>
        <v/>
      </c>
      <c r="J67" s="21" t="n"/>
      <c r="K67" s="21">
        <f>I67-G67</f>
        <v/>
      </c>
      <c r="L67" s="22" t="n"/>
      <c r="M67" s="22">
        <f>R67=E67</f>
        <v/>
      </c>
      <c r="N67" s="22">
        <f>AND(MONTH(F67)=MONTH(Q67), YEAR(F67)=YEAR(Q67))</f>
        <v/>
      </c>
      <c r="O67" s="22">
        <f>"L001-902303751"=S67</f>
        <v/>
      </c>
      <c r="P67" s="29">
        <f>G67-U67</f>
        <v/>
      </c>
      <c r="Q67" s="30" t="n">
        <v>45355</v>
      </c>
      <c r="R67" s="26" t="inlineStr"/>
      <c r="S67" s="26" t="inlineStr">
        <is>
          <t>K003-901635943</t>
        </is>
      </c>
      <c r="T67" s="26" t="inlineStr">
        <is>
          <t>អ៊ីឃ្យូឡាញ វើលវ៉ាយដ៍ ឡូជីស្ទីក</t>
        </is>
      </c>
      <c r="U67" s="27" t="n">
        <v>0</v>
      </c>
      <c r="V67" s="26" t="n">
        <v>0</v>
      </c>
    </row>
    <row r="68">
      <c r="A68" s="3" t="n">
        <v>67</v>
      </c>
      <c r="B68" s="4" t="inlineStr">
        <is>
          <t>Import Shippment Expense</t>
        </is>
      </c>
      <c r="C68" s="4" t="inlineStr">
        <is>
          <t>អេស អ វី ស៊ី ហ្វ្រេត សឺវីស (ខេមបូឌា) ខូ អិលធីឌី</t>
        </is>
      </c>
      <c r="D68" s="5" t="inlineStr">
        <is>
          <t>K005-100150195</t>
        </is>
      </c>
      <c r="E68" s="6" t="inlineStr">
        <is>
          <t>SRVI2400532</t>
        </is>
      </c>
      <c r="F68" s="7" t="inlineStr">
        <is>
          <t>31-01-2024</t>
        </is>
      </c>
      <c r="G68" s="8" t="n">
        <v>86912</v>
      </c>
      <c r="H68" s="9" t="n"/>
      <c r="I68" s="33">
        <f>G68</f>
        <v/>
      </c>
      <c r="J68" s="21" t="n"/>
      <c r="K68" s="21">
        <f>I68-G68</f>
        <v/>
      </c>
      <c r="L68" s="22" t="n"/>
      <c r="M68" s="22">
        <f>R68=E68</f>
        <v/>
      </c>
      <c r="N68" s="22">
        <f>AND(MONTH(F68)=MONTH(Q68), YEAR(F68)=YEAR(Q68))</f>
        <v/>
      </c>
      <c r="O68" s="22">
        <f>"L001-902303751"=S68</f>
        <v/>
      </c>
      <c r="P68" s="29">
        <f>G68-U68</f>
        <v/>
      </c>
      <c r="Q68" s="30" t="n">
        <v>45376</v>
      </c>
      <c r="R68" s="26" t="inlineStr"/>
      <c r="S68" s="26" t="inlineStr">
        <is>
          <t>L001-104015799</t>
        </is>
      </c>
      <c r="T68" s="26" t="inlineStr">
        <is>
          <t>យូសេន ឡូជីស្ទីក (ខេមបូឌា) ខូ អិលធីឌី</t>
        </is>
      </c>
      <c r="U68" s="27" t="n">
        <v>0</v>
      </c>
      <c r="V68" s="26" t="n">
        <v>0</v>
      </c>
    </row>
    <row r="69">
      <c r="A69" s="3" t="n">
        <v>68</v>
      </c>
      <c r="B69" s="4" t="inlineStr">
        <is>
          <t>Import Shippment Expense</t>
        </is>
      </c>
      <c r="C69" s="4" t="inlineStr">
        <is>
          <t>ខេអិលអិន ហ្វ្រេត (ខេមបូឌា) ឯ.ក</t>
        </is>
      </c>
      <c r="D69" s="5" t="inlineStr">
        <is>
          <t>L001-100074669</t>
        </is>
      </c>
      <c r="E69" s="6" t="inlineStr">
        <is>
          <t>IVO01239</t>
        </is>
      </c>
      <c r="F69" s="7" t="inlineStr">
        <is>
          <t>25-01-2024</t>
        </is>
      </c>
      <c r="G69" s="8" t="n">
        <v>107734</v>
      </c>
      <c r="H69" s="9" t="n"/>
      <c r="I69" s="33">
        <f>G69</f>
        <v/>
      </c>
      <c r="J69" s="21" t="n"/>
      <c r="K69" s="21">
        <f>I69-G69</f>
        <v/>
      </c>
      <c r="L69" s="22" t="n"/>
      <c r="M69" s="22">
        <f>R69=E69</f>
        <v/>
      </c>
      <c r="N69" s="22">
        <f>AND(MONTH(F69)=MONTH(Q69), YEAR(F69)=YEAR(Q69))</f>
        <v/>
      </c>
      <c r="O69" s="22">
        <f>"L001-902303751"=S69</f>
        <v/>
      </c>
      <c r="P69" s="29">
        <f>G69-U69</f>
        <v/>
      </c>
      <c r="Q69" s="30" t="n">
        <v>45362</v>
      </c>
      <c r="R69" s="26" t="inlineStr"/>
      <c r="S69" s="26" t="inlineStr">
        <is>
          <t>K003-901635943</t>
        </is>
      </c>
      <c r="T69" s="26" t="inlineStr">
        <is>
          <t>អ៊ីឃ្យូឡាញ វើលវ៉ាយដ៍ ឡូជីស្ទីក</t>
        </is>
      </c>
      <c r="U69" s="27" t="n">
        <v>0</v>
      </c>
      <c r="V69" s="26" t="n">
        <v>0</v>
      </c>
    </row>
    <row r="70">
      <c r="A70" s="3" t="n">
        <v>69</v>
      </c>
      <c r="B70" s="4" t="inlineStr">
        <is>
          <t>TRUCKING FEE, CUSTOMS CLEARANCE</t>
        </is>
      </c>
      <c r="C70" s="4" t="inlineStr">
        <is>
          <t>ត្រាយអ៊ែងហ្គល ឡូជីស្ទីក (ខេមបូឌា) ឯ.ក</t>
        </is>
      </c>
      <c r="D70" s="5" t="inlineStr">
        <is>
          <t>K010-902101743</t>
        </is>
      </c>
      <c r="E70" s="6" t="inlineStr">
        <is>
          <t>TAG-24-00030</t>
        </is>
      </c>
      <c r="F70" s="7" t="inlineStr">
        <is>
          <t>31-01-2024</t>
        </is>
      </c>
      <c r="G70" s="8" t="n">
        <v>20560</v>
      </c>
      <c r="H70" s="9" t="n"/>
      <c r="I70" s="33">
        <f>G70</f>
        <v/>
      </c>
      <c r="J70" s="21" t="n"/>
      <c r="K70" s="21">
        <f>I70-G70</f>
        <v/>
      </c>
      <c r="L70" s="22" t="n"/>
      <c r="M70" s="22">
        <f>R70=E70</f>
        <v/>
      </c>
      <c r="N70" s="22">
        <f>AND(MONTH(F70)=MONTH(Q70), YEAR(F70)=YEAR(Q70))</f>
        <v/>
      </c>
      <c r="O70" s="22">
        <f>"L001-902303751"=S70</f>
        <v/>
      </c>
      <c r="P70" s="29">
        <f>G70-U70</f>
        <v/>
      </c>
      <c r="Q70" s="30" t="n">
        <v>45382</v>
      </c>
      <c r="R70" s="26" t="inlineStr"/>
      <c r="S70" s="26" t="inlineStr">
        <is>
          <t>K003-901635943</t>
        </is>
      </c>
      <c r="T70" s="26" t="inlineStr">
        <is>
          <t>អ៊ីឃ្យូឡាញ វើលវ៉ាយដ៍ ឡូជីស្ទីក</t>
        </is>
      </c>
      <c r="U70" s="27" t="n">
        <v>0</v>
      </c>
      <c r="V70" s="26" t="n">
        <v>0</v>
      </c>
    </row>
    <row r="71">
      <c r="A71" s="3" t="n">
        <v>70</v>
      </c>
      <c r="B71" s="4" t="inlineStr">
        <is>
          <t>Cargo Terminal</t>
        </is>
      </c>
      <c r="C71" s="4" t="inlineStr">
        <is>
          <t>សូស៊ីយេតេ កុងសេស្យូនែរ ដឺ ឡាអេរ៉ូព័រ</t>
        </is>
      </c>
      <c r="D71" s="5" t="inlineStr">
        <is>
          <t>L001-100047300</t>
        </is>
      </c>
      <c r="E71" s="10" t="inlineStr">
        <is>
          <t>2400-007249</t>
        </is>
      </c>
      <c r="F71" s="7" t="inlineStr">
        <is>
          <t>30-01-2024</t>
        </is>
      </c>
      <c r="G71" s="8" t="n">
        <v>1992</v>
      </c>
      <c r="H71" s="9" t="n"/>
      <c r="I71" s="33">
        <f>G71</f>
        <v/>
      </c>
      <c r="J71" s="21" t="n"/>
      <c r="K71" s="21">
        <f>I71-G71</f>
        <v/>
      </c>
      <c r="L71" s="22" t="n"/>
      <c r="M71" s="22">
        <f>R71=E71</f>
        <v/>
      </c>
      <c r="N71" s="22">
        <f>AND(MONTH(F71)=MONTH(Q71), YEAR(F71)=YEAR(Q71))</f>
        <v/>
      </c>
      <c r="O71" s="22">
        <f>"L001-902303751"=S71</f>
        <v/>
      </c>
      <c r="P71" s="29">
        <f>G71-U71</f>
        <v/>
      </c>
      <c r="Q71" s="30" t="n">
        <v>45355</v>
      </c>
      <c r="R71" s="26" t="n">
        <v>112656</v>
      </c>
      <c r="S71" s="26" t="inlineStr">
        <is>
          <t>K003-901635943</t>
        </is>
      </c>
      <c r="T71" s="26" t="inlineStr">
        <is>
          <t>អ៊ីឃ្យូឡាញ វើលវ៉ាយដ៍ ឡូជីស្ទីក</t>
        </is>
      </c>
      <c r="U71" s="27" t="n">
        <v>112656</v>
      </c>
      <c r="V71" s="26" t="n">
        <v>0</v>
      </c>
    </row>
    <row r="72">
      <c r="A72" s="3" t="n">
        <v>71</v>
      </c>
      <c r="B72" s="4" t="inlineStr">
        <is>
          <t>TRUCKING FEE, CUSTOMS CLEARANCE</t>
        </is>
      </c>
      <c r="C72" s="4" t="inlineStr">
        <is>
          <t>ត្រាយអ៊ែងហ្គល ឡូជីស្ទីក (ខេមបូឌា) ឯ.ក</t>
        </is>
      </c>
      <c r="D72" s="5" t="inlineStr">
        <is>
          <t>K010-902101743</t>
        </is>
      </c>
      <c r="E72" s="10" t="inlineStr">
        <is>
          <t>TAG-24-00025</t>
        </is>
      </c>
      <c r="F72" s="7" t="inlineStr">
        <is>
          <t>29-01-2024</t>
        </is>
      </c>
      <c r="G72" s="8" t="n">
        <v>32648</v>
      </c>
      <c r="H72" s="9" t="n"/>
      <c r="I72" s="33">
        <f>G72</f>
        <v/>
      </c>
      <c r="J72" s="21" t="n"/>
      <c r="K72" s="21">
        <f>I72-G72</f>
        <v/>
      </c>
      <c r="L72" s="22" t="n"/>
      <c r="M72" s="22">
        <f>R72=E72</f>
        <v/>
      </c>
      <c r="N72" s="22">
        <f>AND(MONTH(F72)=MONTH(Q72), YEAR(F72)=YEAR(Q72))</f>
        <v/>
      </c>
      <c r="O72" s="22">
        <f>"L001-902303751"=S72</f>
        <v/>
      </c>
      <c r="P72" s="29">
        <f>G72-U72</f>
        <v/>
      </c>
      <c r="Q72" s="30" t="n">
        <v>45381</v>
      </c>
      <c r="R72" s="26" t="n">
        <v>210536</v>
      </c>
      <c r="S72" s="26" t="inlineStr">
        <is>
          <t>K002-901900264</t>
        </is>
      </c>
      <c r="T72" s="26" t="inlineStr">
        <is>
          <t>ហេកធ័រ ត្រេនស្ព័រថេសិន (ខេមបូឌា) ឯ.ក</t>
        </is>
      </c>
      <c r="U72" s="27" t="n">
        <v>210536</v>
      </c>
      <c r="V72" s="26" t="n">
        <v>0</v>
      </c>
    </row>
    <row r="73">
      <c r="A73" s="3" t="n">
        <v>72</v>
      </c>
      <c r="B73" s="4" t="inlineStr">
        <is>
          <t>TRUCKING FEE, CUSTOMS CLEARANCE</t>
        </is>
      </c>
      <c r="C73" s="4" t="inlineStr">
        <is>
          <t>ត្រាយអ៊ែងហ្គល ឡូជីស្ទីក (ខេមបូឌា) ឯ.ក</t>
        </is>
      </c>
      <c r="D73" s="5" t="inlineStr">
        <is>
          <t>K010-902101743</t>
        </is>
      </c>
      <c r="E73" s="10" t="inlineStr">
        <is>
          <t>TAG-24-00029</t>
        </is>
      </c>
      <c r="F73" s="7" t="inlineStr">
        <is>
          <t>31-01-2024</t>
        </is>
      </c>
      <c r="G73" s="8" t="n">
        <v>28784</v>
      </c>
      <c r="H73" s="9" t="n"/>
      <c r="I73" s="33">
        <f>G73</f>
        <v/>
      </c>
      <c r="J73" s="21" t="n"/>
      <c r="K73" s="21">
        <f>I73-G73</f>
        <v/>
      </c>
      <c r="L73" s="22" t="n"/>
      <c r="M73" s="22">
        <f>R73=E73</f>
        <v/>
      </c>
      <c r="N73" s="22">
        <f>AND(MONTH(F73)=MONTH(Q73), YEAR(F73)=YEAR(Q73))</f>
        <v/>
      </c>
      <c r="O73" s="22">
        <f>"L001-902303751"=S73</f>
        <v/>
      </c>
      <c r="P73" s="29">
        <f>G73-U73</f>
        <v/>
      </c>
      <c r="Q73" s="30" t="n">
        <v>45367</v>
      </c>
      <c r="R73" s="26" t="n">
        <v>83794</v>
      </c>
      <c r="S73" s="26" t="inlineStr">
        <is>
          <t>L001-104015799</t>
        </is>
      </c>
      <c r="T73" s="26" t="inlineStr">
        <is>
          <t>យូសេន ឡូជីស្ទីក (ខេមបូឌា) ខូ អិលធីឌី</t>
        </is>
      </c>
      <c r="U73" s="27" t="n">
        <v>83794</v>
      </c>
      <c r="V73" s="26" t="n">
        <v>0</v>
      </c>
    </row>
    <row r="74">
      <c r="A74" s="3" t="n">
        <v>73</v>
      </c>
      <c r="B74" s="4" t="inlineStr">
        <is>
          <t>Cargo Terminal</t>
        </is>
      </c>
      <c r="C74" s="4" t="inlineStr">
        <is>
          <t>សូស៊ីយេតេ កុងសេស្យូនែរ ដឺ ឡាអេរ៉ូព័រ</t>
        </is>
      </c>
      <c r="D74" s="5" t="inlineStr">
        <is>
          <t>L001-100047300</t>
        </is>
      </c>
      <c r="E74" s="10" t="inlineStr">
        <is>
          <t>2400-007290</t>
        </is>
      </c>
      <c r="F74" s="7" t="inlineStr">
        <is>
          <t>30-01-2024</t>
        </is>
      </c>
      <c r="G74" s="8" t="n">
        <v>3265</v>
      </c>
      <c r="H74" s="9" t="n"/>
      <c r="I74" s="33">
        <f>G74</f>
        <v/>
      </c>
      <c r="J74" s="21" t="n"/>
      <c r="K74" s="21">
        <f>I74-G74</f>
        <v/>
      </c>
      <c r="L74" s="22" t="n"/>
      <c r="M74" s="22">
        <f>R74=E74</f>
        <v/>
      </c>
      <c r="N74" s="22">
        <f>AND(MONTH(F74)=MONTH(Q74), YEAR(F74)=YEAR(Q74))</f>
        <v/>
      </c>
      <c r="O74" s="22">
        <f>"L001-902303751"=S74</f>
        <v/>
      </c>
      <c r="P74" s="29">
        <f>G74-U74</f>
        <v/>
      </c>
      <c r="Q74" s="30" t="n">
        <v>45371</v>
      </c>
      <c r="R74" s="26" t="n">
        <v>2206160</v>
      </c>
      <c r="S74" s="26" t="inlineStr">
        <is>
          <t>K009-901605081</t>
        </is>
      </c>
      <c r="T74" s="26" t="inlineStr">
        <is>
          <t>ទ្រូ ខមភែនៀន ឡូជីស្ទីក (ខេមបូឌា)</t>
        </is>
      </c>
      <c r="U74" s="27" t="n">
        <v>2206160</v>
      </c>
      <c r="V74" s="26" t="n">
        <v>0</v>
      </c>
    </row>
    <row r="75">
      <c r="A75" s="3" t="n">
        <v>74</v>
      </c>
      <c r="B75" s="4" t="inlineStr">
        <is>
          <t>TRUCKING FEE, CUSTOMS CLEARANCE</t>
        </is>
      </c>
      <c r="C75" s="4" t="inlineStr">
        <is>
          <t>ត្រាយអ៊ែងហ្គល ឡូជីស្ទីក (ខេមបូឌា) ឯ.ក</t>
        </is>
      </c>
      <c r="D75" s="5" t="inlineStr">
        <is>
          <t>K010-902101743</t>
        </is>
      </c>
      <c r="E75" s="10" t="inlineStr">
        <is>
          <t>TAG-24-00026</t>
        </is>
      </c>
      <c r="F75" s="7" t="inlineStr">
        <is>
          <t>29-01-2024</t>
        </is>
      </c>
      <c r="G75" s="8" t="n">
        <v>32648</v>
      </c>
      <c r="H75" s="9" t="n"/>
      <c r="I75" s="33">
        <f>G75</f>
        <v/>
      </c>
      <c r="J75" s="21" t="n"/>
      <c r="K75" s="21">
        <f>I75-G75</f>
        <v/>
      </c>
      <c r="L75" s="22" t="n"/>
      <c r="M75" s="22">
        <f>R75=E75</f>
        <v/>
      </c>
      <c r="N75" s="22">
        <f>AND(MONTH(F75)=MONTH(Q75), YEAR(F75)=YEAR(Q75))</f>
        <v/>
      </c>
      <c r="O75" s="22">
        <f>"L001-902303751"=S75</f>
        <v/>
      </c>
      <c r="P75" s="29">
        <f>G75-U75</f>
        <v/>
      </c>
      <c r="Q75" s="30" t="n">
        <v>45370</v>
      </c>
      <c r="R75" s="26" t="inlineStr"/>
      <c r="S75" s="26" t="inlineStr">
        <is>
          <t>K003-901635943</t>
        </is>
      </c>
      <c r="T75" s="26" t="inlineStr">
        <is>
          <t>អ៊ីឃ្យូឡាញ វើលវ៉ាយដ៍ ឡូជីស្ទីក</t>
        </is>
      </c>
      <c r="U75" s="27" t="n">
        <v>0</v>
      </c>
      <c r="V75" s="26" t="n">
        <v>0</v>
      </c>
    </row>
    <row r="76">
      <c r="A76" s="3" t="n">
        <v>75</v>
      </c>
      <c r="B76" s="4" t="inlineStr">
        <is>
          <t>Import Shippment Expense</t>
        </is>
      </c>
      <c r="C76" s="4" t="inlineStr">
        <is>
          <t>ភី.ដាប់បែលយូ. ស្កេនវែល ឡូជីស្ទីក (ខេមបូឌា)</t>
        </is>
      </c>
      <c r="D76" s="5" t="inlineStr">
        <is>
          <t>K002-107011379</t>
        </is>
      </c>
      <c r="E76" s="10" t="inlineStr">
        <is>
          <t>240100021</t>
        </is>
      </c>
      <c r="F76" s="7" t="inlineStr">
        <is>
          <t>22-01-2024</t>
        </is>
      </c>
      <c r="G76" s="8" t="n">
        <v>458579</v>
      </c>
      <c r="H76" s="9" t="n"/>
      <c r="I76" s="33">
        <f>G76</f>
        <v/>
      </c>
      <c r="J76" s="21" t="n"/>
      <c r="K76" s="21">
        <f>I76-G76</f>
        <v/>
      </c>
      <c r="L76" s="22" t="n"/>
      <c r="M76" s="22">
        <f>R76=E76</f>
        <v/>
      </c>
      <c r="N76" s="22">
        <f>AND(MONTH(F76)=MONTH(Q76), YEAR(F76)=YEAR(Q76))</f>
        <v/>
      </c>
      <c r="O76" s="22">
        <f>"L001-902303751"=S76</f>
        <v/>
      </c>
      <c r="P76" s="29">
        <f>G76-U76</f>
        <v/>
      </c>
      <c r="Q76" s="30" t="n">
        <v>45362</v>
      </c>
      <c r="R76" s="26" t="n">
        <v>186530</v>
      </c>
      <c r="S76" s="26" t="inlineStr">
        <is>
          <t>K009-901605081</t>
        </is>
      </c>
      <c r="T76" s="26" t="inlineStr">
        <is>
          <t>ទ្រូ ខមភែនៀន ឡូជីស្ទីក (ខេមបូឌា)</t>
        </is>
      </c>
      <c r="U76" s="27" t="n">
        <v>186530</v>
      </c>
      <c r="V76" s="26" t="n">
        <v>0</v>
      </c>
    </row>
    <row r="77">
      <c r="A77" s="3" t="n">
        <v>76</v>
      </c>
      <c r="B77" s="4" t="inlineStr">
        <is>
          <t>Import Shippment Expense</t>
        </is>
      </c>
      <c r="C77" s="4" t="inlineStr">
        <is>
          <t>ភី.ដាប់បែលយូ. ស្កេនវែល ឡូជីស្ទីក (ខេមបូឌា)</t>
        </is>
      </c>
      <c r="D77" s="5" t="inlineStr">
        <is>
          <t>K002-107011379</t>
        </is>
      </c>
      <c r="E77" s="10" t="inlineStr">
        <is>
          <t>240100018</t>
        </is>
      </c>
      <c r="F77" s="7" t="inlineStr">
        <is>
          <t>22-01-2024</t>
        </is>
      </c>
      <c r="G77" s="8" t="n">
        <v>351376</v>
      </c>
      <c r="H77" s="9" t="n"/>
      <c r="I77" s="33">
        <f>G77</f>
        <v/>
      </c>
      <c r="J77" s="21" t="n"/>
      <c r="K77" s="21">
        <f>I77-G77</f>
        <v/>
      </c>
      <c r="L77" s="22" t="n"/>
      <c r="M77" s="22">
        <f>R77=E77</f>
        <v/>
      </c>
      <c r="N77" s="22">
        <f>AND(MONTH(F77)=MONTH(Q77), YEAR(F77)=YEAR(Q77))</f>
        <v/>
      </c>
      <c r="O77" s="22">
        <f>"L001-902303751"=S77</f>
        <v/>
      </c>
      <c r="P77" s="29">
        <f>G77-U77</f>
        <v/>
      </c>
      <c r="Q77" s="30" t="n">
        <v>45358</v>
      </c>
      <c r="R77" s="26" t="n">
        <v>2211610</v>
      </c>
      <c r="S77" s="26" t="inlineStr">
        <is>
          <t>K009-901605081</t>
        </is>
      </c>
      <c r="T77" s="26" t="inlineStr">
        <is>
          <t>ទ្រូ ខមភែនៀន ឡូជីស្ទីក (ខេមបូឌា)</t>
        </is>
      </c>
      <c r="U77" s="27" t="n">
        <v>2211610</v>
      </c>
      <c r="V77" s="26" t="n">
        <v>0</v>
      </c>
    </row>
    <row r="78">
      <c r="A78" s="3" t="n">
        <v>77</v>
      </c>
      <c r="B78" s="4" t="inlineStr">
        <is>
          <t>Terminal Handling Charge, CFS FEE, Scanner Fee, CIC Fee, Agency Fee, D/O Fee, Documentation Fee, Handling Fee, Ex-work charge and Ocean Freight Charge</t>
        </is>
      </c>
      <c r="C78" s="4" t="inlineStr">
        <is>
          <t>ភី.ដាប់បែលយូ. ស្កេនវែល ឡូជីស្ទីក (ខេមបូឌា)</t>
        </is>
      </c>
      <c r="D78" s="5" t="inlineStr">
        <is>
          <t>K002-107011379</t>
        </is>
      </c>
      <c r="E78" s="10" t="inlineStr">
        <is>
          <t>240200045</t>
        </is>
      </c>
      <c r="F78" s="7" t="inlineStr">
        <is>
          <t>26-02-2024</t>
        </is>
      </c>
      <c r="G78" s="8" t="n">
        <v>228608</v>
      </c>
      <c r="H78" s="9" t="n"/>
      <c r="I78" s="33">
        <f>G78</f>
        <v/>
      </c>
      <c r="J78" s="21" t="n"/>
      <c r="K78" s="21">
        <f>I78-G78</f>
        <v/>
      </c>
      <c r="L78" s="22" t="n"/>
      <c r="M78" s="22">
        <f>R78=E78</f>
        <v/>
      </c>
      <c r="N78" s="22">
        <f>AND(MONTH(F78)=MONTH(Q78), YEAR(F78)=YEAR(Q78))</f>
        <v/>
      </c>
      <c r="O78" s="22">
        <f>"L001-902303751"=S78</f>
        <v/>
      </c>
      <c r="P78" s="29">
        <f>G78-U78</f>
        <v/>
      </c>
      <c r="Q78" s="30" t="n">
        <v>45352</v>
      </c>
      <c r="R78" s="26" t="n">
        <v>2216515</v>
      </c>
      <c r="S78" s="26" t="inlineStr">
        <is>
          <t>K009-901605081</t>
        </is>
      </c>
      <c r="T78" s="26" t="inlineStr">
        <is>
          <t>ទ្រូ ខមភែនៀន ឡូជីស្ទីក (ខេមបូឌា)</t>
        </is>
      </c>
      <c r="U78" s="27" t="n">
        <v>2216515</v>
      </c>
      <c r="V78" s="26" t="n">
        <v>0</v>
      </c>
    </row>
    <row r="79">
      <c r="A79" s="3" t="n">
        <v>78</v>
      </c>
      <c r="B79" s="4" t="inlineStr">
        <is>
          <t>Import Shipment Expense</t>
        </is>
      </c>
      <c r="C79" s="4" t="inlineStr">
        <is>
          <t>អូរៀនថល ឡូជីស្ទីក &amp; ឌីស្ទ្រីប៊្យូសិន (ខេមបូឌា)</t>
        </is>
      </c>
      <c r="D79" s="5" t="inlineStr">
        <is>
          <t>L001-103007369</t>
        </is>
      </c>
      <c r="E79" s="10" t="inlineStr">
        <is>
          <t>24-1610</t>
        </is>
      </c>
      <c r="F79" s="7" t="inlineStr">
        <is>
          <t>26-02-2024</t>
        </is>
      </c>
      <c r="G79" s="8" t="n">
        <v>120213</v>
      </c>
      <c r="H79" s="9" t="n"/>
      <c r="I79" s="33">
        <f>G79</f>
        <v/>
      </c>
      <c r="J79" s="21" t="n"/>
      <c r="K79" s="21">
        <f>I79-G79</f>
        <v/>
      </c>
      <c r="L79" s="22" t="n"/>
      <c r="M79" s="22">
        <f>R79=E79</f>
        <v/>
      </c>
      <c r="N79" s="22">
        <f>AND(MONTH(F79)=MONTH(Q79), YEAR(F79)=YEAR(Q79))</f>
        <v/>
      </c>
      <c r="O79" s="22">
        <f>"L001-902303751"=S79</f>
        <v/>
      </c>
      <c r="P79" s="29">
        <f>G79-U79</f>
        <v/>
      </c>
      <c r="Q79" s="30" t="n">
        <v>45352</v>
      </c>
      <c r="R79" s="26" t="n">
        <v>187082</v>
      </c>
      <c r="S79" s="26" t="inlineStr">
        <is>
          <t>K009-901605081</t>
        </is>
      </c>
      <c r="T79" s="26" t="inlineStr">
        <is>
          <t>ទ្រូ ខមភែនៀន ឡូជីស្ទីក (ខេមបូឌា)</t>
        </is>
      </c>
      <c r="U79" s="27" t="n">
        <v>187082</v>
      </c>
      <c r="V79" s="26" t="n">
        <v>0</v>
      </c>
    </row>
    <row r="80">
      <c r="A80" s="3" t="n">
        <v>79</v>
      </c>
      <c r="B80" s="4" t="inlineStr">
        <is>
          <t>Gate Fee Charge</t>
        </is>
      </c>
      <c r="C80" s="4" t="inlineStr">
        <is>
          <t>កំពង់ផែស្វយ័តភ្នំពេញ "ក.ស.ភ"</t>
        </is>
      </c>
      <c r="D80" s="5" t="inlineStr">
        <is>
          <t>L001-100044999</t>
        </is>
      </c>
      <c r="E80" s="6" t="inlineStr">
        <is>
          <t>INV20240211659</t>
        </is>
      </c>
      <c r="F80" s="7" t="inlineStr">
        <is>
          <t>27-02-2024</t>
        </is>
      </c>
      <c r="G80" s="8" t="n">
        <v>6110</v>
      </c>
      <c r="H80" s="9" t="n"/>
      <c r="I80" s="33">
        <f>G80</f>
        <v/>
      </c>
      <c r="J80" s="21" t="n"/>
      <c r="K80" s="21">
        <f>I80-G80</f>
        <v/>
      </c>
      <c r="L80" s="22" t="n"/>
      <c r="M80" s="22">
        <f>R80=E80</f>
        <v/>
      </c>
      <c r="N80" s="22">
        <f>AND(MONTH(F80)=MONTH(Q80), YEAR(F80)=YEAR(Q80))</f>
        <v/>
      </c>
      <c r="O80" s="22">
        <f>"L001-902303751"=S80</f>
        <v/>
      </c>
      <c r="P80" s="29">
        <f>G80-U80</f>
        <v/>
      </c>
      <c r="Q80" s="30" t="n">
        <v>45376</v>
      </c>
      <c r="R80" s="26" t="inlineStr"/>
      <c r="S80" s="26" t="inlineStr">
        <is>
          <t>L001-104015799</t>
        </is>
      </c>
      <c r="T80" s="26" t="inlineStr">
        <is>
          <t>យូសេន ឡូជីស្ទីក (ខេមបូឌា) ខូ អិលធីឌី</t>
        </is>
      </c>
      <c r="U80" s="27" t="n">
        <v>0</v>
      </c>
      <c r="V80" s="26" t="n">
        <v>0</v>
      </c>
    </row>
    <row r="81">
      <c r="A81" s="3" t="n">
        <v>80</v>
      </c>
      <c r="B81" s="4" t="inlineStr">
        <is>
          <t>Gate Fee Charge</t>
        </is>
      </c>
      <c r="C81" s="4" t="inlineStr">
        <is>
          <t>កំពង់ផែស្វយ័តភ្នំពេញ "ក.ស.ភ"</t>
        </is>
      </c>
      <c r="D81" s="5" t="inlineStr">
        <is>
          <t>L001-100044999</t>
        </is>
      </c>
      <c r="E81" s="6" t="inlineStr">
        <is>
          <t>INV20240211960</t>
        </is>
      </c>
      <c r="F81" s="7" t="inlineStr">
        <is>
          <t>29-02-2024</t>
        </is>
      </c>
      <c r="G81" s="8" t="n">
        <v>18717</v>
      </c>
      <c r="H81" s="9" t="n"/>
      <c r="I81" s="33">
        <f>G81</f>
        <v/>
      </c>
      <c r="J81" s="21" t="n"/>
      <c r="K81" s="21">
        <f>I81-G81</f>
        <v/>
      </c>
      <c r="L81" s="22" t="n"/>
      <c r="M81" s="22">
        <f>R81=E81</f>
        <v/>
      </c>
      <c r="N81" s="22">
        <f>AND(MONTH(F81)=MONTH(Q81), YEAR(F81)=YEAR(Q81))</f>
        <v/>
      </c>
      <c r="O81" s="22">
        <f>"L001-902303751"=S81</f>
        <v/>
      </c>
      <c r="P81" s="29">
        <f>G81-U81</f>
        <v/>
      </c>
      <c r="Q81" s="30" t="n">
        <v>45372</v>
      </c>
      <c r="R81" s="26" t="n">
        <v>186254</v>
      </c>
      <c r="S81" s="26" t="inlineStr">
        <is>
          <t>K009-901605081</t>
        </is>
      </c>
      <c r="T81" s="26" t="inlineStr">
        <is>
          <t>ទ្រូ ខមភែនៀន ឡូជីស្ទីក (ខេមបូឌា)</t>
        </is>
      </c>
      <c r="U81" s="27" t="n">
        <v>186254</v>
      </c>
      <c r="V81" s="26" t="n">
        <v>0</v>
      </c>
    </row>
    <row r="82">
      <c r="A82" s="3" t="n">
        <v>81</v>
      </c>
      <c r="B82" s="4" t="inlineStr">
        <is>
          <t>TRUCKING FEE, CUSTOMS CLEARANCE FEE</t>
        </is>
      </c>
      <c r="C82" s="4" t="inlineStr">
        <is>
          <t>ត្រាយអ៊ែងហ្គល ឡូជីស្ទីក (ខេមបូឌា) ឯ.ក</t>
        </is>
      </c>
      <c r="D82" s="5" t="inlineStr">
        <is>
          <t>K010-902101743</t>
        </is>
      </c>
      <c r="E82" s="6" t="inlineStr">
        <is>
          <t>TAG-24-00076</t>
        </is>
      </c>
      <c r="F82" s="7" t="inlineStr">
        <is>
          <t>29-02-2024</t>
        </is>
      </c>
      <c r="G82" s="8" t="n">
        <v>65104</v>
      </c>
      <c r="H82" s="9" t="n"/>
      <c r="I82" s="33">
        <f>G82</f>
        <v/>
      </c>
      <c r="J82" s="21" t="n"/>
      <c r="K82" s="21">
        <f>I82-G82</f>
        <v/>
      </c>
      <c r="L82" s="22" t="n"/>
      <c r="M82" s="22">
        <f>R82=E82</f>
        <v/>
      </c>
      <c r="N82" s="22">
        <f>AND(MONTH(F82)=MONTH(Q82), YEAR(F82)=YEAR(Q82))</f>
        <v/>
      </c>
      <c r="O82" s="22">
        <f>"L001-902303751"=S82</f>
        <v/>
      </c>
      <c r="P82" s="29">
        <f>G82-U82</f>
        <v/>
      </c>
      <c r="Q82" s="30" t="n">
        <v>45362</v>
      </c>
      <c r="R82" s="26" t="n">
        <v>175987</v>
      </c>
      <c r="S82" s="26" t="inlineStr">
        <is>
          <t>K003-901635943</t>
        </is>
      </c>
      <c r="T82" s="26" t="inlineStr">
        <is>
          <t>អ៊ីឃ្យូឡាញ វើលវ៉ាយដ៍ ឡូជីស្ទីក</t>
        </is>
      </c>
      <c r="U82" s="27" t="n">
        <v>175987</v>
      </c>
      <c r="V82" s="26" t="n">
        <v>0</v>
      </c>
    </row>
    <row r="83">
      <c r="A83" s="3" t="n">
        <v>82</v>
      </c>
      <c r="B83" s="4" t="inlineStr">
        <is>
          <t>Gate Fee Charage</t>
        </is>
      </c>
      <c r="C83" s="4" t="inlineStr">
        <is>
          <t>កំពង់ផែស្វយ័តភ្នំពេញ "ក.ស.ភ"</t>
        </is>
      </c>
      <c r="D83" s="5" t="inlineStr">
        <is>
          <t>L001-100044999</t>
        </is>
      </c>
      <c r="E83" s="6" t="inlineStr">
        <is>
          <t>INV20240211839</t>
        </is>
      </c>
      <c r="F83" s="7" t="inlineStr">
        <is>
          <t>28-02-2024</t>
        </is>
      </c>
      <c r="G83" s="8" t="n">
        <v>814</v>
      </c>
      <c r="H83" s="9" t="n"/>
      <c r="I83" s="33">
        <f>G83</f>
        <v/>
      </c>
      <c r="J83" s="21" t="n"/>
      <c r="K83" s="21">
        <f>I83-G83</f>
        <v/>
      </c>
      <c r="L83" s="22" t="n"/>
      <c r="M83" s="22">
        <f>R83=E83</f>
        <v/>
      </c>
      <c r="N83" s="22">
        <f>AND(MONTH(F83)=MONTH(Q83), YEAR(F83)=YEAR(Q83))</f>
        <v/>
      </c>
      <c r="O83" s="22">
        <f>"L001-902303751"=S83</f>
        <v/>
      </c>
      <c r="P83" s="29">
        <f>G83-U83</f>
        <v/>
      </c>
      <c r="Q83" s="30" t="n">
        <v>45376</v>
      </c>
      <c r="R83" s="26" t="n">
        <v>83732</v>
      </c>
      <c r="S83" s="26" t="inlineStr">
        <is>
          <t>L001-104015799</t>
        </is>
      </c>
      <c r="T83" s="26" t="inlineStr">
        <is>
          <t>យូសេន ឡូជីស្ទីក (ខេមបូឌា) ខូ អិលធីឌី</t>
        </is>
      </c>
      <c r="U83" s="27" t="n">
        <v>83732</v>
      </c>
      <c r="V83" s="26" t="n">
        <v>0</v>
      </c>
    </row>
    <row r="84">
      <c r="A84" s="3" t="n">
        <v>83</v>
      </c>
      <c r="B84" s="4" t="inlineStr">
        <is>
          <t>Cargo Terminal</t>
        </is>
      </c>
      <c r="C84" s="4" t="inlineStr">
        <is>
          <t>សូស៊ីយេតេ កុងសេស្យូនែរ ដឺ ឡាអេរ៉ូព័រ</t>
        </is>
      </c>
      <c r="D84" s="5" t="inlineStr">
        <is>
          <t>L001-100047300</t>
        </is>
      </c>
      <c r="E84" s="10" t="inlineStr">
        <is>
          <t>2400-010720</t>
        </is>
      </c>
      <c r="F84" s="7" t="inlineStr">
        <is>
          <t>15-02-2024</t>
        </is>
      </c>
      <c r="G84" s="8" t="n">
        <v>1630</v>
      </c>
      <c r="H84" s="9" t="n"/>
      <c r="I84" s="33">
        <f>G84</f>
        <v/>
      </c>
      <c r="J84" s="21" t="n"/>
      <c r="K84" s="21">
        <f>I84-G84</f>
        <v/>
      </c>
      <c r="L84" s="22" t="n"/>
      <c r="M84" s="22">
        <f>R84=E84</f>
        <v/>
      </c>
      <c r="N84" s="22">
        <f>AND(MONTH(F84)=MONTH(Q84), YEAR(F84)=YEAR(Q84))</f>
        <v/>
      </c>
      <c r="O84" s="22">
        <f>"L001-902303751"=S84</f>
        <v/>
      </c>
      <c r="P84" s="29">
        <f>G84-U84</f>
        <v/>
      </c>
      <c r="Q84" s="30" t="n">
        <v>45372</v>
      </c>
      <c r="R84" s="26" t="n">
        <v>2206705</v>
      </c>
      <c r="S84" s="26" t="inlineStr">
        <is>
          <t>K009-901605081</t>
        </is>
      </c>
      <c r="T84" s="26" t="inlineStr">
        <is>
          <t>ទ្រូ ខមភែនៀន ឡូជីស្ទីក (ខេមបូឌា)</t>
        </is>
      </c>
      <c r="U84" s="27" t="n">
        <v>2206705</v>
      </c>
      <c r="V84" s="26" t="n">
        <v>0</v>
      </c>
    </row>
    <row r="85">
      <c r="A85" s="3" t="n">
        <v>84</v>
      </c>
      <c r="B85" s="4" t="inlineStr">
        <is>
          <t>TRUCKING FEE, CUSTOMS CLEARANCE FEE</t>
        </is>
      </c>
      <c r="C85" s="4" t="inlineStr">
        <is>
          <t>ត្រាយអ៊ែងហ្គល ឡូជីស្ទីក (ខេមបូឌា) ឯ.ក</t>
        </is>
      </c>
      <c r="D85" s="5" t="inlineStr">
        <is>
          <t>K010-902101743</t>
        </is>
      </c>
      <c r="E85" s="10" t="inlineStr">
        <is>
          <t>TAG-24-00048</t>
        </is>
      </c>
      <c r="F85" s="7" t="inlineStr">
        <is>
          <t>12-02-2024</t>
        </is>
      </c>
      <c r="G85" s="8" t="n">
        <v>32624</v>
      </c>
      <c r="H85" s="9" t="n"/>
      <c r="I85" s="33">
        <f>G85</f>
        <v/>
      </c>
      <c r="J85" s="21" t="n"/>
      <c r="K85" s="21">
        <f>I85-G85</f>
        <v/>
      </c>
      <c r="L85" s="22" t="n"/>
      <c r="M85" s="22">
        <f>R85=E85</f>
        <v/>
      </c>
      <c r="N85" s="22">
        <f>AND(MONTH(F85)=MONTH(Q85), YEAR(F85)=YEAR(Q85))</f>
        <v/>
      </c>
      <c r="O85" s="22">
        <f>"L001-902303751"=S85</f>
        <v/>
      </c>
      <c r="P85" s="29">
        <f>G85-U85</f>
        <v/>
      </c>
      <c r="Q85" s="30" t="n">
        <v>45382</v>
      </c>
      <c r="R85" s="26" t="n">
        <v>111936</v>
      </c>
      <c r="S85" s="26" t="inlineStr">
        <is>
          <t>K003-901635943</t>
        </is>
      </c>
      <c r="T85" s="26" t="inlineStr">
        <is>
          <t>អ៊ីឃ្យូឡាញ វើលវ៉ាយដ៍ ឡូជីស្ទីក</t>
        </is>
      </c>
      <c r="U85" s="27" t="n">
        <v>111936</v>
      </c>
      <c r="V85" s="26" t="n">
        <v>0</v>
      </c>
    </row>
    <row r="86">
      <c r="A86" s="3" t="n">
        <v>85</v>
      </c>
      <c r="B86" s="4" t="inlineStr">
        <is>
          <t>Cargo Terminal</t>
        </is>
      </c>
      <c r="C86" s="4" t="inlineStr">
        <is>
          <t>សូស៊ីយេតេ កុងសេស្យូនែរ ដឺ ឡាអេរ៉ូព័រ</t>
        </is>
      </c>
      <c r="D86" s="5" t="inlineStr">
        <is>
          <t>L001-100047300</t>
        </is>
      </c>
      <c r="E86" s="10" t="inlineStr">
        <is>
          <t>2400-009969</t>
        </is>
      </c>
      <c r="F86" s="7" t="inlineStr">
        <is>
          <t>09-02-2024</t>
        </is>
      </c>
      <c r="G86" s="8" t="n">
        <v>5351</v>
      </c>
      <c r="H86" s="9" t="n"/>
      <c r="I86" s="33">
        <f>G86</f>
        <v/>
      </c>
      <c r="J86" s="21" t="n"/>
      <c r="K86" s="21">
        <f>I86-G86</f>
        <v/>
      </c>
      <c r="L86" s="22" t="n"/>
      <c r="M86" s="22">
        <f>R86=E86</f>
        <v/>
      </c>
      <c r="N86" s="22">
        <f>AND(MONTH(F86)=MONTH(Q86), YEAR(F86)=YEAR(Q86))</f>
        <v/>
      </c>
      <c r="O86" s="22">
        <f>"L001-902303751"=S86</f>
        <v/>
      </c>
      <c r="P86" s="29">
        <f>G86-U86</f>
        <v/>
      </c>
      <c r="Q86" s="30" t="n">
        <v>45378</v>
      </c>
      <c r="R86" s="26" t="n">
        <v>185932</v>
      </c>
      <c r="S86" s="26" t="inlineStr">
        <is>
          <t>K009-901605081</t>
        </is>
      </c>
      <c r="T86" s="26" t="inlineStr">
        <is>
          <t>ទ្រូ ខមភែនៀន ឡូជីស្ទីក (ខេមបូឌា)</t>
        </is>
      </c>
      <c r="U86" s="27" t="n">
        <v>185932</v>
      </c>
      <c r="V86" s="26" t="n">
        <v>0</v>
      </c>
    </row>
    <row r="87">
      <c r="A87" s="3" t="n">
        <v>86</v>
      </c>
      <c r="B87" s="4" t="inlineStr">
        <is>
          <t>Terminal Handling Charges, CFS Fee, Document Fee, D/O Fee, Scan Fee, Handling Fee, Co-Loader Agency Fee and CIC</t>
        </is>
      </c>
      <c r="C87" s="4" t="inlineStr">
        <is>
          <t>ត្រាយអ៊ែងហ្គល ឡូជីស្ទីក (ខេមបូឌា) ឯ.ក</t>
        </is>
      </c>
      <c r="D87" s="5" t="inlineStr">
        <is>
          <t>K010-902101743</t>
        </is>
      </c>
      <c r="E87" s="10" t="inlineStr">
        <is>
          <t>TAG-24-00051</t>
        </is>
      </c>
      <c r="F87" s="7" t="inlineStr">
        <is>
          <t>19-02-2024</t>
        </is>
      </c>
      <c r="G87" s="8" t="n">
        <v>82431</v>
      </c>
      <c r="H87" s="9" t="n"/>
      <c r="I87" s="33">
        <f>G87</f>
        <v/>
      </c>
      <c r="J87" s="21" t="n"/>
      <c r="K87" s="21">
        <f>I87-G87</f>
        <v/>
      </c>
      <c r="L87" s="22" t="n"/>
      <c r="M87" s="22">
        <f>R87=E87</f>
        <v/>
      </c>
      <c r="N87" s="22">
        <f>AND(MONTH(F87)=MONTH(Q87), YEAR(F87)=YEAR(Q87))</f>
        <v/>
      </c>
      <c r="O87" s="22">
        <f>"L001-902303751"=S87</f>
        <v/>
      </c>
      <c r="P87" s="29">
        <f>G87-U87</f>
        <v/>
      </c>
      <c r="Q87" s="30" t="n">
        <v>45376</v>
      </c>
      <c r="R87" s="26" t="n">
        <v>124182</v>
      </c>
      <c r="S87" s="26" t="inlineStr">
        <is>
          <t>L001-104015799</t>
        </is>
      </c>
      <c r="T87" s="26" t="inlineStr">
        <is>
          <t>យូសេន ឡូជីស្ទីក (ខេមបូឌា) ខូ អិលធីឌី</t>
        </is>
      </c>
      <c r="U87" s="27" t="n">
        <v>124182</v>
      </c>
      <c r="V87" s="26" t="n">
        <v>0</v>
      </c>
    </row>
    <row r="88">
      <c r="A88" s="3" t="n">
        <v>87</v>
      </c>
      <c r="B88" s="4" t="inlineStr">
        <is>
          <t>Lift-On &amp; Lift-Off</t>
        </is>
      </c>
      <c r="C88" s="4" t="inlineStr">
        <is>
          <t>កំពង់ផែស្វយ័តក្រុងព្រះសីហនុ</t>
        </is>
      </c>
      <c r="D88" s="5" t="inlineStr">
        <is>
          <t>L001-100044638</t>
        </is>
      </c>
      <c r="E88" s="10" t="inlineStr">
        <is>
          <t>034414</t>
        </is>
      </c>
      <c r="F88" s="7" t="inlineStr">
        <is>
          <t>21-02-2024</t>
        </is>
      </c>
      <c r="G88" s="8" t="n">
        <v>1249</v>
      </c>
      <c r="H88" s="9" t="n"/>
      <c r="I88" s="33">
        <f>G88</f>
        <v/>
      </c>
      <c r="J88" s="21" t="n"/>
      <c r="K88" s="21">
        <f>I88-G88</f>
        <v/>
      </c>
      <c r="L88" s="22" t="n"/>
      <c r="M88" s="22">
        <f>R88=E88</f>
        <v/>
      </c>
      <c r="N88" s="22">
        <f>AND(MONTH(F88)=MONTH(Q88), YEAR(F88)=YEAR(Q88))</f>
        <v/>
      </c>
      <c r="O88" s="22">
        <f>"L001-902303751"=S88</f>
        <v/>
      </c>
      <c r="P88" s="29">
        <f>G88-U88</f>
        <v/>
      </c>
      <c r="Q88" s="30" t="n">
        <v>45364</v>
      </c>
      <c r="R88" s="26" t="n">
        <v>2202345</v>
      </c>
      <c r="S88" s="26" t="inlineStr">
        <is>
          <t>K009-901605081</t>
        </is>
      </c>
      <c r="T88" s="26" t="inlineStr">
        <is>
          <t>ទ្រូ ខមភែនៀន ឡូជីស្ទីក (ខេមបូឌា)</t>
        </is>
      </c>
      <c r="U88" s="27" t="n">
        <v>2202345</v>
      </c>
      <c r="V88" s="26" t="n">
        <v>0</v>
      </c>
    </row>
    <row r="89">
      <c r="A89" s="3" t="n">
        <v>88</v>
      </c>
      <c r="B89" s="4" t="inlineStr">
        <is>
          <t>Terminal Handling Charge, Container Freight Station, Scanning Fee, Container Imbalance Charge, Agency Fee, Delivery Order, Document Fee and Admin Fee</t>
        </is>
      </c>
      <c r="C89" s="4" t="inlineStr">
        <is>
          <t>អឹឡាយអិន ហ្វ័រវើឌីង (ខេមបូឌា) ឯ.ក</t>
        </is>
      </c>
      <c r="D89" s="5" t="inlineStr">
        <is>
          <t>K005-901902888</t>
        </is>
      </c>
      <c r="E89" s="10" t="inlineStr">
        <is>
          <t>PPTI24-0081</t>
        </is>
      </c>
      <c r="F89" s="7" t="inlineStr">
        <is>
          <t>09-02-2024</t>
        </is>
      </c>
      <c r="G89" s="8" t="n">
        <v>152150</v>
      </c>
      <c r="H89" s="9" t="n"/>
      <c r="I89" s="33">
        <f>G89</f>
        <v/>
      </c>
      <c r="J89" s="21" t="n"/>
      <c r="K89" s="21">
        <f>I89-G89</f>
        <v/>
      </c>
      <c r="L89" s="22" t="n"/>
      <c r="M89" s="22">
        <f>R89=E89</f>
        <v/>
      </c>
      <c r="N89" s="22">
        <f>AND(MONTH(F89)=MONTH(Q89), YEAR(F89)=YEAR(Q89))</f>
        <v/>
      </c>
      <c r="O89" s="22">
        <f>"L001-902303751"=S89</f>
        <v/>
      </c>
      <c r="P89" s="29">
        <f>G89-U89</f>
        <v/>
      </c>
      <c r="Q89" s="30" t="n">
        <v>45358</v>
      </c>
      <c r="R89" s="26" t="n">
        <v>186668</v>
      </c>
      <c r="S89" s="26" t="inlineStr">
        <is>
          <t>K009-901605081</t>
        </is>
      </c>
      <c r="T89" s="26" t="inlineStr">
        <is>
          <t>ទ្រូ ខមភែនៀន ឡូជីស្ទីក (ខេមបូឌា)</t>
        </is>
      </c>
      <c r="U89" s="27" t="n">
        <v>186668</v>
      </c>
      <c r="V89" s="26" t="n">
        <v>0</v>
      </c>
    </row>
    <row r="90">
      <c r="A90" s="3" t="n">
        <v>89</v>
      </c>
      <c r="B90" s="4" t="inlineStr">
        <is>
          <t>Lift-On &amp; Lift-Off</t>
        </is>
      </c>
      <c r="C90" s="4" t="inlineStr">
        <is>
          <t>កំពង់ផែស្វយ័តក្រុងព្រះសីហនុ</t>
        </is>
      </c>
      <c r="D90" s="5" t="inlineStr">
        <is>
          <t>L001-100044638</t>
        </is>
      </c>
      <c r="E90" s="10" t="inlineStr">
        <is>
          <t>033440</t>
        </is>
      </c>
      <c r="F90" s="7" t="inlineStr">
        <is>
          <t>09-02-2024</t>
        </is>
      </c>
      <c r="G90" s="8" t="n">
        <v>3121</v>
      </c>
      <c r="H90" s="9" t="n"/>
      <c r="I90" s="33">
        <f>G90</f>
        <v/>
      </c>
      <c r="J90" s="21" t="n"/>
      <c r="K90" s="21">
        <f>I90-G90</f>
        <v/>
      </c>
      <c r="L90" s="22" t="n"/>
      <c r="M90" s="22">
        <f>R90=E90</f>
        <v/>
      </c>
      <c r="N90" s="22">
        <f>AND(MONTH(F90)=MONTH(Q90), YEAR(F90)=YEAR(Q90))</f>
        <v/>
      </c>
      <c r="O90" s="22">
        <f>"L001-902303751"=S90</f>
        <v/>
      </c>
      <c r="P90" s="29">
        <f>G90-U90</f>
        <v/>
      </c>
      <c r="Q90" s="30" t="n">
        <v>45357</v>
      </c>
      <c r="R90" s="26" t="n">
        <v>186990</v>
      </c>
      <c r="S90" s="26" t="inlineStr">
        <is>
          <t>K009-901605081</t>
        </is>
      </c>
      <c r="T90" s="26" t="inlineStr">
        <is>
          <t>ទ្រូ ខមភែនៀន ឡូជីស្ទីក (ខេមបូឌា)</t>
        </is>
      </c>
      <c r="U90" s="27" t="n">
        <v>186990</v>
      </c>
      <c r="V90" s="26" t="n">
        <v>0</v>
      </c>
    </row>
    <row r="91">
      <c r="A91" s="3" t="n">
        <v>90</v>
      </c>
      <c r="B91" s="4" t="inlineStr">
        <is>
          <t>THC, EMF, 3 PARTY TRUCKING, CIC, R/O, DOC FEE and HANDLING FEE</t>
        </is>
      </c>
      <c r="C91" s="4" t="inlineStr">
        <is>
          <t>ខេអិលអិន ហ្វ្រេត (ខេមបូឌា) ឯ.ក</t>
        </is>
      </c>
      <c r="D91" s="5" t="inlineStr">
        <is>
          <t>L001-100074669</t>
        </is>
      </c>
      <c r="E91" s="10" t="inlineStr">
        <is>
          <t>IVO01875</t>
        </is>
      </c>
      <c r="F91" s="7" t="inlineStr">
        <is>
          <t>06-02-2024</t>
        </is>
      </c>
      <c r="G91" s="8" t="n">
        <v>110053</v>
      </c>
      <c r="H91" s="9" t="n"/>
      <c r="I91" s="33">
        <f>G91</f>
        <v/>
      </c>
      <c r="J91" s="21" t="n"/>
      <c r="K91" s="21">
        <f>I91-G91</f>
        <v/>
      </c>
      <c r="L91" s="22" t="n"/>
      <c r="M91" s="22">
        <f>R91=E91</f>
        <v/>
      </c>
      <c r="N91" s="22">
        <f>AND(MONTH(F91)=MONTH(Q91), YEAR(F91)=YEAR(Q91))</f>
        <v/>
      </c>
      <c r="O91" s="22">
        <f>"L001-902303751"=S91</f>
        <v/>
      </c>
      <c r="P91" s="29">
        <f>G91-U91</f>
        <v/>
      </c>
      <c r="Q91" s="30" t="n">
        <v>45370</v>
      </c>
      <c r="R91" s="26" t="n">
        <v>175683</v>
      </c>
      <c r="S91" s="26" t="inlineStr">
        <is>
          <t>K003-901635943</t>
        </is>
      </c>
      <c r="T91" s="26" t="inlineStr">
        <is>
          <t>អ៊ីឃ្យូឡាញ វើលវ៉ាយដ៍ ឡូជីស្ទីក</t>
        </is>
      </c>
      <c r="U91" s="27" t="n">
        <v>175683</v>
      </c>
      <c r="V91" s="26" t="n">
        <v>0</v>
      </c>
    </row>
    <row r="92">
      <c r="A92" s="3" t="n">
        <v>91</v>
      </c>
      <c r="B92" s="4" t="inlineStr">
        <is>
          <t>Lift-On &amp; Lift-Off</t>
        </is>
      </c>
      <c r="C92" s="4" t="inlineStr">
        <is>
          <t>កំពង់ផែស្វយ័តក្រុងព្រះសីហនុ</t>
        </is>
      </c>
      <c r="D92" s="5" t="inlineStr">
        <is>
          <t>L001-100044638</t>
        </is>
      </c>
      <c r="E92" s="10" t="inlineStr">
        <is>
          <t>027167</t>
        </is>
      </c>
      <c r="F92" s="7" t="inlineStr">
        <is>
          <t>10-02-2024</t>
        </is>
      </c>
      <c r="G92" s="8" t="n">
        <v>23250</v>
      </c>
      <c r="H92" s="9" t="n"/>
      <c r="I92" s="33">
        <f>G92</f>
        <v/>
      </c>
      <c r="J92" s="21" t="n"/>
      <c r="K92" s="21">
        <f>I92-G92</f>
        <v/>
      </c>
      <c r="L92" s="22" t="n"/>
      <c r="M92" s="22">
        <f>R92=E92</f>
        <v/>
      </c>
      <c r="N92" s="22">
        <f>AND(MONTH(F92)=MONTH(Q92), YEAR(F92)=YEAR(Q92))</f>
        <v/>
      </c>
      <c r="O92" s="22">
        <f>"L001-902303751"=S92</f>
        <v/>
      </c>
      <c r="P92" s="29">
        <f>G92-U92</f>
        <v/>
      </c>
      <c r="Q92" s="30" t="n">
        <v>45371</v>
      </c>
      <c r="R92" s="26" t="n">
        <v>186208</v>
      </c>
      <c r="S92" s="26" t="inlineStr">
        <is>
          <t>K009-901605081</t>
        </is>
      </c>
      <c r="T92" s="26" t="inlineStr">
        <is>
          <t>ទ្រូ ខមភែនៀន ឡូជីស្ទីក (ខេមបូឌា)</t>
        </is>
      </c>
      <c r="U92" s="27" t="n">
        <v>186208</v>
      </c>
      <c r="V92" s="26" t="n">
        <v>0</v>
      </c>
    </row>
    <row r="93">
      <c r="A93" s="3" t="n">
        <v>92</v>
      </c>
      <c r="B93" s="4" t="inlineStr">
        <is>
          <t>Terminal Handling Charge, Documentation Fee, Agency Fee. Container Protect Essential and Equipment Positioning Service</t>
        </is>
      </c>
      <c r="C93" s="4" t="inlineStr">
        <is>
          <t>ផេនដា គ្លូប៊ល ឡូជីស្ទីក (ខេមបូឌា)</t>
        </is>
      </c>
      <c r="D93" s="5" t="inlineStr">
        <is>
          <t>K005-901501155</t>
        </is>
      </c>
      <c r="E93" s="6" t="inlineStr">
        <is>
          <t>PD240030</t>
        </is>
      </c>
      <c r="F93" s="7" t="inlineStr">
        <is>
          <t>05-02-2024</t>
        </is>
      </c>
      <c r="G93" s="8" t="n">
        <v>173570</v>
      </c>
      <c r="H93" s="9" t="n"/>
      <c r="I93" s="33">
        <f>G93</f>
        <v/>
      </c>
      <c r="J93" s="21" t="n"/>
      <c r="K93" s="21">
        <f>I93-G93</f>
        <v/>
      </c>
      <c r="L93" s="22" t="n"/>
      <c r="M93" s="22">
        <f>R93=E93</f>
        <v/>
      </c>
      <c r="N93" s="22">
        <f>AND(MONTH(F93)=MONTH(Q93), YEAR(F93)=YEAR(Q93))</f>
        <v/>
      </c>
      <c r="O93" s="22">
        <f>"L001-902303751"=S93</f>
        <v/>
      </c>
      <c r="P93" s="29">
        <f>G93-U93</f>
        <v/>
      </c>
      <c r="Q93" s="30" t="n">
        <v>45376</v>
      </c>
      <c r="R93" s="26" t="n">
        <v>267375</v>
      </c>
      <c r="S93" s="26" t="inlineStr">
        <is>
          <t>K003-901635943</t>
        </is>
      </c>
      <c r="T93" s="26" t="inlineStr">
        <is>
          <t>អ៊ីឃ្យូឡាញ វើលវ៉ាយដ៍ ឡូជីស្ទីក</t>
        </is>
      </c>
      <c r="U93" s="27" t="n">
        <v>267375</v>
      </c>
      <c r="V93" s="26" t="n">
        <v>0</v>
      </c>
    </row>
    <row r="94">
      <c r="A94" s="3" t="n">
        <v>93</v>
      </c>
      <c r="B94" s="4" t="inlineStr">
        <is>
          <t>Lift-On &amp; Lift-Off</t>
        </is>
      </c>
      <c r="C94" s="4" t="inlineStr">
        <is>
          <t>កំពង់ផែស្វយ័តក្រុងព្រះសីហនុ</t>
        </is>
      </c>
      <c r="D94" s="5" t="inlineStr">
        <is>
          <t>L001-100044638</t>
        </is>
      </c>
      <c r="E94" s="6" t="inlineStr">
        <is>
          <t>025068</t>
        </is>
      </c>
      <c r="F94" s="7" t="inlineStr">
        <is>
          <t>07-02-2024</t>
        </is>
      </c>
      <c r="G94" s="8" t="n">
        <v>23262</v>
      </c>
      <c r="H94" s="9" t="n"/>
      <c r="I94" s="33">
        <f>G94</f>
        <v/>
      </c>
      <c r="J94" s="21" t="n"/>
      <c r="K94" s="21">
        <f>I94-G94</f>
        <v/>
      </c>
      <c r="L94" s="22" t="n"/>
      <c r="M94" s="22">
        <f>R94=E94</f>
        <v/>
      </c>
      <c r="N94" s="22">
        <f>AND(MONTH(F94)=MONTH(Q94), YEAR(F94)=YEAR(Q94))</f>
        <v/>
      </c>
      <c r="O94" s="22">
        <f>"L001-902303751"=S94</f>
        <v/>
      </c>
      <c r="P94" s="29">
        <f>G94-U94</f>
        <v/>
      </c>
      <c r="Q94" s="30" t="n">
        <v>45362</v>
      </c>
      <c r="R94" s="26" t="n">
        <v>2209975</v>
      </c>
      <c r="S94" s="26" t="inlineStr">
        <is>
          <t>K009-901605081</t>
        </is>
      </c>
      <c r="T94" s="26" t="inlineStr">
        <is>
          <t>ទ្រូ ខមភែនៀន ឡូជីស្ទីក (ខេមបូឌា)</t>
        </is>
      </c>
      <c r="U94" s="27" t="n">
        <v>2209975</v>
      </c>
      <c r="V94" s="26" t="n">
        <v>0</v>
      </c>
    </row>
    <row r="95">
      <c r="A95" s="3" t="n">
        <v>94</v>
      </c>
      <c r="B95" s="4" t="inlineStr">
        <is>
          <t>THC, EMF, 3 PARTY TRUCKING, CIC, R/O, DOC FEE and HANDLING FEE</t>
        </is>
      </c>
      <c r="C95" s="4" t="inlineStr">
        <is>
          <t>ខេអិលអិន ហ្វ្រេត (ខេមបូឌា) ឯ.ក</t>
        </is>
      </c>
      <c r="D95" s="5" t="inlineStr">
        <is>
          <t>L001-100074669</t>
        </is>
      </c>
      <c r="E95" s="6" t="inlineStr">
        <is>
          <t>IVO02346</t>
        </is>
      </c>
      <c r="F95" s="7" t="inlineStr">
        <is>
          <t>07-02-2024</t>
        </is>
      </c>
      <c r="G95" s="8" t="n">
        <v>123625</v>
      </c>
      <c r="H95" s="9" t="n"/>
      <c r="I95" s="33">
        <f>G95</f>
        <v/>
      </c>
      <c r="J95" s="21" t="n"/>
      <c r="K95" s="21">
        <f>I95-G95</f>
        <v/>
      </c>
      <c r="L95" s="22" t="n"/>
      <c r="M95" s="22">
        <f>R95=E95</f>
        <v/>
      </c>
      <c r="N95" s="22">
        <f>AND(MONTH(F95)=MONTH(Q95), YEAR(F95)=YEAR(Q95))</f>
        <v/>
      </c>
      <c r="O95" s="22">
        <f>"L001-902303751"=S95</f>
        <v/>
      </c>
      <c r="P95" s="29">
        <f>G95-U95</f>
        <v/>
      </c>
      <c r="Q95" s="30" t="n">
        <v>45362</v>
      </c>
      <c r="R95" s="26" t="n">
        <v>274929</v>
      </c>
      <c r="S95" s="26" t="inlineStr">
        <is>
          <t>K002-901900264</t>
        </is>
      </c>
      <c r="T95" s="26" t="inlineStr">
        <is>
          <t>ហេកធ័រ ត្រេនស្ព័រថេសិន (ខេមបូឌា) ឯ.ក</t>
        </is>
      </c>
      <c r="U95" s="27" t="n">
        <v>274929</v>
      </c>
      <c r="V95" s="26" t="n">
        <v>0</v>
      </c>
    </row>
    <row r="96">
      <c r="A96" s="3" t="n">
        <v>95</v>
      </c>
      <c r="B96" s="4" t="inlineStr">
        <is>
          <t>Trucking, Customs Clearance, Import Permit, Extra Trucking, Truck Fuel Surcharge and Handling Charge</t>
        </is>
      </c>
      <c r="C96" s="4" t="inlineStr">
        <is>
          <t>អេស អ វី ស៊ី ហ្វ្រេត សឺវីស (ខេមបូឌា) ខូ អិលធីឌី</t>
        </is>
      </c>
      <c r="D96" s="5" t="inlineStr">
        <is>
          <t>K005-100150195</t>
        </is>
      </c>
      <c r="E96" s="6" t="inlineStr">
        <is>
          <t>SRVI2400831</t>
        </is>
      </c>
      <c r="F96" s="7" t="inlineStr">
        <is>
          <t>15-02-2024</t>
        </is>
      </c>
      <c r="G96" s="8" t="n">
        <v>107047</v>
      </c>
      <c r="H96" s="9" t="n"/>
      <c r="I96" s="33">
        <f>G96</f>
        <v/>
      </c>
      <c r="J96" s="21" t="n"/>
      <c r="K96" s="21">
        <f>I96-G96</f>
        <v/>
      </c>
      <c r="L96" s="22" t="n"/>
      <c r="M96" s="22">
        <f>R96=E96</f>
        <v/>
      </c>
      <c r="N96" s="22">
        <f>AND(MONTH(F96)=MONTH(Q96), YEAR(F96)=YEAR(Q96))</f>
        <v/>
      </c>
      <c r="O96" s="22">
        <f>"L001-902303751"=S96</f>
        <v/>
      </c>
      <c r="P96" s="29">
        <f>G96-U96</f>
        <v/>
      </c>
      <c r="Q96" s="30" t="n">
        <v>45376</v>
      </c>
      <c r="R96" s="26" t="inlineStr"/>
      <c r="S96" s="26" t="inlineStr">
        <is>
          <t>K003-901635943</t>
        </is>
      </c>
      <c r="T96" s="26" t="inlineStr">
        <is>
          <t>អ៊ីឃ្យូឡាញ វើលវ៉ាយដ៍ ឡូជីស្ទីក</t>
        </is>
      </c>
      <c r="U96" s="27" t="n">
        <v>0</v>
      </c>
      <c r="V96" s="26" t="n">
        <v>0</v>
      </c>
    </row>
    <row r="97">
      <c r="A97" s="3" t="n">
        <v>96</v>
      </c>
      <c r="B97" s="4" t="inlineStr">
        <is>
          <t>Hardware</t>
        </is>
      </c>
      <c r="C97" s="4" t="inlineStr">
        <is>
          <t>ភ្នំពេញ ថប វើលដ៍ ខនស្ត្រាក់សិន &amp; អេនជីនារីង ឯ.ក</t>
        </is>
      </c>
      <c r="D97" s="5" t="inlineStr">
        <is>
          <t>K005-901638261</t>
        </is>
      </c>
      <c r="E97" s="10" t="inlineStr">
        <is>
          <t>000004</t>
        </is>
      </c>
      <c r="F97" s="7" t="inlineStr">
        <is>
          <t>29-02-2024</t>
        </is>
      </c>
      <c r="G97" s="8" t="n">
        <v>263671</v>
      </c>
      <c r="H97" s="9" t="n"/>
      <c r="I97" s="33">
        <f>G97</f>
        <v/>
      </c>
      <c r="J97" s="21" t="n"/>
      <c r="K97" s="21">
        <f>I97-G97</f>
        <v/>
      </c>
      <c r="L97" s="22" t="n"/>
      <c r="M97" s="22">
        <f>R97=E97</f>
        <v/>
      </c>
      <c r="N97" s="22">
        <f>AND(MONTH(F97)=MONTH(Q97), YEAR(F97)=YEAR(Q97))</f>
        <v/>
      </c>
      <c r="O97" s="22">
        <f>"L001-902303751"=S97</f>
        <v/>
      </c>
      <c r="P97" s="29">
        <f>G97-U97</f>
        <v/>
      </c>
      <c r="Q97" s="30" t="n">
        <v>45378</v>
      </c>
      <c r="R97" s="26" t="n">
        <v>2202890</v>
      </c>
      <c r="S97" s="26" t="inlineStr">
        <is>
          <t>K009-901605081</t>
        </is>
      </c>
      <c r="T97" s="26" t="inlineStr">
        <is>
          <t>ទ្រូ ខមភែនៀន ឡូជីស្ទីក (ខេមបូឌា)</t>
        </is>
      </c>
      <c r="U97" s="27" t="n">
        <v>2202890</v>
      </c>
      <c r="V97" s="26" t="n">
        <v>0</v>
      </c>
    </row>
    <row r="98">
      <c r="A98" s="3" t="n">
        <v>97</v>
      </c>
      <c r="B98" s="4" t="inlineStr">
        <is>
          <t>TRUCKING FEE, CUSTOMS CLEARANCE FEE</t>
        </is>
      </c>
      <c r="C98" s="4" t="inlineStr">
        <is>
          <t>ត្រាយអ៊ែងហ្គល ឡូជីស្ទីក (ខេមបូឌា) ឯ.ក</t>
        </is>
      </c>
      <c r="D98" s="5" t="inlineStr">
        <is>
          <t>K010-902101743</t>
        </is>
      </c>
      <c r="E98" s="10" t="inlineStr">
        <is>
          <t>TAG-24-00067</t>
        </is>
      </c>
      <c r="F98" s="7" t="inlineStr">
        <is>
          <t>28-02-2024</t>
        </is>
      </c>
      <c r="G98" s="8" t="n">
        <v>8146</v>
      </c>
      <c r="H98" s="9" t="n"/>
      <c r="I98" s="33">
        <f>G98</f>
        <v/>
      </c>
      <c r="J98" s="21" t="n"/>
      <c r="K98" s="21">
        <f>I98-G98</f>
        <v/>
      </c>
      <c r="L98" s="22" t="n"/>
      <c r="M98" s="22">
        <f>R98=E98</f>
        <v/>
      </c>
      <c r="N98" s="22">
        <f>AND(MONTH(F98)=MONTH(Q98), YEAR(F98)=YEAR(Q98))</f>
        <v/>
      </c>
      <c r="O98" s="22">
        <f>"L001-902303751"=S98</f>
        <v/>
      </c>
      <c r="P98" s="29">
        <f>G98-U98</f>
        <v/>
      </c>
      <c r="Q98" s="30" t="n">
        <v>45357</v>
      </c>
      <c r="R98" s="26" t="n">
        <v>2215425</v>
      </c>
      <c r="S98" s="26" t="inlineStr">
        <is>
          <t>K009-901605081</t>
        </is>
      </c>
      <c r="T98" s="26" t="inlineStr">
        <is>
          <t>ទ្រូ ខមភែនៀន ឡូជីស្ទីក (ខេមបូឌា)</t>
        </is>
      </c>
      <c r="U98" s="27" t="n">
        <v>2215425</v>
      </c>
      <c r="V98" s="26" t="n">
        <v>0</v>
      </c>
    </row>
    <row r="99">
      <c r="A99" s="3" t="n">
        <v>98</v>
      </c>
      <c r="B99" s="4" t="inlineStr">
        <is>
          <t>TRUCKING FEE, CUSTOMS CLEARANCE FEE</t>
        </is>
      </c>
      <c r="C99" s="4" t="inlineStr">
        <is>
          <t>ត្រាយអ៊ែងហ្គល ឡូជីស្ទីក (ខេមបូឌា) ឯ.ក</t>
        </is>
      </c>
      <c r="D99" s="5" t="inlineStr">
        <is>
          <t>K010-902101743</t>
        </is>
      </c>
      <c r="E99" s="10" t="inlineStr">
        <is>
          <t>TAG-24-00078</t>
        </is>
      </c>
      <c r="F99" s="7" t="inlineStr">
        <is>
          <t>29-02-2024</t>
        </is>
      </c>
      <c r="G99" s="8" t="n">
        <v>65104</v>
      </c>
      <c r="H99" s="9" t="n"/>
      <c r="I99" s="33">
        <f>G99</f>
        <v/>
      </c>
      <c r="J99" s="21" t="n"/>
      <c r="K99" s="21">
        <f>I99-G99</f>
        <v/>
      </c>
      <c r="L99" s="22" t="n"/>
      <c r="M99" s="22">
        <f>R99=E99</f>
        <v/>
      </c>
      <c r="N99" s="22">
        <f>AND(MONTH(F99)=MONTH(Q99), YEAR(F99)=YEAR(Q99))</f>
        <v/>
      </c>
      <c r="O99" s="22">
        <f>"L001-902303751"=S99</f>
        <v/>
      </c>
      <c r="P99" s="29">
        <f>G99-U99</f>
        <v/>
      </c>
      <c r="Q99" s="30" t="n">
        <v>45377</v>
      </c>
      <c r="R99" s="26" t="n">
        <v>16168</v>
      </c>
      <c r="S99" s="26" t="inlineStr">
        <is>
          <t>K003-901635943</t>
        </is>
      </c>
      <c r="T99" s="26" t="inlineStr">
        <is>
          <t>អ៊ីឃ្យូឡាញ វើលវ៉ាយដ៍ ឡូជីស្ទីក</t>
        </is>
      </c>
      <c r="U99" s="27" t="n">
        <v>16168</v>
      </c>
      <c r="V99" s="26" t="n">
        <v>0</v>
      </c>
    </row>
    <row r="100">
      <c r="A100" s="3" t="n">
        <v>99</v>
      </c>
      <c r="B100" s="4" t="inlineStr">
        <is>
          <t>TRUCKING FEE, CUSTOMS CLEARANCE FEE</t>
        </is>
      </c>
      <c r="C100" s="4" t="inlineStr">
        <is>
          <t>ត្រាយអ៊ែងហ្គល ឡូជីស្ទីក (ខេមបូឌា) ឯ.ក</t>
        </is>
      </c>
      <c r="D100" s="5" t="inlineStr">
        <is>
          <t>K010-902101743</t>
        </is>
      </c>
      <c r="E100" s="10" t="inlineStr">
        <is>
          <t>TAG-24-00070</t>
        </is>
      </c>
      <c r="F100" s="7" t="inlineStr">
        <is>
          <t>28-02-2024</t>
        </is>
      </c>
      <c r="G100" s="8" t="n">
        <v>28497</v>
      </c>
      <c r="H100" s="9" t="n"/>
      <c r="I100" s="33">
        <f>G100</f>
        <v/>
      </c>
      <c r="J100" s="21" t="n"/>
      <c r="K100" s="21">
        <f>I100-G100</f>
        <v/>
      </c>
      <c r="L100" s="22" t="n"/>
      <c r="M100" s="22">
        <f>R100=E100</f>
        <v/>
      </c>
      <c r="N100" s="22">
        <f>AND(MONTH(F100)=MONTH(Q100), YEAR(F100)=YEAR(Q100))</f>
        <v/>
      </c>
      <c r="O100" s="22">
        <f>"L001-902303751"=S100</f>
        <v/>
      </c>
      <c r="P100" s="29">
        <f>G100-U100</f>
        <v/>
      </c>
      <c r="Q100" s="30" t="n">
        <v>45390</v>
      </c>
      <c r="R100" s="26" t="n">
        <v>185840</v>
      </c>
      <c r="S100" s="26" t="inlineStr">
        <is>
          <t>K009-901605081</t>
        </is>
      </c>
      <c r="T100" s="26" t="inlineStr">
        <is>
          <t>ទ្រូ ខមភែនៀន ឡូជីស្ទីក (ខេមបូឌា)</t>
        </is>
      </c>
      <c r="U100" s="27" t="n">
        <v>185840</v>
      </c>
      <c r="V100" s="26" t="n">
        <v>0</v>
      </c>
    </row>
    <row r="101">
      <c r="A101" t="n">
        <v>100</v>
      </c>
      <c r="B101" t="inlineStr">
        <is>
          <t>TRUCKING FEE, CUSTOMS CLEARANCE FEE</t>
        </is>
      </c>
      <c r="C101" t="inlineStr">
        <is>
          <t>ត្រាយអ៊ែងហ្គល ឡូជីស្ទីក (ខេមបូឌា) ឯ.ក</t>
        </is>
      </c>
      <c r="D101" t="inlineStr">
        <is>
          <t>K010-902101743</t>
        </is>
      </c>
      <c r="E101" t="inlineStr">
        <is>
          <t>TAG-24-00054</t>
        </is>
      </c>
      <c r="F101" t="inlineStr">
        <is>
          <t>19-02-2024</t>
        </is>
      </c>
      <c r="G101" t="n">
        <v>8156</v>
      </c>
      <c r="I101">
        <f>G101</f>
        <v/>
      </c>
      <c r="K101">
        <f>I101-G101</f>
        <v/>
      </c>
      <c r="M101">
        <f>R101=E101</f>
        <v/>
      </c>
      <c r="N101">
        <f>AND(MONTH(F101)=MONTH(Q101), YEAR(F101)=YEAR(Q101))</f>
        <v/>
      </c>
      <c r="O101">
        <f>"L001-902303751"=S101</f>
        <v/>
      </c>
      <c r="P101">
        <f>G101-U101</f>
        <v/>
      </c>
      <c r="Q101" s="35" t="n">
        <v>45399</v>
      </c>
      <c r="R101" t="n">
        <v>83711</v>
      </c>
      <c r="S101" t="inlineStr">
        <is>
          <t>L001-104015799</t>
        </is>
      </c>
      <c r="T101" t="inlineStr">
        <is>
          <t>យូសេន ឡូជីស្ទីក (ខេមបូឌា) ខូ អិលធីឌី</t>
        </is>
      </c>
      <c r="U101" t="n">
        <v>83711</v>
      </c>
      <c r="V101" t="n">
        <v>0</v>
      </c>
    </row>
    <row r="102">
      <c r="A102" t="n">
        <v>101</v>
      </c>
      <c r="B102" t="inlineStr">
        <is>
          <t>TRUCKING FEE, CUSTOMS CLEARANCE FEE</t>
        </is>
      </c>
      <c r="C102" t="inlineStr">
        <is>
          <t>ត្រាយអ៊ែងហ្គល ឡូជីស្ទីក (ខេមបូឌា) ឯ.ក</t>
        </is>
      </c>
      <c r="D102" t="inlineStr">
        <is>
          <t>K010-902101743</t>
        </is>
      </c>
      <c r="E102" t="inlineStr">
        <is>
          <t>TAG-24-00052</t>
        </is>
      </c>
      <c r="F102" t="inlineStr">
        <is>
          <t>19-02-2024</t>
        </is>
      </c>
      <c r="G102" t="n">
        <v>20390</v>
      </c>
      <c r="I102">
        <f>G102</f>
        <v/>
      </c>
      <c r="K102">
        <f>I102-G102</f>
        <v/>
      </c>
      <c r="M102">
        <f>R102=E102</f>
        <v/>
      </c>
      <c r="N102">
        <f>AND(MONTH(F102)=MONTH(Q102), YEAR(F102)=YEAR(Q102))</f>
        <v/>
      </c>
      <c r="O102">
        <f>"L001-902303751"=S102</f>
        <v/>
      </c>
      <c r="P102">
        <f>G102-U102</f>
        <v/>
      </c>
      <c r="Q102" s="35" t="n">
        <v>45411</v>
      </c>
      <c r="R102" t="n">
        <v>204725</v>
      </c>
      <c r="S102" t="inlineStr">
        <is>
          <t>K003-901635943</t>
        </is>
      </c>
      <c r="T102" t="inlineStr">
        <is>
          <t>អ៊ីឃ្យូឡាញ វើលវ៉ាយដ៍ ឡូជីស្ទីក</t>
        </is>
      </c>
      <c r="U102" t="n">
        <v>204725</v>
      </c>
      <c r="V102" t="n">
        <v>0</v>
      </c>
    </row>
    <row r="103">
      <c r="A103" t="n">
        <v>102</v>
      </c>
      <c r="B103" t="inlineStr">
        <is>
          <t>TRUCKING FEE, CUSTOMS CLEARANCE FEE</t>
        </is>
      </c>
      <c r="C103" t="inlineStr">
        <is>
          <t>ត្រាយអ៊ែងហ្គល ឡូជីស្ទីក (ខេមបូឌា) ឯ.ក</t>
        </is>
      </c>
      <c r="D103" t="inlineStr">
        <is>
          <t>K010-902101743</t>
        </is>
      </c>
      <c r="E103" t="inlineStr">
        <is>
          <t>TAG-24-00049</t>
        </is>
      </c>
      <c r="F103" t="inlineStr">
        <is>
          <t>12-02-2024</t>
        </is>
      </c>
      <c r="G103" t="n">
        <v>28546</v>
      </c>
      <c r="I103">
        <f>G103</f>
        <v/>
      </c>
      <c r="K103">
        <f>I103-G103</f>
        <v/>
      </c>
      <c r="M103">
        <f>R103=E103</f>
        <v/>
      </c>
      <c r="N103">
        <f>AND(MONTH(F103)=MONTH(Q103), YEAR(F103)=YEAR(Q103))</f>
        <v/>
      </c>
      <c r="O103">
        <f>"L001-902303751"=S103</f>
        <v/>
      </c>
      <c r="P103">
        <f>G103-U103</f>
        <v/>
      </c>
      <c r="Q103" s="35" t="n">
        <v>45400</v>
      </c>
      <c r="R103" t="n">
        <v>2259025</v>
      </c>
      <c r="S103" t="inlineStr">
        <is>
          <t>K009-901605081</t>
        </is>
      </c>
      <c r="T103" t="inlineStr">
        <is>
          <t>ទ្រូ ខមភែនៀន ឡូជីស្ទីក (ខេមបូឌា)</t>
        </is>
      </c>
      <c r="U103" t="n">
        <v>2259025</v>
      </c>
      <c r="V103" t="n">
        <v>0</v>
      </c>
    </row>
    <row r="104">
      <c r="A104" t="n">
        <v>103</v>
      </c>
      <c r="B104" t="inlineStr">
        <is>
          <t>TRUCKING FEE, CUSTOMS CLEARANCE FEE</t>
        </is>
      </c>
      <c r="C104" t="inlineStr">
        <is>
          <t>ត្រាយអ៊ែងហ្គល ឡូជីស្ទីក (ខេមបូឌា) ឯ.ក</t>
        </is>
      </c>
      <c r="D104" t="inlineStr">
        <is>
          <t>K010-902101743</t>
        </is>
      </c>
      <c r="E104" t="inlineStr">
        <is>
          <t>TAG-24-00062</t>
        </is>
      </c>
      <c r="F104" t="inlineStr">
        <is>
          <t>23-02-2024</t>
        </is>
      </c>
      <c r="G104" t="n">
        <v>32600</v>
      </c>
      <c r="I104">
        <f>G104</f>
        <v/>
      </c>
      <c r="K104">
        <f>I104-G104</f>
        <v/>
      </c>
      <c r="M104">
        <f>R104=E104</f>
        <v/>
      </c>
      <c r="N104">
        <f>AND(MONTH(F104)=MONTH(Q104), YEAR(F104)=YEAR(Q104))</f>
        <v/>
      </c>
      <c r="O104">
        <f>"L001-902303751"=S104</f>
        <v/>
      </c>
      <c r="P104">
        <f>G104-U104</f>
        <v/>
      </c>
      <c r="Q104" s="35" t="n">
        <v>45399</v>
      </c>
      <c r="R104" t="inlineStr"/>
      <c r="S104" t="inlineStr">
        <is>
          <t>K003-901635943</t>
        </is>
      </c>
      <c r="T104" t="inlineStr">
        <is>
          <t>អ៊ីឃ្យូឡាញ វើលវ៉ាយដ៍ ឡូជីស្ទីក</t>
        </is>
      </c>
      <c r="U104" t="n">
        <v>0</v>
      </c>
      <c r="V104" t="n">
        <v>0</v>
      </c>
    </row>
    <row r="105">
      <c r="A105" t="n">
        <v>104</v>
      </c>
      <c r="B105" t="inlineStr">
        <is>
          <t>TRUCKING FEE, CUSTOMS CLEARANCE FEE</t>
        </is>
      </c>
      <c r="C105" t="inlineStr">
        <is>
          <t>ត្រាយអ៊ែងហ្គល ឡូជីស្ទីក (ខេមបូឌា) ឯ.ក</t>
        </is>
      </c>
      <c r="D105" t="inlineStr">
        <is>
          <t>K010-902101743</t>
        </is>
      </c>
      <c r="E105" t="inlineStr">
        <is>
          <t>TAG-24-00056</t>
        </is>
      </c>
      <c r="F105" t="inlineStr">
        <is>
          <t>20-02-2024</t>
        </is>
      </c>
      <c r="G105" t="n">
        <v>57397</v>
      </c>
      <c r="I105">
        <f>G105</f>
        <v/>
      </c>
      <c r="K105">
        <f>I105-G105</f>
        <v/>
      </c>
      <c r="M105">
        <f>R105=E105</f>
        <v/>
      </c>
      <c r="N105">
        <f>AND(MONTH(F105)=MONTH(Q105), YEAR(F105)=YEAR(Q105))</f>
        <v/>
      </c>
      <c r="O105">
        <f>"L001-902303751"=S105</f>
        <v/>
      </c>
      <c r="P105">
        <f>G105-U105</f>
        <v/>
      </c>
      <c r="Q105" s="35" t="n">
        <v>45390</v>
      </c>
      <c r="R105" t="n">
        <v>9292</v>
      </c>
      <c r="S105" t="inlineStr">
        <is>
          <t>L001-100098134</t>
        </is>
      </c>
      <c r="T105" t="inlineStr">
        <is>
          <t>បុងកាហ្វេ (ខេមបូឌា)</t>
        </is>
      </c>
      <c r="U105" t="n">
        <v>9292</v>
      </c>
      <c r="V105" t="n">
        <v>0</v>
      </c>
    </row>
    <row r="106">
      <c r="A106" t="n">
        <v>105</v>
      </c>
      <c r="B106" t="inlineStr">
        <is>
          <t>TRUCKING FEE, CUSTOMS CLEARANCE FEE</t>
        </is>
      </c>
      <c r="C106" t="inlineStr">
        <is>
          <t>ត្រាយអ៊ែងហ្គល ឡូជីស្ទីក (ខេមបូឌា) ឯ.ក</t>
        </is>
      </c>
      <c r="D106" t="inlineStr">
        <is>
          <t>K010-902101743</t>
        </is>
      </c>
      <c r="E106" t="inlineStr">
        <is>
          <t>TAG-24-00046</t>
        </is>
      </c>
      <c r="F106" t="inlineStr">
        <is>
          <t>12-02-2024</t>
        </is>
      </c>
      <c r="G106" t="n">
        <v>69326</v>
      </c>
      <c r="I106">
        <f>G106</f>
        <v/>
      </c>
      <c r="K106">
        <f>I106-G106</f>
        <v/>
      </c>
      <c r="M106">
        <f>R106=E106</f>
        <v/>
      </c>
      <c r="N106">
        <f>AND(MONTH(F106)=MONTH(Q106), YEAR(F106)=YEAR(Q106))</f>
        <v/>
      </c>
      <c r="O106">
        <f>"L001-902303751"=S106</f>
        <v/>
      </c>
      <c r="P106">
        <f>G106-U106</f>
        <v/>
      </c>
      <c r="Q106" s="35" t="n">
        <v>45390</v>
      </c>
      <c r="R106" t="n">
        <v>175336</v>
      </c>
      <c r="S106" t="inlineStr">
        <is>
          <t>K003-901635943</t>
        </is>
      </c>
      <c r="T106" t="inlineStr">
        <is>
          <t>អ៊ីឃ្យូឡាញ វើលវ៉ាយដ៍ ឡូជីស្ទីក</t>
        </is>
      </c>
      <c r="U106" t="n">
        <v>175336</v>
      </c>
      <c r="V106" t="n">
        <v>0</v>
      </c>
    </row>
    <row r="107">
      <c r="A107" t="n">
        <v>106</v>
      </c>
      <c r="B107" t="inlineStr">
        <is>
          <t>TRUCKING FEE, CUSTOMS CLEARANCE FEE</t>
        </is>
      </c>
      <c r="C107" t="inlineStr">
        <is>
          <t>ត្រាយអ៊ែងហ្គល ឡូជីស្ទីក (ខេមបូឌា) ឯ.ក</t>
        </is>
      </c>
      <c r="D107" t="inlineStr">
        <is>
          <t>K010-902101743</t>
        </is>
      </c>
      <c r="E107" t="inlineStr">
        <is>
          <t>TAG-24-00038</t>
        </is>
      </c>
      <c r="F107" t="inlineStr">
        <is>
          <t>07-02-2024</t>
        </is>
      </c>
      <c r="G107" t="n">
        <v>69377</v>
      </c>
      <c r="I107">
        <f>G107</f>
        <v/>
      </c>
      <c r="K107">
        <f>I107-G107</f>
        <v/>
      </c>
      <c r="M107">
        <f>R107=E107</f>
        <v/>
      </c>
      <c r="N107">
        <f>AND(MONTH(F107)=MONTH(Q107), YEAR(F107)=YEAR(Q107))</f>
        <v/>
      </c>
      <c r="O107">
        <f>"L001-902303751"=S107</f>
        <v/>
      </c>
      <c r="P107">
        <f>G107-U107</f>
        <v/>
      </c>
      <c r="Q107" s="35" t="n">
        <v>45390</v>
      </c>
      <c r="R107" t="n">
        <v>83628</v>
      </c>
      <c r="S107" t="inlineStr">
        <is>
          <t>L001-104015799</t>
        </is>
      </c>
      <c r="T107" t="inlineStr">
        <is>
          <t>យូសេន ឡូជីស្ទីក (ខេមបូឌា) ខូ អិលធីឌី</t>
        </is>
      </c>
      <c r="U107" t="n">
        <v>83628</v>
      </c>
      <c r="V107" t="n">
        <v>0</v>
      </c>
    </row>
    <row r="108">
      <c r="A108" t="n">
        <v>107</v>
      </c>
      <c r="B108" t="inlineStr">
        <is>
          <t>Trucking, Customs Clearance, Import Permit, Extra Trucking, Truck Fuel Surcharge and Handling Charge</t>
        </is>
      </c>
      <c r="C108" t="inlineStr">
        <is>
          <t>អេស អ វី ស៊ី ហ្វ្រេត សឺវីស (ខេមបូឌា) ខូ អិលធីឌី</t>
        </is>
      </c>
      <c r="D108" t="inlineStr">
        <is>
          <t>K005-100150195</t>
        </is>
      </c>
      <c r="E108" t="inlineStr">
        <is>
          <t>SRVI2400703</t>
        </is>
      </c>
      <c r="F108" t="inlineStr">
        <is>
          <t>05-02-2024</t>
        </is>
      </c>
      <c r="G108" t="n">
        <v>130035</v>
      </c>
      <c r="I108">
        <f>G108</f>
        <v/>
      </c>
      <c r="K108">
        <f>I108-G108</f>
        <v/>
      </c>
      <c r="M108">
        <f>R108=E108</f>
        <v/>
      </c>
      <c r="N108">
        <f>AND(MONTH(F108)=MONTH(Q108), YEAR(F108)=YEAR(Q108))</f>
        <v/>
      </c>
      <c r="O108">
        <f>"L001-902303751"=S108</f>
        <v/>
      </c>
      <c r="P108">
        <f>G108-U108</f>
        <v/>
      </c>
      <c r="Q108" s="35" t="n">
        <v>45390</v>
      </c>
      <c r="R108" t="n">
        <v>129280</v>
      </c>
      <c r="S108" t="inlineStr">
        <is>
          <t>L001-100098134</t>
        </is>
      </c>
      <c r="T108" t="inlineStr">
        <is>
          <t>បុងកាហ្វេ (ខេមបូឌា)</t>
        </is>
      </c>
      <c r="U108" t="n">
        <v>129280</v>
      </c>
      <c r="V108" t="n">
        <v>0</v>
      </c>
    </row>
    <row r="109">
      <c r="A109" t="n">
        <v>108</v>
      </c>
      <c r="B109" t="inlineStr">
        <is>
          <t>Washing Powder</t>
        </is>
      </c>
      <c r="C109" t="inlineStr">
        <is>
          <t>គី ស៊ីង អ៊ីមផត អិចផត ឯ.ក</t>
        </is>
      </c>
      <c r="D109" t="inlineStr">
        <is>
          <t>B108-901805414</t>
        </is>
      </c>
      <c r="E109" t="inlineStr">
        <is>
          <t>QX0065</t>
        </is>
      </c>
      <c r="F109" t="inlineStr">
        <is>
          <t>29-02-2024</t>
        </is>
      </c>
      <c r="G109" t="n">
        <v>130208</v>
      </c>
      <c r="I109">
        <f>G109</f>
        <v/>
      </c>
      <c r="K109">
        <f>I109-G109</f>
        <v/>
      </c>
      <c r="M109">
        <f>R109=E109</f>
        <v/>
      </c>
      <c r="N109">
        <f>AND(MONTH(F109)=MONTH(Q109), YEAR(F109)=YEAR(Q109))</f>
        <v/>
      </c>
      <c r="O109">
        <f>"L001-902303751"=S109</f>
        <v/>
      </c>
      <c r="P109">
        <f>G109-U109</f>
        <v/>
      </c>
      <c r="Q109" s="35" t="n">
        <v>45404</v>
      </c>
      <c r="R109" t="n">
        <v>112573</v>
      </c>
      <c r="S109" t="inlineStr">
        <is>
          <t>K003-901635943</t>
        </is>
      </c>
      <c r="T109" t="inlineStr">
        <is>
          <t>អ៊ីឃ្យូឡាញ វើលវ៉ាយដ៍ ឡូជីស្ទីក</t>
        </is>
      </c>
      <c r="U109" t="n">
        <v>112573</v>
      </c>
      <c r="V109" t="n">
        <v>0</v>
      </c>
    </row>
    <row r="110">
      <c r="A110" t="n">
        <v>109</v>
      </c>
      <c r="B110" t="inlineStr">
        <is>
          <t>Stationery</t>
        </is>
      </c>
      <c r="C110" t="inlineStr">
        <is>
          <t>ស៊ី &amp; ជី ត្រេឌីង ឯ.ក</t>
        </is>
      </c>
      <c r="D110" t="inlineStr">
        <is>
          <t>K010-902205065</t>
        </is>
      </c>
      <c r="E110" t="inlineStr">
        <is>
          <t>2024-0012</t>
        </is>
      </c>
      <c r="F110" t="inlineStr">
        <is>
          <t>23-02-2024</t>
        </is>
      </c>
      <c r="G110" t="n">
        <v>394012</v>
      </c>
      <c r="I110">
        <f>G110</f>
        <v/>
      </c>
      <c r="K110">
        <f>I110-G110</f>
        <v/>
      </c>
      <c r="M110">
        <f>R110=E110</f>
        <v/>
      </c>
      <c r="N110">
        <f>AND(MONTH(F110)=MONTH(Q110), YEAR(F110)=YEAR(Q110))</f>
        <v/>
      </c>
      <c r="O110">
        <f>"L001-902303751"=S110</f>
        <v/>
      </c>
      <c r="P110">
        <f>G110-U110</f>
        <v/>
      </c>
      <c r="Q110" s="35" t="n">
        <v>45411</v>
      </c>
      <c r="R110" t="n">
        <v>186852</v>
      </c>
      <c r="S110" t="inlineStr">
        <is>
          <t>K009-901605081</t>
        </is>
      </c>
      <c r="T110" t="inlineStr">
        <is>
          <t>ទ្រូ ខមភែនៀន ឡូជីស្ទីក (ខេមបូឌា)</t>
        </is>
      </c>
      <c r="U110" t="n">
        <v>186852</v>
      </c>
      <c r="V110" t="n">
        <v>0</v>
      </c>
    </row>
    <row r="111">
      <c r="A111" t="n">
        <v>110</v>
      </c>
      <c r="B111" t="inlineStr">
        <is>
          <t>Automatic cutting blade</t>
        </is>
      </c>
      <c r="C111" t="inlineStr">
        <is>
          <t>យីស៊ូ ធេមផ្លេត ក្រាហ្វ ឯ.ក</t>
        </is>
      </c>
      <c r="D111" t="inlineStr">
        <is>
          <t>K010-902200360</t>
        </is>
      </c>
      <c r="E111" t="inlineStr">
        <is>
          <t>24-0031</t>
        </is>
      </c>
      <c r="F111" t="inlineStr">
        <is>
          <t>29-02-2024</t>
        </is>
      </c>
      <c r="G111" t="n">
        <v>30518</v>
      </c>
      <c r="I111">
        <f>G111</f>
        <v/>
      </c>
      <c r="K111">
        <f>I111-G111</f>
        <v/>
      </c>
      <c r="M111">
        <f>R111=E111</f>
        <v/>
      </c>
      <c r="N111">
        <f>AND(MONTH(F111)=MONTH(Q111), YEAR(F111)=YEAR(Q111))</f>
        <v/>
      </c>
      <c r="O111">
        <f>"L001-902303751"=S111</f>
        <v/>
      </c>
      <c r="P111">
        <f>G111-U111</f>
        <v/>
      </c>
      <c r="Q111" s="35" t="n">
        <v>45383</v>
      </c>
      <c r="R111" t="n">
        <v>222090</v>
      </c>
      <c r="S111" t="inlineStr">
        <is>
          <t>L001-103007369</t>
        </is>
      </c>
      <c r="T111" t="inlineStr">
        <is>
          <t>អូរៀនថល ឡូជីស្ទីក &amp; ឌីស្ទ្រីប៊្យូសិន (ខេមបូឌា)</t>
        </is>
      </c>
      <c r="U111" t="n">
        <v>222090</v>
      </c>
      <c r="V111" t="n">
        <v>0</v>
      </c>
    </row>
    <row r="112">
      <c r="A112" t="n">
        <v>111</v>
      </c>
      <c r="B112" t="inlineStr">
        <is>
          <t>Thread</t>
        </is>
      </c>
      <c r="C112" t="inlineStr">
        <is>
          <t>គ្លូប៊ល សុីលីន ហ្គាមុិន អេកសេសឺរី ឯ.ក</t>
        </is>
      </c>
      <c r="D112" t="inlineStr">
        <is>
          <t>L001-902200857</t>
        </is>
      </c>
      <c r="E112" t="inlineStr">
        <is>
          <t>000133</t>
        </is>
      </c>
      <c r="F112" t="inlineStr">
        <is>
          <t>29-02-2024</t>
        </is>
      </c>
      <c r="G112" t="n">
        <v>2002533</v>
      </c>
      <c r="I112">
        <f>G112</f>
        <v/>
      </c>
      <c r="K112">
        <f>I112-G112</f>
        <v/>
      </c>
      <c r="M112">
        <f>R112=E112</f>
        <v/>
      </c>
      <c r="N112">
        <f>AND(MONTH(F112)=MONTH(Q112), YEAR(F112)=YEAR(Q112))</f>
        <v/>
      </c>
      <c r="O112">
        <f>"L001-902303751"=S112</f>
        <v/>
      </c>
      <c r="P112">
        <f>G112-U112</f>
        <v/>
      </c>
      <c r="Q112" s="35" t="n">
        <v>45399</v>
      </c>
      <c r="R112" t="n">
        <v>112019</v>
      </c>
      <c r="S112" t="inlineStr">
        <is>
          <t>K003-901635943</t>
        </is>
      </c>
      <c r="T112" t="inlineStr">
        <is>
          <t>អ៊ីឃ្យូឡាញ វើលវ៉ាយដ៍ ឡូជីស្ទីក</t>
        </is>
      </c>
      <c r="U112" t="n">
        <v>112019</v>
      </c>
      <c r="V112" t="n">
        <v>0</v>
      </c>
    </row>
    <row r="113">
      <c r="A113" t="n">
        <v>112</v>
      </c>
      <c r="B113" t="inlineStr">
        <is>
          <t>Scissors, Bench vise, Grinder and Trouser rack</t>
        </is>
      </c>
      <c r="C113" t="inlineStr">
        <is>
          <t>ក្លាក ហ៊ូ ឯ.ក</t>
        </is>
      </c>
      <c r="D113" t="inlineStr">
        <is>
          <t>K007-901639199</t>
        </is>
      </c>
      <c r="E113" t="inlineStr">
        <is>
          <t>IN0396</t>
        </is>
      </c>
      <c r="F113" t="inlineStr">
        <is>
          <t>29-02-2024</t>
        </is>
      </c>
      <c r="G113" t="n">
        <v>99691</v>
      </c>
      <c r="I113">
        <f>G113</f>
        <v/>
      </c>
      <c r="K113">
        <f>I113-G113</f>
        <v/>
      </c>
      <c r="M113">
        <f>R113=E113</f>
        <v/>
      </c>
      <c r="N113">
        <f>AND(MONTH(F113)=MONTH(Q113), YEAR(F113)=YEAR(Q113))</f>
        <v/>
      </c>
      <c r="O113">
        <f>"L001-902303751"=S113</f>
        <v/>
      </c>
      <c r="P113">
        <f>G113-U113</f>
        <v/>
      </c>
      <c r="Q113" s="35" t="n">
        <v>45390</v>
      </c>
      <c r="R113" t="n">
        <v>2201800</v>
      </c>
      <c r="S113" t="inlineStr">
        <is>
          <t>K009-901605081</t>
        </is>
      </c>
      <c r="T113" t="inlineStr">
        <is>
          <t>ទ្រូ ខមភែនៀន ឡូជីស្ទីក (ខេមបូឌា)</t>
        </is>
      </c>
      <c r="U113" t="n">
        <v>2201800</v>
      </c>
      <c r="V113" t="n">
        <v>0</v>
      </c>
    </row>
    <row r="114">
      <c r="A114" t="n">
        <v>113</v>
      </c>
      <c r="B114" t="inlineStr">
        <is>
          <t>Thread</t>
        </is>
      </c>
      <c r="C114" t="inlineStr">
        <is>
          <t>គ្លូប៊ល សុីលីន ហ្គាមុិន អេកសេសឺរី ឯ.ក</t>
        </is>
      </c>
      <c r="D114" t="inlineStr">
        <is>
          <t>L001-902200857</t>
        </is>
      </c>
      <c r="E114" t="inlineStr">
        <is>
          <t>000134</t>
        </is>
      </c>
      <c r="F114" t="inlineStr">
        <is>
          <t>29-02-2024</t>
        </is>
      </c>
      <c r="G114" t="n">
        <v>105794</v>
      </c>
      <c r="I114">
        <f>G114</f>
        <v/>
      </c>
      <c r="K114">
        <f>I114-G114</f>
        <v/>
      </c>
      <c r="M114">
        <f>R114=E114</f>
        <v/>
      </c>
      <c r="N114">
        <f>AND(MONTH(F114)=MONTH(Q114), YEAR(F114)=YEAR(Q114))</f>
        <v/>
      </c>
      <c r="O114">
        <f>"L001-902303751"=S114</f>
        <v/>
      </c>
      <c r="P114">
        <f>G114-U114</f>
        <v/>
      </c>
      <c r="Q114" s="35" t="n">
        <v>45411</v>
      </c>
      <c r="R114" t="n">
        <v>2213790</v>
      </c>
      <c r="S114" t="inlineStr">
        <is>
          <t>K009-901605081</t>
        </is>
      </c>
      <c r="T114" t="inlineStr">
        <is>
          <t>ទ្រូ ខមភែនៀន ឡូជីស្ទីក (ខេមបូឌា)</t>
        </is>
      </c>
      <c r="U114" t="n">
        <v>2213790</v>
      </c>
      <c r="V114" t="n">
        <v>0</v>
      </c>
    </row>
    <row r="115">
      <c r="A115" t="n">
        <v>114</v>
      </c>
      <c r="B115" t="inlineStr">
        <is>
          <t>Monthly Security for Feb 2024</t>
        </is>
      </c>
      <c r="C115" t="inlineStr">
        <is>
          <t>អិល.ប៊ី.អិល.អេច ស៊ីឃ្យូរឹធី ឯ.ក</t>
        </is>
      </c>
      <c r="D115" t="inlineStr">
        <is>
          <t>K010-902202247</t>
        </is>
      </c>
      <c r="E115" t="inlineStr">
        <is>
          <t>L.B.L.H00002</t>
        </is>
      </c>
      <c r="F115" t="inlineStr">
        <is>
          <t>25-02-2024</t>
        </is>
      </c>
      <c r="G115" t="n">
        <v>1393650</v>
      </c>
      <c r="I115">
        <f>G115</f>
        <v/>
      </c>
      <c r="K115">
        <f>I115-G115</f>
        <v/>
      </c>
      <c r="M115">
        <f>R115=E115</f>
        <v/>
      </c>
      <c r="N115">
        <f>AND(MONTH(F115)=MONTH(Q115), YEAR(F115)=YEAR(Q115))</f>
        <v/>
      </c>
      <c r="O115">
        <f>"L001-902303751"=S115</f>
        <v/>
      </c>
      <c r="P115">
        <f>G115-U115</f>
        <v/>
      </c>
      <c r="Q115" s="35" t="n">
        <v>45404</v>
      </c>
      <c r="R115" t="n">
        <v>403149</v>
      </c>
      <c r="S115" t="inlineStr">
        <is>
          <t>K002-901900264</t>
        </is>
      </c>
      <c r="T115" t="inlineStr">
        <is>
          <t>ហេកធ័រ ត្រេនស្ព័រថេសិន (ខេមបូឌា) ឯ.ក</t>
        </is>
      </c>
      <c r="U115" t="n">
        <v>403149</v>
      </c>
      <c r="V115" t="n">
        <v>0</v>
      </c>
    </row>
    <row r="116">
      <c r="A116" t="n">
        <v>115</v>
      </c>
      <c r="B116" t="inlineStr">
        <is>
          <t>Raw Material</t>
        </is>
      </c>
      <c r="C116" t="inlineStr">
        <is>
          <t>ក្លាក ហ៊ូ ឯ.ក</t>
        </is>
      </c>
      <c r="D116" t="inlineStr">
        <is>
          <t>K007-901639199</t>
        </is>
      </c>
      <c r="E116" t="inlineStr">
        <is>
          <t>IN0394</t>
        </is>
      </c>
      <c r="F116" t="inlineStr">
        <is>
          <t>29-02-2024</t>
        </is>
      </c>
      <c r="G116" t="n">
        <v>496662</v>
      </c>
      <c r="I116">
        <f>G116</f>
        <v/>
      </c>
      <c r="K116">
        <f>I116-G116</f>
        <v/>
      </c>
      <c r="M116">
        <f>R116=E116</f>
        <v/>
      </c>
      <c r="N116">
        <f>AND(MONTH(F116)=MONTH(Q116), YEAR(F116)=YEAR(Q116))</f>
        <v/>
      </c>
      <c r="O116">
        <f>"L001-902303751"=S116</f>
        <v/>
      </c>
      <c r="P116">
        <f>G116-U116</f>
        <v/>
      </c>
      <c r="Q116" s="35" t="n">
        <v>45391</v>
      </c>
      <c r="R116" t="n">
        <v>2202345</v>
      </c>
      <c r="S116" t="inlineStr">
        <is>
          <t>K009-901605081</t>
        </is>
      </c>
      <c r="T116" t="inlineStr">
        <is>
          <t>ទ្រូ ខមភែនៀន ឡូជីស្ទីក (ខេមបូឌា)</t>
        </is>
      </c>
      <c r="U116" t="n">
        <v>2202345</v>
      </c>
      <c r="V116" t="n">
        <v>0</v>
      </c>
    </row>
    <row r="117">
      <c r="A117" t="n">
        <v>116</v>
      </c>
      <c r="B117" t="inlineStr">
        <is>
          <t>Raw Material</t>
        </is>
      </c>
      <c r="C117" t="inlineStr">
        <is>
          <t>ក្លាក ហ៊ូ ឯ.ក</t>
        </is>
      </c>
      <c r="D117" t="inlineStr">
        <is>
          <t>K007-901639199</t>
        </is>
      </c>
      <c r="E117" t="inlineStr">
        <is>
          <t>IN0395</t>
        </is>
      </c>
      <c r="F117" t="inlineStr">
        <is>
          <t>29-02-2024</t>
        </is>
      </c>
      <c r="G117" t="n">
        <v>670937</v>
      </c>
      <c r="I117">
        <f>G117</f>
        <v/>
      </c>
      <c r="K117">
        <f>I117-G117</f>
        <v/>
      </c>
      <c r="M117">
        <f>R117=E117</f>
        <v/>
      </c>
      <c r="N117">
        <f>AND(MONTH(F117)=MONTH(Q117), YEAR(F117)=YEAR(Q117))</f>
        <v/>
      </c>
      <c r="O117">
        <f>"L001-902303751"=S117</f>
        <v/>
      </c>
      <c r="P117">
        <f>G117-U117</f>
        <v/>
      </c>
      <c r="Q117" s="35" t="n">
        <v>45400</v>
      </c>
      <c r="R117" t="n">
        <v>190670</v>
      </c>
      <c r="S117" t="inlineStr">
        <is>
          <t>K009-901605081</t>
        </is>
      </c>
      <c r="T117" t="inlineStr">
        <is>
          <t>ទ្រូ ខមភែនៀន ឡូជីស្ទីក (ខេមបូឌា)</t>
        </is>
      </c>
      <c r="U117" t="n">
        <v>190670</v>
      </c>
      <c r="V117" t="n">
        <v>0</v>
      </c>
    </row>
    <row r="118">
      <c r="A118" t="n">
        <v>117</v>
      </c>
      <c r="B118" t="inlineStr">
        <is>
          <t>Machinery Rental for Feb 2024</t>
        </is>
      </c>
      <c r="C118" t="inlineStr">
        <is>
          <t>ក្លាក ហ៊ូ ឯ.ក</t>
        </is>
      </c>
      <c r="D118" t="inlineStr">
        <is>
          <t>K007-901639199</t>
        </is>
      </c>
      <c r="E118" t="inlineStr">
        <is>
          <t>IN0335</t>
        </is>
      </c>
      <c r="F118" t="inlineStr">
        <is>
          <t>29-02-2024</t>
        </is>
      </c>
      <c r="G118" t="n">
        <v>112844</v>
      </c>
      <c r="I118">
        <f>G118</f>
        <v/>
      </c>
      <c r="K118">
        <f>I118-G118</f>
        <v/>
      </c>
      <c r="M118">
        <f>R118=E118</f>
        <v/>
      </c>
      <c r="N118">
        <f>AND(MONTH(F118)=MONTH(Q118), YEAR(F118)=YEAR(Q118))</f>
        <v/>
      </c>
      <c r="O118">
        <f>"L001-902303751"=S118</f>
        <v/>
      </c>
      <c r="P118">
        <f>G118-U118</f>
        <v/>
      </c>
      <c r="Q118" s="35" t="n">
        <v>45390</v>
      </c>
      <c r="R118" t="n">
        <v>83628</v>
      </c>
      <c r="S118" t="inlineStr">
        <is>
          <t>L001-104015799</t>
        </is>
      </c>
      <c r="T118" t="inlineStr">
        <is>
          <t>យូសេន ឡូជីស្ទីក (ខេមបូឌា) ខូ អិលធីឌី</t>
        </is>
      </c>
      <c r="U118" t="n">
        <v>83628</v>
      </c>
      <c r="V118" t="n">
        <v>0</v>
      </c>
    </row>
    <row r="119">
      <c r="A119" t="n">
        <v>118</v>
      </c>
      <c r="B119" t="inlineStr">
        <is>
          <t>PVC Thin Film</t>
        </is>
      </c>
      <c r="C119" t="inlineStr">
        <is>
          <t>ដេកូស៍ អ៊ិនដាសស្ទ្រី ឯ.ក</t>
        </is>
      </c>
      <c r="D119" t="inlineStr">
        <is>
          <t>K007-901639102</t>
        </is>
      </c>
      <c r="E119" t="inlineStr">
        <is>
          <t>00022</t>
        </is>
      </c>
      <c r="F119" t="inlineStr">
        <is>
          <t>19-02-2024</t>
        </is>
      </c>
      <c r="G119" t="n">
        <v>179432</v>
      </c>
      <c r="I119">
        <f>G119</f>
        <v/>
      </c>
      <c r="K119">
        <f>I119-G119</f>
        <v/>
      </c>
      <c r="M119">
        <f>R119=E119</f>
        <v/>
      </c>
      <c r="N119">
        <f>AND(MONTH(F119)=MONTH(Q119), YEAR(F119)=YEAR(Q119))</f>
        <v/>
      </c>
      <c r="O119">
        <f>"L001-902303751"=S119</f>
        <v/>
      </c>
      <c r="P119">
        <f>G119-U119</f>
        <v/>
      </c>
      <c r="Q119" s="35" t="n">
        <v>45390</v>
      </c>
      <c r="R119" t="inlineStr"/>
      <c r="S119" t="inlineStr">
        <is>
          <t>L001-104015799</t>
        </is>
      </c>
      <c r="T119" t="inlineStr">
        <is>
          <t>យូសេន ឡូជីស្ទីក (ខេមបូឌា) ខូ អិលធីឌី</t>
        </is>
      </c>
      <c r="U119" t="n">
        <v>0</v>
      </c>
      <c r="V119" t="n">
        <v>0</v>
      </c>
    </row>
    <row r="120">
      <c r="A120" t="n">
        <v>119</v>
      </c>
      <c r="B120" t="inlineStr">
        <is>
          <t>50% for Monthly Tax Service for January 2024</t>
        </is>
      </c>
      <c r="C120" t="inlineStr">
        <is>
          <t>ខេឌី ខនសាល់ធេន ឯ.ក</t>
        </is>
      </c>
      <c r="D120" t="inlineStr">
        <is>
          <t>K005-901704277</t>
        </is>
      </c>
      <c r="E120" t="inlineStr">
        <is>
          <t>20240000179</t>
        </is>
      </c>
      <c r="F120" t="inlineStr">
        <is>
          <t>16-02-2024</t>
        </is>
      </c>
      <c r="G120" t="n">
        <v>50950</v>
      </c>
      <c r="I120">
        <f>G120</f>
        <v/>
      </c>
      <c r="K120">
        <f>I120-G120</f>
        <v/>
      </c>
      <c r="M120">
        <f>R120=E120</f>
        <v/>
      </c>
      <c r="N120">
        <f>AND(MONTH(F120)=MONTH(Q120), YEAR(F120)=YEAR(Q120))</f>
        <v/>
      </c>
      <c r="O120">
        <f>"L001-902303751"=S120</f>
        <v/>
      </c>
      <c r="P120">
        <f>G120-U120</f>
        <v/>
      </c>
      <c r="Q120" s="35" t="n">
        <v>45409</v>
      </c>
      <c r="R120" t="n">
        <v>84063</v>
      </c>
      <c r="S120" t="inlineStr">
        <is>
          <t>L001-104015799</t>
        </is>
      </c>
      <c r="T120" t="inlineStr">
        <is>
          <t>យូសេន ឡូជីស្ទីក (ខេមបូឌា) ខូ អិលធីឌី</t>
        </is>
      </c>
      <c r="U120" t="n">
        <v>84063</v>
      </c>
      <c r="V120" t="n">
        <v>0</v>
      </c>
    </row>
    <row r="121">
      <c r="A121" t="n">
        <v>120</v>
      </c>
      <c r="B121" t="inlineStr">
        <is>
          <t>Being billed for 2023 Tax on Income return preparation &amp; Out-of pocket expense</t>
        </is>
      </c>
      <c r="C121" t="inlineStr">
        <is>
          <t>អេហ្វអាយអាយ &amp; អឹសូស៊ីអេត</t>
        </is>
      </c>
      <c r="D121" t="inlineStr">
        <is>
          <t>K008-104009497</t>
        </is>
      </c>
      <c r="E121" t="inlineStr">
        <is>
          <t>2024/0197</t>
        </is>
      </c>
      <c r="F121" t="inlineStr">
        <is>
          <t>08-02-2024</t>
        </is>
      </c>
      <c r="G121" t="n">
        <v>416262</v>
      </c>
      <c r="I121">
        <f>G121</f>
        <v/>
      </c>
      <c r="K121">
        <f>I121-G121</f>
        <v/>
      </c>
      <c r="M121">
        <f>R121=E121</f>
        <v/>
      </c>
      <c r="N121">
        <f>AND(MONTH(F121)=MONTH(Q121), YEAR(F121)=YEAR(Q121))</f>
        <v/>
      </c>
      <c r="O121">
        <f>"L001-902303751"=S121</f>
        <v/>
      </c>
      <c r="P121">
        <f>G121-U121</f>
        <v/>
      </c>
      <c r="Q121" s="35" t="n">
        <v>45390</v>
      </c>
      <c r="R121" t="inlineStr"/>
      <c r="S121" t="inlineStr">
        <is>
          <t>K003-901635943</t>
        </is>
      </c>
      <c r="T121" t="inlineStr">
        <is>
          <t>អ៊ីឃ្យូឡាញ វើលវ៉ាយដ៍ ឡូជីស្ទីក</t>
        </is>
      </c>
      <c r="U121" t="n">
        <v>0</v>
      </c>
      <c r="V121" t="n">
        <v>0</v>
      </c>
    </row>
    <row r="122">
      <c r="A122" t="n">
        <v>121</v>
      </c>
      <c r="B122" t="inlineStr">
        <is>
          <t>Monthly Charge of Photo Copies Rental from 06/01/2024 to 06/02/2024</t>
        </is>
      </c>
      <c r="C122" t="inlineStr">
        <is>
          <t>វី.អាយ.អេស ខភៀ ឯ.ក</t>
        </is>
      </c>
      <c r="D122" t="inlineStr">
        <is>
          <t>K007-901705195</t>
        </is>
      </c>
      <c r="E122" t="inlineStr">
        <is>
          <t>RNT240226</t>
        </is>
      </c>
      <c r="F122" t="inlineStr">
        <is>
          <t>06-02-2024</t>
        </is>
      </c>
      <c r="G122" t="n">
        <v>57134</v>
      </c>
      <c r="I122">
        <f>G122</f>
        <v/>
      </c>
      <c r="K122">
        <f>I122-G122</f>
        <v/>
      </c>
      <c r="M122">
        <f>R122=E122</f>
        <v/>
      </c>
      <c r="N122">
        <f>AND(MONTH(F122)=MONTH(Q122), YEAR(F122)=YEAR(Q122))</f>
        <v/>
      </c>
      <c r="O122">
        <f>"L001-902303751"=S122</f>
        <v/>
      </c>
      <c r="P122">
        <f>G122-U122</f>
        <v/>
      </c>
      <c r="Q122" s="35" t="n">
        <v>45404</v>
      </c>
      <c r="R122" t="inlineStr"/>
      <c r="S122" t="inlineStr">
        <is>
          <t>K003-901635943</t>
        </is>
      </c>
      <c r="T122" t="inlineStr">
        <is>
          <t>អ៊ីឃ្យូឡាញ វើលវ៉ាយដ៍ ឡូជីស្ទីក</t>
        </is>
      </c>
      <c r="U122" t="n">
        <v>0</v>
      </c>
      <c r="V122" t="n">
        <v>0</v>
      </c>
    </row>
    <row r="123">
      <c r="A123" t="n">
        <v>122</v>
      </c>
      <c r="B123" t="inlineStr">
        <is>
          <t>Monthly Charge of Photo Copies Rental from 06/01/2024 to 06/02/2024</t>
        </is>
      </c>
      <c r="C123" t="inlineStr">
        <is>
          <t>វី.អាយ.អេស ខភៀ ឯ.ក</t>
        </is>
      </c>
      <c r="D123" t="inlineStr">
        <is>
          <t>K007-901705195</t>
        </is>
      </c>
      <c r="E123" t="inlineStr">
        <is>
          <t>RNT240225</t>
        </is>
      </c>
      <c r="F123" t="inlineStr">
        <is>
          <t>06-02-2024</t>
        </is>
      </c>
      <c r="G123" t="n">
        <v>28567</v>
      </c>
      <c r="I123">
        <f>G123</f>
        <v/>
      </c>
      <c r="K123">
        <f>I123-G123</f>
        <v/>
      </c>
      <c r="M123">
        <f>R123=E123</f>
        <v/>
      </c>
      <c r="N123">
        <f>AND(MONTH(F123)=MONTH(Q123), YEAR(F123)=YEAR(Q123))</f>
        <v/>
      </c>
      <c r="O123">
        <f>"L001-902303751"=S123</f>
        <v/>
      </c>
      <c r="P123">
        <f>G123-U123</f>
        <v/>
      </c>
      <c r="Q123" s="35" t="n">
        <v>45411</v>
      </c>
      <c r="R123" t="inlineStr"/>
      <c r="S123" t="inlineStr">
        <is>
          <t>K003-901635943</t>
        </is>
      </c>
      <c r="T123" t="inlineStr">
        <is>
          <t>អ៊ីឃ្យូឡាញ វើលវ៉ាយដ៍ ឡូជីស្ទីក</t>
        </is>
      </c>
      <c r="U123" t="n">
        <v>0</v>
      </c>
      <c r="V123" t="n">
        <v>0</v>
      </c>
    </row>
    <row r="124">
      <c r="A124" t="n">
        <v>123</v>
      </c>
      <c r="B124" t="inlineStr">
        <is>
          <t>Monthly Charge of Photo Copies Rental from 06/01/2024 to 06/02/2024</t>
        </is>
      </c>
      <c r="C124" t="inlineStr">
        <is>
          <t>វី.អាយ.អេស ខភៀ ឯ.ក</t>
        </is>
      </c>
      <c r="D124" t="inlineStr">
        <is>
          <t>K007-901705195</t>
        </is>
      </c>
      <c r="E124" t="inlineStr">
        <is>
          <t>RNT240224</t>
        </is>
      </c>
      <c r="F124" t="inlineStr">
        <is>
          <t>06-02-2024</t>
        </is>
      </c>
      <c r="G124" t="n">
        <v>26527</v>
      </c>
      <c r="I124">
        <f>G124</f>
        <v/>
      </c>
      <c r="K124">
        <f>I124-G124</f>
        <v/>
      </c>
      <c r="M124">
        <f>R124=E124</f>
        <v/>
      </c>
      <c r="N124">
        <f>AND(MONTH(F124)=MONTH(Q124), YEAR(F124)=YEAR(Q124))</f>
        <v/>
      </c>
      <c r="O124">
        <f>"L001-902303751"=S124</f>
        <v/>
      </c>
      <c r="P124">
        <f>G124-U124</f>
        <v/>
      </c>
      <c r="Q124" s="35" t="n">
        <v>45409</v>
      </c>
      <c r="R124" t="n">
        <v>594124</v>
      </c>
      <c r="S124" t="inlineStr">
        <is>
          <t>K002-901900264</t>
        </is>
      </c>
      <c r="T124" t="inlineStr">
        <is>
          <t>ហេកធ័រ ត្រេនស្ព័រថេសិន (ខេមបូឌា) ឯ.ក</t>
        </is>
      </c>
      <c r="U124" t="n">
        <v>594124</v>
      </c>
      <c r="V124" t="n">
        <v>0</v>
      </c>
    </row>
    <row r="125">
      <c r="A125" t="n">
        <v>124</v>
      </c>
      <c r="B125" t="inlineStr">
        <is>
          <t>Monthly Charge of Photo Copies Rental from 06/01/2024 to 06/02/2024</t>
        </is>
      </c>
      <c r="C125" t="inlineStr">
        <is>
          <t>វី.អាយ.អេស ខភៀ ឯ.ក</t>
        </is>
      </c>
      <c r="D125" t="inlineStr">
        <is>
          <t>K007-901705195</t>
        </is>
      </c>
      <c r="E125" t="inlineStr">
        <is>
          <t>RNT240223</t>
        </is>
      </c>
      <c r="F125" t="inlineStr">
        <is>
          <t>06-02-2024</t>
        </is>
      </c>
      <c r="G125" t="n">
        <v>57134</v>
      </c>
      <c r="I125">
        <f>G125</f>
        <v/>
      </c>
      <c r="K125">
        <f>I125-G125</f>
        <v/>
      </c>
      <c r="M125">
        <f>R125=E125</f>
        <v/>
      </c>
      <c r="N125">
        <f>AND(MONTH(F125)=MONTH(Q125), YEAR(F125)=YEAR(Q125))</f>
        <v/>
      </c>
      <c r="O125">
        <f>"L001-902303751"=S125</f>
        <v/>
      </c>
      <c r="P125">
        <f>G125-U125</f>
        <v/>
      </c>
      <c r="Q125" s="35" t="n">
        <v>45391</v>
      </c>
      <c r="R125" t="n">
        <v>185886</v>
      </c>
      <c r="S125" t="inlineStr">
        <is>
          <t>K009-901605081</t>
        </is>
      </c>
      <c r="T125" t="inlineStr">
        <is>
          <t>ទ្រូ ខមភែនៀន ឡូជីស្ទីក (ខេមបូឌា)</t>
        </is>
      </c>
      <c r="U125" t="n">
        <v>185886</v>
      </c>
      <c r="V125" t="n">
        <v>0</v>
      </c>
    </row>
    <row r="126">
      <c r="A126" t="n">
        <v>125</v>
      </c>
      <c r="B126" t="inlineStr">
        <is>
          <t>Security Expense for March 2024</t>
        </is>
      </c>
      <c r="C126" t="inlineStr">
        <is>
          <t>អិល.ប៊ី.អិល.អេច ស៊ីឃ្យូរឹធី ឯ.ក</t>
        </is>
      </c>
      <c r="D126" t="inlineStr">
        <is>
          <t>K010-902202247</t>
        </is>
      </c>
      <c r="E126" t="inlineStr">
        <is>
          <t>L.B.L.H00003</t>
        </is>
      </c>
      <c r="F126" t="inlineStr">
        <is>
          <t>25-03-2024</t>
        </is>
      </c>
      <c r="G126" t="n">
        <v>1381338</v>
      </c>
      <c r="I126">
        <f>G126</f>
        <v/>
      </c>
      <c r="K126">
        <f>I126-G126</f>
        <v/>
      </c>
      <c r="M126">
        <f>R126=E126</f>
        <v/>
      </c>
      <c r="N126">
        <f>AND(MONTH(F126)=MONTH(Q126), YEAR(F126)=YEAR(Q126))</f>
        <v/>
      </c>
      <c r="O126">
        <f>"L001-902303751"=S126</f>
        <v/>
      </c>
      <c r="P126">
        <f>G126-U126</f>
        <v/>
      </c>
      <c r="Q126" s="35" t="n">
        <v>45390</v>
      </c>
      <c r="R126" t="n">
        <v>111908</v>
      </c>
      <c r="S126" t="inlineStr">
        <is>
          <t>L001-104015799</t>
        </is>
      </c>
      <c r="T126" t="inlineStr">
        <is>
          <t>យូសេន ឡូជីស្ទីក (ខេមបូឌា) ខូ អិលធីឌី</t>
        </is>
      </c>
      <c r="U126" t="n">
        <v>111908</v>
      </c>
      <c r="V126" t="n">
        <v>0</v>
      </c>
    </row>
    <row r="127">
      <c r="A127" t="n">
        <v>126</v>
      </c>
      <c r="B127" t="inlineStr">
        <is>
          <t>Monthly Tax Service for February 2024</t>
        </is>
      </c>
      <c r="C127" t="inlineStr">
        <is>
          <t>ខេឌី ខនសាល់ធេន ឯ.ក</t>
        </is>
      </c>
      <c r="D127" t="inlineStr">
        <is>
          <t>K005-901704277</t>
        </is>
      </c>
      <c r="E127" t="inlineStr">
        <is>
          <t>20240000330</t>
        </is>
      </c>
      <c r="F127" t="inlineStr">
        <is>
          <t>27-03-2024</t>
        </is>
      </c>
      <c r="G127" t="n">
        <v>101050</v>
      </c>
      <c r="I127">
        <f>G127</f>
        <v/>
      </c>
      <c r="K127">
        <f>I127-G127</f>
        <v/>
      </c>
      <c r="M127">
        <f>R127=E127</f>
        <v/>
      </c>
      <c r="N127">
        <f>AND(MONTH(F127)=MONTH(Q127), YEAR(F127)=YEAR(Q127))</f>
        <v/>
      </c>
      <c r="O127">
        <f>"L001-902303751"=S127</f>
        <v/>
      </c>
      <c r="P127">
        <f>G127-U127</f>
        <v/>
      </c>
      <c r="Q127" s="35" t="n">
        <v>45409</v>
      </c>
      <c r="R127" t="n">
        <v>186806</v>
      </c>
      <c r="S127" t="inlineStr">
        <is>
          <t>K009-901605081</t>
        </is>
      </c>
      <c r="T127" t="inlineStr">
        <is>
          <t>ទ្រូ ខមភែនៀន ឡូជីស្ទីក (ខេមបូឌា)</t>
        </is>
      </c>
      <c r="U127" t="n">
        <v>186806</v>
      </c>
      <c r="V127" t="n">
        <v>0</v>
      </c>
    </row>
    <row r="128">
      <c r="A128" t="n">
        <v>127</v>
      </c>
      <c r="B128" t="inlineStr">
        <is>
          <t>Balance for Assisting in Preparation CMT Contract and Submission to GDT</t>
        </is>
      </c>
      <c r="C128" t="inlineStr">
        <is>
          <t>ខេឌី ខនសាល់ធេន ឯ.ក</t>
        </is>
      </c>
      <c r="D128" t="inlineStr">
        <is>
          <t>K005-901704277</t>
        </is>
      </c>
      <c r="E128" t="inlineStr">
        <is>
          <t>20240000328</t>
        </is>
      </c>
      <c r="F128" t="inlineStr">
        <is>
          <t>27-03-2024</t>
        </is>
      </c>
      <c r="G128" t="n">
        <v>80840</v>
      </c>
      <c r="I128">
        <f>G128</f>
        <v/>
      </c>
      <c r="K128">
        <f>I128-G128</f>
        <v/>
      </c>
      <c r="M128">
        <f>R128=E128</f>
        <v/>
      </c>
      <c r="N128">
        <f>AND(MONTH(F128)=MONTH(Q128), YEAR(F128)=YEAR(Q128))</f>
        <v/>
      </c>
      <c r="O128">
        <f>"L001-902303751"=S128</f>
        <v/>
      </c>
      <c r="P128">
        <f>G128-U128</f>
        <v/>
      </c>
      <c r="Q128" s="35" t="n">
        <v>45409</v>
      </c>
      <c r="R128" t="n">
        <v>2213245</v>
      </c>
      <c r="S128" t="inlineStr">
        <is>
          <t>K009-901605081</t>
        </is>
      </c>
      <c r="T128" t="inlineStr">
        <is>
          <t>ទ្រូ ខមភែនៀន ឡូជីស្ទីក (ខេមបូឌា)</t>
        </is>
      </c>
      <c r="U128" t="n">
        <v>2213245</v>
      </c>
      <c r="V128" t="n">
        <v>0</v>
      </c>
    </row>
    <row r="129">
      <c r="A129" t="n">
        <v>128</v>
      </c>
      <c r="B129" t="inlineStr">
        <is>
          <t>Doc Fee and Agency Fee</t>
        </is>
      </c>
      <c r="C129" t="inlineStr">
        <is>
          <t>អ៊ែតវ៉ានស៍ គ្លរី ឡូជីស្ទីក (ខេមបូឌា) (អេ ជី អិល)</t>
        </is>
      </c>
      <c r="D129" t="inlineStr">
        <is>
          <t>K005-100059945</t>
        </is>
      </c>
      <c r="E129" t="inlineStr">
        <is>
          <t>AGL2400445</t>
        </is>
      </c>
      <c r="F129" t="inlineStr">
        <is>
          <t>28-03-2024</t>
        </is>
      </c>
      <c r="G129" t="n">
        <v>44462</v>
      </c>
      <c r="I129">
        <f>G129</f>
        <v/>
      </c>
      <c r="K129">
        <f>I129-G129</f>
        <v/>
      </c>
      <c r="M129">
        <f>R129=E129</f>
        <v/>
      </c>
      <c r="N129">
        <f>AND(MONTH(F129)=MONTH(Q129), YEAR(F129)=YEAR(Q129))</f>
        <v/>
      </c>
      <c r="O129">
        <f>"L001-902303751"=S129</f>
        <v/>
      </c>
      <c r="P129">
        <f>G129-U129</f>
        <v/>
      </c>
      <c r="Q129" s="35" t="n">
        <v>45418</v>
      </c>
      <c r="R129" t="inlineStr"/>
      <c r="S129" t="inlineStr">
        <is>
          <t>K003-901635943</t>
        </is>
      </c>
      <c r="T129" t="inlineStr">
        <is>
          <t>អ៊ីឃ្យូឡាញ វើលវ៉ាយដ៍ ឡូជីស្ទីក</t>
        </is>
      </c>
      <c r="U129" t="n">
        <v>0</v>
      </c>
      <c r="V129" t="n">
        <v>0</v>
      </c>
    </row>
    <row r="130">
      <c r="A130" t="n">
        <v>129</v>
      </c>
      <c r="B130" t="inlineStr">
        <is>
          <t>Cargo Terminal</t>
        </is>
      </c>
      <c r="C130" t="inlineStr">
        <is>
          <t>សូស៊ីយេតេ កុងសេស្យូនែរ ដឺ ឡាអេរ៉ូព័រ</t>
        </is>
      </c>
      <c r="D130" t="inlineStr">
        <is>
          <t>L001-100047300</t>
        </is>
      </c>
      <c r="E130" t="inlineStr">
        <is>
          <t>2400-021771</t>
        </is>
      </c>
      <c r="F130" t="inlineStr">
        <is>
          <t>29-03-2024</t>
        </is>
      </c>
      <c r="G130" t="n">
        <v>7792</v>
      </c>
      <c r="I130">
        <f>G130</f>
        <v/>
      </c>
      <c r="K130">
        <f>I130-G130</f>
        <v/>
      </c>
      <c r="M130">
        <f>R130=E130</f>
        <v/>
      </c>
      <c r="N130">
        <f>AND(MONTH(F130)=MONTH(Q130), YEAR(F130)=YEAR(Q130))</f>
        <v/>
      </c>
      <c r="O130">
        <f>"L001-902303751"=S130</f>
        <v/>
      </c>
      <c r="P130">
        <f>G130-U130</f>
        <v/>
      </c>
      <c r="Q130" s="35" t="n">
        <v>45432</v>
      </c>
      <c r="R130" t="n">
        <v>112933</v>
      </c>
      <c r="S130" t="inlineStr">
        <is>
          <t>L001-104015799</t>
        </is>
      </c>
      <c r="T130" t="inlineStr">
        <is>
          <t>យូសេន ឡូជីស្ទីក (ខេមបូឌា) ខូ អិលធីឌី</t>
        </is>
      </c>
      <c r="U130" t="n">
        <v>112933</v>
      </c>
      <c r="V130" t="n">
        <v>0</v>
      </c>
    </row>
    <row r="131">
      <c r="A131" t="n">
        <v>130</v>
      </c>
      <c r="B131" t="inlineStr">
        <is>
          <t>Customs Clearance Fee and Trucking Fee</t>
        </is>
      </c>
      <c r="C131" t="inlineStr">
        <is>
          <t>ត្រាយអ៊ែងហ្គល ឡូជីស្ទីក (ខេមបូឌា) ឯ.ក</t>
        </is>
      </c>
      <c r="D131" t="inlineStr">
        <is>
          <t>K010-902101743</t>
        </is>
      </c>
      <c r="E131" t="inlineStr">
        <is>
          <t>TAG-24-00180</t>
        </is>
      </c>
      <c r="F131" t="inlineStr">
        <is>
          <t>29-03-2024</t>
        </is>
      </c>
      <c r="G131" t="n">
        <v>28287</v>
      </c>
      <c r="I131">
        <f>G131</f>
        <v/>
      </c>
      <c r="K131">
        <f>I131-G131</f>
        <v/>
      </c>
      <c r="M131">
        <f>R131=E131</f>
        <v/>
      </c>
      <c r="N131">
        <f>AND(MONTH(F131)=MONTH(Q131), YEAR(F131)=YEAR(Q131))</f>
        <v/>
      </c>
      <c r="O131">
        <f>"L001-902303751"=S131</f>
        <v/>
      </c>
      <c r="P131">
        <f>G131-U131</f>
        <v/>
      </c>
      <c r="Q131" s="35" t="n">
        <v>45439</v>
      </c>
      <c r="R131" t="n">
        <v>113044</v>
      </c>
      <c r="S131" t="inlineStr">
        <is>
          <t>K003-901635943</t>
        </is>
      </c>
      <c r="T131" t="inlineStr">
        <is>
          <t>អ៊ីឃ្យូឡាញ វើលវ៉ាយដ៍ ឡូជីស្ទីក</t>
        </is>
      </c>
      <c r="U131" t="n">
        <v>113044</v>
      </c>
      <c r="V131" t="n">
        <v>0</v>
      </c>
    </row>
    <row r="132">
      <c r="A132" t="n">
        <v>131</v>
      </c>
      <c r="B132" t="inlineStr">
        <is>
          <t>Customs Clearance Fee and Trucking Fee</t>
        </is>
      </c>
      <c r="C132" t="inlineStr">
        <is>
          <t>ត្រាយអ៊ែងហ្គល ឡូជីស្ទីក (ខេមបូឌា) ឯ.ក</t>
        </is>
      </c>
      <c r="D132" t="inlineStr">
        <is>
          <t>K010-902101743</t>
        </is>
      </c>
      <c r="E132" t="inlineStr">
        <is>
          <t>TAG-24-00179</t>
        </is>
      </c>
      <c r="F132" t="inlineStr">
        <is>
          <t>29-03-2024</t>
        </is>
      </c>
      <c r="G132" t="n">
        <v>28287</v>
      </c>
      <c r="I132">
        <f>G132</f>
        <v/>
      </c>
      <c r="K132">
        <f>I132-G132</f>
        <v/>
      </c>
      <c r="M132">
        <f>R132=E132</f>
        <v/>
      </c>
      <c r="N132">
        <f>AND(MONTH(F132)=MONTH(Q132), YEAR(F132)=YEAR(Q132))</f>
        <v/>
      </c>
      <c r="O132">
        <f>"L001-902303751"=S132</f>
        <v/>
      </c>
      <c r="P132">
        <f>G132-U132</f>
        <v/>
      </c>
      <c r="Q132" s="35" t="n">
        <v>45439</v>
      </c>
      <c r="R132" t="n">
        <v>269754</v>
      </c>
      <c r="S132" t="inlineStr">
        <is>
          <t>L001-104015799</t>
        </is>
      </c>
      <c r="T132" t="inlineStr">
        <is>
          <t>យូសេន ឡូជីស្ទីក (ខេមបូឌា) ខូ អិលធីឌី</t>
        </is>
      </c>
      <c r="U132" t="n">
        <v>269754</v>
      </c>
      <c r="V132" t="n">
        <v>0</v>
      </c>
    </row>
    <row r="133">
      <c r="A133" t="n">
        <v>132</v>
      </c>
      <c r="B133" t="inlineStr">
        <is>
          <t>Customs Clearance Fee and Agency Fee</t>
        </is>
      </c>
      <c r="C133" t="inlineStr">
        <is>
          <t>ត្រាយអ៊ែងហ្គល ឡូជីស្ទីក (ខេមបូឌា) ឯ.ក</t>
        </is>
      </c>
      <c r="D133" t="inlineStr">
        <is>
          <t>K010-902101743</t>
        </is>
      </c>
      <c r="E133" t="inlineStr">
        <is>
          <t>TAG-24-00142</t>
        </is>
      </c>
      <c r="F133" t="inlineStr">
        <is>
          <t>25-03-2024</t>
        </is>
      </c>
      <c r="G133" t="n">
        <v>32360</v>
      </c>
      <c r="I133">
        <f>G133</f>
        <v/>
      </c>
      <c r="K133">
        <f>I133-G133</f>
        <v/>
      </c>
      <c r="M133">
        <f>R133=E133</f>
        <v/>
      </c>
      <c r="N133">
        <f>AND(MONTH(F133)=MONTH(Q133), YEAR(F133)=YEAR(Q133))</f>
        <v/>
      </c>
      <c r="O133">
        <f>"L001-902303751"=S133</f>
        <v/>
      </c>
      <c r="P133">
        <f>G133-U133</f>
        <v/>
      </c>
      <c r="Q133" s="35" t="n">
        <v>45437</v>
      </c>
      <c r="R133" t="n">
        <v>2223055</v>
      </c>
      <c r="S133" t="inlineStr">
        <is>
          <t>K009-901605081</t>
        </is>
      </c>
      <c r="T133" t="inlineStr">
        <is>
          <t>ទ្រូ ខមភែនៀន ឡូជីស្ទីក (ខេមបូឌា)</t>
        </is>
      </c>
      <c r="U133" t="n">
        <v>2223055</v>
      </c>
      <c r="V133" t="n">
        <v>0</v>
      </c>
    </row>
    <row r="134">
      <c r="A134" t="n">
        <v>133</v>
      </c>
      <c r="B134" t="inlineStr">
        <is>
          <t>Cargo Terminal</t>
        </is>
      </c>
      <c r="C134" t="inlineStr">
        <is>
          <t>សូស៊ីយេតេ កុងសេស្យូនែរ ដឺ ឡាអេរ៉ូព័រ</t>
        </is>
      </c>
      <c r="D134" t="inlineStr">
        <is>
          <t>L001-100047300</t>
        </is>
      </c>
      <c r="E134" t="inlineStr">
        <is>
          <t>2400-021772</t>
        </is>
      </c>
      <c r="F134" t="inlineStr">
        <is>
          <t>29-03-2024</t>
        </is>
      </c>
      <c r="G134" t="n">
        <v>2976</v>
      </c>
      <c r="I134">
        <f>G134</f>
        <v/>
      </c>
      <c r="K134">
        <f>I134-G134</f>
        <v/>
      </c>
      <c r="M134">
        <f>R134=E134</f>
        <v/>
      </c>
      <c r="N134">
        <f>AND(MONTH(F134)=MONTH(Q134), YEAR(F134)=YEAR(Q134))</f>
        <v/>
      </c>
      <c r="O134">
        <f>"L001-902303751"=S134</f>
        <v/>
      </c>
      <c r="P134">
        <f>G134-U134</f>
        <v/>
      </c>
      <c r="Q134" s="35" t="n">
        <v>45421</v>
      </c>
      <c r="R134" t="n">
        <v>187496</v>
      </c>
      <c r="S134" t="inlineStr">
        <is>
          <t>K009-901605081</t>
        </is>
      </c>
      <c r="T134" t="inlineStr">
        <is>
          <t>ទ្រូ ខមភែនៀន ឡូជីស្ទីក (ខេមបូឌា)</t>
        </is>
      </c>
      <c r="U134" t="n">
        <v>187496</v>
      </c>
      <c r="V134" t="n">
        <v>0</v>
      </c>
    </row>
    <row r="135">
      <c r="A135" t="n">
        <v>134</v>
      </c>
      <c r="B135" t="inlineStr">
        <is>
          <t>Customs Clearance Fee and Trucking Fee</t>
        </is>
      </c>
      <c r="C135" t="inlineStr">
        <is>
          <t>ត្រាយអ៊ែងហ្គល ឡូជីស្ទីក (ខេមបូឌា) ឯ.ក</t>
        </is>
      </c>
      <c r="D135" t="inlineStr">
        <is>
          <t>K010-902101743</t>
        </is>
      </c>
      <c r="E135" t="inlineStr">
        <is>
          <t>TAG-24-00185</t>
        </is>
      </c>
      <c r="F135" t="inlineStr">
        <is>
          <t>29-03-2024</t>
        </is>
      </c>
      <c r="G135" t="n">
        <v>28287</v>
      </c>
      <c r="I135">
        <f>G135</f>
        <v/>
      </c>
      <c r="K135">
        <f>I135-G135</f>
        <v/>
      </c>
      <c r="M135">
        <f>R135=E135</f>
        <v/>
      </c>
      <c r="N135">
        <f>AND(MONTH(F135)=MONTH(Q135), YEAR(F135)=YEAR(Q135))</f>
        <v/>
      </c>
      <c r="O135">
        <f>"L001-902303751"=S135</f>
        <v/>
      </c>
      <c r="P135">
        <f>G135-U135</f>
        <v/>
      </c>
      <c r="Q135" s="35" t="n">
        <v>45425</v>
      </c>
      <c r="R135" t="n">
        <v>112933</v>
      </c>
      <c r="S135" t="inlineStr">
        <is>
          <t>L001-104015799</t>
        </is>
      </c>
      <c r="T135" t="inlineStr">
        <is>
          <t>យូសេន ឡូជីស្ទីក (ខេមបូឌា) ខូ អិលធីឌី</t>
        </is>
      </c>
      <c r="U135" t="n">
        <v>112933</v>
      </c>
      <c r="V135" t="n">
        <v>0</v>
      </c>
    </row>
    <row r="136">
      <c r="A136" t="n">
        <v>135</v>
      </c>
      <c r="B136" t="inlineStr">
        <is>
          <t>Airway bill Fee and Handling Agency Fee</t>
        </is>
      </c>
      <c r="C136" t="inlineStr">
        <is>
          <t>ត្រេន ស្តារ ហ្រេ្វត</t>
        </is>
      </c>
      <c r="D136" t="inlineStr">
        <is>
          <t>L001-100011888</t>
        </is>
      </c>
      <c r="E136" t="inlineStr">
        <is>
          <t>PPTI24-03403</t>
        </is>
      </c>
      <c r="F136" t="inlineStr">
        <is>
          <t>28-03-2024</t>
        </is>
      </c>
      <c r="G136" t="n">
        <v>34357</v>
      </c>
      <c r="I136">
        <f>G136</f>
        <v/>
      </c>
      <c r="K136">
        <f>I136-G136</f>
        <v/>
      </c>
      <c r="M136">
        <f>R136=E136</f>
        <v/>
      </c>
      <c r="N136">
        <f>AND(MONTH(F136)=MONTH(Q136), YEAR(F136)=YEAR(Q136))</f>
        <v/>
      </c>
      <c r="O136">
        <f>"L001-902303751"=S136</f>
        <v/>
      </c>
      <c r="P136">
        <f>G136-U136</f>
        <v/>
      </c>
      <c r="Q136" s="35" t="n">
        <v>45425</v>
      </c>
      <c r="R136" t="n">
        <v>205481</v>
      </c>
      <c r="S136" t="inlineStr">
        <is>
          <t>L001-104015799</t>
        </is>
      </c>
      <c r="T136" t="inlineStr">
        <is>
          <t>យូសេន ឡូជីស្ទីក (ខេមបូឌា) ខូ អិលធីឌី</t>
        </is>
      </c>
      <c r="U136" t="n">
        <v>205481</v>
      </c>
      <c r="V136" t="n">
        <v>0</v>
      </c>
    </row>
    <row r="137">
      <c r="A137" t="n">
        <v>136</v>
      </c>
      <c r="B137" t="inlineStr">
        <is>
          <t>Cargo Terminal</t>
        </is>
      </c>
      <c r="C137" t="inlineStr">
        <is>
          <t>សូស៊ីយេតេ កុងសេស្យូនែរ ដឺ ឡាអេរ៉ូព័រ</t>
        </is>
      </c>
      <c r="D137" t="inlineStr">
        <is>
          <t>L001-100047300</t>
        </is>
      </c>
      <c r="E137" t="inlineStr">
        <is>
          <t>2400-021835</t>
        </is>
      </c>
      <c r="F137" t="inlineStr">
        <is>
          <t>29-03-2024</t>
        </is>
      </c>
      <c r="G137" t="n">
        <v>4882</v>
      </c>
      <c r="I137">
        <f>G137</f>
        <v/>
      </c>
      <c r="K137">
        <f>I137-G137</f>
        <v/>
      </c>
      <c r="M137">
        <f>R137=E137</f>
        <v/>
      </c>
      <c r="N137">
        <f>AND(MONTH(F137)=MONTH(Q137), YEAR(F137)=YEAR(Q137))</f>
        <v/>
      </c>
      <c r="O137">
        <f>"L001-902303751"=S137</f>
        <v/>
      </c>
      <c r="P137">
        <f>G137-U137</f>
        <v/>
      </c>
      <c r="Q137" s="35" t="n">
        <v>45432</v>
      </c>
      <c r="R137" t="inlineStr"/>
      <c r="S137" t="inlineStr">
        <is>
          <t>K003-901635943</t>
        </is>
      </c>
      <c r="T137" t="inlineStr">
        <is>
          <t>អ៊ីឃ្យូឡាញ វើលវ៉ាយដ៍ ឡូជីស្ទីក</t>
        </is>
      </c>
      <c r="U137" t="n">
        <v>0</v>
      </c>
      <c r="V137" t="n">
        <v>0</v>
      </c>
    </row>
    <row r="138">
      <c r="A138" t="n">
        <v>137</v>
      </c>
      <c r="B138" t="inlineStr">
        <is>
          <t>Customs Clearance Fee and Trucking Fee</t>
        </is>
      </c>
      <c r="C138" t="inlineStr">
        <is>
          <t>ត្រាយអ៊ែងហ្គល ឡូជីស្ទីក (ខេមបូឌា) ឯ.ក</t>
        </is>
      </c>
      <c r="D138" t="inlineStr">
        <is>
          <t>K010-902101743</t>
        </is>
      </c>
      <c r="E138" t="inlineStr">
        <is>
          <t>TAG-24-00183</t>
        </is>
      </c>
      <c r="F138" t="inlineStr">
        <is>
          <t>29-03-2024</t>
        </is>
      </c>
      <c r="G138" t="n">
        <v>28287</v>
      </c>
      <c r="I138">
        <f>G138</f>
        <v/>
      </c>
      <c r="K138">
        <f>I138-G138</f>
        <v/>
      </c>
      <c r="M138">
        <f>R138=E138</f>
        <v/>
      </c>
      <c r="N138">
        <f>AND(MONTH(F138)=MONTH(Q138), YEAR(F138)=YEAR(Q138))</f>
        <v/>
      </c>
      <c r="O138">
        <f>"L001-902303751"=S138</f>
        <v/>
      </c>
      <c r="P138">
        <f>G138-U138</f>
        <v/>
      </c>
      <c r="Q138" s="35" t="n">
        <v>45436</v>
      </c>
      <c r="R138" t="n">
        <v>130528</v>
      </c>
      <c r="S138" t="inlineStr">
        <is>
          <t>K009-901605081</t>
        </is>
      </c>
      <c r="T138" t="inlineStr">
        <is>
          <t>ទ្រូ ខមភែនៀន ឡូជីស្ទីក (ខេមបូឌា)</t>
        </is>
      </c>
      <c r="U138" t="n">
        <v>130528</v>
      </c>
      <c r="V138" t="n">
        <v>0</v>
      </c>
    </row>
    <row r="139">
      <c r="A139" t="n">
        <v>138</v>
      </c>
      <c r="B139" t="inlineStr">
        <is>
          <t>Lift-On &amp; Lift-Off</t>
        </is>
      </c>
      <c r="C139" t="inlineStr">
        <is>
          <t>កំពង់ផែស្វយ័តក្រុងព្រះសីហនុ</t>
        </is>
      </c>
      <c r="D139" t="inlineStr">
        <is>
          <t>L001-100044638</t>
        </is>
      </c>
      <c r="E139" t="inlineStr">
        <is>
          <t>057001</t>
        </is>
      </c>
      <c r="F139" t="inlineStr">
        <is>
          <t>30-03-2024</t>
        </is>
      </c>
      <c r="G139" t="n">
        <v>23034</v>
      </c>
      <c r="I139">
        <f>G139</f>
        <v/>
      </c>
      <c r="K139">
        <f>I139-G139</f>
        <v/>
      </c>
      <c r="M139">
        <f>R139=E139</f>
        <v/>
      </c>
      <c r="N139">
        <f>AND(MONTH(F139)=MONTH(Q139), YEAR(F139)=YEAR(Q139))</f>
        <v/>
      </c>
      <c r="O139">
        <f>"L001-902303751"=S139</f>
        <v/>
      </c>
      <c r="P139">
        <f>G139-U139</f>
        <v/>
      </c>
      <c r="Q139" s="35" t="n">
        <v>45418</v>
      </c>
      <c r="R139" t="n">
        <v>276217</v>
      </c>
      <c r="S139" t="inlineStr">
        <is>
          <t>K002-901900264</t>
        </is>
      </c>
      <c r="T139" t="inlineStr">
        <is>
          <t>ហេកធ័រ ត្រេនស្ព័រថេសិន (ខេមបូឌា) ឯ.ក</t>
        </is>
      </c>
      <c r="U139" t="n">
        <v>276217</v>
      </c>
      <c r="V139" t="n">
        <v>0</v>
      </c>
    </row>
    <row r="140">
      <c r="A140" t="n">
        <v>139</v>
      </c>
      <c r="B140" t="inlineStr">
        <is>
          <t>Customs Clearance Fee and Trucking Fee</t>
        </is>
      </c>
      <c r="C140" t="inlineStr">
        <is>
          <t>ត្រាយអ៊ែងហ្គល ឡូជីស្ទីក (ខេមបូឌា) ឯ.ក</t>
        </is>
      </c>
      <c r="D140" t="inlineStr">
        <is>
          <t>K010-902101743</t>
        </is>
      </c>
      <c r="E140" t="inlineStr">
        <is>
          <t>TAG-24-00190</t>
        </is>
      </c>
      <c r="F140" t="inlineStr">
        <is>
          <t>29-03-2024</t>
        </is>
      </c>
      <c r="G140" t="n">
        <v>68697</v>
      </c>
      <c r="I140">
        <f>G140</f>
        <v/>
      </c>
      <c r="K140">
        <f>I140-G140</f>
        <v/>
      </c>
      <c r="M140">
        <f>R140=E140</f>
        <v/>
      </c>
      <c r="N140">
        <f>AND(MONTH(F140)=MONTH(Q140), YEAR(F140)=YEAR(Q140))</f>
        <v/>
      </c>
      <c r="O140">
        <f>"L001-902303751"=S140</f>
        <v/>
      </c>
      <c r="P140">
        <f>G140-U140</f>
        <v/>
      </c>
      <c r="Q140" s="35" t="n">
        <v>45418</v>
      </c>
      <c r="R140" t="n">
        <v>112850</v>
      </c>
      <c r="S140" t="inlineStr">
        <is>
          <t>L001-104015799</t>
        </is>
      </c>
      <c r="T140" t="inlineStr">
        <is>
          <t>យូសេន ឡូជីស្ទីក (ខេមបូឌា) ខូ អិលធីឌី</t>
        </is>
      </c>
      <c r="U140" t="n">
        <v>112850</v>
      </c>
      <c r="V140" t="n">
        <v>0</v>
      </c>
    </row>
    <row r="141">
      <c r="A141" t="n">
        <v>140</v>
      </c>
      <c r="B141" t="inlineStr">
        <is>
          <t>Customs Clearance Fee and Trucking Fee</t>
        </is>
      </c>
      <c r="C141" t="inlineStr">
        <is>
          <t>ត្រាយអ៊ែងហ្គល ឡូជីស្ទីក (ខេមបូឌា) ឯ.ក</t>
        </is>
      </c>
      <c r="D141" t="inlineStr">
        <is>
          <t>K010-902101743</t>
        </is>
      </c>
      <c r="E141" t="inlineStr">
        <is>
          <t>TAG-24-00172</t>
        </is>
      </c>
      <c r="F141" t="inlineStr">
        <is>
          <t>27-03-2024</t>
        </is>
      </c>
      <c r="G141" t="n">
        <v>8084</v>
      </c>
      <c r="I141">
        <f>G141</f>
        <v/>
      </c>
      <c r="K141">
        <f>I141-G141</f>
        <v/>
      </c>
      <c r="M141">
        <f>R141=E141</f>
        <v/>
      </c>
      <c r="N141">
        <f>AND(MONTH(F141)=MONTH(Q141), YEAR(F141)=YEAR(Q141))</f>
        <v/>
      </c>
      <c r="O141">
        <f>"L001-902303751"=S141</f>
        <v/>
      </c>
      <c r="P141">
        <f>G141-U141</f>
        <v/>
      </c>
      <c r="Q141" s="35" t="n">
        <v>45418</v>
      </c>
      <c r="R141" t="n">
        <v>112850</v>
      </c>
      <c r="S141" t="inlineStr">
        <is>
          <t>K003-901635943</t>
        </is>
      </c>
      <c r="T141" t="inlineStr">
        <is>
          <t>អ៊ីឃ្យូឡាញ វើលវ៉ាយដ៍ ឡូជីស្ទីក</t>
        </is>
      </c>
      <c r="U141" t="n">
        <v>112850</v>
      </c>
      <c r="V141" t="n">
        <v>0</v>
      </c>
    </row>
    <row r="142">
      <c r="A142" t="n">
        <v>141</v>
      </c>
      <c r="B142" t="inlineStr">
        <is>
          <t>Customs Clearance Fee and Agency Fee</t>
        </is>
      </c>
      <c r="C142" t="inlineStr">
        <is>
          <t>ត្រាយអ៊ែងហ្គល ឡូជីស្ទីក (ខេមបូឌា) ឯ.ក</t>
        </is>
      </c>
      <c r="D142" t="inlineStr">
        <is>
          <t>K010-902101743</t>
        </is>
      </c>
      <c r="E142" t="inlineStr">
        <is>
          <t>TAG-24-00111</t>
        </is>
      </c>
      <c r="F142" t="inlineStr">
        <is>
          <t>22-03-2024</t>
        </is>
      </c>
      <c r="G142" t="n">
        <v>32384</v>
      </c>
      <c r="I142">
        <f>G142</f>
        <v/>
      </c>
      <c r="K142">
        <f>I142-G142</f>
        <v/>
      </c>
      <c r="M142">
        <f>R142=E142</f>
        <v/>
      </c>
      <c r="N142">
        <f>AND(MONTH(F142)=MONTH(Q142), YEAR(F142)=YEAR(Q142))</f>
        <v/>
      </c>
      <c r="O142">
        <f>"L001-902303751"=S142</f>
        <v/>
      </c>
      <c r="P142">
        <f>G142-U142</f>
        <v/>
      </c>
      <c r="Q142" s="35" t="n">
        <v>45439</v>
      </c>
      <c r="R142" t="n">
        <v>113044</v>
      </c>
      <c r="S142" t="inlineStr">
        <is>
          <t>L001-104015799</t>
        </is>
      </c>
      <c r="T142" t="inlineStr">
        <is>
          <t>យូសេន ឡូជីស្ទីក (ខេមបូឌា) ខូ អិលធីឌី</t>
        </is>
      </c>
      <c r="U142" t="n">
        <v>113044</v>
      </c>
      <c r="V142" t="n">
        <v>0</v>
      </c>
    </row>
    <row r="143">
      <c r="A143" t="n">
        <v>142</v>
      </c>
      <c r="B143" t="inlineStr">
        <is>
          <t>Cargo Terminal</t>
        </is>
      </c>
      <c r="C143" t="inlineStr">
        <is>
          <t>សូស៊ីយេតេ កុងសេស្យូនែរ ដឺ ឡាអេរ៉ូព័រ</t>
        </is>
      </c>
      <c r="D143" t="inlineStr">
        <is>
          <t>L001-100047300</t>
        </is>
      </c>
      <c r="E143" t="inlineStr">
        <is>
          <t>2400-020798</t>
        </is>
      </c>
      <c r="F143" t="inlineStr">
        <is>
          <t>26-03-2024</t>
        </is>
      </c>
      <c r="G143" t="n">
        <v>6919</v>
      </c>
      <c r="I143">
        <f>G143</f>
        <v/>
      </c>
      <c r="K143">
        <f>I143-G143</f>
        <v/>
      </c>
      <c r="M143">
        <f>R143=E143</f>
        <v/>
      </c>
      <c r="N143">
        <f>AND(MONTH(F143)=MONTH(Q143), YEAR(F143)=YEAR(Q143))</f>
        <v/>
      </c>
      <c r="O143">
        <f>"L001-902303751"=S143</f>
        <v/>
      </c>
      <c r="P143">
        <f>G143-U143</f>
        <v/>
      </c>
      <c r="Q143" s="35" t="n">
        <v>45421</v>
      </c>
      <c r="R143" t="n">
        <v>2221420</v>
      </c>
      <c r="S143" t="inlineStr">
        <is>
          <t>K009-901605081</t>
        </is>
      </c>
      <c r="T143" t="inlineStr">
        <is>
          <t>ទ្រូ ខមភែនៀន ឡូជីស្ទីក (ខេមបូឌា)</t>
        </is>
      </c>
      <c r="U143" t="n">
        <v>2221420</v>
      </c>
      <c r="V143" t="n">
        <v>0</v>
      </c>
    </row>
    <row r="144">
      <c r="A144" t="n">
        <v>143</v>
      </c>
      <c r="B144" t="inlineStr">
        <is>
          <t>Customs Clearance Fee and Trucking Fee</t>
        </is>
      </c>
      <c r="C144" t="inlineStr">
        <is>
          <t>ត្រាយអ៊ែងហ្គល ឡូជីស្ទីក (ខេមបូឌា) ឯ.ក</t>
        </is>
      </c>
      <c r="D144" t="inlineStr">
        <is>
          <t>K010-902101743</t>
        </is>
      </c>
      <c r="E144" t="inlineStr">
        <is>
          <t>TAG-24-00170</t>
        </is>
      </c>
      <c r="F144" t="inlineStr">
        <is>
          <t>26-03-2024</t>
        </is>
      </c>
      <c r="G144" t="n">
        <v>28294</v>
      </c>
      <c r="I144">
        <f>G144</f>
        <v/>
      </c>
      <c r="K144">
        <f>I144-G144</f>
        <v/>
      </c>
      <c r="M144">
        <f>R144=E144</f>
        <v/>
      </c>
      <c r="N144">
        <f>AND(MONTH(F144)=MONTH(Q144), YEAR(F144)=YEAR(Q144))</f>
        <v/>
      </c>
      <c r="O144">
        <f>"L001-902303751"=S144</f>
        <v/>
      </c>
      <c r="P144">
        <f>G144-U144</f>
        <v/>
      </c>
      <c r="Q144" s="35" t="n">
        <v>45432</v>
      </c>
      <c r="R144" t="n">
        <v>112933</v>
      </c>
      <c r="S144" t="inlineStr">
        <is>
          <t>L001-104015799</t>
        </is>
      </c>
      <c r="T144" t="inlineStr">
        <is>
          <t>យូសេន ឡូជីស្ទីក (ខេមបូឌា) ខូ អិលធីឌី</t>
        </is>
      </c>
      <c r="U144" t="n">
        <v>112933</v>
      </c>
      <c r="V144" t="n">
        <v>0</v>
      </c>
    </row>
    <row r="145">
      <c r="A145" t="n">
        <v>144</v>
      </c>
      <c r="B145" t="inlineStr">
        <is>
          <t>Terminal Handling Charge, CFS FEE, Scanner Fee, CIC Fee, Agency Fee, D/O Fee, Documentation Fee, Handling Fee, Ex-work charge and Ocean Freight Charge</t>
        </is>
      </c>
      <c r="C145" t="inlineStr">
        <is>
          <t>ភី.ដាប់បែលយូ. ស្កេនវែល ឡូជីស្ទីក (ខេមបូឌា)</t>
        </is>
      </c>
      <c r="D145" t="inlineStr">
        <is>
          <t>K002-107011379</t>
        </is>
      </c>
      <c r="E145" t="inlineStr">
        <is>
          <t>240300072</t>
        </is>
      </c>
      <c r="F145" t="inlineStr">
        <is>
          <t>25-03-2024</t>
        </is>
      </c>
      <c r="G145" t="n">
        <v>196223</v>
      </c>
      <c r="I145">
        <f>G145</f>
        <v/>
      </c>
      <c r="K145">
        <f>I145-G145</f>
        <v/>
      </c>
      <c r="M145">
        <f>R145=E145</f>
        <v/>
      </c>
      <c r="N145">
        <f>AND(MONTH(F145)=MONTH(Q145), YEAR(F145)=YEAR(Q145))</f>
        <v/>
      </c>
      <c r="O145">
        <f>"L001-902303751"=S145</f>
        <v/>
      </c>
      <c r="P145">
        <f>G145-U145</f>
        <v/>
      </c>
      <c r="Q145" s="35" t="n">
        <v>45432</v>
      </c>
      <c r="R145" t="n">
        <v>176942</v>
      </c>
      <c r="S145" t="inlineStr">
        <is>
          <t>K003-901635943</t>
        </is>
      </c>
      <c r="T145" t="inlineStr">
        <is>
          <t>អ៊ីឃ្យូឡាញ វើលវ៉ាយដ៍ ឡូជីស្ទីក</t>
        </is>
      </c>
      <c r="U145" t="n">
        <v>176942</v>
      </c>
      <c r="V145" t="n">
        <v>0</v>
      </c>
    </row>
    <row r="146">
      <c r="A146" t="n">
        <v>145</v>
      </c>
      <c r="B146" t="inlineStr">
        <is>
          <t>Customs Clearance Fee and Trucking Fee</t>
        </is>
      </c>
      <c r="C146" t="inlineStr">
        <is>
          <t>ត្រាយអ៊ែងហ្គល ឡូជីស្ទីក (ខេមបូឌា) ឯ.ក</t>
        </is>
      </c>
      <c r="D146" t="inlineStr">
        <is>
          <t>K010-902101743</t>
        </is>
      </c>
      <c r="E146" t="inlineStr">
        <is>
          <t>TAG-24-00196</t>
        </is>
      </c>
      <c r="F146" t="inlineStr">
        <is>
          <t>29-03-2024</t>
        </is>
      </c>
      <c r="G146" t="n">
        <v>28287</v>
      </c>
      <c r="I146">
        <f>G146</f>
        <v/>
      </c>
      <c r="K146">
        <f>I146-G146</f>
        <v/>
      </c>
      <c r="M146">
        <f>R146=E146</f>
        <v/>
      </c>
      <c r="N146">
        <f>AND(MONTH(F146)=MONTH(Q146), YEAR(F146)=YEAR(Q146))</f>
        <v/>
      </c>
      <c r="O146">
        <f>"L001-902303751"=S146</f>
        <v/>
      </c>
      <c r="P146">
        <f>G146-U146</f>
        <v/>
      </c>
      <c r="Q146" s="35" t="n">
        <v>45414</v>
      </c>
      <c r="R146" t="n">
        <v>2215970</v>
      </c>
      <c r="S146" t="inlineStr">
        <is>
          <t>K009-901605081</t>
        </is>
      </c>
      <c r="T146" t="inlineStr">
        <is>
          <t>ទ្រូ ខមភែនៀន ឡូជីស្ទីក (ខេមបូឌា)</t>
        </is>
      </c>
      <c r="U146" t="n">
        <v>2215970</v>
      </c>
      <c r="V146" t="n">
        <v>0</v>
      </c>
    </row>
    <row r="147">
      <c r="A147" t="n">
        <v>146</v>
      </c>
      <c r="B147" t="inlineStr">
        <is>
          <t>THC Charge, CFS Fee, Scanning Fee, CIC Fee, D/O Fee, DOC Fee, Agency Fee, Handling Fee and Ocean Freight</t>
        </is>
      </c>
      <c r="C147" t="inlineStr">
        <is>
          <t>ហ្វ្រេត ខនសិប (ខេមបូឌា)</t>
        </is>
      </c>
      <c r="D147" t="inlineStr">
        <is>
          <t>K009-901502482</t>
        </is>
      </c>
      <c r="E147" t="inlineStr">
        <is>
          <t>240251</t>
        </is>
      </c>
      <c r="F147" t="inlineStr">
        <is>
          <t>22-03-2024</t>
        </is>
      </c>
      <c r="G147" t="n">
        <v>32384</v>
      </c>
      <c r="I147">
        <f>G147</f>
        <v/>
      </c>
      <c r="K147">
        <f>I147-G147</f>
        <v/>
      </c>
      <c r="M147">
        <f>R147=E147</f>
        <v/>
      </c>
      <c r="N147">
        <f>AND(MONTH(F147)=MONTH(Q147), YEAR(F147)=YEAR(Q147))</f>
        <v/>
      </c>
      <c r="O147">
        <f>"L001-902303751"=S147</f>
        <v/>
      </c>
      <c r="P147">
        <f>G147-U147</f>
        <v/>
      </c>
      <c r="Q147" s="35" t="n">
        <v>45439</v>
      </c>
      <c r="R147" t="inlineStr"/>
      <c r="S147" t="inlineStr">
        <is>
          <t>K003-901635943</t>
        </is>
      </c>
      <c r="T147" t="inlineStr">
        <is>
          <t>អ៊ីឃ្យូឡាញ វើលវ៉ាយដ៍ ឡូជីស្ទីក</t>
        </is>
      </c>
      <c r="U147" t="n">
        <v>0</v>
      </c>
      <c r="V147" t="n">
        <v>0</v>
      </c>
    </row>
    <row r="148">
      <c r="A148" t="n">
        <v>147</v>
      </c>
      <c r="B148" t="inlineStr">
        <is>
          <t>Cargo Terminal</t>
        </is>
      </c>
      <c r="C148" t="inlineStr">
        <is>
          <t>សូស៊ីយេតេ កុងសេស្យូនែរ ដឺ ឡាអេរ៉ូព័រ</t>
        </is>
      </c>
      <c r="D148" t="inlineStr">
        <is>
          <t>L001-100047300</t>
        </is>
      </c>
      <c r="E148" t="inlineStr">
        <is>
          <t>2400-020799</t>
        </is>
      </c>
      <c r="F148" t="inlineStr">
        <is>
          <t>26-03-2024</t>
        </is>
      </c>
      <c r="G148" t="n">
        <v>4237</v>
      </c>
      <c r="I148">
        <f>G148</f>
        <v/>
      </c>
      <c r="K148">
        <f>I148-G148</f>
        <v/>
      </c>
      <c r="M148">
        <f>R148=E148</f>
        <v/>
      </c>
      <c r="N148">
        <f>AND(MONTH(F148)=MONTH(Q148), YEAR(F148)=YEAR(Q148))</f>
        <v/>
      </c>
      <c r="O148">
        <f>"L001-902303751"=S148</f>
        <v/>
      </c>
      <c r="P148">
        <f>G148-U148</f>
        <v/>
      </c>
      <c r="Q148" s="35" t="n">
        <v>45425</v>
      </c>
      <c r="R148" t="n">
        <v>84394</v>
      </c>
      <c r="S148" t="inlineStr">
        <is>
          <t>K003-901635943</t>
        </is>
      </c>
      <c r="T148" t="inlineStr">
        <is>
          <t>អ៊ីឃ្យូឡាញ វើលវ៉ាយដ៍ ឡូជីស្ទីក</t>
        </is>
      </c>
      <c r="U148" t="n">
        <v>84394</v>
      </c>
      <c r="V148" t="n">
        <v>0</v>
      </c>
    </row>
    <row r="149">
      <c r="A149" t="n">
        <v>148</v>
      </c>
      <c r="B149" t="inlineStr">
        <is>
          <t>Customs Clearance Fee and Trucking Fee</t>
        </is>
      </c>
      <c r="C149" t="inlineStr">
        <is>
          <t>ត្រាយអ៊ែងហ្គល ឡូជីស្ទីក (ខេមបូឌា) ឯ.ក</t>
        </is>
      </c>
      <c r="D149" t="inlineStr">
        <is>
          <t>K010-902101743</t>
        </is>
      </c>
      <c r="E149" t="inlineStr">
        <is>
          <t>TAG-24-00171</t>
        </is>
      </c>
      <c r="F149" t="inlineStr">
        <is>
          <t>26-03-2024</t>
        </is>
      </c>
      <c r="G149" t="n">
        <v>28294</v>
      </c>
      <c r="I149">
        <f>G149</f>
        <v/>
      </c>
      <c r="K149">
        <f>I149-G149</f>
        <v/>
      </c>
      <c r="M149">
        <f>R149=E149</f>
        <v/>
      </c>
      <c r="N149">
        <f>AND(MONTH(F149)=MONTH(Q149), YEAR(F149)=YEAR(Q149))</f>
        <v/>
      </c>
      <c r="O149">
        <f>"L001-902303751"=S149</f>
        <v/>
      </c>
      <c r="P149">
        <f>G149-U149</f>
        <v/>
      </c>
      <c r="Q149" s="35" t="n">
        <v>45439</v>
      </c>
      <c r="R149" t="inlineStr"/>
      <c r="S149" t="inlineStr">
        <is>
          <t>L001-104015799</t>
        </is>
      </c>
      <c r="T149" t="inlineStr">
        <is>
          <t>យូសេន ឡូជីស្ទីក (ខេមបូឌា) ខូ អិលធីឌី</t>
        </is>
      </c>
      <c r="U149" t="n">
        <v>0</v>
      </c>
      <c r="V149" t="n">
        <v>0</v>
      </c>
    </row>
    <row r="150">
      <c r="A150" t="n">
        <v>149</v>
      </c>
      <c r="B150" t="inlineStr">
        <is>
          <t>THC Charge, CFS Fee, Scanning Fee, CIC Fee, D/O Fee, DOC Fee, Agency Fee, Handling Fee and Ocean Freight</t>
        </is>
      </c>
      <c r="C150" t="inlineStr">
        <is>
          <t>ហ្វ្រេត ខនសិប (ខេមបូឌា)</t>
        </is>
      </c>
      <c r="D150" t="inlineStr">
        <is>
          <t>K009-901502482</t>
        </is>
      </c>
      <c r="E150" t="inlineStr">
        <is>
          <t>240255</t>
        </is>
      </c>
      <c r="F150" t="inlineStr">
        <is>
          <t>22-03-2024</t>
        </is>
      </c>
      <c r="G150" t="n">
        <v>76912</v>
      </c>
      <c r="I150">
        <f>G150</f>
        <v/>
      </c>
      <c r="K150">
        <f>I150-G150</f>
        <v/>
      </c>
      <c r="M150">
        <f>R150=E150</f>
        <v/>
      </c>
      <c r="N150">
        <f>AND(MONTH(F150)=MONTH(Q150), YEAR(F150)=YEAR(Q150))</f>
        <v/>
      </c>
      <c r="O150">
        <f>"L001-902303751"=S150</f>
        <v/>
      </c>
      <c r="P150">
        <f>G150-U150</f>
        <v/>
      </c>
      <c r="Q150" s="35" t="n">
        <v>45436</v>
      </c>
      <c r="R150" t="n">
        <v>130528</v>
      </c>
      <c r="S150" t="inlineStr">
        <is>
          <t>K005-100059945</t>
        </is>
      </c>
      <c r="T150" t="inlineStr">
        <is>
          <t>អ៊ែតវ៉ានស៍ គ្លរី ឡូជីស្ទីក (ខេមបូឌា) (អេ ជី អិល)</t>
        </is>
      </c>
      <c r="U150" t="n">
        <v>130528</v>
      </c>
      <c r="V150" t="n">
        <v>0</v>
      </c>
    </row>
    <row r="151">
      <c r="A151" t="n">
        <v>150</v>
      </c>
      <c r="B151" t="inlineStr">
        <is>
          <t>Charge from Warehouse</t>
        </is>
      </c>
      <c r="C151" t="inlineStr">
        <is>
          <t>កំពង់ផែស្វយ័តក្រុងព្រះសីហនុ</t>
        </is>
      </c>
      <c r="D151" t="inlineStr">
        <is>
          <t>L001-100044638</t>
        </is>
      </c>
      <c r="E151" t="inlineStr">
        <is>
          <t>056966</t>
        </is>
      </c>
      <c r="F151" t="inlineStr">
        <is>
          <t>30-03-2024</t>
        </is>
      </c>
      <c r="G151" t="n">
        <v>617</v>
      </c>
      <c r="I151">
        <f>G151</f>
        <v/>
      </c>
      <c r="K151">
        <f>I151-G151</f>
        <v/>
      </c>
      <c r="M151">
        <f>R151=E151</f>
        <v/>
      </c>
      <c r="N151">
        <f>AND(MONTH(F151)=MONTH(Q151), YEAR(F151)=YEAR(Q151))</f>
        <v/>
      </c>
      <c r="O151">
        <f>"L001-902303751"=S151</f>
        <v/>
      </c>
      <c r="P151">
        <f>G151-U151</f>
        <v/>
      </c>
      <c r="Q151" s="35" t="n">
        <v>45414</v>
      </c>
      <c r="R151" t="n">
        <v>187036</v>
      </c>
      <c r="S151" t="inlineStr">
        <is>
          <t>K009-901605081</t>
        </is>
      </c>
      <c r="T151" t="inlineStr">
        <is>
          <t>ទ្រូ ខមភែនៀន ឡូជីស្ទីក (ខេមបូឌា)</t>
        </is>
      </c>
      <c r="U151" t="n">
        <v>187036</v>
      </c>
      <c r="V151" t="n">
        <v>0</v>
      </c>
    </row>
    <row r="152">
      <c r="A152" t="n">
        <v>151</v>
      </c>
      <c r="B152" t="inlineStr">
        <is>
          <t>Customs Clearance Fee and Trucking Fee</t>
        </is>
      </c>
      <c r="C152" t="inlineStr">
        <is>
          <t>ត្រាយអ៊ែងហ្គល ឡូជីស្ទីក (ខេមបូឌា) ឯ.ក</t>
        </is>
      </c>
      <c r="D152" t="inlineStr">
        <is>
          <t>K010-902101743</t>
        </is>
      </c>
      <c r="E152" t="inlineStr">
        <is>
          <t>TAG-24-00177</t>
        </is>
      </c>
      <c r="F152" t="inlineStr">
        <is>
          <t>28-03-2024</t>
        </is>
      </c>
      <c r="G152" t="n">
        <v>32336</v>
      </c>
      <c r="I152">
        <f>G152</f>
        <v/>
      </c>
      <c r="K152">
        <f>I152-G152</f>
        <v/>
      </c>
      <c r="M152">
        <f>R152=E152</f>
        <v/>
      </c>
      <c r="N152">
        <f>AND(MONTH(F152)=MONTH(Q152), YEAR(F152)=YEAR(Q152))</f>
        <v/>
      </c>
      <c r="O152">
        <f>"L001-902303751"=S152</f>
        <v/>
      </c>
      <c r="P152">
        <f>G152-U152</f>
        <v/>
      </c>
      <c r="Q152" s="35" t="n">
        <v>45418</v>
      </c>
      <c r="R152" t="n">
        <v>84332</v>
      </c>
      <c r="S152" t="inlineStr">
        <is>
          <t>L001-107041723</t>
        </is>
      </c>
      <c r="T152" t="inlineStr">
        <is>
          <t>ឌីប៊ី សេនឃើរ (ខេមបូឌា) លីមីធីត</t>
        </is>
      </c>
      <c r="U152" t="n">
        <v>84332</v>
      </c>
      <c r="V152" t="n">
        <v>0</v>
      </c>
    </row>
    <row r="153">
      <c r="A153" t="n">
        <v>152</v>
      </c>
      <c r="B153" t="inlineStr">
        <is>
          <t>THC Charge, CFS Fee, Scanning Fee, CIC Fee, D/O Fee, DOC Fee, Agency Fee, Handling Fee and Ocean Freight</t>
        </is>
      </c>
      <c r="C153" t="inlineStr">
        <is>
          <t>ហ្វ្រេត ខនសិប (ខេមបូឌា)</t>
        </is>
      </c>
      <c r="D153" t="inlineStr">
        <is>
          <t>K009-901502482</t>
        </is>
      </c>
      <c r="E153" t="inlineStr">
        <is>
          <t>240254</t>
        </is>
      </c>
      <c r="F153" t="inlineStr">
        <is>
          <t>22-03-2024</t>
        </is>
      </c>
      <c r="G153" t="n">
        <v>116906</v>
      </c>
      <c r="I153">
        <f>G153</f>
        <v/>
      </c>
      <c r="K153">
        <f>I153-G153</f>
        <v/>
      </c>
      <c r="M153">
        <f>R153=E153</f>
        <v/>
      </c>
      <c r="N153">
        <f>AND(MONTH(F153)=MONTH(Q153), YEAR(F153)=YEAR(Q153))</f>
        <v/>
      </c>
      <c r="O153">
        <f>"L001-902303751"=S153</f>
        <v/>
      </c>
      <c r="P153">
        <f>G153-U153</f>
        <v/>
      </c>
      <c r="Q153" s="35" t="n">
        <v>45439</v>
      </c>
      <c r="R153" t="n">
        <v>96720</v>
      </c>
      <c r="S153" t="inlineStr">
        <is>
          <t>L001-104015799</t>
        </is>
      </c>
      <c r="T153" t="inlineStr">
        <is>
          <t>យូសេន ឡូជីស្ទីក (ខេមបូឌា) ខូ អិលធីឌី</t>
        </is>
      </c>
      <c r="U153" t="n">
        <v>96720</v>
      </c>
      <c r="V153" t="n">
        <v>0</v>
      </c>
    </row>
    <row r="154">
      <c r="A154" t="n">
        <v>153</v>
      </c>
      <c r="B154" t="inlineStr">
        <is>
          <t>Charge from Warehouse</t>
        </is>
      </c>
      <c r="C154" t="inlineStr">
        <is>
          <t>កំពង់ផែស្វយ័តក្រុងព្រះសីហនុ</t>
        </is>
      </c>
      <c r="D154" t="inlineStr">
        <is>
          <t>L001-100044638</t>
        </is>
      </c>
      <c r="E154" t="inlineStr">
        <is>
          <t>056969</t>
        </is>
      </c>
      <c r="F154" t="inlineStr">
        <is>
          <t>30-03-2024</t>
        </is>
      </c>
      <c r="G154" t="n">
        <v>1855</v>
      </c>
      <c r="I154">
        <f>G154</f>
        <v/>
      </c>
      <c r="K154">
        <f>I154-G154</f>
        <v/>
      </c>
      <c r="M154">
        <f>R154=E154</f>
        <v/>
      </c>
      <c r="N154">
        <f>AND(MONTH(F154)=MONTH(Q154), YEAR(F154)=YEAR(Q154))</f>
        <v/>
      </c>
      <c r="O154">
        <f>"L001-902303751"=S154</f>
        <v/>
      </c>
      <c r="P154">
        <f>G154-U154</f>
        <v/>
      </c>
      <c r="Q154" s="35" t="n">
        <v>45425</v>
      </c>
      <c r="R154" t="inlineStr"/>
      <c r="S154" t="inlineStr">
        <is>
          <t>K003-901635943</t>
        </is>
      </c>
      <c r="T154" t="inlineStr">
        <is>
          <t>អ៊ីឃ្យូឡាញ វើលវ៉ាយដ៍ ឡូជីស្ទីក</t>
        </is>
      </c>
      <c r="U154" t="n">
        <v>0</v>
      </c>
      <c r="V154" t="n">
        <v>0</v>
      </c>
    </row>
    <row r="155">
      <c r="A155" t="n">
        <v>154</v>
      </c>
      <c r="B155" t="inlineStr">
        <is>
          <t>Customs Clearance Fee and Trucking Fee</t>
        </is>
      </c>
      <c r="C155" t="inlineStr">
        <is>
          <t>ត្រាយអ៊ែងហ្គល ឡូជីស្ទីក (ខេមបូឌា) ឯ.ក</t>
        </is>
      </c>
      <c r="D155" t="inlineStr">
        <is>
          <t>K010-902101743</t>
        </is>
      </c>
      <c r="E155" t="inlineStr">
        <is>
          <t>TAG-24-00176</t>
        </is>
      </c>
      <c r="F155" t="inlineStr">
        <is>
          <t>28-03-2024</t>
        </is>
      </c>
      <c r="G155" t="n">
        <v>33332</v>
      </c>
      <c r="I155">
        <f>G155</f>
        <v/>
      </c>
      <c r="K155">
        <f>I155-G155</f>
        <v/>
      </c>
      <c r="M155">
        <f>R155=E155</f>
        <v/>
      </c>
      <c r="N155">
        <f>AND(MONTH(F155)=MONTH(Q155), YEAR(F155)=YEAR(Q155))</f>
        <v/>
      </c>
      <c r="O155">
        <f>"L001-902303751"=S155</f>
        <v/>
      </c>
      <c r="P155">
        <f>G155-U155</f>
        <v/>
      </c>
      <c r="Q155" s="35" t="n">
        <v>45437</v>
      </c>
      <c r="R155" t="n">
        <v>187634</v>
      </c>
      <c r="S155" t="inlineStr">
        <is>
          <t>K009-901605081</t>
        </is>
      </c>
      <c r="T155" t="inlineStr">
        <is>
          <t>ទ្រូ ខមភែនៀន ឡូជីស្ទីក (ខេមបូឌា)</t>
        </is>
      </c>
      <c r="U155" t="n">
        <v>187634</v>
      </c>
      <c r="V155" t="n">
        <v>0</v>
      </c>
    </row>
    <row r="156">
      <c r="A156" t="n">
        <v>155</v>
      </c>
      <c r="B156" t="inlineStr">
        <is>
          <t>THC Charge, CFS Fee, Scanning Fee, CIC Fee, D/O Fee, DOC Fee, Agency Fee, Handling Fee and Ocean Freight</t>
        </is>
      </c>
      <c r="C156" t="inlineStr">
        <is>
          <t>ហ្វ្រេត ខនសិប (ខេមបូឌា)</t>
        </is>
      </c>
      <c r="D156" t="inlineStr">
        <is>
          <t>K009-901502482</t>
        </is>
      </c>
      <c r="E156" t="inlineStr">
        <is>
          <t>240253</t>
        </is>
      </c>
      <c r="F156" t="inlineStr">
        <is>
          <t>22-03-2024</t>
        </is>
      </c>
      <c r="G156" t="n">
        <v>115125</v>
      </c>
      <c r="I156">
        <f>G156</f>
        <v/>
      </c>
      <c r="K156">
        <f>I156-G156</f>
        <v/>
      </c>
      <c r="M156">
        <f>R156=E156</f>
        <v/>
      </c>
      <c r="N156">
        <f>AND(MONTH(F156)=MONTH(Q156), YEAR(F156)=YEAR(Q156))</f>
        <v/>
      </c>
      <c r="O156">
        <f>"L001-902303751"=S156</f>
        <v/>
      </c>
      <c r="P156">
        <f>G156-U156</f>
        <v/>
      </c>
      <c r="Q156" s="35" t="n">
        <v>45468</v>
      </c>
      <c r="R156" t="n">
        <v>2242675</v>
      </c>
      <c r="S156" t="inlineStr">
        <is>
          <t>K009-901605081</t>
        </is>
      </c>
      <c r="T156" t="inlineStr">
        <is>
          <t>ទ្រូ ខមភែនៀន ឡូជីស្ទីក (ខេមបូឌា)</t>
        </is>
      </c>
      <c r="U156" t="n">
        <v>2242675</v>
      </c>
      <c r="V156" t="n">
        <v>0</v>
      </c>
    </row>
    <row r="157">
      <c r="A157" t="n">
        <v>156</v>
      </c>
      <c r="B157" t="inlineStr">
        <is>
          <t>Charge from Warehouse</t>
        </is>
      </c>
      <c r="C157" t="inlineStr">
        <is>
          <t>កំពង់ផែស្វយ័តក្រុងព្រះសីហនុ</t>
        </is>
      </c>
      <c r="D157" t="inlineStr">
        <is>
          <t>L001-100044638</t>
        </is>
      </c>
      <c r="E157" t="inlineStr">
        <is>
          <t>056975</t>
        </is>
      </c>
      <c r="F157" t="inlineStr">
        <is>
          <t>30-03-2024</t>
        </is>
      </c>
      <c r="G157" t="n">
        <v>1238</v>
      </c>
      <c r="I157">
        <f>G157</f>
        <v/>
      </c>
      <c r="K157">
        <f>I157-G157</f>
        <v/>
      </c>
      <c r="M157">
        <f>R157=E157</f>
        <v/>
      </c>
      <c r="N157">
        <f>AND(MONTH(F157)=MONTH(Q157), YEAR(F157)=YEAR(Q157))</f>
        <v/>
      </c>
      <c r="O157">
        <f>"L001-902303751"=S157</f>
        <v/>
      </c>
      <c r="P157">
        <f>G157-U157</f>
        <v/>
      </c>
      <c r="Q157" s="35" t="n">
        <v>45463</v>
      </c>
      <c r="R157" t="n">
        <v>131936</v>
      </c>
      <c r="S157" t="inlineStr">
        <is>
          <t>K005-100059945</t>
        </is>
      </c>
      <c r="T157" t="inlineStr">
        <is>
          <t>អ៊ែតវ៉ានស៍ គ្លរី ឡូជីស្ទីក (ខេមបូឌា) (អេ ជី អិល)</t>
        </is>
      </c>
      <c r="U157" t="n">
        <v>131936</v>
      </c>
      <c r="V157" t="n">
        <v>0</v>
      </c>
    </row>
    <row r="158">
      <c r="A158" t="n">
        <v>157</v>
      </c>
      <c r="B158" t="inlineStr">
        <is>
          <t>Customs Clearance Fee and Trucking Fee</t>
        </is>
      </c>
      <c r="C158" t="inlineStr">
        <is>
          <t>ត្រាយអ៊ែងហ្គល ឡូជីស្ទីក (ខេមបូឌា) ឯ.ក</t>
        </is>
      </c>
      <c r="D158" t="inlineStr">
        <is>
          <t>K010-902101743</t>
        </is>
      </c>
      <c r="E158" t="inlineStr">
        <is>
          <t>TAG-24-00178</t>
        </is>
      </c>
      <c r="F158" t="inlineStr">
        <is>
          <t>28-03-2024</t>
        </is>
      </c>
      <c r="G158" t="n">
        <v>32531</v>
      </c>
      <c r="I158">
        <f>G158</f>
        <v/>
      </c>
      <c r="K158">
        <f>I158-G158</f>
        <v/>
      </c>
      <c r="M158">
        <f>R158=E158</f>
        <v/>
      </c>
      <c r="N158">
        <f>AND(MONTH(F158)=MONTH(Q158), YEAR(F158)=YEAR(Q158))</f>
        <v/>
      </c>
      <c r="O158">
        <f>"L001-902303751"=S158</f>
        <v/>
      </c>
      <c r="P158">
        <f>G158-U158</f>
        <v/>
      </c>
      <c r="Q158" s="35" t="n">
        <v>45446</v>
      </c>
      <c r="R158" t="inlineStr"/>
      <c r="S158" t="inlineStr">
        <is>
          <t>K003-901635943</t>
        </is>
      </c>
      <c r="T158" t="inlineStr">
        <is>
          <t>អ៊ីឃ្យូឡាញ វើលវ៉ាយដ៍ ឡូជីស្ទីក</t>
        </is>
      </c>
      <c r="U158" t="n">
        <v>0</v>
      </c>
      <c r="V158" t="n">
        <v>0</v>
      </c>
    </row>
    <row r="159">
      <c r="A159" t="n">
        <v>158</v>
      </c>
      <c r="B159" t="inlineStr">
        <is>
          <t>Document Fee and Agency Fee</t>
        </is>
      </c>
      <c r="C159" t="inlineStr">
        <is>
          <t>អ៊ីហ្វាវ ឡូជីស</t>
        </is>
      </c>
      <c r="D159" t="inlineStr">
        <is>
          <t>K009-100186262</t>
        </is>
      </c>
      <c r="E159" t="inlineStr">
        <is>
          <t>EFAW2024-035</t>
        </is>
      </c>
      <c r="F159" t="inlineStr">
        <is>
          <t>20-03-2024</t>
        </is>
      </c>
      <c r="G159" t="n">
        <v>24288</v>
      </c>
      <c r="I159">
        <f>G159</f>
        <v/>
      </c>
      <c r="K159">
        <f>I159-G159</f>
        <v/>
      </c>
      <c r="M159">
        <f>R159=E159</f>
        <v/>
      </c>
      <c r="N159">
        <f>AND(MONTH(F159)=MONTH(Q159), YEAR(F159)=YEAR(Q159))</f>
        <v/>
      </c>
      <c r="O159">
        <f>"L001-902303751"=S159</f>
        <v/>
      </c>
      <c r="P159">
        <f>G159-U159</f>
        <v/>
      </c>
      <c r="Q159" s="35" t="n">
        <v>45447</v>
      </c>
      <c r="R159" t="n">
        <v>20520</v>
      </c>
      <c r="S159" t="inlineStr">
        <is>
          <t>K003-901635943</t>
        </is>
      </c>
      <c r="T159" t="inlineStr">
        <is>
          <t>អ៊ីឃ្យូឡាញ វើលវ៉ាយដ៍ ឡូជីស្ទីក</t>
        </is>
      </c>
      <c r="U159" t="n">
        <v>20520</v>
      </c>
      <c r="V159" t="n">
        <v>0</v>
      </c>
    </row>
    <row r="160">
      <c r="A160" t="n">
        <v>159</v>
      </c>
      <c r="B160" t="inlineStr">
        <is>
          <t>Cargo Terminal</t>
        </is>
      </c>
      <c r="C160" t="inlineStr">
        <is>
          <t>សូស៊ីយេតេ កុងសេស្យូនែរ ដឺ ឡាអេរ៉ូព័រ</t>
        </is>
      </c>
      <c r="D160" t="inlineStr">
        <is>
          <t>L001-100047300</t>
        </is>
      </c>
      <c r="E160" t="inlineStr">
        <is>
          <t>2400-019485</t>
        </is>
      </c>
      <c r="F160" t="inlineStr">
        <is>
          <t>21-03-2024</t>
        </is>
      </c>
      <c r="G160" t="n">
        <v>33592</v>
      </c>
      <c r="I160">
        <f>G160</f>
        <v/>
      </c>
      <c r="K160">
        <f>I160-G160</f>
        <v/>
      </c>
      <c r="M160">
        <f>R160=E160</f>
        <v/>
      </c>
      <c r="N160">
        <f>AND(MONTH(F160)=MONTH(Q160), YEAR(F160)=YEAR(Q160))</f>
        <v/>
      </c>
      <c r="O160">
        <f>"L001-902303751"=S160</f>
        <v/>
      </c>
      <c r="P160">
        <f>G160-U160</f>
        <v/>
      </c>
      <c r="Q160" s="35" t="n">
        <v>45460</v>
      </c>
      <c r="R160" t="n">
        <v>114152</v>
      </c>
      <c r="S160" t="inlineStr">
        <is>
          <t>K003-901635943</t>
        </is>
      </c>
      <c r="T160" t="inlineStr">
        <is>
          <t>អ៊ីឃ្យូឡាញ វើលវ៉ាយដ៍ ឡូជីស្ទីក</t>
        </is>
      </c>
      <c r="U160" t="n">
        <v>114152</v>
      </c>
      <c r="V160" t="n">
        <v>0</v>
      </c>
    </row>
    <row r="161">
      <c r="A161" t="n">
        <v>160</v>
      </c>
      <c r="B161" t="inlineStr">
        <is>
          <t>Customs Clearance Fee and Trucking Fee</t>
        </is>
      </c>
      <c r="C161" t="inlineStr">
        <is>
          <t>ត្រាយអ៊ែងហ្គល ឡូជីស្ទីក (ខេមបូឌា) ឯ.ក</t>
        </is>
      </c>
      <c r="D161" t="inlineStr">
        <is>
          <t>K010-902101743</t>
        </is>
      </c>
      <c r="E161" t="inlineStr">
        <is>
          <t>TAG-24-00161</t>
        </is>
      </c>
      <c r="F161" t="inlineStr">
        <is>
          <t>25-03-2024</t>
        </is>
      </c>
      <c r="G161" t="n">
        <v>28315</v>
      </c>
      <c r="I161">
        <f>G161</f>
        <v/>
      </c>
      <c r="K161">
        <f>I161-G161</f>
        <v/>
      </c>
      <c r="M161">
        <f>R161=E161</f>
        <v/>
      </c>
      <c r="N161">
        <f>AND(MONTH(F161)=MONTH(Q161), YEAR(F161)=YEAR(Q161))</f>
        <v/>
      </c>
      <c r="O161">
        <f>"L001-902303751"=S161</f>
        <v/>
      </c>
      <c r="P161">
        <f>G161-U161</f>
        <v/>
      </c>
      <c r="Q161" s="35" t="n">
        <v>45449</v>
      </c>
      <c r="R161" t="n">
        <v>188922</v>
      </c>
      <c r="S161" t="inlineStr">
        <is>
          <t>K009-901605081</t>
        </is>
      </c>
      <c r="T161" t="inlineStr">
        <is>
          <t>ទ្រូ ខមភែនៀន ឡូជីស្ទីក (ខេមបូឌា)</t>
        </is>
      </c>
      <c r="U161" t="n">
        <v>188922</v>
      </c>
      <c r="V161" t="n">
        <v>0</v>
      </c>
    </row>
    <row r="162">
      <c r="A162" t="n">
        <v>161</v>
      </c>
      <c r="B162" t="inlineStr">
        <is>
          <t>THC Charge, CFS Fee, Scanning Fee, CIC Fee, D/O Fee, DOC Fee, Agency Fee, Handling Fee and Ocean Freight</t>
        </is>
      </c>
      <c r="C162" t="inlineStr">
        <is>
          <t>ហ្វ្រេត ខនសិប (ខេមបូឌា)</t>
        </is>
      </c>
      <c r="D162" t="inlineStr">
        <is>
          <t>K009-901502482</t>
        </is>
      </c>
      <c r="E162" t="inlineStr">
        <is>
          <t>240256</t>
        </is>
      </c>
      <c r="F162" t="inlineStr">
        <is>
          <t>22-03-2024</t>
        </is>
      </c>
      <c r="G162" t="n">
        <v>90716</v>
      </c>
      <c r="I162">
        <f>G162</f>
        <v/>
      </c>
      <c r="K162">
        <f>I162-G162</f>
        <v/>
      </c>
      <c r="M162">
        <f>R162=E162</f>
        <v/>
      </c>
      <c r="N162">
        <f>AND(MONTH(F162)=MONTH(Q162), YEAR(F162)=YEAR(Q162))</f>
        <v/>
      </c>
      <c r="O162">
        <f>"L001-902303751"=S162</f>
        <v/>
      </c>
      <c r="P162">
        <f>G162-U162</f>
        <v/>
      </c>
      <c r="Q162" s="35" t="n">
        <v>45453</v>
      </c>
      <c r="R162" t="inlineStr"/>
      <c r="S162" t="inlineStr">
        <is>
          <t>K003-901635943</t>
        </is>
      </c>
      <c r="T162" t="inlineStr">
        <is>
          <t>អ៊ីឃ្យូឡាញ វើលវ៉ាយដ៍ ឡូជីស្ទីក</t>
        </is>
      </c>
      <c r="U162" t="n">
        <v>0</v>
      </c>
      <c r="V162" t="n">
        <v>0</v>
      </c>
    </row>
    <row r="163">
      <c r="A163" t="n">
        <v>162</v>
      </c>
      <c r="B163" t="inlineStr">
        <is>
          <t>Charge from Warehouse</t>
        </is>
      </c>
      <c r="C163" t="inlineStr">
        <is>
          <t>កំពង់ផែស្វយ័តក្រុងព្រះសីហនុ</t>
        </is>
      </c>
      <c r="D163" t="inlineStr">
        <is>
          <t>L001-100044638</t>
        </is>
      </c>
      <c r="E163" t="inlineStr">
        <is>
          <t>056962</t>
        </is>
      </c>
      <c r="F163" t="inlineStr">
        <is>
          <t>30-03-2024</t>
        </is>
      </c>
      <c r="G163" t="n">
        <v>1238</v>
      </c>
      <c r="I163">
        <f>G163</f>
        <v/>
      </c>
      <c r="K163">
        <f>I163-G163</f>
        <v/>
      </c>
      <c r="M163">
        <f>R163=E163</f>
        <v/>
      </c>
      <c r="N163">
        <f>AND(MONTH(F163)=MONTH(Q163), YEAR(F163)=YEAR(Q163))</f>
        <v/>
      </c>
      <c r="O163">
        <f>"L001-902303751"=S163</f>
        <v/>
      </c>
      <c r="P163">
        <f>G163-U163</f>
        <v/>
      </c>
      <c r="Q163" s="35" t="n">
        <v>45446</v>
      </c>
      <c r="R163" t="n">
        <v>84849</v>
      </c>
      <c r="S163" t="inlineStr">
        <is>
          <t>L001-104015799</t>
        </is>
      </c>
      <c r="T163" t="inlineStr">
        <is>
          <t>យូសេន ឡូជីស្ទីក (ខេមបូឌា) ខូ អិលធីឌី</t>
        </is>
      </c>
      <c r="U163" t="n">
        <v>84849</v>
      </c>
      <c r="V163" t="n">
        <v>0</v>
      </c>
    </row>
    <row r="164">
      <c r="A164" t="n">
        <v>163</v>
      </c>
      <c r="B164" t="inlineStr">
        <is>
          <t>Customs Clearance Fee and Trucking Fee</t>
        </is>
      </c>
      <c r="C164" t="inlineStr">
        <is>
          <t>ត្រាយអ៊ែងហ្គល ឡូជីស្ទីក (ខេមបូឌា) ឯ.ក</t>
        </is>
      </c>
      <c r="D164" t="inlineStr">
        <is>
          <t>K010-902101743</t>
        </is>
      </c>
      <c r="E164" t="inlineStr">
        <is>
          <t>TAG-24-00175</t>
        </is>
      </c>
      <c r="F164" t="inlineStr">
        <is>
          <t>28-03-2024</t>
        </is>
      </c>
      <c r="G164" t="n">
        <v>32336</v>
      </c>
      <c r="I164">
        <f>G164</f>
        <v/>
      </c>
      <c r="K164">
        <f>I164-G164</f>
        <v/>
      </c>
      <c r="M164">
        <f>R164=E164</f>
        <v/>
      </c>
      <c r="N164">
        <f>AND(MONTH(F164)=MONTH(Q164), YEAR(F164)=YEAR(Q164))</f>
        <v/>
      </c>
      <c r="O164">
        <f>"L001-902303751"=S164</f>
        <v/>
      </c>
      <c r="P164">
        <f>G164-U164</f>
        <v/>
      </c>
      <c r="Q164" s="35" t="n">
        <v>45453</v>
      </c>
      <c r="R164" t="n">
        <v>85160</v>
      </c>
      <c r="S164" t="inlineStr">
        <is>
          <t>L001-104015799</t>
        </is>
      </c>
      <c r="T164" t="inlineStr">
        <is>
          <t>យូសេន ឡូជីស្ទីក (ខេមបូឌា) ខូ អិលធីឌី</t>
        </is>
      </c>
      <c r="U164" t="n">
        <v>85160</v>
      </c>
      <c r="V164" t="n">
        <v>0</v>
      </c>
    </row>
    <row r="165">
      <c r="A165" t="n">
        <v>164</v>
      </c>
      <c r="B165" t="inlineStr">
        <is>
          <t>Terminal Handling Charge, Container Freight Station, Scanning Fee, Delivery Order Fee, Document Fee, Agency Fee, Co-Loader Fee and Container Imbalance Charge</t>
        </is>
      </c>
      <c r="C165" t="inlineStr">
        <is>
          <t>ផេនដា គ្លូប៊ល ឡូជីស្ទីក (ខេមបូឌា)</t>
        </is>
      </c>
      <c r="D165" t="inlineStr">
        <is>
          <t>K005-901501155</t>
        </is>
      </c>
      <c r="E165" t="inlineStr">
        <is>
          <t>PD240096</t>
        </is>
      </c>
      <c r="F165" t="inlineStr">
        <is>
          <t>25-03-2024</t>
        </is>
      </c>
      <c r="G165" t="n">
        <v>194862</v>
      </c>
      <c r="I165">
        <f>G165</f>
        <v/>
      </c>
      <c r="K165">
        <f>I165-G165</f>
        <v/>
      </c>
      <c r="M165">
        <f>R165=E165</f>
        <v/>
      </c>
      <c r="N165">
        <f>AND(MONTH(F165)=MONTH(Q165), YEAR(F165)=YEAR(Q165))</f>
        <v/>
      </c>
      <c r="O165">
        <f>"L001-902303751"=S165</f>
        <v/>
      </c>
      <c r="P165">
        <f>G165-U165</f>
        <v/>
      </c>
      <c r="Q165" s="35" t="n">
        <v>45453</v>
      </c>
      <c r="R165" t="n">
        <v>149750</v>
      </c>
      <c r="S165" t="inlineStr">
        <is>
          <t>L001-104015799</t>
        </is>
      </c>
      <c r="T165" t="inlineStr">
        <is>
          <t>យូសេន ឡូជីស្ទីក (ខេមបូឌា) ខូ អិលធីឌី</t>
        </is>
      </c>
      <c r="U165" t="n">
        <v>149750</v>
      </c>
      <c r="V165" t="n">
        <v>0</v>
      </c>
    </row>
    <row r="166">
      <c r="A166" t="n">
        <v>165</v>
      </c>
      <c r="B166" t="inlineStr">
        <is>
          <t>Warehouse Fee and Trasit Fee</t>
        </is>
      </c>
      <c r="C166" t="inlineStr">
        <is>
          <t>អាយធីអាយ អ៊ិនធើណេសិនណល ត្រេនស័្ពរថេសិន (ខេមបូឌា) ឯ.ក</t>
        </is>
      </c>
      <c r="D166" t="inlineStr">
        <is>
          <t>K002-901800477</t>
        </is>
      </c>
      <c r="E166" t="inlineStr">
        <is>
          <t>CAM241373</t>
        </is>
      </c>
      <c r="F166" t="inlineStr">
        <is>
          <t>29-03-2024</t>
        </is>
      </c>
      <c r="G166" t="n">
        <v>48782</v>
      </c>
      <c r="I166">
        <f>G166</f>
        <v/>
      </c>
      <c r="K166">
        <f>I166-G166</f>
        <v/>
      </c>
      <c r="M166">
        <f>R166=E166</f>
        <v/>
      </c>
      <c r="N166">
        <f>AND(MONTH(F166)=MONTH(Q166), YEAR(F166)=YEAR(Q166))</f>
        <v/>
      </c>
      <c r="O166">
        <f>"L001-902303751"=S166</f>
        <v/>
      </c>
      <c r="P166">
        <f>G166-U166</f>
        <v/>
      </c>
      <c r="Q166" s="35" t="n">
        <v>45468</v>
      </c>
      <c r="R166" t="n">
        <v>189290</v>
      </c>
      <c r="S166" t="inlineStr">
        <is>
          <t>K009-901605081</t>
        </is>
      </c>
      <c r="T166" t="inlineStr">
        <is>
          <t>ទ្រូ ខមភែនៀន ឡូជីស្ទីក (ខេមបូឌា)</t>
        </is>
      </c>
      <c r="U166" t="n">
        <v>189290</v>
      </c>
      <c r="V166" t="n">
        <v>0</v>
      </c>
    </row>
    <row r="167">
      <c r="A167" t="n">
        <v>166</v>
      </c>
      <c r="B167" t="inlineStr">
        <is>
          <t>Customs Clearance Fee and Trucking Fee</t>
        </is>
      </c>
      <c r="C167" t="inlineStr">
        <is>
          <t>ត្រាយអ៊ែងហ្គល ឡូជីស្ទីក (ខេមបូឌា) ឯ.ក</t>
        </is>
      </c>
      <c r="D167" t="inlineStr">
        <is>
          <t>K010-902101743</t>
        </is>
      </c>
      <c r="E167" t="inlineStr">
        <is>
          <t>TAG-24-00181</t>
        </is>
      </c>
      <c r="F167" t="inlineStr">
        <is>
          <t>29-03-2024</t>
        </is>
      </c>
      <c r="G167" t="n">
        <v>44451</v>
      </c>
      <c r="I167">
        <f>G167</f>
        <v/>
      </c>
      <c r="K167">
        <f>I167-G167</f>
        <v/>
      </c>
      <c r="M167">
        <f>R167=E167</f>
        <v/>
      </c>
      <c r="N167">
        <f>AND(MONTH(F167)=MONTH(Q167), YEAR(F167)=YEAR(Q167))</f>
        <v/>
      </c>
      <c r="O167">
        <f>"L001-902303751"=S167</f>
        <v/>
      </c>
      <c r="P167">
        <f>G167-U167</f>
        <v/>
      </c>
      <c r="Q167" s="35" t="n">
        <v>45451</v>
      </c>
      <c r="R167" t="n">
        <v>139774</v>
      </c>
      <c r="S167" t="inlineStr">
        <is>
          <t>L001-107032791</t>
        </is>
      </c>
      <c r="T167" t="inlineStr">
        <is>
          <t>នីបផន អិចប្រេស (ខេមបូឌា) ខូ អិលធីឌី</t>
        </is>
      </c>
      <c r="U167" t="n">
        <v>139774</v>
      </c>
      <c r="V167" t="n">
        <v>0</v>
      </c>
    </row>
    <row r="168">
      <c r="A168" t="n">
        <v>167</v>
      </c>
      <c r="B168" t="inlineStr">
        <is>
          <t>Customs Clearance Fee and Trucking Fee</t>
        </is>
      </c>
      <c r="C168" t="inlineStr">
        <is>
          <t>ត្រាយអ៊ែងហ្គល ឡូជីស្ទីក (ខេមបូឌា) ឯ.ក</t>
        </is>
      </c>
      <c r="D168" t="inlineStr">
        <is>
          <t>K010-902101743</t>
        </is>
      </c>
      <c r="E168" t="inlineStr">
        <is>
          <t>TAG-24-00135</t>
        </is>
      </c>
      <c r="F168" t="inlineStr">
        <is>
          <t>22-03-2024</t>
        </is>
      </c>
      <c r="G168" t="n">
        <v>8096</v>
      </c>
      <c r="I168">
        <f>G168</f>
        <v/>
      </c>
      <c r="K168">
        <f>I168-G168</f>
        <v/>
      </c>
      <c r="M168">
        <f>R168=E168</f>
        <v/>
      </c>
      <c r="N168">
        <f>AND(MONTH(F168)=MONTH(Q168), YEAR(F168)=YEAR(Q168))</f>
        <v/>
      </c>
      <c r="O168">
        <f>"L001-902303751"=S168</f>
        <v/>
      </c>
      <c r="P168">
        <f>G168-U168</f>
        <v/>
      </c>
      <c r="Q168" s="35" t="n">
        <v>45449</v>
      </c>
      <c r="R168" t="n">
        <v>2238315</v>
      </c>
      <c r="S168" t="inlineStr">
        <is>
          <t>K009-901605081</t>
        </is>
      </c>
      <c r="T168" t="inlineStr">
        <is>
          <t>ទ្រូ ខមភែនៀន ឡូជីស្ទីក (ខេមបូឌា)</t>
        </is>
      </c>
      <c r="U168" t="n">
        <v>2238315</v>
      </c>
      <c r="V168" t="n">
        <v>0</v>
      </c>
    </row>
    <row r="169">
      <c r="A169" t="n">
        <v>168</v>
      </c>
      <c r="B169" t="inlineStr">
        <is>
          <t>Terminal Handling Charge, Cocumentation Fee, Agency Fee. Container Protect Essential and Equipment Positioning Service</t>
        </is>
      </c>
      <c r="C169" t="inlineStr">
        <is>
          <t>ផេនដា គ្លូប៊ល ឡូជីស្ទីក (ខេមបូឌា)</t>
        </is>
      </c>
      <c r="D169" t="inlineStr">
        <is>
          <t>K005-901501155</t>
        </is>
      </c>
      <c r="E169" t="inlineStr">
        <is>
          <t>PD240092</t>
        </is>
      </c>
      <c r="F169" t="inlineStr">
        <is>
          <t>25-03-2024</t>
        </is>
      </c>
      <c r="G169" t="n">
        <v>171913</v>
      </c>
      <c r="I169">
        <f>G169</f>
        <v/>
      </c>
      <c r="K169">
        <f>I169-G169</f>
        <v/>
      </c>
      <c r="M169">
        <f>R169=E169</f>
        <v/>
      </c>
      <c r="N169">
        <f>AND(MONTH(F169)=MONTH(Q169), YEAR(F169)=YEAR(Q169))</f>
        <v/>
      </c>
      <c r="O169">
        <f>"L001-902303751"=S169</f>
        <v/>
      </c>
      <c r="P169">
        <f>G169-U169</f>
        <v/>
      </c>
      <c r="Q169" s="35" t="n">
        <v>45468</v>
      </c>
      <c r="R169" t="n">
        <v>2242675</v>
      </c>
      <c r="S169" t="inlineStr">
        <is>
          <t>K009-901605081</t>
        </is>
      </c>
      <c r="T169" t="inlineStr">
        <is>
          <t>ទ្រូ ខមភែនៀន ឡូជីស្ទីក (ខេមបូឌា)</t>
        </is>
      </c>
      <c r="U169" t="n">
        <v>2242675</v>
      </c>
      <c r="V169" t="n">
        <v>0</v>
      </c>
    </row>
    <row r="170">
      <c r="A170" t="n">
        <v>169</v>
      </c>
      <c r="B170" t="inlineStr">
        <is>
          <t>Lift-On &amp; Lift-Off</t>
        </is>
      </c>
      <c r="C170" t="inlineStr">
        <is>
          <t>កំពង់ផែស្វយ័តក្រុងព្រះសីហនុ</t>
        </is>
      </c>
      <c r="D170" t="inlineStr">
        <is>
          <t>L001-100044638</t>
        </is>
      </c>
      <c r="E170" t="inlineStr">
        <is>
          <t>053379</t>
        </is>
      </c>
      <c r="F170" t="inlineStr">
        <is>
          <t>26-03-2024</t>
        </is>
      </c>
      <c r="G170" t="n">
        <v>23039</v>
      </c>
      <c r="I170">
        <f>G170</f>
        <v/>
      </c>
      <c r="K170">
        <f>I170-G170</f>
        <v/>
      </c>
      <c r="M170">
        <f>R170=E170</f>
        <v/>
      </c>
      <c r="N170">
        <f>AND(MONTH(F170)=MONTH(Q170), YEAR(F170)=YEAR(Q170))</f>
        <v/>
      </c>
      <c r="O170">
        <f>"L001-902303751"=S170</f>
        <v/>
      </c>
      <c r="P170">
        <f>G170-U170</f>
        <v/>
      </c>
      <c r="Q170" s="35" t="n">
        <v>45462</v>
      </c>
      <c r="R170" t="n">
        <v>189520</v>
      </c>
      <c r="S170" t="inlineStr">
        <is>
          <t>K009-901605081</t>
        </is>
      </c>
      <c r="T170" t="inlineStr">
        <is>
          <t>ទ្រូ ខមភែនៀន ឡូជីស្ទីក (ខេមបូឌា)</t>
        </is>
      </c>
      <c r="U170" t="n">
        <v>189520</v>
      </c>
      <c r="V170" t="n">
        <v>0</v>
      </c>
    </row>
    <row r="171">
      <c r="A171" t="n">
        <v>170</v>
      </c>
      <c r="B171" t="inlineStr">
        <is>
          <t>Customs Clearance Fee and Trucking Fee</t>
        </is>
      </c>
      <c r="C171" t="inlineStr">
        <is>
          <t>ត្រាយអ៊ែងហ្គល ឡូជីស្ទីក (ខេមបូឌា) ឯ.ក</t>
        </is>
      </c>
      <c r="D171" t="inlineStr">
        <is>
          <t>K010-902101743</t>
        </is>
      </c>
      <c r="E171" t="inlineStr">
        <is>
          <t>TAG-24-00169</t>
        </is>
      </c>
      <c r="F171" t="inlineStr">
        <is>
          <t>26-03-2024</t>
        </is>
      </c>
      <c r="G171" t="n">
        <v>68714</v>
      </c>
      <c r="I171">
        <f>G171</f>
        <v/>
      </c>
      <c r="K171">
        <f>I171-G171</f>
        <v/>
      </c>
      <c r="M171">
        <f>R171=E171</f>
        <v/>
      </c>
      <c r="N171">
        <f>AND(MONTH(F171)=MONTH(Q171), YEAR(F171)=YEAR(Q171))</f>
        <v/>
      </c>
      <c r="O171">
        <f>"L001-902303751"=S171</f>
        <v/>
      </c>
      <c r="P171">
        <f>G171-U171</f>
        <v/>
      </c>
      <c r="Q171" s="35" t="n">
        <v>45453</v>
      </c>
      <c r="R171" t="n">
        <v>113958</v>
      </c>
      <c r="S171" t="inlineStr">
        <is>
          <t>K003-901635943</t>
        </is>
      </c>
      <c r="T171" t="inlineStr">
        <is>
          <t>អ៊ីឃ្យូឡាញ វើលវ៉ាយដ៍ ឡូជីស្ទីក</t>
        </is>
      </c>
      <c r="U171" t="n">
        <v>113958</v>
      </c>
      <c r="V171" t="n">
        <v>0</v>
      </c>
    </row>
    <row r="172">
      <c r="A172" t="n">
        <v>171</v>
      </c>
      <c r="B172" t="inlineStr">
        <is>
          <t>Customs Clearance Fee and Trucking Fee</t>
        </is>
      </c>
      <c r="C172" t="inlineStr">
        <is>
          <t>ត្រាយអ៊ែងហ្គល ឡូជីស្ទីក (ខេមបូឌា) ឯ.ក</t>
        </is>
      </c>
      <c r="D172" t="inlineStr">
        <is>
          <t>K010-902101743</t>
        </is>
      </c>
      <c r="E172" t="inlineStr">
        <is>
          <t>TAG-24-00153</t>
        </is>
      </c>
      <c r="F172" t="inlineStr">
        <is>
          <t>25-03-2024</t>
        </is>
      </c>
      <c r="G172" t="n">
        <v>28315</v>
      </c>
      <c r="I172">
        <f>G172</f>
        <v/>
      </c>
      <c r="K172">
        <f>I172-G172</f>
        <v/>
      </c>
      <c r="M172">
        <f>R172=E172</f>
        <v/>
      </c>
      <c r="N172">
        <f>AND(MONTH(F172)=MONTH(Q172), YEAR(F172)=YEAR(Q172))</f>
        <v/>
      </c>
      <c r="O172">
        <f>"L001-902303751"=S172</f>
        <v/>
      </c>
      <c r="P172">
        <f>G172-U172</f>
        <v/>
      </c>
      <c r="Q172" s="35" t="n">
        <v>45453</v>
      </c>
      <c r="R172" t="n">
        <v>85160</v>
      </c>
      <c r="S172" t="inlineStr">
        <is>
          <t>K009-901605081</t>
        </is>
      </c>
      <c r="T172" t="inlineStr">
        <is>
          <t>ទ្រូ ខមភែនៀន ឡូជីស្ទីក (ខេមបូឌា)</t>
        </is>
      </c>
      <c r="U172" t="n">
        <v>85160</v>
      </c>
      <c r="V172" t="n">
        <v>0</v>
      </c>
    </row>
    <row r="173">
      <c r="A173" t="n">
        <v>172</v>
      </c>
      <c r="B173" t="inlineStr">
        <is>
          <t>Terminal Handling Charge, EMF, 3 Party Trucking, Container Imbalance Charge, D/O Fee, Document Fee and Handling Charge</t>
        </is>
      </c>
      <c r="C173" t="inlineStr">
        <is>
          <t>ខេអិលអិន ហ្វ្រេត (ខេមបូឌា) ឯ.ក</t>
        </is>
      </c>
      <c r="D173" t="inlineStr">
        <is>
          <t>L001-100074669</t>
        </is>
      </c>
      <c r="E173" t="inlineStr">
        <is>
          <t>IVO04538</t>
        </is>
      </c>
      <c r="F173" t="inlineStr">
        <is>
          <t>25-03-2024</t>
        </is>
      </c>
      <c r="G173" t="n">
        <v>99220</v>
      </c>
      <c r="I173">
        <f>G173</f>
        <v/>
      </c>
      <c r="K173">
        <f>I173-G173</f>
        <v/>
      </c>
      <c r="M173">
        <f>R173=E173</f>
        <v/>
      </c>
      <c r="N173">
        <f>AND(MONTH(F173)=MONTH(Q173), YEAR(F173)=YEAR(Q173))</f>
        <v/>
      </c>
      <c r="O173">
        <f>"L001-902303751"=S173</f>
        <v/>
      </c>
      <c r="P173">
        <f>G173-U173</f>
        <v/>
      </c>
      <c r="Q173" s="35" t="n">
        <v>45446</v>
      </c>
      <c r="R173" t="n">
        <v>113542</v>
      </c>
      <c r="S173" t="inlineStr">
        <is>
          <t>K003-901635943</t>
        </is>
      </c>
      <c r="T173" t="inlineStr">
        <is>
          <t>អ៊ីឃ្យូឡាញ វើលវ៉ាយដ៍ ឡូជីស្ទីក</t>
        </is>
      </c>
      <c r="U173" t="n">
        <v>113542</v>
      </c>
      <c r="V173" t="n">
        <v>0</v>
      </c>
    </row>
    <row r="174">
      <c r="A174" t="n">
        <v>173</v>
      </c>
      <c r="B174" t="inlineStr">
        <is>
          <t>Lift-On &amp; Lift-Off</t>
        </is>
      </c>
      <c r="C174" t="inlineStr">
        <is>
          <t>កំពង់ផែស្វយ័តក្រុងព្រះសីហនុ</t>
        </is>
      </c>
      <c r="D174" t="inlineStr">
        <is>
          <t>L001-100044638</t>
        </is>
      </c>
      <c r="E174" t="inlineStr">
        <is>
          <t>053377</t>
        </is>
      </c>
      <c r="F174" t="inlineStr">
        <is>
          <t>26-03-2024</t>
        </is>
      </c>
      <c r="G174" t="n">
        <v>23039</v>
      </c>
      <c r="I174">
        <f>G174</f>
        <v/>
      </c>
      <c r="K174">
        <f>I174-G174</f>
        <v/>
      </c>
      <c r="M174">
        <f>R174=E174</f>
        <v/>
      </c>
      <c r="N174">
        <f>AND(MONTH(F174)=MONTH(Q174), YEAR(F174)=YEAR(Q174))</f>
        <v/>
      </c>
      <c r="O174">
        <f>"L001-902303751"=S174</f>
        <v/>
      </c>
      <c r="P174">
        <f>G174-U174</f>
        <v/>
      </c>
      <c r="Q174" s="35" t="n">
        <v>45462</v>
      </c>
      <c r="R174" t="n">
        <v>2245400</v>
      </c>
      <c r="S174" t="inlineStr">
        <is>
          <t>K009-901605081</t>
        </is>
      </c>
      <c r="T174" t="inlineStr">
        <is>
          <t>ទ្រូ ខមភែនៀន ឡូជីស្ទីក (ខេមបូឌា)</t>
        </is>
      </c>
      <c r="U174" t="n">
        <v>2245400</v>
      </c>
      <c r="V174" t="n">
        <v>0</v>
      </c>
    </row>
    <row r="175">
      <c r="A175" t="n">
        <v>174</v>
      </c>
      <c r="B175" t="inlineStr">
        <is>
          <t>Customs Declaration, CPF and Transport Doc Fee</t>
        </is>
      </c>
      <c r="C175" t="inlineStr">
        <is>
          <t>ត្រាយអ៊ែងហ្គល ឡូជីស្ទីក (ខេមបូឌា) ឯ.ក</t>
        </is>
      </c>
      <c r="D175" t="inlineStr">
        <is>
          <t>K010-902101743</t>
        </is>
      </c>
      <c r="E175" t="inlineStr">
        <is>
          <t>TAG-24-00167</t>
        </is>
      </c>
      <c r="F175" t="inlineStr">
        <is>
          <t>26-03-2024</t>
        </is>
      </c>
      <c r="G175" t="n">
        <v>8084</v>
      </c>
      <c r="I175">
        <f>G175</f>
        <v/>
      </c>
      <c r="K175">
        <f>I175-G175</f>
        <v/>
      </c>
      <c r="M175">
        <f>R175=E175</f>
        <v/>
      </c>
      <c r="N175">
        <f>AND(MONTH(F175)=MONTH(Q175), YEAR(F175)=YEAR(Q175))</f>
        <v/>
      </c>
      <c r="O175">
        <f>"L001-902303751"=S175</f>
        <v/>
      </c>
      <c r="P175">
        <f>G175-U175</f>
        <v/>
      </c>
      <c r="Q175" s="35" t="n">
        <v>45444</v>
      </c>
      <c r="R175" t="n">
        <v>2230685</v>
      </c>
      <c r="S175" t="inlineStr">
        <is>
          <t>K009-901605081</t>
        </is>
      </c>
      <c r="T175" t="inlineStr">
        <is>
          <t>ទ្រូ ខមភែនៀន ឡូជីស្ទីក (ខេមបូឌា)</t>
        </is>
      </c>
      <c r="U175" t="n">
        <v>2230685</v>
      </c>
      <c r="V175" t="n">
        <v>0</v>
      </c>
    </row>
    <row r="176">
      <c r="A176" t="n">
        <v>175</v>
      </c>
      <c r="B176" t="inlineStr">
        <is>
          <t>Import Shipment Expense</t>
        </is>
      </c>
      <c r="C176" t="inlineStr">
        <is>
          <t>អូរៀនថល ឡូជីស្ទីក &amp; ឌីស្ទ្រីប៊្យូសិន (ខេមបូឌា)</t>
        </is>
      </c>
      <c r="D176" t="inlineStr">
        <is>
          <t>L001-103007369</t>
        </is>
      </c>
      <c r="E176" t="inlineStr">
        <is>
          <t>24-2502</t>
        </is>
      </c>
      <c r="F176" t="inlineStr">
        <is>
          <t>22-03-2024</t>
        </is>
      </c>
      <c r="G176" t="n">
        <v>52963</v>
      </c>
      <c r="I176">
        <f>G176</f>
        <v/>
      </c>
      <c r="K176">
        <f>I176-G176</f>
        <v/>
      </c>
      <c r="M176">
        <f>R176=E176</f>
        <v/>
      </c>
      <c r="N176">
        <f>AND(MONTH(F176)=MONTH(Q176), YEAR(F176)=YEAR(Q176))</f>
        <v/>
      </c>
      <c r="O176">
        <f>"L001-902303751"=S176</f>
        <v/>
      </c>
      <c r="P176">
        <f>G176-U176</f>
        <v/>
      </c>
      <c r="Q176" s="35" t="n">
        <v>45468</v>
      </c>
      <c r="R176" t="n">
        <v>189290</v>
      </c>
      <c r="S176" t="inlineStr">
        <is>
          <t>K009-901605081</t>
        </is>
      </c>
      <c r="T176" t="inlineStr">
        <is>
          <t>ទ្រូ ខមភែនៀន ឡូជីស្ទីក (ខេមបូឌា)</t>
        </is>
      </c>
      <c r="U176" t="n">
        <v>189290</v>
      </c>
      <c r="V176" t="n">
        <v>0</v>
      </c>
    </row>
    <row r="177">
      <c r="A177" t="n">
        <v>176</v>
      </c>
      <c r="B177" t="inlineStr">
        <is>
          <t>Charge from warehouse and Storage Charges</t>
        </is>
      </c>
      <c r="C177" t="inlineStr">
        <is>
          <t>កំពង់ផែស្វយ័តក្រុងព្រះសីហនុ</t>
        </is>
      </c>
      <c r="D177" t="inlineStr">
        <is>
          <t>L001-100044638</t>
        </is>
      </c>
      <c r="E177" t="inlineStr">
        <is>
          <t>053740</t>
        </is>
      </c>
      <c r="F177" t="inlineStr">
        <is>
          <t>27-03-2024</t>
        </is>
      </c>
      <c r="G177" t="n">
        <v>1022</v>
      </c>
      <c r="I177">
        <f>G177</f>
        <v/>
      </c>
      <c r="K177">
        <f>I177-G177</f>
        <v/>
      </c>
      <c r="M177">
        <f>R177=E177</f>
        <v/>
      </c>
      <c r="N177">
        <f>AND(MONTH(F177)=MONTH(Q177), YEAR(F177)=YEAR(Q177))</f>
        <v/>
      </c>
      <c r="O177">
        <f>"L001-902303751"=S177</f>
        <v/>
      </c>
      <c r="P177">
        <f>G177-U177</f>
        <v/>
      </c>
      <c r="Q177" s="35" t="n">
        <v>45462</v>
      </c>
      <c r="R177" t="n">
        <v>189520</v>
      </c>
      <c r="S177" t="inlineStr">
        <is>
          <t>K009-901605081</t>
        </is>
      </c>
      <c r="T177" t="inlineStr">
        <is>
          <t>ទ្រូ ខមភែនៀន ឡូជីស្ទីក (ខេមបូឌា)</t>
        </is>
      </c>
      <c r="U177" t="n">
        <v>189520</v>
      </c>
      <c r="V177" t="n">
        <v>0</v>
      </c>
    </row>
    <row r="178">
      <c r="A178" t="n">
        <v>177</v>
      </c>
      <c r="B178" t="inlineStr">
        <is>
          <t>Customs Clearance Fee and Trucking Fee</t>
        </is>
      </c>
      <c r="C178" t="inlineStr">
        <is>
          <t>ត្រាយអ៊ែងហ្គល ឡូជីស្ទីក (ខេមបូឌា) ឯ.ក</t>
        </is>
      </c>
      <c r="D178" t="inlineStr">
        <is>
          <t>K010-902101743</t>
        </is>
      </c>
      <c r="E178" t="inlineStr">
        <is>
          <t>TAG-24-00143</t>
        </is>
      </c>
      <c r="F178" t="inlineStr">
        <is>
          <t>25-03-2024</t>
        </is>
      </c>
      <c r="G178" t="n">
        <v>8090</v>
      </c>
      <c r="I178">
        <f>G178</f>
        <v/>
      </c>
      <c r="K178">
        <f>I178-G178</f>
        <v/>
      </c>
      <c r="M178">
        <f>R178=E178</f>
        <v/>
      </c>
      <c r="N178">
        <f>AND(MONTH(F178)=MONTH(Q178), YEAR(F178)=YEAR(Q178))</f>
        <v/>
      </c>
      <c r="O178">
        <f>"L001-902303751"=S178</f>
        <v/>
      </c>
      <c r="P178">
        <f>G178-U178</f>
        <v/>
      </c>
      <c r="Q178" s="35" t="n">
        <v>45444</v>
      </c>
      <c r="R178" t="n">
        <v>188278</v>
      </c>
      <c r="S178" t="inlineStr">
        <is>
          <t>K009-901605081</t>
        </is>
      </c>
      <c r="T178" t="inlineStr">
        <is>
          <t>ទ្រូ ខមភែនៀន ឡូជីស្ទីក (ខេមបូឌា)</t>
        </is>
      </c>
      <c r="U178" t="n">
        <v>188278</v>
      </c>
      <c r="V178" t="n">
        <v>0</v>
      </c>
    </row>
    <row r="179">
      <c r="A179" t="n">
        <v>178</v>
      </c>
      <c r="B179" t="inlineStr">
        <is>
          <t>Lift-On &amp; Liff-Off</t>
        </is>
      </c>
      <c r="C179" t="inlineStr">
        <is>
          <t>កំពង់ផែស្វយ័តក្រុងព្រះសីហនុ</t>
        </is>
      </c>
      <c r="D179" t="inlineStr">
        <is>
          <t>L001-100044638</t>
        </is>
      </c>
      <c r="E179" t="inlineStr">
        <is>
          <t>051591</t>
        </is>
      </c>
      <c r="F179" t="inlineStr">
        <is>
          <t>22-03-2024</t>
        </is>
      </c>
      <c r="G179" t="n">
        <v>23074</v>
      </c>
      <c r="I179">
        <f>G179</f>
        <v/>
      </c>
      <c r="K179">
        <f>I179-G179</f>
        <v/>
      </c>
      <c r="M179">
        <f>R179=E179</f>
        <v/>
      </c>
      <c r="N179">
        <f>AND(MONTH(F179)=MONTH(Q179), YEAR(F179)=YEAR(Q179))</f>
        <v/>
      </c>
      <c r="O179">
        <f>"L001-902303751"=S179</f>
        <v/>
      </c>
      <c r="P179">
        <f>G179-U179</f>
        <v/>
      </c>
      <c r="Q179" s="35" t="n">
        <v>45462</v>
      </c>
      <c r="R179" t="n">
        <v>2245400</v>
      </c>
      <c r="S179" t="inlineStr">
        <is>
          <t>K009-901605081</t>
        </is>
      </c>
      <c r="T179" t="inlineStr">
        <is>
          <t>ទ្រូ ខមភែនៀន ឡូជីស្ទីក (ខេមបូឌា)</t>
        </is>
      </c>
      <c r="U179" t="n">
        <v>2245400</v>
      </c>
      <c r="V179" t="n">
        <v>0</v>
      </c>
    </row>
    <row r="180">
      <c r="A180" t="n">
        <v>179</v>
      </c>
      <c r="B180" t="inlineStr">
        <is>
          <t>Charge from warehouse</t>
        </is>
      </c>
      <c r="C180" t="inlineStr">
        <is>
          <t>កំពង់ផែស្វយ័តក្រុងព្រះសីហនុ</t>
        </is>
      </c>
      <c r="D180" t="inlineStr">
        <is>
          <t>L001-100044638</t>
        </is>
      </c>
      <c r="E180" t="inlineStr">
        <is>
          <t>040985</t>
        </is>
      </c>
      <c r="F180" t="inlineStr">
        <is>
          <t>05-03-2024</t>
        </is>
      </c>
      <c r="G180" t="n">
        <v>621</v>
      </c>
      <c r="I180">
        <f>G180</f>
        <v/>
      </c>
      <c r="K180">
        <f>I180-G180</f>
        <v/>
      </c>
      <c r="M180">
        <f>R180=E180</f>
        <v/>
      </c>
      <c r="N180">
        <f>AND(MONTH(F180)=MONTH(Q180), YEAR(F180)=YEAR(Q180))</f>
        <v/>
      </c>
      <c r="O180">
        <f>"L001-902303751"=S180</f>
        <v/>
      </c>
      <c r="P180">
        <f>G180-U180</f>
        <v/>
      </c>
      <c r="Q180" s="35" t="n">
        <v>45460</v>
      </c>
      <c r="R180" t="inlineStr"/>
      <c r="S180" t="inlineStr">
        <is>
          <t>K003-901635943</t>
        </is>
      </c>
      <c r="T180" t="inlineStr">
        <is>
          <t>អ៊ីឃ្យូឡាញ វើលវ៉ាយដ៍ ឡូជីស្ទីក</t>
        </is>
      </c>
      <c r="U180" t="n">
        <v>0</v>
      </c>
      <c r="V180" t="n">
        <v>0</v>
      </c>
    </row>
    <row r="181">
      <c r="A181" t="n">
        <v>180</v>
      </c>
      <c r="B181" t="inlineStr">
        <is>
          <t>Agency Fee, DO Fee, Document Fee, LCl Fee, Scanning Fee, THC, Service Charge, CFS, CIC</t>
        </is>
      </c>
      <c r="C181" t="inlineStr">
        <is>
          <t>សាខាក្រុមហ៊ុន ប៊ី ឡូជីស្ទីក ខបភើរេសិន (ខេមបូឌា)</t>
        </is>
      </c>
      <c r="D181" t="inlineStr">
        <is>
          <t>L001-100182259</t>
        </is>
      </c>
      <c r="E181" t="inlineStr">
        <is>
          <t>1907819</t>
        </is>
      </c>
      <c r="F181" t="inlineStr">
        <is>
          <t>15-03-2024</t>
        </is>
      </c>
      <c r="G181" t="n">
        <v>60315</v>
      </c>
      <c r="I181">
        <f>G181</f>
        <v/>
      </c>
      <c r="K181">
        <f>I181-G181</f>
        <v/>
      </c>
      <c r="M181">
        <f>R181=E181</f>
        <v/>
      </c>
      <c r="N181">
        <f>AND(MONTH(F181)=MONTH(Q181), YEAR(F181)=YEAR(Q181))</f>
        <v/>
      </c>
      <c r="O181">
        <f>"L001-902303751"=S181</f>
        <v/>
      </c>
      <c r="P181">
        <f>G181-U181</f>
        <v/>
      </c>
      <c r="Q181" s="35" t="n">
        <v>45462</v>
      </c>
      <c r="R181" t="n">
        <v>2245400</v>
      </c>
      <c r="S181" t="inlineStr">
        <is>
          <t>K009-901605081</t>
        </is>
      </c>
      <c r="T181" t="inlineStr">
        <is>
          <t>ទ្រូ ខមភែនៀន ឡូជីស្ទីក (ខេមបូឌា)</t>
        </is>
      </c>
      <c r="U181" t="n">
        <v>2245400</v>
      </c>
      <c r="V181" t="n">
        <v>0</v>
      </c>
    </row>
    <row r="182">
      <c r="A182" t="n">
        <v>181</v>
      </c>
      <c r="B182" t="inlineStr">
        <is>
          <t>Customs Clearance Fee and Trucking Fee</t>
        </is>
      </c>
      <c r="C182" t="inlineStr">
        <is>
          <t>ត្រាយអ៊ែងហ្គល ឡូជីស្ទីក (ខេមបូឌា) ឯ.ក</t>
        </is>
      </c>
      <c r="D182" t="inlineStr">
        <is>
          <t>K010-902101743</t>
        </is>
      </c>
      <c r="E182" t="inlineStr">
        <is>
          <t>TAG-24-00152</t>
        </is>
      </c>
      <c r="F182" t="inlineStr">
        <is>
          <t>25-03-2024</t>
        </is>
      </c>
      <c r="G182" t="n">
        <v>83084</v>
      </c>
      <c r="I182">
        <f>G182</f>
        <v/>
      </c>
      <c r="K182">
        <f>I182-G182</f>
        <v/>
      </c>
      <c r="M182">
        <f>R182=E182</f>
        <v/>
      </c>
      <c r="N182">
        <f>AND(MONTH(F182)=MONTH(Q182), YEAR(F182)=YEAR(Q182))</f>
        <v/>
      </c>
      <c r="O182">
        <f>"L001-902303751"=S182</f>
        <v/>
      </c>
      <c r="P182">
        <f>G182-U182</f>
        <v/>
      </c>
      <c r="Q182" s="35" t="n">
        <v>45462</v>
      </c>
      <c r="R182" t="n">
        <v>2245400</v>
      </c>
      <c r="S182" t="inlineStr">
        <is>
          <t>K009-901605081</t>
        </is>
      </c>
      <c r="T182" t="inlineStr">
        <is>
          <t>ទ្រូ ខមភែនៀន ឡូជីស្ទីក (ខេមបូឌា)</t>
        </is>
      </c>
      <c r="U182" t="n">
        <v>2245400</v>
      </c>
      <c r="V182" t="n">
        <v>0</v>
      </c>
    </row>
    <row r="183">
      <c r="A183" t="n">
        <v>182</v>
      </c>
      <c r="B183" t="inlineStr">
        <is>
          <t>Charge from warehouse</t>
        </is>
      </c>
      <c r="C183" t="inlineStr">
        <is>
          <t>កំពង់ផែស្វយ័តក្រុងព្រះសីហនុ</t>
        </is>
      </c>
      <c r="D183" t="inlineStr">
        <is>
          <t>L001-100044638</t>
        </is>
      </c>
      <c r="E183" t="inlineStr">
        <is>
          <t>049374</t>
        </is>
      </c>
      <c r="F183" t="inlineStr">
        <is>
          <t>19-03-2024</t>
        </is>
      </c>
      <c r="G183" t="n">
        <v>1240</v>
      </c>
      <c r="I183">
        <f>G183</f>
        <v/>
      </c>
      <c r="K183">
        <f>I183-G183</f>
        <v/>
      </c>
      <c r="M183">
        <f>R183=E183</f>
        <v/>
      </c>
      <c r="N183">
        <f>AND(MONTH(F183)=MONTH(Q183), YEAR(F183)=YEAR(Q183))</f>
        <v/>
      </c>
      <c r="O183">
        <f>"L001-902303751"=S183</f>
        <v/>
      </c>
      <c r="P183">
        <f>G183-U183</f>
        <v/>
      </c>
      <c r="Q183" s="35" t="n">
        <v>45453</v>
      </c>
      <c r="R183" t="n">
        <v>85160</v>
      </c>
      <c r="S183" t="inlineStr">
        <is>
          <t>L001-107041723</t>
        </is>
      </c>
      <c r="T183" t="inlineStr">
        <is>
          <t>ឌីប៊ី សេនឃើរ (ខេមបូឌា) លីមីធីត</t>
        </is>
      </c>
      <c r="U183" t="n">
        <v>85160</v>
      </c>
      <c r="V183" t="n">
        <v>0</v>
      </c>
    </row>
    <row r="184">
      <c r="A184" t="n">
        <v>183</v>
      </c>
      <c r="B184" t="inlineStr">
        <is>
          <t>Terminal Handling charges, CFS Fee. Scan Fee, D/O Fee, Document Fee, Handling Fee, Co-Loader THC Charge and LSS Charge</t>
        </is>
      </c>
      <c r="C184" t="inlineStr">
        <is>
          <t>ត្រាយអ៊ែងហ្គល ឡូជីស្ទីក (ខេមបូឌា) ឯ.ក</t>
        </is>
      </c>
      <c r="D184" t="inlineStr">
        <is>
          <t>K010-902101743</t>
        </is>
      </c>
      <c r="E184" t="inlineStr">
        <is>
          <t>TAG-24-00104</t>
        </is>
      </c>
      <c r="F184" t="inlineStr">
        <is>
          <t>15-03-2024</t>
        </is>
      </c>
      <c r="G184" t="n">
        <v>187827</v>
      </c>
      <c r="I184">
        <f>G184</f>
        <v/>
      </c>
      <c r="K184">
        <f>I184-G184</f>
        <v/>
      </c>
      <c r="M184">
        <f>R184=E184</f>
        <v/>
      </c>
      <c r="N184">
        <f>AND(MONTH(F184)=MONTH(Q184), YEAR(F184)=YEAR(Q184))</f>
        <v/>
      </c>
      <c r="O184">
        <f>"L001-902303751"=S184</f>
        <v/>
      </c>
      <c r="P184">
        <f>G184-U184</f>
        <v/>
      </c>
      <c r="Q184" s="35" t="n">
        <v>45462</v>
      </c>
      <c r="R184" t="n">
        <v>189520</v>
      </c>
      <c r="S184" t="inlineStr">
        <is>
          <t>K009-901605081</t>
        </is>
      </c>
      <c r="T184" t="inlineStr">
        <is>
          <t>ទ្រូ ខមភែនៀន ឡូជីស្ទីក (ខេមបូឌា)</t>
        </is>
      </c>
      <c r="U184" t="n">
        <v>189520</v>
      </c>
      <c r="V184" t="n">
        <v>0</v>
      </c>
    </row>
    <row r="185">
      <c r="A185" t="n">
        <v>184</v>
      </c>
      <c r="B185" t="inlineStr">
        <is>
          <t>Customs Clearance Fee and Trucking Fee</t>
        </is>
      </c>
      <c r="C185" t="inlineStr">
        <is>
          <t>ត្រាយអ៊ែងហ្គល ឡូជីស្ទីក (ខេមបូឌា) ឯ.ក</t>
        </is>
      </c>
      <c r="D185" t="inlineStr">
        <is>
          <t>K010-902101743</t>
        </is>
      </c>
      <c r="E185" t="inlineStr">
        <is>
          <t>TAG-24-00154</t>
        </is>
      </c>
      <c r="F185" t="inlineStr">
        <is>
          <t>25-03-2024</t>
        </is>
      </c>
      <c r="G185" t="n">
        <v>68765</v>
      </c>
      <c r="I185">
        <f>G185</f>
        <v/>
      </c>
      <c r="K185">
        <f>I185-G185</f>
        <v/>
      </c>
      <c r="M185">
        <f>R185=E185</f>
        <v/>
      </c>
      <c r="N185">
        <f>AND(MONTH(F185)=MONTH(Q185), YEAR(F185)=YEAR(Q185))</f>
        <v/>
      </c>
      <c r="O185">
        <f>"L001-902303751"=S185</f>
        <v/>
      </c>
      <c r="P185">
        <f>G185-U185</f>
        <v/>
      </c>
      <c r="Q185" s="35" t="n">
        <v>45460</v>
      </c>
      <c r="R185" t="n">
        <v>210171</v>
      </c>
      <c r="S185" t="inlineStr">
        <is>
          <t>L001-100182259</t>
        </is>
      </c>
      <c r="T185" t="inlineStr">
        <is>
          <t>សាខាក្រុមហ៊ុន ប៊ី ឡូជីស្ទីក ខបភើរេសិន (ខេមបូឌា)</t>
        </is>
      </c>
      <c r="U185" t="n">
        <v>210171</v>
      </c>
      <c r="V185" t="n">
        <v>0</v>
      </c>
    </row>
    <row r="186">
      <c r="A186" t="n">
        <v>185</v>
      </c>
      <c r="B186" t="inlineStr">
        <is>
          <t>THC Fee, D/O Fee, Document Fee, EQ Management Fee, Agency Fee and CIC</t>
        </is>
      </c>
      <c r="C186" t="inlineStr">
        <is>
          <t>ត្រាយអ៊ែងហ្គល ឡូជីស្ទីក (ខេមបូឌា) ឯ.ក</t>
        </is>
      </c>
      <c r="D186" t="inlineStr">
        <is>
          <t>K010-902101743</t>
        </is>
      </c>
      <c r="E186" t="inlineStr">
        <is>
          <t>TAG-24-00106</t>
        </is>
      </c>
      <c r="F186" t="inlineStr">
        <is>
          <t>15-03-2024</t>
        </is>
      </c>
      <c r="G186" t="n">
        <v>153824</v>
      </c>
      <c r="I186">
        <f>G186</f>
        <v/>
      </c>
      <c r="K186">
        <f>I186-G186</f>
        <v/>
      </c>
      <c r="M186">
        <f>R186=E186</f>
        <v/>
      </c>
      <c r="N186">
        <f>AND(MONTH(F186)=MONTH(Q186), YEAR(F186)=YEAR(Q186))</f>
        <v/>
      </c>
      <c r="O186">
        <f>"L001-902303751"=S186</f>
        <v/>
      </c>
      <c r="P186">
        <f>G186-U186</f>
        <v/>
      </c>
      <c r="Q186" s="35" t="n">
        <v>45462</v>
      </c>
      <c r="R186" t="n">
        <v>189520</v>
      </c>
      <c r="S186" t="inlineStr">
        <is>
          <t>K009-901605081</t>
        </is>
      </c>
      <c r="T186" t="inlineStr">
        <is>
          <t>ទ្រូ ខមភែនៀន ឡូជីស្ទីក (ខេមបូឌា)</t>
        </is>
      </c>
      <c r="U186" t="n">
        <v>189520</v>
      </c>
      <c r="V186" t="n">
        <v>0</v>
      </c>
    </row>
    <row r="187">
      <c r="A187" t="n">
        <v>186</v>
      </c>
      <c r="B187" t="inlineStr">
        <is>
          <t>Customs Clearance Fee and Trucking Fee</t>
        </is>
      </c>
      <c r="C187" t="inlineStr">
        <is>
          <t>ត្រាយអ៊ែងហ្គល ឡូជីស្ទីក (ខេមបូឌា) ឯ.ក</t>
        </is>
      </c>
      <c r="D187" t="inlineStr">
        <is>
          <t>K010-902101743</t>
        </is>
      </c>
      <c r="E187" t="inlineStr">
        <is>
          <t>TAG-24-00138</t>
        </is>
      </c>
      <c r="F187" t="inlineStr">
        <is>
          <t>22-03-2024</t>
        </is>
      </c>
      <c r="G187" t="n">
        <v>68816</v>
      </c>
      <c r="I187">
        <f>G187</f>
        <v/>
      </c>
      <c r="K187">
        <f>I187-G187</f>
        <v/>
      </c>
      <c r="M187">
        <f>R187=E187</f>
        <v/>
      </c>
      <c r="N187">
        <f>AND(MONTH(F187)=MONTH(Q187), YEAR(F187)=YEAR(Q187))</f>
        <v/>
      </c>
      <c r="O187">
        <f>"L001-902303751"=S187</f>
        <v/>
      </c>
      <c r="P187">
        <f>G187-U187</f>
        <v/>
      </c>
      <c r="Q187" s="35" t="n">
        <v>45499</v>
      </c>
      <c r="R187" t="n">
        <v>1128050</v>
      </c>
      <c r="S187" t="inlineStr">
        <is>
          <t>K009-901605081</t>
        </is>
      </c>
      <c r="T187" t="inlineStr">
        <is>
          <t>ទ្រូ ខមភែនៀន ឡូជីស្ទីក (ខេមបូឌា)</t>
        </is>
      </c>
      <c r="U187" t="n">
        <v>1128050</v>
      </c>
      <c r="V187" t="n">
        <v>0</v>
      </c>
    </row>
    <row r="188">
      <c r="A188" t="n">
        <v>187</v>
      </c>
      <c r="B188" t="inlineStr">
        <is>
          <t>THC, DOC FEE and CONTAINER IMBALANCE</t>
        </is>
      </c>
      <c r="C188" t="inlineStr">
        <is>
          <t>សាខាក្រុមហ៊ុន ជីម៉ាឌីប ស៊ីបភីង ខមភេនី លីមីធីត</t>
        </is>
      </c>
      <c r="D188" t="inlineStr">
        <is>
          <t>L001-901704777</t>
        </is>
      </c>
      <c r="E188" t="inlineStr">
        <is>
          <t>24-00835</t>
        </is>
      </c>
      <c r="F188" t="inlineStr">
        <is>
          <t>11-03-2024</t>
        </is>
      </c>
      <c r="G188" t="n">
        <v>135843</v>
      </c>
      <c r="I188">
        <f>G188</f>
        <v/>
      </c>
      <c r="K188">
        <f>I188-G188</f>
        <v/>
      </c>
      <c r="M188">
        <f>R188=E188</f>
        <v/>
      </c>
      <c r="N188">
        <f>AND(MONTH(F188)=MONTH(Q188), YEAR(F188)=YEAR(Q188))</f>
        <v/>
      </c>
      <c r="O188">
        <f>"L001-902303751"=S188</f>
        <v/>
      </c>
      <c r="P188">
        <f>G188-U188</f>
        <v/>
      </c>
      <c r="Q188" s="35" t="n">
        <v>45499</v>
      </c>
      <c r="R188" t="n">
        <v>2235590</v>
      </c>
      <c r="S188" t="inlineStr">
        <is>
          <t>K009-901605081</t>
        </is>
      </c>
      <c r="T188" t="inlineStr">
        <is>
          <t>ទ្រូ ខមភែនៀន ឡូជីស្ទីក (ខេមបូឌា)</t>
        </is>
      </c>
      <c r="U188" t="n">
        <v>2235590</v>
      </c>
      <c r="V188" t="n">
        <v>0</v>
      </c>
    </row>
    <row r="189">
      <c r="A189" t="n">
        <v>188</v>
      </c>
      <c r="B189" t="inlineStr">
        <is>
          <t>Lift-On Charge, Gate Fee Charge and Storage 40 Feet Container</t>
        </is>
      </c>
      <c r="C189" t="inlineStr">
        <is>
          <t>កំពង់ផែស្វយ័តភ្នំពេញ "ក.ស.ភ"</t>
        </is>
      </c>
      <c r="D189" t="inlineStr">
        <is>
          <t>L001-100044999</t>
        </is>
      </c>
      <c r="E189" t="inlineStr">
        <is>
          <t>INV20240316327</t>
        </is>
      </c>
      <c r="F189" t="inlineStr">
        <is>
          <t>25-03-2024</t>
        </is>
      </c>
      <c r="G189" t="n">
        <v>47731</v>
      </c>
      <c r="I189">
        <f>G189</f>
        <v/>
      </c>
      <c r="K189">
        <f>I189-G189</f>
        <v/>
      </c>
      <c r="M189">
        <f>R189=E189</f>
        <v/>
      </c>
      <c r="N189">
        <f>AND(MONTH(F189)=MONTH(Q189), YEAR(F189)=YEAR(Q189))</f>
        <v/>
      </c>
      <c r="O189">
        <f>"L001-902303751"=S189</f>
        <v/>
      </c>
      <c r="P189">
        <f>G189-U189</f>
        <v/>
      </c>
      <c r="Q189" s="35" t="n">
        <v>45502</v>
      </c>
      <c r="R189" t="n">
        <v>84953</v>
      </c>
      <c r="S189" t="inlineStr">
        <is>
          <t>L001-104015799</t>
        </is>
      </c>
      <c r="T189" t="inlineStr">
        <is>
          <t>យូសេន ឡូជីស្ទីក (ខេមបូឌា) ខូ អិលធីឌី</t>
        </is>
      </c>
      <c r="U189" t="n">
        <v>84953</v>
      </c>
      <c r="V189" t="n">
        <v>0</v>
      </c>
    </row>
    <row r="190">
      <c r="A190" t="n">
        <v>189</v>
      </c>
      <c r="B190" t="inlineStr">
        <is>
          <t>Customs Clearance Fee and Trucking Fee</t>
        </is>
      </c>
      <c r="C190" t="inlineStr">
        <is>
          <t>ត្រាយអ៊ែងហ្គល ឡូជីស្ទីក (ខេមបូឌា) ឯ.ក</t>
        </is>
      </c>
      <c r="D190" t="inlineStr">
        <is>
          <t>K010-902101743</t>
        </is>
      </c>
      <c r="E190" t="inlineStr">
        <is>
          <t>TAG-24-00139</t>
        </is>
      </c>
      <c r="F190" t="inlineStr">
        <is>
          <t>22-03-2024</t>
        </is>
      </c>
      <c r="G190" t="n">
        <v>68816</v>
      </c>
      <c r="I190">
        <f>G190</f>
        <v/>
      </c>
      <c r="K190">
        <f>I190-G190</f>
        <v/>
      </c>
      <c r="M190">
        <f>R190=E190</f>
        <v/>
      </c>
      <c r="N190">
        <f>AND(MONTH(F190)=MONTH(Q190), YEAR(F190)=YEAR(Q190))</f>
        <v/>
      </c>
      <c r="O190">
        <f>"L001-902303751"=S190</f>
        <v/>
      </c>
      <c r="P190">
        <f>G190-U190</f>
        <v/>
      </c>
      <c r="Q190" s="35" t="n">
        <v>45474</v>
      </c>
      <c r="R190" t="inlineStr"/>
      <c r="S190" t="inlineStr">
        <is>
          <t>L001-100098134</t>
        </is>
      </c>
      <c r="T190" t="inlineStr">
        <is>
          <t>បុងកាហ្វេ (ខេមបូឌា)</t>
        </is>
      </c>
      <c r="U190" t="n">
        <v>0</v>
      </c>
      <c r="V190" t="n">
        <v>0</v>
      </c>
    </row>
    <row r="191">
      <c r="A191" t="n">
        <v>190</v>
      </c>
      <c r="B191" t="inlineStr">
        <is>
          <t>THC, DOC FEE and CONTAINER IMBALANCE</t>
        </is>
      </c>
      <c r="C191" t="inlineStr">
        <is>
          <t>សាខាក្រុមហ៊ុន ប៊ី ឡូជីស្ទីក ខបភើរេសិន (ខេមបូឌា)</t>
        </is>
      </c>
      <c r="D191" t="inlineStr">
        <is>
          <t>L001-100182259</t>
        </is>
      </c>
      <c r="E191" t="inlineStr">
        <is>
          <t>24-00836</t>
        </is>
      </c>
      <c r="F191" t="inlineStr">
        <is>
          <t>11-03-2024</t>
        </is>
      </c>
      <c r="G191" t="n">
        <v>135843</v>
      </c>
      <c r="I191">
        <f>G191</f>
        <v/>
      </c>
      <c r="K191">
        <f>I191-G191</f>
        <v/>
      </c>
      <c r="M191">
        <f>R191=E191</f>
        <v/>
      </c>
      <c r="N191">
        <f>AND(MONTH(F191)=MONTH(Q191), YEAR(F191)=YEAR(Q191))</f>
        <v/>
      </c>
      <c r="O191">
        <f>"L001-902303751"=S191</f>
        <v/>
      </c>
      <c r="P191">
        <f>G191-U191</f>
        <v/>
      </c>
      <c r="Q191" s="35" t="n">
        <v>45474</v>
      </c>
      <c r="R191" t="n">
        <v>131584</v>
      </c>
      <c r="S191" t="inlineStr">
        <is>
          <t>L001-100182259</t>
        </is>
      </c>
      <c r="T191" t="inlineStr">
        <is>
          <t>សាខាក្រុមហ៊ុន ប៊ី ឡូជីស្ទីក ខបភើរេសិន (ខេមបូឌា)</t>
        </is>
      </c>
      <c r="U191" t="n">
        <v>131584</v>
      </c>
      <c r="V191" t="n">
        <v>0</v>
      </c>
    </row>
    <row r="192">
      <c r="A192" t="n">
        <v>191</v>
      </c>
      <c r="B192" t="inlineStr">
        <is>
          <t>Lift-On Charge, Gate Fee Charge and Storage 40 Feet Container</t>
        </is>
      </c>
      <c r="C192" t="inlineStr">
        <is>
          <t>កំពង់ផែស្វយ័តភ្នំពេញ "ក.ស.ភ"</t>
        </is>
      </c>
      <c r="D192" t="inlineStr">
        <is>
          <t>L001-100044999</t>
        </is>
      </c>
      <c r="E192" t="inlineStr">
        <is>
          <t>INV20240316328</t>
        </is>
      </c>
      <c r="F192" t="inlineStr">
        <is>
          <t>25-03-2024</t>
        </is>
      </c>
      <c r="G192" t="n">
        <v>47731</v>
      </c>
      <c r="I192">
        <f>G192</f>
        <v/>
      </c>
      <c r="K192">
        <f>I192-G192</f>
        <v/>
      </c>
      <c r="M192">
        <f>R192=E192</f>
        <v/>
      </c>
      <c r="N192">
        <f>AND(MONTH(F192)=MONTH(Q192), YEAR(F192)=YEAR(Q192))</f>
        <v/>
      </c>
      <c r="O192">
        <f>"L001-902303751"=S192</f>
        <v/>
      </c>
      <c r="P192">
        <f>G192-U192</f>
        <v/>
      </c>
      <c r="Q192" s="35" t="n">
        <v>45499</v>
      </c>
      <c r="R192" t="n">
        <v>75477</v>
      </c>
      <c r="S192" t="inlineStr">
        <is>
          <t>K009-901605081</t>
        </is>
      </c>
      <c r="T192" t="inlineStr">
        <is>
          <t>ទ្រូ ខមភែនៀន ឡូជីស្ទីក (ខេមបូឌា)</t>
        </is>
      </c>
      <c r="U192" t="n">
        <v>75477</v>
      </c>
      <c r="V192" t="n">
        <v>0</v>
      </c>
    </row>
    <row r="193">
      <c r="A193" t="n">
        <v>192</v>
      </c>
      <c r="B193" t="inlineStr">
        <is>
          <t>Customs Clearance Fee and Trucking Fee</t>
        </is>
      </c>
      <c r="C193" t="inlineStr">
        <is>
          <t>ត្រាយអ៊ែងហ្គល ឡូជីស្ទីក (ខេមបូឌា) ឯ.ក</t>
        </is>
      </c>
      <c r="D193" t="inlineStr">
        <is>
          <t>K010-902101743</t>
        </is>
      </c>
      <c r="E193" t="inlineStr">
        <is>
          <t>TAG-24-00157</t>
        </is>
      </c>
      <c r="F193" t="inlineStr">
        <is>
          <t>25-03-2024</t>
        </is>
      </c>
      <c r="G193" t="n">
        <v>68765</v>
      </c>
      <c r="I193">
        <f>G193</f>
        <v/>
      </c>
      <c r="K193">
        <f>I193-G193</f>
        <v/>
      </c>
      <c r="M193">
        <f>R193=E193</f>
        <v/>
      </c>
      <c r="N193">
        <f>AND(MONTH(F193)=MONTH(Q193), YEAR(F193)=YEAR(Q193))</f>
        <v/>
      </c>
      <c r="O193">
        <f>"L001-902303751"=S193</f>
        <v/>
      </c>
      <c r="P193">
        <f>G193-U193</f>
        <v/>
      </c>
      <c r="Q193" s="35" t="n">
        <v>45474</v>
      </c>
      <c r="R193" t="n">
        <v>9458</v>
      </c>
      <c r="S193" t="inlineStr">
        <is>
          <t>L001-100098134</t>
        </is>
      </c>
      <c r="T193" t="inlineStr">
        <is>
          <t>បុងកាហ្វេ (ខេមបូឌា)</t>
        </is>
      </c>
      <c r="U193" t="n">
        <v>9458</v>
      </c>
      <c r="V193" t="n">
        <v>0</v>
      </c>
    </row>
    <row r="194">
      <c r="A194" t="n">
        <v>193</v>
      </c>
      <c r="B194" t="inlineStr">
        <is>
          <t>Customs Clearance Fee and Trucking Fee</t>
        </is>
      </c>
      <c r="C194" t="inlineStr">
        <is>
          <t>ត្រាយអ៊ែងហ្គល ឡូជីស្ទីក (ខេមបូឌា) ឯ.ក</t>
        </is>
      </c>
      <c r="D194" t="inlineStr">
        <is>
          <t>K010-902101743</t>
        </is>
      </c>
      <c r="E194" t="inlineStr">
        <is>
          <t>TAG-24-00156</t>
        </is>
      </c>
      <c r="F194" t="inlineStr">
        <is>
          <t>25-03-2024</t>
        </is>
      </c>
      <c r="G194" t="n">
        <v>32360</v>
      </c>
      <c r="I194">
        <f>G194</f>
        <v/>
      </c>
      <c r="K194">
        <f>I194-G194</f>
        <v/>
      </c>
      <c r="M194">
        <f>R194=E194</f>
        <v/>
      </c>
      <c r="N194">
        <f>AND(MONTH(F194)=MONTH(Q194), YEAR(F194)=YEAR(Q194))</f>
        <v/>
      </c>
      <c r="O194">
        <f>"L001-902303751"=S194</f>
        <v/>
      </c>
      <c r="P194">
        <f>G194-U194</f>
        <v/>
      </c>
      <c r="Q194" s="35" t="n">
        <v>45502</v>
      </c>
      <c r="R194" t="n">
        <v>84953</v>
      </c>
      <c r="S194" t="inlineStr">
        <is>
          <t>L001-104015799</t>
        </is>
      </c>
      <c r="T194" t="inlineStr">
        <is>
          <t>យូសេន ឡូជីស្ទីក (ខេមបូឌា) ខូ អិលធីឌី</t>
        </is>
      </c>
      <c r="U194" t="n">
        <v>84953</v>
      </c>
      <c r="V194" t="n">
        <v>0</v>
      </c>
    </row>
    <row r="195">
      <c r="A195" t="n">
        <v>194</v>
      </c>
      <c r="B195" t="inlineStr">
        <is>
          <t>THC Charge, CFS Fee, Scanning Fee, CIC Fee, D/O Fee, DOC Fee, Agency Fee, Handling Fee and Ocean Freight</t>
        </is>
      </c>
      <c r="C195" t="inlineStr">
        <is>
          <t>ហ្វ្រេត ខនសិប (ខេមបូឌា)</t>
        </is>
      </c>
      <c r="D195" t="inlineStr">
        <is>
          <t>K009-901502482</t>
        </is>
      </c>
      <c r="E195" t="inlineStr">
        <is>
          <t>240222</t>
        </is>
      </c>
      <c r="F195" t="inlineStr">
        <is>
          <t>13-03-2024</t>
        </is>
      </c>
      <c r="G195" t="n">
        <v>103490</v>
      </c>
      <c r="I195">
        <f>G195</f>
        <v/>
      </c>
      <c r="K195">
        <f>I195-G195</f>
        <v/>
      </c>
      <c r="M195">
        <f>R195=E195</f>
        <v/>
      </c>
      <c r="N195">
        <f>AND(MONTH(F195)=MONTH(Q195), YEAR(F195)=YEAR(Q195))</f>
        <v/>
      </c>
      <c r="O195">
        <f>"L001-902303751"=S195</f>
        <v/>
      </c>
      <c r="P195">
        <f>G195-U195</f>
        <v/>
      </c>
      <c r="Q195" s="35" t="n">
        <v>45495</v>
      </c>
      <c r="R195" t="n">
        <v>85056</v>
      </c>
      <c r="S195" t="inlineStr">
        <is>
          <t>K009-901605081</t>
        </is>
      </c>
      <c r="T195" t="inlineStr">
        <is>
          <t>ទ្រូ ខមភែនៀន ឡូជីស្ទីក (ខេមបូឌា)</t>
        </is>
      </c>
      <c r="U195" t="n">
        <v>85056</v>
      </c>
      <c r="V195" t="n">
        <v>0</v>
      </c>
    </row>
    <row r="196">
      <c r="A196" t="n">
        <v>195</v>
      </c>
      <c r="B196" t="inlineStr">
        <is>
          <t>Import Shipment Expense</t>
        </is>
      </c>
      <c r="C196" t="inlineStr">
        <is>
          <t>អូរៀនថល ឡូជីស្ទីក &amp; ឌីស្ទ្រីប៊្យូសិន (ខេមបូឌា)</t>
        </is>
      </c>
      <c r="D196" t="inlineStr">
        <is>
          <t>L001-103007369</t>
        </is>
      </c>
      <c r="E196" t="inlineStr">
        <is>
          <t>24-1875</t>
        </is>
      </c>
      <c r="F196" t="inlineStr">
        <is>
          <t>11-03-2024</t>
        </is>
      </c>
      <c r="G196" t="n">
        <v>60725</v>
      </c>
      <c r="I196">
        <f>G196</f>
        <v/>
      </c>
      <c r="K196">
        <f>I196-G196</f>
        <v/>
      </c>
      <c r="M196">
        <f>R196=E196</f>
        <v/>
      </c>
      <c r="N196">
        <f>AND(MONTH(F196)=MONTH(Q196), YEAR(F196)=YEAR(Q196))</f>
        <v/>
      </c>
      <c r="O196">
        <f>"L001-902303751"=S196</f>
        <v/>
      </c>
      <c r="P196">
        <f>G196-U196</f>
        <v/>
      </c>
      <c r="Q196" s="35" t="n">
        <v>45497</v>
      </c>
      <c r="R196" t="n">
        <v>2238315</v>
      </c>
      <c r="S196" t="inlineStr">
        <is>
          <t>K009-901605081</t>
        </is>
      </c>
      <c r="T196" t="inlineStr">
        <is>
          <t>ទ្រូ ខមភែនៀន ឡូជីស្ទីក (ខេមបូឌា)</t>
        </is>
      </c>
      <c r="U196" t="n">
        <v>2238315</v>
      </c>
      <c r="V196" t="n">
        <v>0</v>
      </c>
    </row>
    <row r="197">
      <c r="A197" t="n">
        <v>196</v>
      </c>
      <c r="B197" t="inlineStr">
        <is>
          <t>Gate Fee Charge</t>
        </is>
      </c>
      <c r="C197" t="inlineStr">
        <is>
          <t>កំពង់ផែស្វយ័តភ្នំពេញ "ក.ស.ភ"</t>
        </is>
      </c>
      <c r="D197" t="inlineStr">
        <is>
          <t>L001-100044999</t>
        </is>
      </c>
      <c r="E197" t="inlineStr">
        <is>
          <t>INV20240314466</t>
        </is>
      </c>
      <c r="F197" t="inlineStr">
        <is>
          <t>15-03-2024</t>
        </is>
      </c>
      <c r="G197" t="n">
        <v>810</v>
      </c>
      <c r="I197">
        <f>G197</f>
        <v/>
      </c>
      <c r="K197">
        <f>I197-G197</f>
        <v/>
      </c>
      <c r="M197">
        <f>R197=E197</f>
        <v/>
      </c>
      <c r="N197">
        <f>AND(MONTH(F197)=MONTH(Q197), YEAR(F197)=YEAR(Q197))</f>
        <v/>
      </c>
      <c r="O197">
        <f>"L001-902303751"=S197</f>
        <v/>
      </c>
      <c r="P197">
        <f>G197-U197</f>
        <v/>
      </c>
      <c r="Q197" s="35" t="n">
        <v>45474</v>
      </c>
      <c r="R197" t="n">
        <v>131584</v>
      </c>
      <c r="S197" t="inlineStr">
        <is>
          <t>L001-100098134</t>
        </is>
      </c>
      <c r="T197" t="inlineStr">
        <is>
          <t>បុងកាហ្វេ (ខេមបូឌា)</t>
        </is>
      </c>
      <c r="U197" t="n">
        <v>131584</v>
      </c>
      <c r="V197" t="n">
        <v>0</v>
      </c>
    </row>
    <row r="198">
      <c r="A198" t="n">
        <v>197</v>
      </c>
      <c r="B198" t="inlineStr">
        <is>
          <t>Terminal Handling Charge, CFS FEE, Scanner Fee, CIC Fee, Agency Fee, D/O Fee, Documentation Fee, Handling Fee, Ex-work charge and Ocean Freight Charge</t>
        </is>
      </c>
      <c r="C198" t="inlineStr">
        <is>
          <t>ភី.ដាប់បែលយូ. ស្កេនវែល ឡូជីស្ទីក (ខេមបូឌា)</t>
        </is>
      </c>
      <c r="D198" t="inlineStr">
        <is>
          <t>K002-107011379</t>
        </is>
      </c>
      <c r="E198" t="inlineStr">
        <is>
          <t>240300053</t>
        </is>
      </c>
      <c r="F198" t="inlineStr">
        <is>
          <t>11-03-2024</t>
        </is>
      </c>
      <c r="G198" t="n">
        <v>317380</v>
      </c>
      <c r="I198">
        <f>G198</f>
        <v/>
      </c>
      <c r="K198">
        <f>I198-G198</f>
        <v/>
      </c>
      <c r="M198">
        <f>R198=E198</f>
        <v/>
      </c>
      <c r="N198">
        <f>AND(MONTH(F198)=MONTH(Q198), YEAR(F198)=YEAR(Q198))</f>
        <v/>
      </c>
      <c r="O198">
        <f>"L001-902303751"=S198</f>
        <v/>
      </c>
      <c r="P198">
        <f>G198-U198</f>
        <v/>
      </c>
      <c r="Q198" s="35" t="n">
        <v>45500</v>
      </c>
      <c r="R198" t="n">
        <v>188692</v>
      </c>
      <c r="S198" t="inlineStr">
        <is>
          <t>K009-901605081</t>
        </is>
      </c>
      <c r="T198" t="inlineStr">
        <is>
          <t>ទ្រូ ខមភែនៀន ឡូជីស្ទីក (ខេមបូឌា)</t>
        </is>
      </c>
      <c r="U198" t="n">
        <v>188692</v>
      </c>
      <c r="V198" t="n">
        <v>0</v>
      </c>
    </row>
    <row r="199">
      <c r="A199" t="n">
        <v>198</v>
      </c>
      <c r="B199" t="inlineStr">
        <is>
          <t>Customs Clearance Fee and Trucking Fee</t>
        </is>
      </c>
      <c r="C199" t="inlineStr">
        <is>
          <t>ត្រាយអ៊ែងហ្គល ឡូជីស្ទីក (ខេមបូឌា) ឯ.ក</t>
        </is>
      </c>
      <c r="D199" t="inlineStr">
        <is>
          <t>K010-902101743</t>
        </is>
      </c>
      <c r="E199" t="inlineStr">
        <is>
          <t>TAG-24-00119</t>
        </is>
      </c>
      <c r="F199" t="inlineStr">
        <is>
          <t>22-03-2024</t>
        </is>
      </c>
      <c r="G199" t="n">
        <v>28336</v>
      </c>
      <c r="I199">
        <f>G199</f>
        <v/>
      </c>
      <c r="K199">
        <f>I199-G199</f>
        <v/>
      </c>
      <c r="M199">
        <f>R199=E199</f>
        <v/>
      </c>
      <c r="N199">
        <f>AND(MONTH(F199)=MONTH(Q199), YEAR(F199)=YEAR(Q199))</f>
        <v/>
      </c>
      <c r="O199">
        <f>"L001-902303751"=S199</f>
        <v/>
      </c>
      <c r="P199">
        <f>G199-U199</f>
        <v/>
      </c>
      <c r="Q199" s="35" t="n">
        <v>45476</v>
      </c>
      <c r="R199" t="n">
        <v>85243</v>
      </c>
      <c r="S199" t="inlineStr">
        <is>
          <t>K009-901605081</t>
        </is>
      </c>
      <c r="T199" t="inlineStr">
        <is>
          <t>ទ្រូ ខមភែនៀន ឡូជីស្ទីក (ខេមបូឌា)</t>
        </is>
      </c>
      <c r="U199" t="n">
        <v>85243</v>
      </c>
      <c r="V199" t="n">
        <v>0</v>
      </c>
    </row>
    <row r="200">
      <c r="A200" t="n">
        <v>199</v>
      </c>
      <c r="B200" t="inlineStr">
        <is>
          <t>Cargo Terminal</t>
        </is>
      </c>
      <c r="C200" t="inlineStr">
        <is>
          <t>សូស៊ីយេតេ កុងសេស្យូនែរ ដឺ ឡាអេរ៉ូព័រ</t>
        </is>
      </c>
      <c r="D200" t="inlineStr">
        <is>
          <t>L001-100047300</t>
        </is>
      </c>
      <c r="E200" t="inlineStr">
        <is>
          <t>2400-016990</t>
        </is>
      </c>
      <c r="F200" t="inlineStr">
        <is>
          <t>12-03-2024</t>
        </is>
      </c>
      <c r="G200" t="n">
        <v>1779</v>
      </c>
      <c r="I200">
        <f>G200</f>
        <v/>
      </c>
      <c r="K200">
        <f>I200-G200</f>
        <v/>
      </c>
      <c r="M200">
        <f>R200=E200</f>
        <v/>
      </c>
      <c r="N200">
        <f>AND(MONTH(F200)=MONTH(Q200), YEAR(F200)=YEAR(Q200))</f>
        <v/>
      </c>
      <c r="O200">
        <f>"L001-902303751"=S200</f>
        <v/>
      </c>
      <c r="P200">
        <f>G200-U200</f>
        <v/>
      </c>
      <c r="Q200" s="35" t="n">
        <v>45499</v>
      </c>
      <c r="R200" t="n">
        <v>906542</v>
      </c>
      <c r="S200" t="inlineStr">
        <is>
          <t>K009-901605081</t>
        </is>
      </c>
      <c r="T200" t="inlineStr">
        <is>
          <t>ទ្រូ ខមភែនៀន ឡូជីស្ទីក (ខេមបូឌា)</t>
        </is>
      </c>
      <c r="U200" t="n">
        <v>906542</v>
      </c>
      <c r="V200" t="n">
        <v>0</v>
      </c>
    </row>
    <row r="201">
      <c r="A201" t="n">
        <v>200</v>
      </c>
      <c r="B201" t="inlineStr">
        <is>
          <t>Doc Fee and Agency Fee</t>
        </is>
      </c>
      <c r="C201" t="inlineStr">
        <is>
          <t>អ៊ែតវ៉ានស៍ គ្លរី ឡូជីស្ទីក (ខេមបូឌា) (អេ ជី អិល)</t>
        </is>
      </c>
      <c r="D201" t="inlineStr">
        <is>
          <t>K005-100059945</t>
        </is>
      </c>
      <c r="E201" t="inlineStr">
        <is>
          <t>AGL2400337</t>
        </is>
      </c>
      <c r="F201" t="inlineStr">
        <is>
          <t>11-03-2024</t>
        </is>
      </c>
      <c r="G201" t="n">
        <v>44605</v>
      </c>
      <c r="I201">
        <f>G201</f>
        <v/>
      </c>
      <c r="K201">
        <f>I201-G201</f>
        <v/>
      </c>
      <c r="M201">
        <f>R201=E201</f>
        <v/>
      </c>
      <c r="N201">
        <f>AND(MONTH(F201)=MONTH(Q201), YEAR(F201)=YEAR(Q201))</f>
        <v/>
      </c>
      <c r="O201">
        <f>"L001-902303751"=S201</f>
        <v/>
      </c>
      <c r="P201">
        <f>G201-U201</f>
        <v/>
      </c>
      <c r="Q201" s="35" t="n">
        <v>45500</v>
      </c>
      <c r="R201" t="n">
        <v>2235590</v>
      </c>
      <c r="S201" t="inlineStr">
        <is>
          <t>K009-901605081</t>
        </is>
      </c>
      <c r="T201" t="inlineStr">
        <is>
          <t>ទ្រូ ខមភែនៀន ឡូជីស្ទីក (ខេមបូឌា)</t>
        </is>
      </c>
      <c r="U201" t="n">
        <v>2235590</v>
      </c>
      <c r="V201" t="n">
        <v>0</v>
      </c>
    </row>
    <row r="202">
      <c r="A202" t="n">
        <v>201</v>
      </c>
      <c r="B202" t="inlineStr">
        <is>
          <t>Customs Clearance Fee and Trucking Fee</t>
        </is>
      </c>
      <c r="C202" t="inlineStr">
        <is>
          <t>ត្រាយអ៊ែងហ្គល ឡូជីស្ទីក (ខេមបូឌា) ឯ.ក</t>
        </is>
      </c>
      <c r="D202" t="inlineStr">
        <is>
          <t>K010-902101743</t>
        </is>
      </c>
      <c r="E202" t="inlineStr">
        <is>
          <t>TAG-24-00132</t>
        </is>
      </c>
      <c r="F202" t="inlineStr">
        <is>
          <t>22-03-2024</t>
        </is>
      </c>
      <c r="G202" t="n">
        <v>28336</v>
      </c>
      <c r="I202">
        <f>G202</f>
        <v/>
      </c>
      <c r="K202">
        <f>I202-G202</f>
        <v/>
      </c>
      <c r="M202">
        <f>R202=E202</f>
        <v/>
      </c>
      <c r="N202">
        <f>AND(MONTH(F202)=MONTH(Q202), YEAR(F202)=YEAR(Q202))</f>
        <v/>
      </c>
      <c r="O202">
        <f>"L001-902303751"=S202</f>
        <v/>
      </c>
      <c r="P202">
        <f>G202-U202</f>
        <v/>
      </c>
      <c r="Q202" s="35" t="n">
        <v>45499</v>
      </c>
      <c r="R202" t="n">
        <v>188692</v>
      </c>
      <c r="S202" t="inlineStr">
        <is>
          <t>K009-901605081</t>
        </is>
      </c>
      <c r="T202" t="inlineStr">
        <is>
          <t>ទ្រូ ខមភែនៀន ឡូជីស្ទីក (ខេមបូឌា)</t>
        </is>
      </c>
      <c r="U202" t="n">
        <v>188692</v>
      </c>
      <c r="V202" t="n">
        <v>0</v>
      </c>
    </row>
    <row r="203">
      <c r="A203" t="n">
        <v>202</v>
      </c>
      <c r="B203" t="inlineStr">
        <is>
          <t>Warehouse Fee</t>
        </is>
      </c>
      <c r="C203" t="inlineStr">
        <is>
          <t>ហាន​ &amp; ជុន ត្រេនស្ព័ត ខូ អិលធីឌី</t>
        </is>
      </c>
      <c r="D203" t="inlineStr">
        <is>
          <t>L001-104016647</t>
        </is>
      </c>
      <c r="E203" t="inlineStr">
        <is>
          <t>HJ24-0707</t>
        </is>
      </c>
      <c r="F203" t="inlineStr">
        <is>
          <t>13-03-2024</t>
        </is>
      </c>
      <c r="G203" t="n">
        <v>4041</v>
      </c>
      <c r="I203">
        <f>G203</f>
        <v/>
      </c>
      <c r="K203">
        <f>I203-G203</f>
        <v/>
      </c>
      <c r="M203">
        <f>R203=E203</f>
        <v/>
      </c>
      <c r="N203">
        <f>AND(MONTH(F203)=MONTH(Q203), YEAR(F203)=YEAR(Q203))</f>
        <v/>
      </c>
      <c r="O203">
        <f>"L001-902303751"=S203</f>
        <v/>
      </c>
      <c r="P203">
        <f>G203-U203</f>
        <v/>
      </c>
      <c r="Q203" s="35" t="n">
        <v>45497</v>
      </c>
      <c r="R203" t="n">
        <v>188922</v>
      </c>
      <c r="S203" t="inlineStr">
        <is>
          <t>K009-901605081</t>
        </is>
      </c>
      <c r="T203" t="inlineStr">
        <is>
          <t>ទ្រូ ខមភែនៀន ឡូជីស្ទីក (ខេមបូឌា)</t>
        </is>
      </c>
      <c r="U203" t="n">
        <v>188922</v>
      </c>
      <c r="V203" t="n">
        <v>0</v>
      </c>
    </row>
    <row r="204">
      <c r="A204" t="n">
        <v>203</v>
      </c>
      <c r="B204" t="inlineStr">
        <is>
          <t>Storage Charge</t>
        </is>
      </c>
      <c r="C204" t="inlineStr">
        <is>
          <t>ហាន​ &amp; ជុន ត្រេនស្ព័ត ខូ អិលធីឌី</t>
        </is>
      </c>
      <c r="D204" t="inlineStr">
        <is>
          <t>L001-104016647</t>
        </is>
      </c>
      <c r="E204" t="inlineStr">
        <is>
          <t>HJ24-0797</t>
        </is>
      </c>
      <c r="F204" t="inlineStr">
        <is>
          <t>13-03-2024</t>
        </is>
      </c>
      <c r="G204" t="n">
        <v>1205</v>
      </c>
      <c r="I204">
        <f>G204</f>
        <v/>
      </c>
      <c r="K204">
        <f>I204-G204</f>
        <v/>
      </c>
      <c r="M204">
        <f>R204=E204</f>
        <v/>
      </c>
      <c r="N204">
        <f>AND(MONTH(F204)=MONTH(Q204), YEAR(F204)=YEAR(Q204))</f>
        <v/>
      </c>
      <c r="O204">
        <f>"L001-902303751"=S204</f>
        <v/>
      </c>
      <c r="P204">
        <f>G204-U204</f>
        <v/>
      </c>
      <c r="Q204" s="35" t="n">
        <v>45476</v>
      </c>
      <c r="R204" t="n">
        <v>537811</v>
      </c>
      <c r="S204" t="inlineStr">
        <is>
          <t>K002-901900264</t>
        </is>
      </c>
      <c r="T204" t="inlineStr">
        <is>
          <t>ហេកធ័រ ត្រេនស្ព័រថេសិន (ខេមបូឌា) ឯ.ក</t>
        </is>
      </c>
      <c r="U204" t="n">
        <v>537811</v>
      </c>
      <c r="V204" t="n">
        <v>0</v>
      </c>
    </row>
    <row r="205">
      <c r="A205" t="n">
        <v>204</v>
      </c>
      <c r="B205" t="inlineStr">
        <is>
          <t>Charge from warehouse and Storage Charges</t>
        </is>
      </c>
      <c r="C205" t="inlineStr">
        <is>
          <t>កំពង់ផែស្វយ័តក្រុងព្រះសីហនុ</t>
        </is>
      </c>
      <c r="D205" t="inlineStr">
        <is>
          <t>L001-100044638</t>
        </is>
      </c>
      <c r="E205" t="inlineStr">
        <is>
          <t>048847</t>
        </is>
      </c>
      <c r="F205" t="inlineStr">
        <is>
          <t>19-03-2024</t>
        </is>
      </c>
      <c r="G205" t="n">
        <v>1402</v>
      </c>
      <c r="I205">
        <f>G205</f>
        <v/>
      </c>
      <c r="K205">
        <f>I205-G205</f>
        <v/>
      </c>
      <c r="M205">
        <f>R205=E205</f>
        <v/>
      </c>
      <c r="N205">
        <f>AND(MONTH(F205)=MONTH(Q205), YEAR(F205)=YEAR(Q205))</f>
        <v/>
      </c>
      <c r="O205">
        <f>"L001-902303751"=S205</f>
        <v/>
      </c>
      <c r="P205">
        <f>G205-U205</f>
        <v/>
      </c>
      <c r="Q205" s="35" t="n">
        <v>45499</v>
      </c>
      <c r="R205" t="n">
        <v>94346</v>
      </c>
      <c r="S205" t="inlineStr">
        <is>
          <t>K009-901605081</t>
        </is>
      </c>
      <c r="T205" t="inlineStr">
        <is>
          <t>ទ្រូ ខមភែនៀន ឡូជីស្ទីក (ខេមបូឌា)</t>
        </is>
      </c>
      <c r="U205" t="n">
        <v>94346</v>
      </c>
      <c r="V205" t="n">
        <v>0</v>
      </c>
    </row>
    <row r="206">
      <c r="A206" t="n">
        <v>205</v>
      </c>
      <c r="B206" t="inlineStr">
        <is>
          <t>Customs Clearance Fee and Trucking Fee</t>
        </is>
      </c>
      <c r="C206" t="inlineStr">
        <is>
          <t>ត្រាយអ៊ែងហ្គល ឡូជីស្ទីក (ខេមបូឌា) ឯ.ក</t>
        </is>
      </c>
      <c r="D206" t="inlineStr">
        <is>
          <t>K010-902101743</t>
        </is>
      </c>
      <c r="E206" t="inlineStr">
        <is>
          <t>TAG-24-00146</t>
        </is>
      </c>
      <c r="F206" t="inlineStr">
        <is>
          <t>25-03-2024</t>
        </is>
      </c>
      <c r="G206" t="n">
        <v>32360</v>
      </c>
      <c r="I206">
        <f>G206</f>
        <v/>
      </c>
      <c r="K206">
        <f>I206-G206</f>
        <v/>
      </c>
      <c r="M206">
        <f>R206=E206</f>
        <v/>
      </c>
      <c r="N206">
        <f>AND(MONTH(F206)=MONTH(Q206), YEAR(F206)=YEAR(Q206))</f>
        <v/>
      </c>
      <c r="O206">
        <f>"L001-902303751"=S206</f>
        <v/>
      </c>
      <c r="P206">
        <f>G206-U206</f>
        <v/>
      </c>
      <c r="Q206" s="35" t="n">
        <v>45516</v>
      </c>
      <c r="R206" t="n">
        <v>188462</v>
      </c>
      <c r="S206" t="inlineStr">
        <is>
          <t>K009-901605081</t>
        </is>
      </c>
      <c r="T206" t="inlineStr">
        <is>
          <t>ទ្រូ ខមភែនៀន ឡូជីស្ទីក (ខេមបូឌា)</t>
        </is>
      </c>
      <c r="U206" t="n">
        <v>188462</v>
      </c>
      <c r="V206" t="n">
        <v>0</v>
      </c>
    </row>
    <row r="207">
      <c r="A207" t="n">
        <v>206</v>
      </c>
      <c r="B207" t="inlineStr">
        <is>
          <t>Charge from warehouse and Storage Charges</t>
        </is>
      </c>
      <c r="C207" t="inlineStr">
        <is>
          <t>កំពង់ផែស្វយ័តក្រុងព្រះសីហនុ</t>
        </is>
      </c>
      <c r="D207" t="inlineStr">
        <is>
          <t>L001-100044638</t>
        </is>
      </c>
      <c r="E207" t="inlineStr">
        <is>
          <t>048845</t>
        </is>
      </c>
      <c r="F207" t="inlineStr">
        <is>
          <t>19-03-2024</t>
        </is>
      </c>
      <c r="G207" t="n">
        <v>699</v>
      </c>
      <c r="I207">
        <f>G207</f>
        <v/>
      </c>
      <c r="K207">
        <f>I207-G207</f>
        <v/>
      </c>
      <c r="M207">
        <f>R207=E207</f>
        <v/>
      </c>
      <c r="N207">
        <f>AND(MONTH(F207)=MONTH(Q207), YEAR(F207)=YEAR(Q207))</f>
        <v/>
      </c>
      <c r="O207">
        <f>"L001-902303751"=S207</f>
        <v/>
      </c>
      <c r="P207">
        <f>G207-U207</f>
        <v/>
      </c>
      <c r="Q207" s="35" t="n">
        <v>45519</v>
      </c>
      <c r="R207" t="n">
        <v>97028</v>
      </c>
      <c r="S207" t="inlineStr">
        <is>
          <t>L001-104015799</t>
        </is>
      </c>
      <c r="T207" t="inlineStr">
        <is>
          <t>យូសេន ឡូជីស្ទីក (ខេមបូឌា) ខូ អិលធីឌី</t>
        </is>
      </c>
      <c r="U207" t="n">
        <v>97028</v>
      </c>
      <c r="V207" t="n">
        <v>0</v>
      </c>
    </row>
    <row r="208">
      <c r="A208" t="n">
        <v>207</v>
      </c>
      <c r="B208" t="inlineStr">
        <is>
          <t>THC Charge, CFS Fee, Scanning Fee, CIC Fee, D/O Fee, DOC Fee, Agency Fee, Handling Fee and Ocean Freight</t>
        </is>
      </c>
      <c r="C208" t="inlineStr">
        <is>
          <t>ហ្វ្រេត ខនសិប (ខេមបូឌា)</t>
        </is>
      </c>
      <c r="D208" t="inlineStr">
        <is>
          <t>K009-901502482</t>
        </is>
      </c>
      <c r="E208" t="inlineStr">
        <is>
          <t>240224</t>
        </is>
      </c>
      <c r="F208" t="inlineStr">
        <is>
          <t>13-03-2024</t>
        </is>
      </c>
      <c r="G208" t="n">
        <v>76779</v>
      </c>
      <c r="I208">
        <f>G208</f>
        <v/>
      </c>
      <c r="K208">
        <f>I208-G208</f>
        <v/>
      </c>
      <c r="M208">
        <f>R208=E208</f>
        <v/>
      </c>
      <c r="N208">
        <f>AND(MONTH(F208)=MONTH(Q208), YEAR(F208)=YEAR(Q208))</f>
        <v/>
      </c>
      <c r="O208">
        <f>"L001-902303751"=S208</f>
        <v/>
      </c>
      <c r="P208">
        <f>G208-U208</f>
        <v/>
      </c>
      <c r="Q208" s="35" t="n">
        <v>45525</v>
      </c>
      <c r="R208" t="inlineStr"/>
      <c r="S208" t="inlineStr">
        <is>
          <t>K009-901605081</t>
        </is>
      </c>
      <c r="T208" t="inlineStr">
        <is>
          <t>ទ្រូ ខមភែនៀន ឡូជីស្ទីក (ខេមបូឌា)</t>
        </is>
      </c>
      <c r="U208" t="n">
        <v>0</v>
      </c>
      <c r="V208" t="n">
        <v>0</v>
      </c>
    </row>
    <row r="209">
      <c r="A209" t="n">
        <v>208</v>
      </c>
      <c r="B209" t="inlineStr">
        <is>
          <t>Customs Clearance Fee and Trucking Fee</t>
        </is>
      </c>
      <c r="C209" t="inlineStr">
        <is>
          <t>ត្រាយអ៊ែងហ្គល ឡូជីស្ទីក (ខេមបូឌា) ឯ.ក</t>
        </is>
      </c>
      <c r="D209" t="inlineStr">
        <is>
          <t>K010-902101743</t>
        </is>
      </c>
      <c r="E209" t="inlineStr">
        <is>
          <t>TAG-24-00147</t>
        </is>
      </c>
      <c r="F209" t="inlineStr">
        <is>
          <t>25-03-2024</t>
        </is>
      </c>
      <c r="G209" t="n">
        <v>32360</v>
      </c>
      <c r="I209">
        <f>G209</f>
        <v/>
      </c>
      <c r="K209">
        <f>I209-G209</f>
        <v/>
      </c>
      <c r="M209">
        <f>R209=E209</f>
        <v/>
      </c>
      <c r="N209">
        <f>AND(MONTH(F209)=MONTH(Q209), YEAR(F209)=YEAR(Q209))</f>
        <v/>
      </c>
      <c r="O209">
        <f>"L001-902303751"=S209</f>
        <v/>
      </c>
      <c r="P209">
        <f>G209-U209</f>
        <v/>
      </c>
      <c r="Q209" s="35" t="n">
        <v>45519</v>
      </c>
      <c r="R209" t="inlineStr"/>
      <c r="S209" t="inlineStr">
        <is>
          <t>L001-104015799</t>
        </is>
      </c>
      <c r="T209" t="inlineStr">
        <is>
          <t>យូសេន ឡូជីស្ទីក (ខេមបូឌា) ខូ អិលធីឌី</t>
        </is>
      </c>
      <c r="U209" t="n">
        <v>0</v>
      </c>
      <c r="V209" t="n">
        <v>0</v>
      </c>
    </row>
    <row r="210">
      <c r="A210" t="n">
        <v>209</v>
      </c>
      <c r="B210" t="inlineStr">
        <is>
          <t>Charge from warehouse and Storage Charges</t>
        </is>
      </c>
      <c r="C210" t="inlineStr">
        <is>
          <t>កំពង់ផែស្វយ័តក្រុងព្រះសីហនុ</t>
        </is>
      </c>
      <c r="D210" t="inlineStr">
        <is>
          <t>L001-100044638</t>
        </is>
      </c>
      <c r="E210" t="inlineStr">
        <is>
          <t>048843</t>
        </is>
      </c>
      <c r="F210" t="inlineStr">
        <is>
          <t>19-03-2024</t>
        </is>
      </c>
      <c r="G210" t="n">
        <v>1402</v>
      </c>
      <c r="I210">
        <f>G210</f>
        <v/>
      </c>
      <c r="K210">
        <f>I210-G210</f>
        <v/>
      </c>
      <c r="M210">
        <f>R210=E210</f>
        <v/>
      </c>
      <c r="N210">
        <f>AND(MONTH(F210)=MONTH(Q210), YEAR(F210)=YEAR(Q210))</f>
        <v/>
      </c>
      <c r="O210">
        <f>"L001-902303751"=S210</f>
        <v/>
      </c>
      <c r="P210">
        <f>G210-U210</f>
        <v/>
      </c>
      <c r="Q210" s="35" t="n">
        <v>45519</v>
      </c>
      <c r="R210" t="inlineStr"/>
      <c r="S210" t="inlineStr">
        <is>
          <t>L001-104015799</t>
        </is>
      </c>
      <c r="T210" t="inlineStr">
        <is>
          <t>យូសេន ឡូជីស្ទីក (ខេមបូឌា) ខូ អិលធីឌី</t>
        </is>
      </c>
      <c r="U210" t="n">
        <v>0</v>
      </c>
      <c r="V210" t="n">
        <v>0</v>
      </c>
    </row>
    <row r="211">
      <c r="A211" t="n">
        <v>210</v>
      </c>
      <c r="B211" t="inlineStr">
        <is>
          <t>THC Charge, CFS Fee, Scanning Fee, CIC Fee, D/O Fee, DOC Fee, Agency Fee, Handling Fee and Ocean Freight</t>
        </is>
      </c>
      <c r="C211" t="inlineStr">
        <is>
          <t>ហ្វ្រេត ខនសិប (ខេមបូឌា)</t>
        </is>
      </c>
      <c r="D211" t="inlineStr">
        <is>
          <t>K009-901502482</t>
        </is>
      </c>
      <c r="E211" t="inlineStr">
        <is>
          <t>240223</t>
        </is>
      </c>
      <c r="F211" t="inlineStr">
        <is>
          <t>13-03-2024</t>
        </is>
      </c>
      <c r="G211" t="n">
        <v>98115</v>
      </c>
      <c r="I211">
        <f>G211</f>
        <v/>
      </c>
      <c r="K211">
        <f>I211-G211</f>
        <v/>
      </c>
      <c r="M211">
        <f>R211=E211</f>
        <v/>
      </c>
      <c r="N211">
        <f>AND(MONTH(F211)=MONTH(Q211), YEAR(F211)=YEAR(Q211))</f>
        <v/>
      </c>
      <c r="O211">
        <f>"L001-902303751"=S211</f>
        <v/>
      </c>
      <c r="P211">
        <f>G211-U211</f>
        <v/>
      </c>
      <c r="Q211" s="35" t="n">
        <v>45525</v>
      </c>
      <c r="R211" t="n">
        <v>84601</v>
      </c>
      <c r="S211" t="inlineStr">
        <is>
          <t>K009-901605081</t>
        </is>
      </c>
      <c r="T211" t="inlineStr">
        <is>
          <t>ទ្រូ ខមភែនៀន ឡូជីស្ទីក (ខេមបូឌា)</t>
        </is>
      </c>
      <c r="U211" t="n">
        <v>84601</v>
      </c>
      <c r="V211" t="n">
        <v>0</v>
      </c>
    </row>
    <row r="212">
      <c r="A212" t="n">
        <v>211</v>
      </c>
      <c r="B212" t="inlineStr">
        <is>
          <t>Customs Clearance Fee and Trucking Fee</t>
        </is>
      </c>
      <c r="C212" t="inlineStr">
        <is>
          <t>ត្រាយអ៊ែងហ្គល ឡូជីស្ទីក (ខេមបូឌា) ឯ.ក</t>
        </is>
      </c>
      <c r="D212" t="inlineStr">
        <is>
          <t>K010-902101743</t>
        </is>
      </c>
      <c r="E212" t="inlineStr">
        <is>
          <t>TAG-24-00149</t>
        </is>
      </c>
      <c r="F212" t="inlineStr">
        <is>
          <t>25-03-2024</t>
        </is>
      </c>
      <c r="G212" t="n">
        <v>32360</v>
      </c>
      <c r="I212">
        <f>G212</f>
        <v/>
      </c>
      <c r="K212">
        <f>I212-G212</f>
        <v/>
      </c>
      <c r="M212">
        <f>R212=E212</f>
        <v/>
      </c>
      <c r="N212">
        <f>AND(MONTH(F212)=MONTH(Q212), YEAR(F212)=YEAR(Q212))</f>
        <v/>
      </c>
      <c r="O212">
        <f>"L001-902303751"=S212</f>
        <v/>
      </c>
      <c r="P212">
        <f>G212-U212</f>
        <v/>
      </c>
      <c r="Q212" s="35" t="n">
        <v>45510</v>
      </c>
      <c r="R212" t="n">
        <v>189014</v>
      </c>
      <c r="S212" t="inlineStr">
        <is>
          <t>K009-901605081</t>
        </is>
      </c>
      <c r="T212" t="inlineStr">
        <is>
          <t>ទ្រូ ខមភែនៀន ឡូជីស្ទីក (ខេមបូឌា)</t>
        </is>
      </c>
      <c r="U212" t="n">
        <v>189014</v>
      </c>
      <c r="V212" t="n">
        <v>0</v>
      </c>
    </row>
    <row r="213">
      <c r="A213" t="n">
        <v>212</v>
      </c>
      <c r="B213" t="inlineStr">
        <is>
          <t>Lift-On &amp; Lift-Off</t>
        </is>
      </c>
      <c r="C213" t="inlineStr">
        <is>
          <t>កំពង់ផែស្វយ័តក្រុងព្រះសីហនុ</t>
        </is>
      </c>
      <c r="D213" t="inlineStr">
        <is>
          <t>L001-100044638</t>
        </is>
      </c>
      <c r="E213" t="inlineStr">
        <is>
          <t>051590</t>
        </is>
      </c>
      <c r="F213" t="inlineStr">
        <is>
          <t>22-03-2024</t>
        </is>
      </c>
      <c r="G213" t="n">
        <v>23074</v>
      </c>
      <c r="I213">
        <f>G213</f>
        <v/>
      </c>
      <c r="K213">
        <f>I213-G213</f>
        <v/>
      </c>
      <c r="M213">
        <f>R213=E213</f>
        <v/>
      </c>
      <c r="N213">
        <f>AND(MONTH(F213)=MONTH(Q213), YEAR(F213)=YEAR(Q213))</f>
        <v/>
      </c>
      <c r="O213">
        <f>"L001-902303751"=S213</f>
        <v/>
      </c>
      <c r="P213">
        <f>G213-U213</f>
        <v/>
      </c>
      <c r="Q213" s="35" t="n">
        <v>45516</v>
      </c>
      <c r="R213" t="n">
        <v>2232865</v>
      </c>
      <c r="S213" t="inlineStr">
        <is>
          <t>K009-901605081</t>
        </is>
      </c>
      <c r="T213" t="inlineStr">
        <is>
          <t>ទ្រូ ខមភែនៀន ឡូជីស្ទីក (ខេមបូឌា)</t>
        </is>
      </c>
      <c r="U213" t="n">
        <v>2232865</v>
      </c>
      <c r="V213" t="n">
        <v>0</v>
      </c>
    </row>
    <row r="214">
      <c r="A214" t="n">
        <v>213</v>
      </c>
      <c r="B214" t="inlineStr">
        <is>
          <t>Terminal Handling Charge, CFS FEE, Scanner Fee, CIC Fee, Agency Fee, D/O Fee, Documentation Fee, Handling Fee, Ex-work charge and Ocean Freight Charge</t>
        </is>
      </c>
      <c r="C214" t="inlineStr">
        <is>
          <t>ភី.ដាប់បែលយូ. ស្កេនវែល ឡូជីស្ទីក (ខេមបូឌា)</t>
        </is>
      </c>
      <c r="D214" t="inlineStr">
        <is>
          <t>K002-107011379</t>
        </is>
      </c>
      <c r="E214" t="inlineStr">
        <is>
          <t>240300065</t>
        </is>
      </c>
      <c r="F214" t="inlineStr">
        <is>
          <t>19-03-2024</t>
        </is>
      </c>
      <c r="G214" t="n">
        <v>618008</v>
      </c>
      <c r="I214">
        <f>G214</f>
        <v/>
      </c>
      <c r="K214">
        <f>I214-G214</f>
        <v/>
      </c>
      <c r="M214">
        <f>R214=E214</f>
        <v/>
      </c>
      <c r="N214">
        <f>AND(MONTH(F214)=MONTH(Q214), YEAR(F214)=YEAR(Q214))</f>
        <v/>
      </c>
      <c r="O214">
        <f>"L001-902303751"=S214</f>
        <v/>
      </c>
      <c r="P214">
        <f>G214-U214</f>
        <v/>
      </c>
      <c r="Q214" s="35" t="n">
        <v>45519</v>
      </c>
      <c r="R214" t="n">
        <v>84746</v>
      </c>
      <c r="S214" t="inlineStr">
        <is>
          <t>L001-104015799</t>
        </is>
      </c>
      <c r="T214" t="inlineStr">
        <is>
          <t>យូសេន ឡូជីស្ទីក (ខេមបូឌា) ខូ អិលធីឌី</t>
        </is>
      </c>
      <c r="U214" t="n">
        <v>84746</v>
      </c>
      <c r="V214" t="n">
        <v>0</v>
      </c>
    </row>
    <row r="215">
      <c r="A215" t="n">
        <v>214</v>
      </c>
      <c r="B215" t="inlineStr">
        <is>
          <t>Gate Fee Charge</t>
        </is>
      </c>
      <c r="C215" t="inlineStr">
        <is>
          <t>កំពង់ផែស្វយ័តភ្នំពេញ "ក.ស.ភ"</t>
        </is>
      </c>
      <c r="D215" t="inlineStr">
        <is>
          <t>L001-100044999</t>
        </is>
      </c>
      <c r="E215" t="inlineStr">
        <is>
          <t>INV20240315856</t>
        </is>
      </c>
      <c r="F215" t="inlineStr">
        <is>
          <t>22-03-2024</t>
        </is>
      </c>
      <c r="G215" t="n">
        <v>810</v>
      </c>
      <c r="I215">
        <f>G215</f>
        <v/>
      </c>
      <c r="K215">
        <f>I215-G215</f>
        <v/>
      </c>
      <c r="M215">
        <f>R215=E215</f>
        <v/>
      </c>
      <c r="N215">
        <f>AND(MONTH(F215)=MONTH(Q215), YEAR(F215)=YEAR(Q215))</f>
        <v/>
      </c>
      <c r="O215">
        <f>"L001-902303751"=S215</f>
        <v/>
      </c>
      <c r="P215">
        <f>G215-U215</f>
        <v/>
      </c>
      <c r="Q215" s="35" t="n">
        <v>45512</v>
      </c>
      <c r="R215" t="n">
        <v>188830</v>
      </c>
      <c r="S215" t="inlineStr">
        <is>
          <t>K009-901605081</t>
        </is>
      </c>
      <c r="T215" t="inlineStr">
        <is>
          <t>ទ្រូ ខមភែនៀន ឡូជីស្ទីក (ខេមបូឌា)</t>
        </is>
      </c>
      <c r="U215" t="n">
        <v>188830</v>
      </c>
      <c r="V215" t="n">
        <v>0</v>
      </c>
    </row>
    <row r="216">
      <c r="A216" t="n">
        <v>215</v>
      </c>
      <c r="B216" t="inlineStr">
        <is>
          <t>Customs Declaration, CPF and Transport Doc Fee</t>
        </is>
      </c>
      <c r="C216" t="inlineStr">
        <is>
          <t>ត្រាយអ៊ែងហ្គល ឡូជីស្ទីក (ខេមបូឌា) ឯ.ក</t>
        </is>
      </c>
      <c r="D216" t="inlineStr">
        <is>
          <t>K010-902101743</t>
        </is>
      </c>
      <c r="E216" t="inlineStr">
        <is>
          <t>TAG-24-00151</t>
        </is>
      </c>
      <c r="F216" t="inlineStr">
        <is>
          <t>25-03-2024</t>
        </is>
      </c>
      <c r="G216" t="n">
        <v>32360</v>
      </c>
      <c r="I216">
        <f>G216</f>
        <v/>
      </c>
      <c r="K216">
        <f>I216-G216</f>
        <v/>
      </c>
      <c r="M216">
        <f>R216=E216</f>
        <v/>
      </c>
      <c r="N216">
        <f>AND(MONTH(F216)=MONTH(Q216), YEAR(F216)=YEAR(Q216))</f>
        <v/>
      </c>
      <c r="O216">
        <f>"L001-902303751"=S216</f>
        <v/>
      </c>
      <c r="P216">
        <f>G216-U216</f>
        <v/>
      </c>
      <c r="Q216" s="35" t="n">
        <v>45512</v>
      </c>
      <c r="R216" t="n">
        <v>2237225</v>
      </c>
      <c r="S216" t="inlineStr">
        <is>
          <t>K009-901605081</t>
        </is>
      </c>
      <c r="T216" t="inlineStr">
        <is>
          <t>ទ្រូ ខមភែនៀន ឡូជីស្ទីក (ខេមបូឌា)</t>
        </is>
      </c>
      <c r="U216" t="n">
        <v>2237225</v>
      </c>
      <c r="V216" t="n">
        <v>0</v>
      </c>
    </row>
    <row r="217">
      <c r="A217" t="n">
        <v>216</v>
      </c>
      <c r="B217" t="inlineStr">
        <is>
          <t>Charge from warehouse and Storage Charges</t>
        </is>
      </c>
      <c r="C217" t="inlineStr">
        <is>
          <t>កំពង់ផែស្វយ័តក្រុងព្រះសីហនុ</t>
        </is>
      </c>
      <c r="D217" t="inlineStr">
        <is>
          <t>L001-100044638</t>
        </is>
      </c>
      <c r="E217" t="inlineStr">
        <is>
          <t>049376</t>
        </is>
      </c>
      <c r="F217" t="inlineStr">
        <is>
          <t>19-03-2024</t>
        </is>
      </c>
      <c r="G217" t="n">
        <v>983</v>
      </c>
      <c r="I217">
        <f>G217</f>
        <v/>
      </c>
      <c r="K217">
        <f>I217-G217</f>
        <v/>
      </c>
      <c r="M217">
        <f>R217=E217</f>
        <v/>
      </c>
      <c r="N217">
        <f>AND(MONTH(F217)=MONTH(Q217), YEAR(F217)=YEAR(Q217))</f>
        <v/>
      </c>
      <c r="O217">
        <f>"L001-902303751"=S217</f>
        <v/>
      </c>
      <c r="P217">
        <f>G217-U217</f>
        <v/>
      </c>
      <c r="Q217" s="35" t="n">
        <v>45531</v>
      </c>
      <c r="R217" t="n">
        <v>84353</v>
      </c>
      <c r="S217" t="inlineStr">
        <is>
          <t>K007-901702732</t>
        </is>
      </c>
      <c r="T217" t="inlineStr">
        <is>
          <t>គ្លូប៊ល ស៊ី &amp; លែន ឯ.ក</t>
        </is>
      </c>
      <c r="U217" t="n">
        <v>84353</v>
      </c>
      <c r="V217" t="n">
        <v>0</v>
      </c>
    </row>
    <row r="218">
      <c r="A218" t="n">
        <v>217</v>
      </c>
      <c r="B218" t="inlineStr">
        <is>
          <t>Import Shipment Expense</t>
        </is>
      </c>
      <c r="C218" t="inlineStr">
        <is>
          <t>អូរៀនថល ឡូជីស្ទីក &amp; ឌីស្ទ្រីប៊្យូសិន (ខេមបូឌា)</t>
        </is>
      </c>
      <c r="D218" t="inlineStr">
        <is>
          <t>L001-103007369</t>
        </is>
      </c>
      <c r="E218" t="inlineStr">
        <is>
          <t>24-2510</t>
        </is>
      </c>
      <c r="F218" t="inlineStr">
        <is>
          <t>11-03-2024</t>
        </is>
      </c>
      <c r="G218" t="n">
        <v>28385</v>
      </c>
      <c r="I218">
        <f>G218</f>
        <v/>
      </c>
      <c r="K218">
        <f>I218-G218</f>
        <v/>
      </c>
      <c r="M218">
        <f>R218=E218</f>
        <v/>
      </c>
      <c r="N218">
        <f>AND(MONTH(F218)=MONTH(Q218), YEAR(F218)=YEAR(Q218))</f>
        <v/>
      </c>
      <c r="O218">
        <f>"L001-902303751"=S218</f>
        <v/>
      </c>
      <c r="P218">
        <f>G218-U218</f>
        <v/>
      </c>
      <c r="Q218" s="35" t="n">
        <v>45510</v>
      </c>
      <c r="R218" t="n">
        <v>2239405</v>
      </c>
      <c r="S218" t="inlineStr">
        <is>
          <t>K009-901605081</t>
        </is>
      </c>
      <c r="T218" t="inlineStr">
        <is>
          <t>ទ្រូ ខមភែនៀន ឡូជីស្ទីក (ខេមបូឌា)</t>
        </is>
      </c>
      <c r="U218" t="n">
        <v>2239405</v>
      </c>
      <c r="V218" t="n">
        <v>0</v>
      </c>
    </row>
    <row r="219">
      <c r="A219" t="n">
        <v>218</v>
      </c>
      <c r="B219" t="inlineStr">
        <is>
          <t>Import Shipment Expense</t>
        </is>
      </c>
      <c r="C219" t="inlineStr">
        <is>
          <t>អូរៀនថល ឡូជីស្ទីក &amp; ឌីស្ទ្រីប៊្យូសិន (ខេមបូឌា)</t>
        </is>
      </c>
      <c r="D219" t="inlineStr">
        <is>
          <t>L001-103007369</t>
        </is>
      </c>
      <c r="E219" t="inlineStr">
        <is>
          <t>24-2509</t>
        </is>
      </c>
      <c r="F219" t="inlineStr">
        <is>
          <t>11-03-2024</t>
        </is>
      </c>
      <c r="G219" t="n">
        <v>53121</v>
      </c>
      <c r="I219">
        <f>G219</f>
        <v/>
      </c>
      <c r="K219">
        <f>I219-G219</f>
        <v/>
      </c>
      <c r="M219">
        <f>R219=E219</f>
        <v/>
      </c>
      <c r="N219">
        <f>AND(MONTH(F219)=MONTH(Q219), YEAR(F219)=YEAR(Q219))</f>
        <v/>
      </c>
      <c r="O219">
        <f>"L001-902303751"=S219</f>
        <v/>
      </c>
      <c r="P219">
        <f>G219-U219</f>
        <v/>
      </c>
      <c r="Q219" s="35" t="n">
        <v>45530</v>
      </c>
      <c r="R219" t="n">
        <v>2224145</v>
      </c>
      <c r="S219" t="inlineStr">
        <is>
          <t>K009-901605081</t>
        </is>
      </c>
      <c r="T219" t="inlineStr">
        <is>
          <t>ទ្រូ ខមភែនៀន ឡូជីស្ទីក (ខេមបូឌា)</t>
        </is>
      </c>
      <c r="U219" t="n">
        <v>2224145</v>
      </c>
      <c r="V219" t="n">
        <v>0</v>
      </c>
    </row>
    <row r="220">
      <c r="A220" t="n">
        <v>219</v>
      </c>
      <c r="B220" t="inlineStr">
        <is>
          <t>THC Fee, D/O Fee, Document Fee, EQ Management Fee, Agency Fee and CIC</t>
        </is>
      </c>
      <c r="C220" t="inlineStr">
        <is>
          <t>ត្រាយអ៊ែងហ្គល ឡូជីស្ទីក (ខេមបូឌា) ឯ.ក</t>
        </is>
      </c>
      <c r="D220" t="inlineStr">
        <is>
          <t>K010-902101743</t>
        </is>
      </c>
      <c r="E220" t="inlineStr">
        <is>
          <t>TAG-24-00105</t>
        </is>
      </c>
      <c r="F220" t="inlineStr">
        <is>
          <t>15-03-2024</t>
        </is>
      </c>
      <c r="G220" t="n">
        <v>153824</v>
      </c>
      <c r="I220">
        <f>G220</f>
        <v/>
      </c>
      <c r="K220">
        <f>I220-G220</f>
        <v/>
      </c>
      <c r="M220">
        <f>R220=E220</f>
        <v/>
      </c>
      <c r="N220">
        <f>AND(MONTH(F220)=MONTH(Q220), YEAR(F220)=YEAR(Q220))</f>
        <v/>
      </c>
      <c r="O220">
        <f>"L001-902303751"=S220</f>
        <v/>
      </c>
      <c r="P220">
        <f>G220-U220</f>
        <v/>
      </c>
      <c r="Q220" s="35" t="n">
        <v>45510</v>
      </c>
      <c r="R220" t="n">
        <v>131488</v>
      </c>
      <c r="S220" t="inlineStr">
        <is>
          <t>L001-100098134</t>
        </is>
      </c>
      <c r="T220" t="inlineStr">
        <is>
          <t>បុងកាហ្វេ (ខេមបូឌា)</t>
        </is>
      </c>
      <c r="U220" t="n">
        <v>131488</v>
      </c>
      <c r="V220" t="n">
        <v>0</v>
      </c>
    </row>
    <row r="221">
      <c r="A221" t="n">
        <v>220</v>
      </c>
      <c r="B221" t="inlineStr">
        <is>
          <t>Customs Clearance Fee and Trucking Fee</t>
        </is>
      </c>
      <c r="C221" t="inlineStr">
        <is>
          <t>ត្រាយអ៊ែងហ្គល ឡូជីស្ទីក (ខេមបូឌា) ឯ.ក</t>
        </is>
      </c>
      <c r="D221" t="inlineStr">
        <is>
          <t>K010-902101743</t>
        </is>
      </c>
      <c r="E221" t="inlineStr">
        <is>
          <t>TAG-24-00140</t>
        </is>
      </c>
      <c r="F221" t="inlineStr">
        <is>
          <t>22-03-2024</t>
        </is>
      </c>
      <c r="G221" t="n">
        <v>28336</v>
      </c>
      <c r="I221">
        <f>G221</f>
        <v/>
      </c>
      <c r="K221">
        <f>I221-G221</f>
        <v/>
      </c>
      <c r="M221">
        <f>R221=E221</f>
        <v/>
      </c>
      <c r="N221">
        <f>AND(MONTH(F221)=MONTH(Q221), YEAR(F221)=YEAR(Q221))</f>
        <v/>
      </c>
      <c r="O221">
        <f>"L001-902303751"=S221</f>
        <v/>
      </c>
      <c r="P221">
        <f>G221-U221</f>
        <v/>
      </c>
      <c r="Q221" s="35" t="n">
        <v>45510</v>
      </c>
      <c r="R221" t="n">
        <v>9451</v>
      </c>
      <c r="S221" t="inlineStr">
        <is>
          <t>L001-100098134</t>
        </is>
      </c>
      <c r="T221" t="inlineStr">
        <is>
          <t>បុងកាហ្វេ (ខេមបូឌា)</t>
        </is>
      </c>
      <c r="U221" t="n">
        <v>9451</v>
      </c>
      <c r="V221" t="n">
        <v>0</v>
      </c>
    </row>
    <row r="222">
      <c r="A222" t="n">
        <v>221</v>
      </c>
      <c r="B222" t="inlineStr">
        <is>
          <t>Terminal Handling Charge, CFS Fee, Scan Fee, D/O Fee, Document Fee, Handling Fee, Co-Loader Agency Fee and LSS Charge</t>
        </is>
      </c>
      <c r="C222" t="inlineStr">
        <is>
          <t>ត្រាយអ៊ែងហ្គល ឡូជីស្ទីក (ខេមបូឌា) ឯ.ក</t>
        </is>
      </c>
      <c r="D222" t="inlineStr">
        <is>
          <t>K010-902101743</t>
        </is>
      </c>
      <c r="E222" t="inlineStr">
        <is>
          <t>TAG-24-00141</t>
        </is>
      </c>
      <c r="F222" t="inlineStr">
        <is>
          <t>25-03-2024</t>
        </is>
      </c>
      <c r="G222" t="n">
        <v>241288</v>
      </c>
      <c r="I222">
        <f>G222</f>
        <v/>
      </c>
      <c r="K222">
        <f>I222-G222</f>
        <v/>
      </c>
      <c r="M222">
        <f>R222=E222</f>
        <v/>
      </c>
      <c r="N222">
        <f>AND(MONTH(F222)=MONTH(Q222), YEAR(F222)=YEAR(Q222))</f>
        <v/>
      </c>
      <c r="O222">
        <f>"L001-902303751"=S222</f>
        <v/>
      </c>
      <c r="P222">
        <f>G222-U222</f>
        <v/>
      </c>
      <c r="Q222" s="35" t="n">
        <v>45530</v>
      </c>
      <c r="R222" t="n">
        <v>187726</v>
      </c>
      <c r="S222" t="inlineStr">
        <is>
          <t>K009-901605081</t>
        </is>
      </c>
      <c r="T222" t="inlineStr">
        <is>
          <t>ទ្រូ ខមភែនៀន ឡូជីស្ទីក (ខេមបូឌា)</t>
        </is>
      </c>
      <c r="U222" t="n">
        <v>187726</v>
      </c>
      <c r="V222" t="n">
        <v>0</v>
      </c>
    </row>
    <row r="223">
      <c r="A223" t="n">
        <v>222</v>
      </c>
      <c r="B223" t="inlineStr">
        <is>
          <t>Customs Clearance Fee and Trucking Fee</t>
        </is>
      </c>
      <c r="C223" t="inlineStr">
        <is>
          <t>ត្រាយអ៊ែងហ្គល ឡូជីស្ទីក (ខេមបូឌា) ឯ.ក</t>
        </is>
      </c>
      <c r="D223" t="inlineStr">
        <is>
          <t>K010-902101743</t>
        </is>
      </c>
      <c r="E223" t="inlineStr">
        <is>
          <t>TAG-24-00155</t>
        </is>
      </c>
      <c r="F223" t="inlineStr">
        <is>
          <t>25-03-2024</t>
        </is>
      </c>
      <c r="G223" t="n">
        <v>32360</v>
      </c>
      <c r="I223">
        <f>G223</f>
        <v/>
      </c>
      <c r="K223">
        <f>I223-G223</f>
        <v/>
      </c>
      <c r="M223">
        <f>R223=E223</f>
        <v/>
      </c>
      <c r="N223">
        <f>AND(MONTH(F223)=MONTH(Q223), YEAR(F223)=YEAR(Q223))</f>
        <v/>
      </c>
      <c r="O223">
        <f>"L001-902303751"=S223</f>
        <v/>
      </c>
      <c r="P223">
        <f>G223-U223</f>
        <v/>
      </c>
      <c r="Q223" s="35" t="n">
        <v>45525</v>
      </c>
      <c r="R223" t="n">
        <v>84601</v>
      </c>
      <c r="S223" t="inlineStr">
        <is>
          <t>K009-901605081</t>
        </is>
      </c>
      <c r="T223" t="inlineStr">
        <is>
          <t>ទ្រូ ខមភែនៀន ឡូជីស្ទីក (ខេមបូឌា)</t>
        </is>
      </c>
      <c r="U223" t="n">
        <v>84601</v>
      </c>
      <c r="V223" t="n">
        <v>0</v>
      </c>
    </row>
    <row r="224">
      <c r="A224" t="n">
        <v>223</v>
      </c>
      <c r="B224" t="inlineStr">
        <is>
          <t>Charge from warehouse</t>
        </is>
      </c>
      <c r="C224" t="inlineStr">
        <is>
          <t>កំពង់ផែស្វយ័តក្រុងព្រះសីហនុ</t>
        </is>
      </c>
      <c r="D224" t="inlineStr">
        <is>
          <t>L001-100044638</t>
        </is>
      </c>
      <c r="E224" t="inlineStr">
        <is>
          <t>051174</t>
        </is>
      </c>
      <c r="F224" t="inlineStr">
        <is>
          <t>21-03-2024</t>
        </is>
      </c>
      <c r="G224" t="n">
        <v>618</v>
      </c>
      <c r="I224">
        <f>G224</f>
        <v/>
      </c>
      <c r="K224">
        <f>I224-G224</f>
        <v/>
      </c>
      <c r="M224">
        <f>R224=E224</f>
        <v/>
      </c>
      <c r="N224">
        <f>AND(MONTH(F224)=MONTH(Q224), YEAR(F224)=YEAR(Q224))</f>
        <v/>
      </c>
      <c r="O224">
        <f>"L001-902303751"=S224</f>
        <v/>
      </c>
      <c r="P224">
        <f>G224-U224</f>
        <v/>
      </c>
      <c r="Q224" s="35" t="n">
        <v>45537</v>
      </c>
      <c r="R224" t="n">
        <v>186714</v>
      </c>
      <c r="S224" t="inlineStr">
        <is>
          <t>K009-901605081</t>
        </is>
      </c>
      <c r="T224" t="inlineStr">
        <is>
          <t>ទ្រូ ខមភែនៀន ឡូជីស្ទីក (ខេមបូឌា)</t>
        </is>
      </c>
      <c r="U224" t="n">
        <v>186714</v>
      </c>
      <c r="V224" t="n">
        <v>0</v>
      </c>
    </row>
    <row r="225">
      <c r="A225" t="n">
        <v>224</v>
      </c>
      <c r="B225" t="inlineStr">
        <is>
          <t>Import Shipment Expense</t>
        </is>
      </c>
      <c r="C225" t="inlineStr">
        <is>
          <t>អូរៀនថល ឡូជីស្ទីក &amp; ឌីស្ទ្រីប៊្យូសិន (ខេមបូឌា)</t>
        </is>
      </c>
      <c r="D225" t="inlineStr">
        <is>
          <t>L001-103007369</t>
        </is>
      </c>
      <c r="E225" t="inlineStr">
        <is>
          <t>24-1877</t>
        </is>
      </c>
      <c r="F225" t="inlineStr">
        <is>
          <t>18-03-2024</t>
        </is>
      </c>
      <c r="G225" t="n">
        <v>53147</v>
      </c>
      <c r="I225">
        <f>G225</f>
        <v/>
      </c>
      <c r="K225">
        <f>I225-G225</f>
        <v/>
      </c>
      <c r="M225">
        <f>R225=E225</f>
        <v/>
      </c>
      <c r="N225">
        <f>AND(MONTH(F225)=MONTH(Q225), YEAR(F225)=YEAR(Q225))</f>
        <v/>
      </c>
      <c r="O225">
        <f>"L001-902303751"=S225</f>
        <v/>
      </c>
      <c r="P225">
        <f>G225-U225</f>
        <v/>
      </c>
      <c r="Q225" s="35" t="n">
        <v>45561</v>
      </c>
      <c r="R225" t="inlineStr"/>
      <c r="S225" t="inlineStr">
        <is>
          <t>K009-901605081</t>
        </is>
      </c>
      <c r="T225" t="inlineStr">
        <is>
          <t>ទ្រូ ខមភែនៀន ឡូជីស្ទីក (ខេមបូឌា)</t>
        </is>
      </c>
      <c r="U225" t="n">
        <v>0</v>
      </c>
      <c r="V225" t="n">
        <v>0</v>
      </c>
    </row>
    <row r="226">
      <c r="A226" t="n">
        <v>225</v>
      </c>
      <c r="B226" t="inlineStr">
        <is>
          <t>Customs Clearance Fee and Trucking Fee</t>
        </is>
      </c>
      <c r="C226" t="inlineStr">
        <is>
          <t>ត្រាយអ៊ែងហ្គល ឡូជីស្ទីក (ខេមបូឌា) ឯ.ក</t>
        </is>
      </c>
      <c r="D226" t="inlineStr">
        <is>
          <t>K010-902101743</t>
        </is>
      </c>
      <c r="E226" t="inlineStr">
        <is>
          <t>TAG-24-00163</t>
        </is>
      </c>
      <c r="F226" t="inlineStr">
        <is>
          <t>25-03-2024</t>
        </is>
      </c>
      <c r="G226" t="n">
        <v>37361</v>
      </c>
      <c r="I226">
        <f>G226</f>
        <v/>
      </c>
      <c r="K226">
        <f>I226-G226</f>
        <v/>
      </c>
      <c r="M226">
        <f>R226=E226</f>
        <v/>
      </c>
      <c r="N226">
        <f>AND(MONTH(F226)=MONTH(Q226), YEAR(F226)=YEAR(Q226))</f>
        <v/>
      </c>
      <c r="O226">
        <f>"L001-902303751"=S226</f>
        <v/>
      </c>
      <c r="P226">
        <f>G226-U226</f>
        <v/>
      </c>
      <c r="Q226" s="35" t="n">
        <v>45558</v>
      </c>
      <c r="R226" t="n">
        <v>84104</v>
      </c>
      <c r="S226" t="inlineStr">
        <is>
          <t>L001-104015799</t>
        </is>
      </c>
      <c r="T226" t="inlineStr">
        <is>
          <t>យូសេន ឡូជីស្ទីក (ខេមបូឌា) ខូ អិលធីឌី</t>
        </is>
      </c>
      <c r="U226" t="n">
        <v>84104</v>
      </c>
      <c r="V226" t="n">
        <v>0</v>
      </c>
    </row>
    <row r="227">
      <c r="A227" t="n">
        <v>226</v>
      </c>
      <c r="B227" t="inlineStr">
        <is>
          <t>Charge from warehouse and Storage Charges</t>
        </is>
      </c>
      <c r="C227" t="inlineStr">
        <is>
          <t>កំពង់ផែស្វយ័តក្រុងព្រះសីហនុ</t>
        </is>
      </c>
      <c r="D227" t="inlineStr">
        <is>
          <t>L001-100044638</t>
        </is>
      </c>
      <c r="E227" t="inlineStr">
        <is>
          <t>053742</t>
        </is>
      </c>
      <c r="F227" t="inlineStr">
        <is>
          <t>27-03-2024</t>
        </is>
      </c>
      <c r="G227" t="n">
        <v>2219</v>
      </c>
      <c r="I227">
        <f>G227</f>
        <v/>
      </c>
      <c r="K227">
        <f>I227-G227</f>
        <v/>
      </c>
      <c r="M227">
        <f>R227=E227</f>
        <v/>
      </c>
      <c r="N227">
        <f>AND(MONTH(F227)=MONTH(Q227), YEAR(F227)=YEAR(Q227))</f>
        <v/>
      </c>
      <c r="O227">
        <f>"L001-902303751"=S227</f>
        <v/>
      </c>
      <c r="P227">
        <f>G227-U227</f>
        <v/>
      </c>
      <c r="Q227" s="35" t="n">
        <v>45558</v>
      </c>
      <c r="R227" t="n">
        <v>112545</v>
      </c>
      <c r="S227" t="inlineStr">
        <is>
          <t>L001-104015799</t>
        </is>
      </c>
      <c r="T227" t="inlineStr">
        <is>
          <t>យូសេន ឡូជីស្ទីក (ខេមបូឌា) ខូ អិលធីឌី</t>
        </is>
      </c>
      <c r="U227" t="n">
        <v>112545</v>
      </c>
      <c r="V227" t="n">
        <v>0</v>
      </c>
    </row>
    <row r="228">
      <c r="A228" t="n">
        <v>227</v>
      </c>
      <c r="B228" t="inlineStr">
        <is>
          <t>Customs Clearance Fee and Trucking Fee</t>
        </is>
      </c>
      <c r="C228" t="inlineStr">
        <is>
          <t>ត្រាយអ៊ែងហ្គល ឡូជីស្ទីក (ខេមបូឌា) ឯ.ក</t>
        </is>
      </c>
      <c r="D228" t="inlineStr">
        <is>
          <t>K010-902101743</t>
        </is>
      </c>
      <c r="E228" t="inlineStr">
        <is>
          <t>TAG-24-00107</t>
        </is>
      </c>
      <c r="F228" t="inlineStr">
        <is>
          <t>19-03-2024</t>
        </is>
      </c>
      <c r="G228" t="n">
        <v>116446</v>
      </c>
      <c r="I228">
        <f>G228</f>
        <v/>
      </c>
      <c r="K228">
        <f>I228-G228</f>
        <v/>
      </c>
      <c r="M228">
        <f>R228=E228</f>
        <v/>
      </c>
      <c r="N228">
        <f>AND(MONTH(F228)=MONTH(Q228), YEAR(F228)=YEAR(Q228))</f>
        <v/>
      </c>
      <c r="O228">
        <f>"L001-902303751"=S228</f>
        <v/>
      </c>
      <c r="P228">
        <f>G228-U228</f>
        <v/>
      </c>
      <c r="Q228" s="35" t="n">
        <v>45558</v>
      </c>
      <c r="R228" t="inlineStr"/>
      <c r="S228" t="inlineStr">
        <is>
          <t>L001-104015799</t>
        </is>
      </c>
      <c r="T228" t="inlineStr">
        <is>
          <t>យូសេន ឡូជីស្ទីក (ខេមបូឌា) ខូ អិលធីឌី</t>
        </is>
      </c>
      <c r="U228" t="n">
        <v>0</v>
      </c>
      <c r="V228" t="n">
        <v>0</v>
      </c>
    </row>
    <row r="229">
      <c r="A229" t="n">
        <v>228</v>
      </c>
      <c r="B229" t="inlineStr">
        <is>
          <t>Customs Clearance Fee and Trucking Fee</t>
        </is>
      </c>
      <c r="C229" t="inlineStr">
        <is>
          <t>ត្រាយអ៊ែងហ្គល ឡូជីស្ទីក (ខេមបូឌា) ឯ.ក</t>
        </is>
      </c>
      <c r="D229" t="inlineStr">
        <is>
          <t>K010-902101743</t>
        </is>
      </c>
      <c r="E229" t="inlineStr">
        <is>
          <t>TAG-24-00158</t>
        </is>
      </c>
      <c r="F229" t="inlineStr">
        <is>
          <t>25-03-2024</t>
        </is>
      </c>
      <c r="G229" t="n">
        <v>59057</v>
      </c>
      <c r="I229">
        <f>G229</f>
        <v/>
      </c>
      <c r="K229">
        <f>I229-G229</f>
        <v/>
      </c>
      <c r="M229">
        <f>R229=E229</f>
        <v/>
      </c>
      <c r="N229">
        <f>AND(MONTH(F229)=MONTH(Q229), YEAR(F229)=YEAR(Q229))</f>
        <v/>
      </c>
      <c r="O229">
        <f>"L001-902303751"=S229</f>
        <v/>
      </c>
      <c r="P229">
        <f>G229-U229</f>
        <v/>
      </c>
      <c r="Q229" s="35" t="n">
        <v>45546</v>
      </c>
      <c r="R229" t="n">
        <v>84125</v>
      </c>
      <c r="S229" t="inlineStr">
        <is>
          <t>K003-901635943</t>
        </is>
      </c>
      <c r="T229" t="inlineStr">
        <is>
          <t>អ៊ីឃ្យូឡាញ វើលវ៉ាយដ៍ ឡូជីស្ទីក</t>
        </is>
      </c>
      <c r="U229" t="n">
        <v>84125</v>
      </c>
      <c r="V229" t="n">
        <v>0</v>
      </c>
    </row>
    <row r="230">
      <c r="A230" t="n">
        <v>229</v>
      </c>
      <c r="B230" t="inlineStr">
        <is>
          <t>Charge from warehouse and Storage Charges</t>
        </is>
      </c>
      <c r="C230" t="inlineStr">
        <is>
          <t>កំពង់ផែស្វយ័តក្រុងព្រះសីហនុ</t>
        </is>
      </c>
      <c r="D230" t="inlineStr">
        <is>
          <t>L001-100044638</t>
        </is>
      </c>
      <c r="E230" t="inlineStr">
        <is>
          <t>053744</t>
        </is>
      </c>
      <c r="F230" t="inlineStr">
        <is>
          <t>27-03-2024</t>
        </is>
      </c>
      <c r="G230" t="n">
        <v>3902</v>
      </c>
      <c r="I230">
        <f>G230</f>
        <v/>
      </c>
      <c r="K230">
        <f>I230-G230</f>
        <v/>
      </c>
      <c r="M230">
        <f>R230=E230</f>
        <v/>
      </c>
      <c r="N230">
        <f>AND(MONTH(F230)=MONTH(Q230), YEAR(F230)=YEAR(Q230))</f>
        <v/>
      </c>
      <c r="O230">
        <f>"L001-902303751"=S230</f>
        <v/>
      </c>
      <c r="P230">
        <f>G230-U230</f>
        <v/>
      </c>
      <c r="Q230" s="35" t="n">
        <v>45546</v>
      </c>
      <c r="R230" t="n">
        <v>2214880</v>
      </c>
      <c r="S230" t="inlineStr">
        <is>
          <t>K009-901605081</t>
        </is>
      </c>
      <c r="T230" t="inlineStr">
        <is>
          <t>ទ្រូ ខមភែនៀន ឡូជីស្ទីក (ខេមបូឌា)</t>
        </is>
      </c>
      <c r="U230" t="n">
        <v>2214880</v>
      </c>
      <c r="V230" t="n">
        <v>0</v>
      </c>
    </row>
    <row r="231">
      <c r="A231" t="n">
        <v>230</v>
      </c>
      <c r="B231" t="inlineStr">
        <is>
          <t>Terminal Handling Charge, Container Freight Station, Scanning Fee, Container Imbalance Charge, Agency Fee, Delivery Order, Document Fee and Admin Fee</t>
        </is>
      </c>
      <c r="C231" t="inlineStr">
        <is>
          <t>អឹឡាយអិន ហ្វ័រវើឌីង (ខេមបូឌា) ឯ.ក</t>
        </is>
      </c>
      <c r="D231" t="inlineStr">
        <is>
          <t>K005-901902888</t>
        </is>
      </c>
      <c r="E231" t="inlineStr">
        <is>
          <t>PPTI24-0144</t>
        </is>
      </c>
      <c r="F231" t="inlineStr">
        <is>
          <t>18-03-2024</t>
        </is>
      </c>
      <c r="G231" t="n">
        <v>154977</v>
      </c>
      <c r="I231">
        <f>G231</f>
        <v/>
      </c>
      <c r="K231">
        <f>I231-G231</f>
        <v/>
      </c>
      <c r="M231">
        <f>R231=E231</f>
        <v/>
      </c>
      <c r="N231">
        <f>AND(MONTH(F231)=MONTH(Q231), YEAR(F231)=YEAR(Q231))</f>
        <v/>
      </c>
      <c r="O231">
        <f>"L001-902303751"=S231</f>
        <v/>
      </c>
      <c r="P231">
        <f>G231-U231</f>
        <v/>
      </c>
      <c r="Q231" s="35" t="n">
        <v>45548</v>
      </c>
      <c r="R231" t="n">
        <v>186622</v>
      </c>
      <c r="S231" t="inlineStr">
        <is>
          <t>K009-901605081</t>
        </is>
      </c>
      <c r="T231" t="inlineStr">
        <is>
          <t>ទ្រូ ខមភែនៀន ឡូជីស្ទីក (ខេមបូឌា)</t>
        </is>
      </c>
      <c r="U231" t="n">
        <v>186622</v>
      </c>
      <c r="V231" t="n">
        <v>0</v>
      </c>
    </row>
    <row r="232">
      <c r="A232" t="n">
        <v>231</v>
      </c>
      <c r="B232" t="inlineStr">
        <is>
          <t>Customs Clearance Fee and Trucking Fee</t>
        </is>
      </c>
      <c r="C232" t="inlineStr">
        <is>
          <t>ត្រាយអ៊ែងហ្គល ឡូជីស្ទីក (ខេមបូឌា) ឯ.ក</t>
        </is>
      </c>
      <c r="D232" t="inlineStr">
        <is>
          <t>K010-902101743</t>
        </is>
      </c>
      <c r="E232" t="inlineStr">
        <is>
          <t>TAG-24-00136</t>
        </is>
      </c>
      <c r="F232" t="inlineStr">
        <is>
          <t>22-03-2024</t>
        </is>
      </c>
      <c r="G232" t="n">
        <v>68816</v>
      </c>
      <c r="I232">
        <f>G232</f>
        <v/>
      </c>
      <c r="K232">
        <f>I232-G232</f>
        <v/>
      </c>
      <c r="M232">
        <f>R232=E232</f>
        <v/>
      </c>
      <c r="N232">
        <f>AND(MONTH(F232)=MONTH(Q232), YEAR(F232)=YEAR(Q232))</f>
        <v/>
      </c>
      <c r="O232">
        <f>"L001-902303751"=S232</f>
        <v/>
      </c>
      <c r="P232">
        <f>G232-U232</f>
        <v/>
      </c>
      <c r="Q232" s="35" t="n">
        <v>45560</v>
      </c>
      <c r="R232" t="inlineStr"/>
      <c r="S232" t="inlineStr">
        <is>
          <t>K002-901900264</t>
        </is>
      </c>
      <c r="T232" t="inlineStr">
        <is>
          <t>ហេកធ័រ ត្រេនស្ព័រថេសិន (ខេមបូឌា) ឯ.ក</t>
        </is>
      </c>
      <c r="U232" t="n">
        <v>0</v>
      </c>
      <c r="V232" t="n">
        <v>0</v>
      </c>
    </row>
    <row r="233">
      <c r="A233" t="n">
        <v>232</v>
      </c>
      <c r="B233" t="inlineStr">
        <is>
          <t>Lift-On &amp; Lift-Off</t>
        </is>
      </c>
      <c r="C233" t="inlineStr">
        <is>
          <t>កំពង់ផែស្វយ័តក្រុងព្រះសីហនុ</t>
        </is>
      </c>
      <c r="D233" t="inlineStr">
        <is>
          <t>L001-100044638</t>
        </is>
      </c>
      <c r="E233" t="inlineStr">
        <is>
          <t>047966</t>
        </is>
      </c>
      <c r="F233" t="inlineStr">
        <is>
          <t>16-03-2024</t>
        </is>
      </c>
      <c r="G233" t="n">
        <v>23074</v>
      </c>
      <c r="I233">
        <f>G233</f>
        <v/>
      </c>
      <c r="K233">
        <f>I233-G233</f>
        <v/>
      </c>
      <c r="M233">
        <f>R233=E233</f>
        <v/>
      </c>
      <c r="N233">
        <f>AND(MONTH(F233)=MONTH(Q233), YEAR(F233)=YEAR(Q233))</f>
        <v/>
      </c>
      <c r="O233">
        <f>"L001-902303751"=S233</f>
        <v/>
      </c>
      <c r="P233">
        <f>G233-U233</f>
        <v/>
      </c>
      <c r="Q233" s="35" t="n">
        <v>45546</v>
      </c>
      <c r="R233" t="n">
        <v>176378</v>
      </c>
      <c r="S233" t="inlineStr">
        <is>
          <t>L001-104015799</t>
        </is>
      </c>
      <c r="T233" t="inlineStr">
        <is>
          <t>យូសេន ឡូជីស្ទីក (ខេមបូឌា) ខូ អិលធីឌី</t>
        </is>
      </c>
      <c r="U233" t="n">
        <v>176378</v>
      </c>
      <c r="V233" t="n">
        <v>0</v>
      </c>
    </row>
    <row r="234">
      <c r="A234" t="n">
        <v>233</v>
      </c>
      <c r="B234" t="inlineStr">
        <is>
          <t>Terminal Handling Charge, EMF, 3 Party Trucking, Container Imbalance Charge, D/O Fee, Document Fee and Handling Charge</t>
        </is>
      </c>
      <c r="C234" t="inlineStr">
        <is>
          <t>ខេអិលអិន ហ្វ្រេត (ខេមបូឌា) ឯ.ក</t>
        </is>
      </c>
      <c r="D234" t="inlineStr">
        <is>
          <t>L001-100074669</t>
        </is>
      </c>
      <c r="E234" t="inlineStr">
        <is>
          <t>IVO04223</t>
        </is>
      </c>
      <c r="F234" t="inlineStr">
        <is>
          <t>19-03-2024</t>
        </is>
      </c>
      <c r="G234" t="n">
        <v>130235</v>
      </c>
      <c r="I234">
        <f>G234</f>
        <v/>
      </c>
      <c r="K234">
        <f>I234-G234</f>
        <v/>
      </c>
      <c r="M234">
        <f>R234=E234</f>
        <v/>
      </c>
      <c r="N234">
        <f>AND(MONTH(F234)=MONTH(Q234), YEAR(F234)=YEAR(Q234))</f>
        <v/>
      </c>
      <c r="O234">
        <f>"L001-902303751"=S234</f>
        <v/>
      </c>
      <c r="P234">
        <f>G234-U234</f>
        <v/>
      </c>
      <c r="Q234" s="35" t="n">
        <v>45546</v>
      </c>
      <c r="R234" t="inlineStr"/>
      <c r="S234" t="inlineStr">
        <is>
          <t>K003-901635943</t>
        </is>
      </c>
      <c r="T234" t="inlineStr">
        <is>
          <t>អ៊ីឃ្យូឡាញ វើលវ៉ាយដ៍ ឡូជីស្ទីក</t>
        </is>
      </c>
      <c r="U234" t="n">
        <v>0</v>
      </c>
      <c r="V234" t="n">
        <v>0</v>
      </c>
    </row>
    <row r="235">
      <c r="A235" t="n">
        <v>234</v>
      </c>
      <c r="B235" t="inlineStr">
        <is>
          <t>Customs Clearance Fee and Trucking Fee</t>
        </is>
      </c>
      <c r="C235" t="inlineStr">
        <is>
          <t>ត្រាយអ៊ែងហ្គល ឡូជីស្ទីក (ខេមបូឌា) ឯ.ក</t>
        </is>
      </c>
      <c r="D235" t="inlineStr">
        <is>
          <t>K010-902101743</t>
        </is>
      </c>
      <c r="E235" t="inlineStr">
        <is>
          <t>TAG-24-00197</t>
        </is>
      </c>
      <c r="F235" t="inlineStr">
        <is>
          <t>29-03-2024</t>
        </is>
      </c>
      <c r="G235" t="n">
        <v>113552</v>
      </c>
      <c r="I235">
        <f>G235</f>
        <v/>
      </c>
      <c r="K235">
        <f>I235-G235</f>
        <v/>
      </c>
      <c r="M235">
        <f>R235=E235</f>
        <v/>
      </c>
      <c r="N235">
        <f>AND(MONTH(F235)=MONTH(Q235), YEAR(F235)=YEAR(Q235))</f>
        <v/>
      </c>
      <c r="O235">
        <f>"L001-902303751"=S235</f>
        <v/>
      </c>
      <c r="P235">
        <f>G235-U235</f>
        <v/>
      </c>
      <c r="Q235" s="35" t="n">
        <v>45558</v>
      </c>
      <c r="R235" t="n">
        <v>96293</v>
      </c>
      <c r="S235" t="inlineStr">
        <is>
          <t>L001-104015799</t>
        </is>
      </c>
      <c r="T235" t="inlineStr">
        <is>
          <t>យូសេន ឡូជីស្ទីក (ខេមបូឌា) ខូ អិលធីឌី</t>
        </is>
      </c>
      <c r="U235" t="n">
        <v>96293</v>
      </c>
      <c r="V235" t="n">
        <v>0</v>
      </c>
    </row>
    <row r="236">
      <c r="A236" t="n">
        <v>235</v>
      </c>
      <c r="B236" t="inlineStr">
        <is>
          <t>Charge from Warehouse</t>
        </is>
      </c>
      <c r="C236" t="inlineStr">
        <is>
          <t>កំពង់ផែស្វយ័តក្រុងព្រះសីហនុ</t>
        </is>
      </c>
      <c r="D236" t="inlineStr">
        <is>
          <t>L001-100044638</t>
        </is>
      </c>
      <c r="E236" t="inlineStr">
        <is>
          <t>056565</t>
        </is>
      </c>
      <c r="F236" t="inlineStr">
        <is>
          <t>29-03-2024</t>
        </is>
      </c>
      <c r="G236" t="n">
        <v>3710</v>
      </c>
      <c r="I236">
        <f>G236</f>
        <v/>
      </c>
      <c r="K236">
        <f>I236-G236</f>
        <v/>
      </c>
      <c r="M236">
        <f>R236=E236</f>
        <v/>
      </c>
      <c r="N236">
        <f>AND(MONTH(F236)=MONTH(Q236), YEAR(F236)=YEAR(Q236))</f>
        <v/>
      </c>
      <c r="O236">
        <f>"L001-902303751"=S236</f>
        <v/>
      </c>
      <c r="P236">
        <f>G236-U236</f>
        <v/>
      </c>
      <c r="Q236" s="35" t="n">
        <v>45552</v>
      </c>
      <c r="R236" t="n">
        <v>83918</v>
      </c>
      <c r="S236" t="inlineStr">
        <is>
          <t>K003-901635943</t>
        </is>
      </c>
      <c r="T236" t="inlineStr">
        <is>
          <t>អ៊ីឃ្យូឡាញ វើលវ៉ាយដ៍ ឡូជីស្ទីក</t>
        </is>
      </c>
      <c r="U236" t="n">
        <v>83918</v>
      </c>
      <c r="V236" t="n">
        <v>0</v>
      </c>
    </row>
    <row r="237">
      <c r="A237" t="n">
        <v>236</v>
      </c>
      <c r="B237" t="inlineStr">
        <is>
          <t>Customs Clearance Fee and Trucking Fee</t>
        </is>
      </c>
      <c r="C237" t="inlineStr">
        <is>
          <t>ត្រាយអ៊ែងហ្គល ឡូជីស្ទីក (ខេមបូឌា) ឯ.ក</t>
        </is>
      </c>
      <c r="D237" t="inlineStr">
        <is>
          <t>K010-902101743</t>
        </is>
      </c>
      <c r="E237" t="inlineStr">
        <is>
          <t>TAG-24-00123</t>
        </is>
      </c>
      <c r="F237" t="inlineStr">
        <is>
          <t>22-03-2024</t>
        </is>
      </c>
      <c r="G237" t="n">
        <v>28336</v>
      </c>
      <c r="I237">
        <f>G237</f>
        <v/>
      </c>
      <c r="K237">
        <f>I237-G237</f>
        <v/>
      </c>
      <c r="M237">
        <f>R237=E237</f>
        <v/>
      </c>
      <c r="N237">
        <f>AND(MONTH(F237)=MONTH(Q237), YEAR(F237)=YEAR(Q237))</f>
        <v/>
      </c>
      <c r="O237">
        <f>"L001-902303751"=S237</f>
        <v/>
      </c>
      <c r="P237">
        <f>G237-U237</f>
        <v/>
      </c>
      <c r="Q237" s="35" t="n">
        <v>45552</v>
      </c>
      <c r="R237" t="inlineStr"/>
      <c r="S237" t="inlineStr">
        <is>
          <t>K003-901635943</t>
        </is>
      </c>
      <c r="T237" t="inlineStr">
        <is>
          <t>អ៊ីឃ្យូឡាញ វើលវ៉ាយដ៍ ឡូជីស្ទីក</t>
        </is>
      </c>
      <c r="U237" t="n">
        <v>0</v>
      </c>
      <c r="V237" t="n">
        <v>0</v>
      </c>
    </row>
    <row r="238">
      <c r="A238" t="n">
        <v>237</v>
      </c>
      <c r="B238" t="inlineStr">
        <is>
          <t>THC Charge, CFS Fee, Scanning Fee, CIC Fee, D/O Fee, DOC Fee, Agency Fee, Handling Fee and Ocean Freight</t>
        </is>
      </c>
      <c r="C238" t="inlineStr">
        <is>
          <t>ហ្វ្រេត ខនសិប (ខេមបូឌា)</t>
        </is>
      </c>
      <c r="D238" t="inlineStr">
        <is>
          <t>K009-901502482</t>
        </is>
      </c>
      <c r="E238" t="inlineStr">
        <is>
          <t>240195</t>
        </is>
      </c>
      <c r="F238" t="inlineStr">
        <is>
          <t>04-03-2024</t>
        </is>
      </c>
      <c r="G238" t="n">
        <v>77273</v>
      </c>
      <c r="I238">
        <f>G238</f>
        <v/>
      </c>
      <c r="K238">
        <f>I238-G238</f>
        <v/>
      </c>
      <c r="M238">
        <f>R238=E238</f>
        <v/>
      </c>
      <c r="N238">
        <f>AND(MONTH(F238)=MONTH(Q238), YEAR(F238)=YEAR(Q238))</f>
        <v/>
      </c>
      <c r="O238">
        <f>"L001-902303751"=S238</f>
        <v/>
      </c>
      <c r="P238">
        <f>G238-U238</f>
        <v/>
      </c>
      <c r="Q238" s="35" t="n">
        <v>45548</v>
      </c>
      <c r="R238" t="inlineStr"/>
      <c r="S238" t="inlineStr">
        <is>
          <t>K009-901605081</t>
        </is>
      </c>
      <c r="T238" t="inlineStr">
        <is>
          <t>ទ្រូ ខមភែនៀន ឡូជីស្ទីក (ខេមបូឌា)</t>
        </is>
      </c>
      <c r="U238" t="n">
        <v>0</v>
      </c>
      <c r="V238" t="n">
        <v>0</v>
      </c>
    </row>
    <row r="239">
      <c r="A239" t="n">
        <v>238</v>
      </c>
      <c r="B239" t="inlineStr">
        <is>
          <t>Charge from warehouse/cy to trucks</t>
        </is>
      </c>
      <c r="C239" t="inlineStr">
        <is>
          <t>កំពង់ផែស្វយ័តក្រុងព្រះសីហនុ</t>
        </is>
      </c>
      <c r="D239" t="inlineStr">
        <is>
          <t>L001-100044638</t>
        </is>
      </c>
      <c r="E239" t="inlineStr">
        <is>
          <t>043155</t>
        </is>
      </c>
      <c r="F239" t="inlineStr">
        <is>
          <t>09-03-2024</t>
        </is>
      </c>
      <c r="G239" t="n">
        <v>620</v>
      </c>
      <c r="I239">
        <f>G239</f>
        <v/>
      </c>
      <c r="K239">
        <f>I239-G239</f>
        <v/>
      </c>
      <c r="M239">
        <f>R239=E239</f>
        <v/>
      </c>
      <c r="N239">
        <f>AND(MONTH(F239)=MONTH(Q239), YEAR(F239)=YEAR(Q239))</f>
        <v/>
      </c>
      <c r="O239">
        <f>"L001-902303751"=S239</f>
        <v/>
      </c>
      <c r="P239">
        <f>G239-U239</f>
        <v/>
      </c>
      <c r="Q239" s="35" t="n">
        <v>45540</v>
      </c>
      <c r="R239" t="n">
        <v>131247</v>
      </c>
      <c r="S239" t="inlineStr">
        <is>
          <t>K009-901605081</t>
        </is>
      </c>
      <c r="T239" t="inlineStr">
        <is>
          <t>ទ្រូ ខមភែនៀន ឡូជីស្ទីក (ខេមបូឌា)</t>
        </is>
      </c>
      <c r="U239" t="n">
        <v>131247</v>
      </c>
      <c r="V239" t="n">
        <v>0</v>
      </c>
    </row>
    <row r="240">
      <c r="A240" t="n">
        <v>239</v>
      </c>
      <c r="B240" t="inlineStr">
        <is>
          <t>Customs Clearance Fee and Trucking Fee</t>
        </is>
      </c>
      <c r="C240" t="inlineStr">
        <is>
          <t>ត្រាយអ៊ែងហ្គល ឡូជីស្ទីក (ខេមបូឌា) ឯ.ក</t>
        </is>
      </c>
      <c r="D240" t="inlineStr">
        <is>
          <t>K010-902101743</t>
        </is>
      </c>
      <c r="E240" t="inlineStr">
        <is>
          <t>TAG-24-00098</t>
        </is>
      </c>
      <c r="F240" t="inlineStr">
        <is>
          <t>11-03-2024</t>
        </is>
      </c>
      <c r="G240" t="n">
        <v>32440</v>
      </c>
      <c r="I240">
        <f>G240</f>
        <v/>
      </c>
      <c r="K240">
        <f>I240-G240</f>
        <v/>
      </c>
      <c r="M240">
        <f>R240=E240</f>
        <v/>
      </c>
      <c r="N240">
        <f>AND(MONTH(F240)=MONTH(Q240), YEAR(F240)=YEAR(Q240))</f>
        <v/>
      </c>
      <c r="O240">
        <f>"L001-902303751"=S240</f>
        <v/>
      </c>
      <c r="P240">
        <f>G240-U240</f>
        <v/>
      </c>
      <c r="Q240" s="35" t="n">
        <v>45540</v>
      </c>
      <c r="R240" t="inlineStr"/>
      <c r="S240" t="inlineStr">
        <is>
          <t>L001-104015799</t>
        </is>
      </c>
      <c r="T240" t="inlineStr">
        <is>
          <t>យូសេន ឡូជីស្ទីក (ខេមបូឌា) ខូ អិលធីឌី</t>
        </is>
      </c>
      <c r="U240" t="n">
        <v>0</v>
      </c>
      <c r="V240" t="n">
        <v>0</v>
      </c>
    </row>
    <row r="241">
      <c r="A241" t="n">
        <v>240</v>
      </c>
      <c r="B241" t="inlineStr">
        <is>
          <t>Customs Clearance Fee</t>
        </is>
      </c>
      <c r="C241" t="inlineStr">
        <is>
          <t>ត្រាយអ៊ែងហ្គល ឡូជីស្ទីក (ខេមបូឌា) ឯ.ក</t>
        </is>
      </c>
      <c r="D241" t="inlineStr">
        <is>
          <t>K010-902101743</t>
        </is>
      </c>
      <c r="E241" t="inlineStr">
        <is>
          <t>TAG-24-00096</t>
        </is>
      </c>
      <c r="F241" t="inlineStr">
        <is>
          <t>11-03-2024</t>
        </is>
      </c>
      <c r="G241" t="n">
        <v>8110</v>
      </c>
      <c r="I241">
        <f>G241</f>
        <v/>
      </c>
      <c r="K241">
        <f>I241-G241</f>
        <v/>
      </c>
      <c r="M241">
        <f>R241=E241</f>
        <v/>
      </c>
      <c r="N241">
        <f>AND(MONTH(F241)=MONTH(Q241), YEAR(F241)=YEAR(Q241))</f>
        <v/>
      </c>
      <c r="O241">
        <f>"L001-902303751"=S241</f>
        <v/>
      </c>
      <c r="P241">
        <f>G241-U241</f>
        <v/>
      </c>
      <c r="Q241" s="35" t="n">
        <v>45552</v>
      </c>
      <c r="R241" t="n">
        <v>83918</v>
      </c>
      <c r="S241" t="inlineStr">
        <is>
          <t>L001-104015799</t>
        </is>
      </c>
      <c r="T241" t="inlineStr">
        <is>
          <t>យូសេន ឡូជីស្ទីក (ខេមបូឌា) ខូ អិលធីឌី</t>
        </is>
      </c>
      <c r="U241" t="n">
        <v>83918</v>
      </c>
      <c r="V241" t="n">
        <v>0</v>
      </c>
    </row>
    <row r="242">
      <c r="A242" t="n">
        <v>241</v>
      </c>
      <c r="B242" t="inlineStr">
        <is>
          <t>Lift-On Charges 40" Full and Gate Fee Charge 40" Full</t>
        </is>
      </c>
      <c r="C242" t="inlineStr">
        <is>
          <t>កំពង់ផែស្វយ័តភ្នំពេញ "ក.ស.ភ"</t>
        </is>
      </c>
      <c r="D242" t="inlineStr">
        <is>
          <t>L001-100044999</t>
        </is>
      </c>
      <c r="E242" t="inlineStr">
        <is>
          <t>INV20240314358</t>
        </is>
      </c>
      <c r="F242" t="inlineStr">
        <is>
          <t>13-03-2024</t>
        </is>
      </c>
      <c r="G242" t="n">
        <v>28287</v>
      </c>
      <c r="I242">
        <f>G242</f>
        <v/>
      </c>
      <c r="K242">
        <f>I242-G242</f>
        <v/>
      </c>
      <c r="M242">
        <f>R242=E242</f>
        <v/>
      </c>
      <c r="N242">
        <f>AND(MONTH(F242)=MONTH(Q242), YEAR(F242)=YEAR(Q242))</f>
        <v/>
      </c>
      <c r="O242">
        <f>"L001-902303751"=S242</f>
        <v/>
      </c>
      <c r="P242">
        <f>G242-U242</f>
        <v/>
      </c>
      <c r="Q242" s="35" t="n">
        <v>45537</v>
      </c>
      <c r="R242" t="n">
        <v>2212155</v>
      </c>
      <c r="S242" t="inlineStr">
        <is>
          <t>K009-901605081</t>
        </is>
      </c>
      <c r="T242" t="inlineStr">
        <is>
          <t>ទ្រូ ខមភែនៀន ឡូជីស្ទីក (ខេមបូឌា)</t>
        </is>
      </c>
      <c r="U242" t="n">
        <v>2212155</v>
      </c>
      <c r="V242" t="n">
        <v>0</v>
      </c>
    </row>
    <row r="243">
      <c r="A243" t="n">
        <v>242</v>
      </c>
      <c r="B243" t="inlineStr">
        <is>
          <t>THC, DOC FEE and CONTAINER IMBALANCE</t>
        </is>
      </c>
      <c r="C243" t="inlineStr">
        <is>
          <t>សាខាក្រុមហ៊ុន ជីម៉ាឌីប ស៊ីបភីង ខមភេនី លីមីធីត</t>
        </is>
      </c>
      <c r="D243" t="inlineStr">
        <is>
          <t>L001-901704777</t>
        </is>
      </c>
      <c r="E243" t="inlineStr">
        <is>
          <t>24-00830</t>
        </is>
      </c>
      <c r="F243" t="inlineStr">
        <is>
          <t>07-03-2024</t>
        </is>
      </c>
      <c r="G243" t="n">
        <v>135943</v>
      </c>
      <c r="I243">
        <f>G243</f>
        <v/>
      </c>
      <c r="K243">
        <f>I243-G243</f>
        <v/>
      </c>
      <c r="M243">
        <f>R243=E243</f>
        <v/>
      </c>
      <c r="N243">
        <f>AND(MONTH(F243)=MONTH(Q243), YEAR(F243)=YEAR(Q243))</f>
        <v/>
      </c>
      <c r="O243">
        <f>"L001-902303751"=S243</f>
        <v/>
      </c>
      <c r="P243">
        <f>G243-U243</f>
        <v/>
      </c>
      <c r="Q243" s="35" t="n">
        <v>45565</v>
      </c>
      <c r="R243" t="n">
        <v>112490</v>
      </c>
      <c r="S243" t="inlineStr">
        <is>
          <t>L001-104015799</t>
        </is>
      </c>
      <c r="T243" t="inlineStr">
        <is>
          <t>យូសេន ឡូជីស្ទីក (ខេមបូឌា) ខូ អិលធីឌី</t>
        </is>
      </c>
      <c r="U243" t="n">
        <v>112490</v>
      </c>
      <c r="V243" t="n">
        <v>0</v>
      </c>
    </row>
    <row r="244">
      <c r="A244" t="n">
        <v>243</v>
      </c>
      <c r="B244" t="inlineStr">
        <is>
          <t>Customs Clearance Fee and Trucking Fee</t>
        </is>
      </c>
      <c r="C244" t="inlineStr">
        <is>
          <t>ត្រាយអ៊ែងហ្គល ឡូជីស្ទីក (ខេមបូឌា) ឯ.ក</t>
        </is>
      </c>
      <c r="D244" t="inlineStr">
        <is>
          <t>K010-902101743</t>
        </is>
      </c>
      <c r="E244" t="inlineStr">
        <is>
          <t>TAG-24-00128</t>
        </is>
      </c>
      <c r="F244" t="inlineStr">
        <is>
          <t>22-03-2024</t>
        </is>
      </c>
      <c r="G244" t="n">
        <v>68816</v>
      </c>
      <c r="I244">
        <f>G244</f>
        <v/>
      </c>
      <c r="K244">
        <f>I244-G244</f>
        <v/>
      </c>
      <c r="M244">
        <f>R244=E244</f>
        <v/>
      </c>
      <c r="N244">
        <f>AND(MONTH(F244)=MONTH(Q244), YEAR(F244)=YEAR(Q244))</f>
        <v/>
      </c>
      <c r="O244">
        <f>"L001-902303751"=S244</f>
        <v/>
      </c>
      <c r="P244">
        <f>G244-U244</f>
        <v/>
      </c>
      <c r="Q244" s="35" t="n">
        <v>45561</v>
      </c>
      <c r="R244" t="n">
        <v>2214335</v>
      </c>
      <c r="S244" t="inlineStr">
        <is>
          <t>K009-901605081</t>
        </is>
      </c>
      <c r="T244" t="inlineStr">
        <is>
          <t>ទ្រូ ខមភែនៀន ឡូជីស្ទីក (ខេមបូឌា)</t>
        </is>
      </c>
      <c r="U244" t="n">
        <v>2214335</v>
      </c>
      <c r="V244" t="n">
        <v>0</v>
      </c>
    </row>
    <row r="245">
      <c r="A245" t="n">
        <v>244</v>
      </c>
      <c r="B245" t="inlineStr">
        <is>
          <t>Lift-On Charges 40" Full and Gate Fee Charge 40" Full</t>
        </is>
      </c>
      <c r="C245" t="inlineStr">
        <is>
          <t>កំពង់ផែស្វយ័តភ្នំពេញ "ក.ស.ភ"</t>
        </is>
      </c>
      <c r="D245" t="inlineStr">
        <is>
          <t>L001-100044999</t>
        </is>
      </c>
      <c r="E245" t="inlineStr">
        <is>
          <t>INV20240314357</t>
        </is>
      </c>
      <c r="F245" t="inlineStr">
        <is>
          <t>13-03-2024</t>
        </is>
      </c>
      <c r="G245" t="n">
        <v>28287</v>
      </c>
      <c r="I245">
        <f>G245</f>
        <v/>
      </c>
      <c r="K245">
        <f>I245-G245</f>
        <v/>
      </c>
      <c r="M245">
        <f>R245=E245</f>
        <v/>
      </c>
      <c r="N245">
        <f>AND(MONTH(F245)=MONTH(Q245), YEAR(F245)=YEAR(Q245))</f>
        <v/>
      </c>
      <c r="O245">
        <f>"L001-902303751"=S245</f>
        <v/>
      </c>
      <c r="P245">
        <f>G245-U245</f>
        <v/>
      </c>
      <c r="Q245" s="35" t="n">
        <v>45558</v>
      </c>
      <c r="R245" t="n">
        <v>84104</v>
      </c>
      <c r="S245" t="inlineStr">
        <is>
          <t>L001-104015799</t>
        </is>
      </c>
      <c r="T245" t="inlineStr">
        <is>
          <t>យូសេន ឡូជីស្ទីក (ខេមបូឌា) ខូ អិលធីឌី</t>
        </is>
      </c>
      <c r="U245" t="n">
        <v>84104</v>
      </c>
      <c r="V245" t="n">
        <v>0</v>
      </c>
    </row>
    <row r="246">
      <c r="A246" t="n">
        <v>245</v>
      </c>
      <c r="B246" t="inlineStr">
        <is>
          <t>THC, DOC FEE and CONTAINER IMBALANCE</t>
        </is>
      </c>
      <c r="C246" t="inlineStr">
        <is>
          <t>សាខាក្រុមហ៊ុន ជីម៉ាឌីប ស៊ីបភីង ខមភេនី លីមីធីត</t>
        </is>
      </c>
      <c r="D246" t="inlineStr">
        <is>
          <t>L001-901704777</t>
        </is>
      </c>
      <c r="E246" t="inlineStr">
        <is>
          <t>24-00829</t>
        </is>
      </c>
      <c r="F246" t="inlineStr">
        <is>
          <t>07-03-2024</t>
        </is>
      </c>
      <c r="G246" t="n">
        <v>135943</v>
      </c>
      <c r="I246">
        <f>G246</f>
        <v/>
      </c>
      <c r="K246">
        <f>I246-G246</f>
        <v/>
      </c>
      <c r="M246">
        <f>R246=E246</f>
        <v/>
      </c>
      <c r="N246">
        <f>AND(MONTH(F246)=MONTH(Q246), YEAR(F246)=YEAR(Q246))</f>
        <v/>
      </c>
      <c r="O246">
        <f>"L001-902303751"=S246</f>
        <v/>
      </c>
      <c r="P246">
        <f>G246-U246</f>
        <v/>
      </c>
      <c r="Q246" s="35" t="n">
        <v>45561</v>
      </c>
      <c r="R246" t="n">
        <v>186898</v>
      </c>
      <c r="S246" t="inlineStr">
        <is>
          <t>K009-901605081</t>
        </is>
      </c>
      <c r="T246" t="inlineStr">
        <is>
          <t>ទ្រូ ខមភែនៀន ឡូជីស្ទីក (ខេមបូឌា)</t>
        </is>
      </c>
      <c r="U246" t="n">
        <v>186898</v>
      </c>
      <c r="V246" t="n">
        <v>0</v>
      </c>
    </row>
    <row r="247">
      <c r="A247" t="n">
        <v>246</v>
      </c>
      <c r="B247" t="inlineStr">
        <is>
          <t>Customs Clearance Fee and Trucking Fee</t>
        </is>
      </c>
      <c r="C247" t="inlineStr">
        <is>
          <t>ត្រាយអ៊ែងហ្គល ឡូជីស្ទីក (ខេមបូឌា) ឯ.ក</t>
        </is>
      </c>
      <c r="D247" t="inlineStr">
        <is>
          <t>K010-902101743</t>
        </is>
      </c>
      <c r="E247" t="inlineStr">
        <is>
          <t>TAG-24-00129</t>
        </is>
      </c>
      <c r="F247" t="inlineStr">
        <is>
          <t>22-03-2024</t>
        </is>
      </c>
      <c r="G247" t="n">
        <v>68816</v>
      </c>
      <c r="I247">
        <f>G247</f>
        <v/>
      </c>
      <c r="K247">
        <f>I247-G247</f>
        <v/>
      </c>
      <c r="M247">
        <f>R247=E247</f>
        <v/>
      </c>
      <c r="N247">
        <f>AND(MONTH(F247)=MONTH(Q247), YEAR(F247)=YEAR(Q247))</f>
        <v/>
      </c>
      <c r="O247">
        <f>"L001-902303751"=S247</f>
        <v/>
      </c>
      <c r="P247">
        <f>G247-U247</f>
        <v/>
      </c>
      <c r="Q247" s="35" t="n">
        <v>45560</v>
      </c>
      <c r="R247" t="n">
        <v>211682</v>
      </c>
      <c r="S247" t="inlineStr">
        <is>
          <t>K002-901900264</t>
        </is>
      </c>
      <c r="T247" t="inlineStr">
        <is>
          <t>ហេកធ័រ ត្រេនស្ព័រថេសិន (ខេមបូឌា) ឯ.ក</t>
        </is>
      </c>
      <c r="U247" t="n">
        <v>211682</v>
      </c>
      <c r="V247" t="n">
        <v>0</v>
      </c>
    </row>
    <row r="248">
      <c r="A248" t="n">
        <v>247</v>
      </c>
      <c r="B248" t="inlineStr">
        <is>
          <t>Lift-On Charges 40" Full and Gate Fee Charge 40" Full</t>
        </is>
      </c>
      <c r="C248" t="inlineStr">
        <is>
          <t>កំពង់ផែស្វយ័តភ្នំពេញ "ក.ស.ភ"</t>
        </is>
      </c>
      <c r="D248" t="inlineStr">
        <is>
          <t>L001-100044999</t>
        </is>
      </c>
      <c r="E248" t="inlineStr">
        <is>
          <t>INV20240314359</t>
        </is>
      </c>
      <c r="F248" t="inlineStr">
        <is>
          <t>13-03-2024</t>
        </is>
      </c>
      <c r="G248" t="n">
        <v>28287</v>
      </c>
      <c r="I248">
        <f>G248</f>
        <v/>
      </c>
      <c r="K248">
        <f>I248-G248</f>
        <v/>
      </c>
      <c r="M248">
        <f>R248=E248</f>
        <v/>
      </c>
      <c r="N248">
        <f>AND(MONTH(F248)=MONTH(Q248), YEAR(F248)=YEAR(Q248))</f>
        <v/>
      </c>
      <c r="O248">
        <f>"L001-902303751"=S248</f>
        <v/>
      </c>
      <c r="P248">
        <f>G248-U248</f>
        <v/>
      </c>
      <c r="Q248" s="35" t="n">
        <v>45546</v>
      </c>
      <c r="R248" t="inlineStr"/>
      <c r="S248" t="inlineStr">
        <is>
          <t>K009-901605081</t>
        </is>
      </c>
      <c r="T248" t="inlineStr">
        <is>
          <t>ទ្រូ ខមភែនៀន ឡូជីស្ទីក (ខេមបូឌា)</t>
        </is>
      </c>
      <c r="U248" t="n">
        <v>0</v>
      </c>
      <c r="V248" t="n">
        <v>0</v>
      </c>
    </row>
    <row r="249">
      <c r="A249" t="n">
        <v>248</v>
      </c>
      <c r="B249" t="inlineStr">
        <is>
          <t>THC, DOC FEE and CONTAINER IMBALANCE</t>
        </is>
      </c>
      <c r="C249" t="inlineStr">
        <is>
          <t>សាខាក្រុមហ៊ុន ជីម៉ាឌីប ស៊ីបភីង ខមភេនី លីមីធីត</t>
        </is>
      </c>
      <c r="D249" t="inlineStr">
        <is>
          <t>L001-901704777</t>
        </is>
      </c>
      <c r="E249" t="inlineStr">
        <is>
          <t>24-00828</t>
        </is>
      </c>
      <c r="F249" t="inlineStr">
        <is>
          <t>07-03-2024</t>
        </is>
      </c>
      <c r="G249" t="n">
        <v>135943</v>
      </c>
      <c r="I249">
        <f>G249</f>
        <v/>
      </c>
      <c r="K249">
        <f>I249-G249</f>
        <v/>
      </c>
      <c r="M249">
        <f>R249=E249</f>
        <v/>
      </c>
      <c r="N249">
        <f>AND(MONTH(F249)=MONTH(Q249), YEAR(F249)=YEAR(Q249))</f>
        <v/>
      </c>
      <c r="O249">
        <f>"L001-902303751"=S249</f>
        <v/>
      </c>
      <c r="P249">
        <f>G249-U249</f>
        <v/>
      </c>
      <c r="Q249" s="35" t="n">
        <v>45546</v>
      </c>
      <c r="R249" t="n">
        <v>186944</v>
      </c>
      <c r="S249" t="inlineStr">
        <is>
          <t>K009-901605081</t>
        </is>
      </c>
      <c r="T249" t="inlineStr">
        <is>
          <t>ទ្រូ ខមភែនៀន ឡូជីស្ទីក (ខេមបូឌា)</t>
        </is>
      </c>
      <c r="U249" t="n">
        <v>186944</v>
      </c>
      <c r="V249" t="n">
        <v>0</v>
      </c>
    </row>
    <row r="250">
      <c r="A250" t="n">
        <v>249</v>
      </c>
      <c r="B250" t="inlineStr">
        <is>
          <t>Customs Clearance Fee and Trucking Fee</t>
        </is>
      </c>
      <c r="C250" t="inlineStr">
        <is>
          <t>ត្រាយអ៊ែងហ្គល ឡូជីស្ទីក (ខេមបូឌា) ឯ.ក</t>
        </is>
      </c>
      <c r="D250" t="inlineStr">
        <is>
          <t>K010-902101743</t>
        </is>
      </c>
      <c r="E250" t="inlineStr">
        <is>
          <t>TAG-24-00127</t>
        </is>
      </c>
      <c r="F250" t="inlineStr">
        <is>
          <t>22-03-2024</t>
        </is>
      </c>
      <c r="G250" t="n">
        <v>68816</v>
      </c>
      <c r="I250">
        <f>G250</f>
        <v/>
      </c>
      <c r="K250">
        <f>I250-G250</f>
        <v/>
      </c>
      <c r="M250">
        <f>R250=E250</f>
        <v/>
      </c>
      <c r="N250">
        <f>AND(MONTH(F250)=MONTH(Q250), YEAR(F250)=YEAR(Q250))</f>
        <v/>
      </c>
      <c r="O250">
        <f>"L001-902303751"=S250</f>
        <v/>
      </c>
      <c r="P250">
        <f>G250-U250</f>
        <v/>
      </c>
      <c r="Q250" s="35" t="n">
        <v>45545</v>
      </c>
      <c r="R250" t="inlineStr"/>
      <c r="S250" t="inlineStr">
        <is>
          <t>K009-901605081</t>
        </is>
      </c>
      <c r="T250" t="inlineStr">
        <is>
          <t>ទ្រូ ខមភែនៀន ឡូជីស្ទីក (ខេមបូឌា)</t>
        </is>
      </c>
      <c r="U250" t="n">
        <v>0</v>
      </c>
      <c r="V250" t="n">
        <v>0</v>
      </c>
    </row>
    <row r="251">
      <c r="A251" t="n">
        <v>250</v>
      </c>
      <c r="B251" t="inlineStr">
        <is>
          <t>Terminal Handing Charge, Container Freight Station, Scanning Fee, Container Imbalance Charge, Agency Fee, Delivery Order, Document Fee and Admin Fee</t>
        </is>
      </c>
      <c r="C251" t="inlineStr">
        <is>
          <t>អឹឡាយអិន ហ្វ័រវើឌីង (ខេមបូឌា) ឯ.ក</t>
        </is>
      </c>
      <c r="D251" t="inlineStr">
        <is>
          <t>K005-901902888</t>
        </is>
      </c>
      <c r="E251" t="inlineStr">
        <is>
          <t>PPTI24-0125</t>
        </is>
      </c>
      <c r="F251" t="inlineStr">
        <is>
          <t>07-03-2024</t>
        </is>
      </c>
      <c r="G251" t="n">
        <v>179419</v>
      </c>
      <c r="I251">
        <f>G251</f>
        <v/>
      </c>
      <c r="K251">
        <f>I251-G251</f>
        <v/>
      </c>
      <c r="M251">
        <f>R251=E251</f>
        <v/>
      </c>
      <c r="N251">
        <f>AND(MONTH(F251)=MONTH(Q251), YEAR(F251)=YEAR(Q251))</f>
        <v/>
      </c>
      <c r="O251">
        <f>"L001-902303751"=S251</f>
        <v/>
      </c>
      <c r="P251">
        <f>G251-U251</f>
        <v/>
      </c>
      <c r="Q251" s="35" t="n">
        <v>45546</v>
      </c>
      <c r="R251" t="n">
        <v>112573</v>
      </c>
      <c r="S251" t="inlineStr">
        <is>
          <t>L001-104015799</t>
        </is>
      </c>
      <c r="T251" t="inlineStr">
        <is>
          <t>យូសេន ឡូជីស្ទីក (ខេមបូឌា) ខូ អិលធីឌី</t>
        </is>
      </c>
      <c r="U251" t="n">
        <v>112573</v>
      </c>
      <c r="V251" t="n">
        <v>0</v>
      </c>
    </row>
    <row r="252">
      <c r="A252" t="n">
        <v>251</v>
      </c>
      <c r="B252" t="inlineStr">
        <is>
          <t>Charge from Warehouse/cy to trucks and Storage Charges</t>
        </is>
      </c>
      <c r="C252" t="inlineStr">
        <is>
          <t>កំពង់ផែស្វយ័តក្រុងព្រះសីហនុ</t>
        </is>
      </c>
      <c r="D252" t="inlineStr">
        <is>
          <t>L001-100044638</t>
        </is>
      </c>
      <c r="E252" t="inlineStr">
        <is>
          <t>051175</t>
        </is>
      </c>
      <c r="F252" t="inlineStr">
        <is>
          <t>21-03-2024</t>
        </is>
      </c>
      <c r="G252" t="n">
        <v>6320</v>
      </c>
      <c r="I252">
        <f>G252</f>
        <v/>
      </c>
      <c r="K252">
        <f>I252-G252</f>
        <v/>
      </c>
      <c r="M252">
        <f>R252=E252</f>
        <v/>
      </c>
      <c r="N252">
        <f>AND(MONTH(F252)=MONTH(Q252), YEAR(F252)=YEAR(Q252))</f>
        <v/>
      </c>
      <c r="O252">
        <f>"L001-902303751"=S252</f>
        <v/>
      </c>
      <c r="P252">
        <f>G252-U252</f>
        <v/>
      </c>
      <c r="Q252" s="35" t="n">
        <v>45558</v>
      </c>
      <c r="R252" t="inlineStr"/>
      <c r="S252" t="inlineStr">
        <is>
          <t>L001-104015799</t>
        </is>
      </c>
      <c r="T252" t="inlineStr">
        <is>
          <t>យូសេន ឡូជីស្ទីក (ខេមបូឌា) ខូ អិលធីឌី</t>
        </is>
      </c>
      <c r="U252" t="n">
        <v>0</v>
      </c>
      <c r="V252" t="n">
        <v>0</v>
      </c>
    </row>
    <row r="253">
      <c r="A253" t="n">
        <v>252</v>
      </c>
      <c r="B253" t="inlineStr">
        <is>
          <t>Customs Clearance Fee and Trucking Fee</t>
        </is>
      </c>
      <c r="C253" t="inlineStr">
        <is>
          <t>ត្រាយអ៊ែងហ្គល ឡូជីស្ទីក (ខេមបូឌា) ឯ.ក</t>
        </is>
      </c>
      <c r="D253" t="inlineStr">
        <is>
          <t>K010-902101743</t>
        </is>
      </c>
      <c r="E253" t="inlineStr">
        <is>
          <t>TAG-24-00148</t>
        </is>
      </c>
      <c r="F253" t="inlineStr">
        <is>
          <t>25-03-2024</t>
        </is>
      </c>
      <c r="G253" t="n">
        <v>73181</v>
      </c>
      <c r="I253">
        <f>G253</f>
        <v/>
      </c>
      <c r="K253">
        <f>I253-G253</f>
        <v/>
      </c>
      <c r="M253">
        <f>R253=E253</f>
        <v/>
      </c>
      <c r="N253">
        <f>AND(MONTH(F253)=MONTH(Q253), YEAR(F253)=YEAR(Q253))</f>
        <v/>
      </c>
      <c r="O253">
        <f>"L001-902303751"=S253</f>
        <v/>
      </c>
      <c r="P253">
        <f>G253-U253</f>
        <v/>
      </c>
      <c r="Q253" s="35" t="n">
        <v>45546</v>
      </c>
      <c r="R253" t="n">
        <v>112573</v>
      </c>
      <c r="S253" t="inlineStr">
        <is>
          <t>L001-104015799</t>
        </is>
      </c>
      <c r="T253" t="inlineStr">
        <is>
          <t>យូសេន ឡូជីស្ទីក (ខេមបូឌា) ខូ អិលធីឌី</t>
        </is>
      </c>
      <c r="U253" t="n">
        <v>112573</v>
      </c>
      <c r="V253" t="n">
        <v>0</v>
      </c>
    </row>
    <row r="254">
      <c r="A254" t="n">
        <v>253</v>
      </c>
      <c r="B254" t="inlineStr">
        <is>
          <t>Customs Clearance Fee</t>
        </is>
      </c>
      <c r="C254" t="inlineStr">
        <is>
          <t>ត្រាយអ៊ែងហ្គល ឡូជីស្ទីក (ខេមបូឌា) ឯ.ក</t>
        </is>
      </c>
      <c r="D254" t="inlineStr">
        <is>
          <t>K010-902101743</t>
        </is>
      </c>
      <c r="E254" t="inlineStr">
        <is>
          <t>TAG-24-00089</t>
        </is>
      </c>
      <c r="F254" t="inlineStr">
        <is>
          <t>05-03-2024</t>
        </is>
      </c>
      <c r="G254" t="n">
        <v>8128</v>
      </c>
      <c r="I254">
        <f>G254</f>
        <v/>
      </c>
      <c r="K254">
        <f>I254-G254</f>
        <v/>
      </c>
      <c r="M254">
        <f>R254=E254</f>
        <v/>
      </c>
      <c r="N254">
        <f>AND(MONTH(F254)=MONTH(Q254), YEAR(F254)=YEAR(Q254))</f>
        <v/>
      </c>
      <c r="O254">
        <f>"L001-902303751"=S254</f>
        <v/>
      </c>
      <c r="P254">
        <f>G254-U254</f>
        <v/>
      </c>
      <c r="Q254" s="35" t="n">
        <v>45548</v>
      </c>
      <c r="R254" t="n">
        <v>2211065</v>
      </c>
      <c r="S254" t="inlineStr">
        <is>
          <t>K009-901605081</t>
        </is>
      </c>
      <c r="T254" t="inlineStr">
        <is>
          <t>ទ្រូ ខមភែនៀន ឡូជីស្ទីក (ខេមបូឌា)</t>
        </is>
      </c>
      <c r="U254" t="n">
        <v>2211065</v>
      </c>
      <c r="V254" t="n">
        <v>0</v>
      </c>
    </row>
    <row r="255">
      <c r="A255" t="n">
        <v>254</v>
      </c>
      <c r="B255" t="inlineStr">
        <is>
          <t>Terminal Handling Charge, EMF, 3 Party Trucking, Container Imbalance Charge, D/O Fee, Document Fee and Handling Charge</t>
        </is>
      </c>
      <c r="C255" t="inlineStr">
        <is>
          <t>ខេអិលអិន ហ្វ្រេត (ខេមបូឌា) ឯ.ក</t>
        </is>
      </c>
      <c r="D255" t="inlineStr">
        <is>
          <t>L001-100074669</t>
        </is>
      </c>
      <c r="E255" t="inlineStr">
        <is>
          <t>IVO04218</t>
        </is>
      </c>
      <c r="F255" t="inlineStr">
        <is>
          <t>16-03-2024</t>
        </is>
      </c>
      <c r="G255" t="n">
        <v>124840</v>
      </c>
      <c r="I255">
        <f>G255</f>
        <v/>
      </c>
      <c r="K255">
        <f>I255-G255</f>
        <v/>
      </c>
      <c r="M255">
        <f>R255=E255</f>
        <v/>
      </c>
      <c r="N255">
        <f>AND(MONTH(F255)=MONTH(Q255), YEAR(F255)=YEAR(Q255))</f>
        <v/>
      </c>
      <c r="O255">
        <f>"L001-902303751"=S255</f>
        <v/>
      </c>
      <c r="P255">
        <f>G255-U255</f>
        <v/>
      </c>
      <c r="Q255" s="35" t="n">
        <v>45540</v>
      </c>
      <c r="R255" t="n">
        <v>1732300</v>
      </c>
      <c r="S255" t="inlineStr">
        <is>
          <t>K009-901605081</t>
        </is>
      </c>
      <c r="T255" t="inlineStr">
        <is>
          <t>ទ្រូ ខមភែនៀន ឡូជីស្ទីក (ខេមបូឌា)</t>
        </is>
      </c>
      <c r="U255" t="n">
        <v>1732300</v>
      </c>
      <c r="V255" t="n">
        <v>0</v>
      </c>
    </row>
    <row r="256">
      <c r="A256" t="n">
        <v>255</v>
      </c>
      <c r="B256" t="inlineStr">
        <is>
          <t>Lift-On &amp; Lift-Off and Storage Charges</t>
        </is>
      </c>
      <c r="C256" t="inlineStr">
        <is>
          <t>កំពង់ផែស្វយ័តក្រុងព្រះសីហនុ</t>
        </is>
      </c>
      <c r="D256" t="inlineStr">
        <is>
          <t>L001-100044638</t>
        </is>
      </c>
      <c r="E256" t="inlineStr">
        <is>
          <t>045058</t>
        </is>
      </c>
      <c r="F256" t="inlineStr">
        <is>
          <t>13-03-2024</t>
        </is>
      </c>
      <c r="G256" t="n">
        <v>30308</v>
      </c>
      <c r="I256">
        <f>G256</f>
        <v/>
      </c>
      <c r="K256">
        <f>I256-G256</f>
        <v/>
      </c>
      <c r="M256">
        <f>R256=E256</f>
        <v/>
      </c>
      <c r="N256">
        <f>AND(MONTH(F256)=MONTH(Q256), YEAR(F256)=YEAR(Q256))</f>
        <v/>
      </c>
      <c r="O256">
        <f>"L001-902303751"=S256</f>
        <v/>
      </c>
      <c r="P256">
        <f>G256-U256</f>
        <v/>
      </c>
      <c r="Q256" s="35" t="n">
        <v>45540</v>
      </c>
      <c r="R256" t="n">
        <v>108829</v>
      </c>
      <c r="S256" t="inlineStr">
        <is>
          <t>L001-104015799</t>
        </is>
      </c>
      <c r="T256" t="inlineStr">
        <is>
          <t>យូសេន ឡូជីស្ទីក (ខេមបូឌា) ខូ អិលធីឌី</t>
        </is>
      </c>
      <c r="U256" t="n">
        <v>108829</v>
      </c>
      <c r="V256" t="n">
        <v>0</v>
      </c>
    </row>
    <row r="257">
      <c r="A257" t="n">
        <v>256</v>
      </c>
      <c r="B257" t="inlineStr">
        <is>
          <t>Customs Clearance Fee and Trucking Fee</t>
        </is>
      </c>
      <c r="C257" t="inlineStr">
        <is>
          <t>ត្រាយអ៊ែងហ្គល ឡូជីស្ទីក (ខេមបូឌា) ឯ.ក</t>
        </is>
      </c>
      <c r="D257" t="inlineStr">
        <is>
          <t>K010-902101743</t>
        </is>
      </c>
      <c r="E257" t="inlineStr">
        <is>
          <t>TAG-24-00126</t>
        </is>
      </c>
      <c r="F257" t="inlineStr">
        <is>
          <t>22-03-2024</t>
        </is>
      </c>
      <c r="G257" t="n">
        <v>68816</v>
      </c>
      <c r="I257">
        <f>G257</f>
        <v/>
      </c>
      <c r="K257">
        <f>I257-G257</f>
        <v/>
      </c>
      <c r="M257">
        <f>R257=E257</f>
        <v/>
      </c>
      <c r="N257">
        <f>AND(MONTH(F257)=MONTH(Q257), YEAR(F257)=YEAR(Q257))</f>
        <v/>
      </c>
      <c r="O257">
        <f>"L001-902303751"=S257</f>
        <v/>
      </c>
      <c r="P257">
        <f>G257-U257</f>
        <v/>
      </c>
      <c r="Q257" s="35" t="n">
        <v>45222</v>
      </c>
      <c r="R257" t="n">
        <v>114540</v>
      </c>
      <c r="S257" t="inlineStr">
        <is>
          <t>K003-901635943</t>
        </is>
      </c>
      <c r="T257" t="inlineStr">
        <is>
          <t>អ៊ីឃ្យូឡាញ វើលវ៉ាយដ៍ ឡូជីស្ទីក</t>
        </is>
      </c>
      <c r="U257" t="n">
        <v>114540</v>
      </c>
      <c r="V257" t="n">
        <v>0</v>
      </c>
    </row>
    <row r="258">
      <c r="A258" t="n">
        <v>257</v>
      </c>
      <c r="B258" t="inlineStr">
        <is>
          <t>THC, EMF, 3 PARTY TRUCKING, CIC, R/O, DOC FEE and HANDLING FEE</t>
        </is>
      </c>
      <c r="C258" t="inlineStr">
        <is>
          <t>ខេអិលអិន ហ្វ្រេត (ខេមបូឌា) ឯ.ក</t>
        </is>
      </c>
      <c r="D258" t="inlineStr">
        <is>
          <t>L001-100074669</t>
        </is>
      </c>
      <c r="E258" t="inlineStr">
        <is>
          <t>IVO04221</t>
        </is>
      </c>
      <c r="F258" t="inlineStr">
        <is>
          <t>16-03-2024</t>
        </is>
      </c>
      <c r="G258" t="n">
        <v>89866</v>
      </c>
      <c r="I258">
        <f>G258</f>
        <v/>
      </c>
      <c r="K258">
        <f>I258-G258</f>
        <v/>
      </c>
      <c r="M258">
        <f>R258=E258</f>
        <v/>
      </c>
      <c r="N258">
        <f>AND(MONTH(F258)=MONTH(Q258), YEAR(F258)=YEAR(Q258))</f>
        <v/>
      </c>
      <c r="O258">
        <f>"L001-902303751"=S258</f>
        <v/>
      </c>
      <c r="P258">
        <f>G258-U258</f>
        <v/>
      </c>
      <c r="Q258" s="35" t="n">
        <v>45215</v>
      </c>
      <c r="R258" t="n">
        <v>114373</v>
      </c>
      <c r="S258" t="inlineStr">
        <is>
          <t>K003-901635943</t>
        </is>
      </c>
      <c r="T258" t="inlineStr">
        <is>
          <t>អ៊ីឃ្យូឡាញ វើលវ៉ាយដ៍ ឡូជីស្ទីក</t>
        </is>
      </c>
      <c r="U258" t="n">
        <v>114373</v>
      </c>
      <c r="V258" t="n">
        <v>0</v>
      </c>
    </row>
    <row r="259">
      <c r="A259" t="n">
        <v>258</v>
      </c>
      <c r="B259" t="inlineStr">
        <is>
          <t>Customs Clearance Fee</t>
        </is>
      </c>
      <c r="C259" t="inlineStr">
        <is>
          <t>ត្រាយអ៊ែងហ្គល ឡូជីស្ទីក (ខេមបូឌា) ឯ.ក</t>
        </is>
      </c>
      <c r="D259" t="inlineStr">
        <is>
          <t>K010-902101743</t>
        </is>
      </c>
      <c r="E259" t="inlineStr">
        <is>
          <t>TAG-24-00124</t>
        </is>
      </c>
      <c r="F259" t="inlineStr">
        <is>
          <t>22-03-2024</t>
        </is>
      </c>
      <c r="G259" t="n">
        <v>8096</v>
      </c>
      <c r="I259">
        <f>G259</f>
        <v/>
      </c>
      <c r="K259">
        <f>I259-G259</f>
        <v/>
      </c>
      <c r="M259">
        <f>R259=E259</f>
        <v/>
      </c>
      <c r="N259">
        <f>AND(MONTH(F259)=MONTH(Q259), YEAR(F259)=YEAR(Q259))</f>
        <v/>
      </c>
      <c r="O259">
        <f>"L001-902303751"=S259</f>
        <v/>
      </c>
      <c r="P259">
        <f>G259-U259</f>
        <v/>
      </c>
      <c r="Q259" s="35" t="n">
        <v>45201</v>
      </c>
      <c r="R259" t="inlineStr"/>
      <c r="S259" t="inlineStr">
        <is>
          <t>K003-901635943</t>
        </is>
      </c>
      <c r="T259" t="inlineStr">
        <is>
          <t>អ៊ីឃ្យូឡាញ វើលវ៉ាយដ៍ ឡូជីស្ទីក</t>
        </is>
      </c>
      <c r="U259" t="n">
        <v>0</v>
      </c>
      <c r="V259" t="n">
        <v>0</v>
      </c>
    </row>
    <row r="260">
      <c r="A260" t="n">
        <v>259</v>
      </c>
      <c r="B260" t="inlineStr">
        <is>
          <t>Document Fee and Agency Fee</t>
        </is>
      </c>
      <c r="C260" t="inlineStr">
        <is>
          <t>ត្រាយអ៊ែងហ្គល ឡូជីស្ទីក (ខេមបូឌា) ឯ.ក</t>
        </is>
      </c>
      <c r="D260" t="inlineStr">
        <is>
          <t>K010-902101743</t>
        </is>
      </c>
      <c r="E260" t="inlineStr">
        <is>
          <t>TAG-24-00082</t>
        </is>
      </c>
      <c r="F260" t="inlineStr">
        <is>
          <t>04-03-2024</t>
        </is>
      </c>
      <c r="G260" t="n">
        <v>32536</v>
      </c>
      <c r="I260">
        <f>G260</f>
        <v/>
      </c>
      <c r="K260">
        <f>I260-G260</f>
        <v/>
      </c>
      <c r="M260">
        <f>R260=E260</f>
        <v/>
      </c>
      <c r="N260">
        <f>AND(MONTH(F260)=MONTH(Q260), YEAR(F260)=YEAR(Q260))</f>
        <v/>
      </c>
      <c r="O260">
        <f>"L001-902303751"=S260</f>
        <v/>
      </c>
      <c r="P260">
        <f>G260-U260</f>
        <v/>
      </c>
      <c r="Q260" s="35" t="n">
        <v>45225</v>
      </c>
      <c r="R260" t="n">
        <v>190440</v>
      </c>
      <c r="S260" t="inlineStr">
        <is>
          <t>K009-901605081</t>
        </is>
      </c>
      <c r="T260" t="inlineStr">
        <is>
          <t>ទ្រូ ខមភែនៀន ឡូជីស្ទីក (ខេមបូឌា)</t>
        </is>
      </c>
      <c r="U260" t="n">
        <v>190440</v>
      </c>
      <c r="V260" t="n">
        <v>0</v>
      </c>
    </row>
    <row r="261">
      <c r="A261" t="n">
        <v>260</v>
      </c>
      <c r="B261" t="inlineStr">
        <is>
          <t>Cargo Terminal</t>
        </is>
      </c>
      <c r="C261" t="inlineStr">
        <is>
          <t>សូស៊ីយេតេ កុងសេស្យូនែរ ដឺ ឡាអេរ៉ូព័រ</t>
        </is>
      </c>
      <c r="D261" t="inlineStr">
        <is>
          <t>L001-100047300</t>
        </is>
      </c>
      <c r="E261" t="inlineStr">
        <is>
          <t>2400-015025</t>
        </is>
      </c>
      <c r="F261" t="inlineStr">
        <is>
          <t>04-03-2024</t>
        </is>
      </c>
      <c r="G261" t="n">
        <v>10315</v>
      </c>
      <c r="I261">
        <f>G261</f>
        <v/>
      </c>
      <c r="K261">
        <f>I261-G261</f>
        <v/>
      </c>
      <c r="M261">
        <f>R261=E261</f>
        <v/>
      </c>
      <c r="N261">
        <f>AND(MONTH(F261)=MONTH(Q261), YEAR(F261)=YEAR(Q261))</f>
        <v/>
      </c>
      <c r="O261">
        <f>"L001-902303751"=S261</f>
        <v/>
      </c>
      <c r="P261">
        <f>G261-U261</f>
        <v/>
      </c>
      <c r="Q261" s="35" t="n">
        <v>45208</v>
      </c>
      <c r="R261" t="n">
        <v>189980</v>
      </c>
      <c r="S261" t="inlineStr">
        <is>
          <t>K009-901605081</t>
        </is>
      </c>
      <c r="T261" t="inlineStr">
        <is>
          <t>ទ្រូ ខមភែនៀន ឡូជីស្ទីក (ខេមបូឌា)</t>
        </is>
      </c>
      <c r="U261" t="n">
        <v>189980</v>
      </c>
      <c r="V261" t="n">
        <v>0</v>
      </c>
    </row>
    <row r="262">
      <c r="A262" t="n">
        <v>261</v>
      </c>
      <c r="B262" t="inlineStr">
        <is>
          <t>Customs Clearance Fee and Trucking Fee</t>
        </is>
      </c>
      <c r="C262" t="inlineStr">
        <is>
          <t>ត្រាយអ៊ែងហ្គល ឡូជីស្ទីក (ខេមបូឌា) ឯ.ក</t>
        </is>
      </c>
      <c r="D262" t="inlineStr">
        <is>
          <t>K010-902101743</t>
        </is>
      </c>
      <c r="E262" t="inlineStr">
        <is>
          <t>TAG-24-00086</t>
        </is>
      </c>
      <c r="F262" t="inlineStr">
        <is>
          <t>05-03-2024</t>
        </is>
      </c>
      <c r="G262" t="n">
        <v>28448</v>
      </c>
      <c r="I262">
        <f>G262</f>
        <v/>
      </c>
      <c r="K262">
        <f>I262-G262</f>
        <v/>
      </c>
      <c r="M262">
        <f>R262=E262</f>
        <v/>
      </c>
      <c r="N262">
        <f>AND(MONTH(F262)=MONTH(Q262), YEAR(F262)=YEAR(Q262))</f>
        <v/>
      </c>
      <c r="O262">
        <f>"L001-902303751"=S262</f>
        <v/>
      </c>
      <c r="P262">
        <f>G262-U262</f>
        <v/>
      </c>
      <c r="Q262" s="35" t="n">
        <v>45201</v>
      </c>
      <c r="R262" t="n">
        <v>2247035</v>
      </c>
      <c r="S262" t="inlineStr">
        <is>
          <t>K009-901605081</t>
        </is>
      </c>
      <c r="T262" t="inlineStr">
        <is>
          <t>ទ្រូ ខមភែនៀន ឡូជីស្ទីក (ខេមបូឌា)</t>
        </is>
      </c>
      <c r="U262" t="n">
        <v>2247035</v>
      </c>
      <c r="V262" t="n">
        <v>0</v>
      </c>
    </row>
    <row r="263">
      <c r="A263" t="n">
        <v>262</v>
      </c>
      <c r="B263" t="inlineStr">
        <is>
          <t>Customs Clearance Fee and Agency Fee</t>
        </is>
      </c>
      <c r="C263" t="inlineStr">
        <is>
          <t>ត្រាយអ៊ែងហ្គល ឡូជីស្ទីក (ខេមបូឌា) ឯ.ក</t>
        </is>
      </c>
      <c r="D263" t="inlineStr">
        <is>
          <t>K010-902101743</t>
        </is>
      </c>
      <c r="E263" t="inlineStr">
        <is>
          <t>TAG-24-00081</t>
        </is>
      </c>
      <c r="F263" t="inlineStr">
        <is>
          <t>04-03-2024</t>
        </is>
      </c>
      <c r="G263" t="n">
        <v>32536</v>
      </c>
      <c r="I263">
        <f>G263</f>
        <v/>
      </c>
      <c r="K263">
        <f>I263-G263</f>
        <v/>
      </c>
      <c r="M263">
        <f>R263=E263</f>
        <v/>
      </c>
      <c r="N263">
        <f>AND(MONTH(F263)=MONTH(Q263), YEAR(F263)=YEAR(Q263))</f>
        <v/>
      </c>
      <c r="O263">
        <f>"L001-902303751"=S263</f>
        <v/>
      </c>
      <c r="P263">
        <f>G263-U263</f>
        <v/>
      </c>
      <c r="Q263" s="35" t="n">
        <v>45210</v>
      </c>
      <c r="R263" t="n">
        <v>2251395</v>
      </c>
      <c r="S263" t="inlineStr">
        <is>
          <t>K009-901605081</t>
        </is>
      </c>
      <c r="T263" t="inlineStr">
        <is>
          <t>ទ្រូ ខមភែនៀន ឡូជីស្ទីក (ខេមបូឌា)</t>
        </is>
      </c>
      <c r="U263" t="n">
        <v>2251395</v>
      </c>
      <c r="V263" t="n">
        <v>0</v>
      </c>
    </row>
    <row r="264">
      <c r="A264" t="n">
        <v>263</v>
      </c>
      <c r="B264" t="inlineStr">
        <is>
          <t>Cargo Terminal</t>
        </is>
      </c>
      <c r="C264" t="inlineStr">
        <is>
          <t>សូស៊ីយេតេ កុងសេស្យូនែរ ដឺ ឡាអេរ៉ូព័រ</t>
        </is>
      </c>
      <c r="D264" t="inlineStr">
        <is>
          <t>L001-100047300</t>
        </is>
      </c>
      <c r="E264" t="inlineStr">
        <is>
          <t>2400-015024</t>
        </is>
      </c>
      <c r="F264" t="inlineStr">
        <is>
          <t>04-03-2024</t>
        </is>
      </c>
      <c r="G264" t="n">
        <v>10249</v>
      </c>
      <c r="I264">
        <f>G264</f>
        <v/>
      </c>
      <c r="K264">
        <f>I264-G264</f>
        <v/>
      </c>
      <c r="M264">
        <f>R264=E264</f>
        <v/>
      </c>
      <c r="N264">
        <f>AND(MONTH(F264)=MONTH(Q264), YEAR(F264)=YEAR(Q264))</f>
        <v/>
      </c>
      <c r="O264">
        <f>"L001-902303751"=S264</f>
        <v/>
      </c>
      <c r="P264">
        <f>G264-U264</f>
        <v/>
      </c>
      <c r="Q264" s="35" t="n">
        <v>45208</v>
      </c>
      <c r="R264" t="n">
        <v>1135750</v>
      </c>
      <c r="S264" t="inlineStr">
        <is>
          <t>K009-901605081</t>
        </is>
      </c>
      <c r="T264" t="inlineStr">
        <is>
          <t>ទ្រូ ខមភែនៀន ឡូជីស្ទីក (ខេមបូឌា)</t>
        </is>
      </c>
      <c r="U264" t="n">
        <v>1135750</v>
      </c>
      <c r="V264" t="n">
        <v>0</v>
      </c>
    </row>
    <row r="265">
      <c r="A265" t="n">
        <v>264</v>
      </c>
      <c r="B265" t="inlineStr">
        <is>
          <t>Customs Clearance Fee and Trucking Fee</t>
        </is>
      </c>
      <c r="C265" t="inlineStr">
        <is>
          <t>ត្រាយអ៊ែងហ្គល ឡូជីស្ទីក (ខេមបូឌា) ឯ.ក</t>
        </is>
      </c>
      <c r="D265" t="inlineStr">
        <is>
          <t>K010-902101743</t>
        </is>
      </c>
      <c r="E265" t="inlineStr">
        <is>
          <t>TAG-24-00087</t>
        </is>
      </c>
      <c r="F265" t="inlineStr">
        <is>
          <t>05-03-2024</t>
        </is>
      </c>
      <c r="G265" t="n">
        <v>28448</v>
      </c>
      <c r="I265">
        <f>G265</f>
        <v/>
      </c>
      <c r="K265">
        <f>I265-G265</f>
        <v/>
      </c>
      <c r="M265">
        <f>R265=E265</f>
        <v/>
      </c>
      <c r="N265">
        <f>AND(MONTH(F265)=MONTH(Q265), YEAR(F265)=YEAR(Q265))</f>
        <v/>
      </c>
      <c r="O265">
        <f>"L001-902303751"=S265</f>
        <v/>
      </c>
      <c r="P265">
        <f>G265-U265</f>
        <v/>
      </c>
      <c r="Q265" s="35" t="n">
        <v>45201</v>
      </c>
      <c r="R265" t="n">
        <v>114207</v>
      </c>
      <c r="S265" t="inlineStr">
        <is>
          <t>K003-901635943</t>
        </is>
      </c>
      <c r="T265" t="inlineStr">
        <is>
          <t>អ៊ីឃ្យូឡាញ វើលវ៉ាយដ៍ ឡូជីស្ទីក</t>
        </is>
      </c>
      <c r="U265" t="n">
        <v>114207</v>
      </c>
      <c r="V265" t="n">
        <v>0</v>
      </c>
    </row>
    <row r="266">
      <c r="A266" t="n">
        <v>265</v>
      </c>
      <c r="B266" t="inlineStr">
        <is>
          <t>Storage Charge</t>
        </is>
      </c>
      <c r="C266" t="inlineStr">
        <is>
          <t>ហាន​ &amp; ជុន ត្រេនស្ព័ត ខូ អិលធីឌី</t>
        </is>
      </c>
      <c r="D266" t="inlineStr">
        <is>
          <t>L001-104016647</t>
        </is>
      </c>
      <c r="E266" t="inlineStr">
        <is>
          <t>HJ24-0679</t>
        </is>
      </c>
      <c r="F266" t="inlineStr">
        <is>
          <t>04-03-2024</t>
        </is>
      </c>
      <c r="G266" t="n">
        <v>2618</v>
      </c>
      <c r="I266">
        <f>G266</f>
        <v/>
      </c>
      <c r="K266">
        <f>I266-G266</f>
        <v/>
      </c>
      <c r="M266">
        <f>R266=E266</f>
        <v/>
      </c>
      <c r="N266">
        <f>AND(MONTH(F266)=MONTH(Q266), YEAR(F266)=YEAR(Q266))</f>
        <v/>
      </c>
      <c r="O266">
        <f>"L001-902303751"=S266</f>
        <v/>
      </c>
      <c r="P266">
        <f>G266-U266</f>
        <v/>
      </c>
      <c r="Q266" s="35" t="n">
        <v>45222</v>
      </c>
      <c r="R266" t="inlineStr"/>
      <c r="S266" t="inlineStr">
        <is>
          <t>K003-901635943</t>
        </is>
      </c>
      <c r="T266" t="inlineStr">
        <is>
          <t>អ៊ីឃ្យូឡាញ វើលវ៉ាយដ៍ ឡូជីស្ទីក</t>
        </is>
      </c>
      <c r="U266" t="n">
        <v>0</v>
      </c>
      <c r="V266" t="n">
        <v>0</v>
      </c>
    </row>
    <row r="267">
      <c r="A267" t="n">
        <v>266</v>
      </c>
      <c r="B267" t="inlineStr">
        <is>
          <t>Warehouse Fee</t>
        </is>
      </c>
      <c r="C267" t="inlineStr">
        <is>
          <t>ហាន​ &amp; ជុន ត្រេនស្ព័ត ខូ អិលធីឌី</t>
        </is>
      </c>
      <c r="D267" t="inlineStr">
        <is>
          <t>L001-104016647</t>
        </is>
      </c>
      <c r="E267" t="inlineStr">
        <is>
          <t>HJ24-0609</t>
        </is>
      </c>
      <c r="F267" t="inlineStr">
        <is>
          <t>04-03-2024</t>
        </is>
      </c>
      <c r="G267" t="n">
        <v>5823</v>
      </c>
      <c r="I267">
        <f>G267</f>
        <v/>
      </c>
      <c r="K267">
        <f>I267-G267</f>
        <v/>
      </c>
      <c r="M267">
        <f>R267=E267</f>
        <v/>
      </c>
      <c r="N267">
        <f>AND(MONTH(F267)=MONTH(Q267), YEAR(F267)=YEAR(Q267))</f>
        <v/>
      </c>
      <c r="O267">
        <f>"L001-902303751"=S267</f>
        <v/>
      </c>
      <c r="P267">
        <f>G267-U267</f>
        <v/>
      </c>
      <c r="Q267" s="35" t="n">
        <v>45224</v>
      </c>
      <c r="R267" t="n">
        <v>16556</v>
      </c>
      <c r="S267" t="inlineStr">
        <is>
          <t>K009-901605081</t>
        </is>
      </c>
      <c r="T267" t="inlineStr">
        <is>
          <t>ទ្រូ ខមភែនៀន ឡូជីស្ទីក (ខេមបូឌា)</t>
        </is>
      </c>
      <c r="U267" t="n">
        <v>16556</v>
      </c>
      <c r="V267" t="n">
        <v>0</v>
      </c>
    </row>
    <row r="268">
      <c r="A268" t="n">
        <v>267</v>
      </c>
      <c r="B268" t="inlineStr">
        <is>
          <t>Customs Clearance Fee and Trucking Fee</t>
        </is>
      </c>
      <c r="C268" t="inlineStr">
        <is>
          <t>ត្រាយអ៊ែងហ្គល ឡូជីស្ទីក (ខេមបូឌា) ឯ.ក</t>
        </is>
      </c>
      <c r="D268" t="inlineStr">
        <is>
          <t>K010-902101743</t>
        </is>
      </c>
      <c r="E268" t="inlineStr">
        <is>
          <t>TAG-24-00118</t>
        </is>
      </c>
      <c r="F268" t="inlineStr">
        <is>
          <t>22-03-2024</t>
        </is>
      </c>
      <c r="G268" t="n">
        <v>28336</v>
      </c>
      <c r="I268">
        <f>G268</f>
        <v/>
      </c>
      <c r="K268">
        <f>I268-G268</f>
        <v/>
      </c>
      <c r="M268">
        <f>R268=E268</f>
        <v/>
      </c>
      <c r="N268">
        <f>AND(MONTH(F268)=MONTH(Q268), YEAR(F268)=YEAR(Q268))</f>
        <v/>
      </c>
      <c r="O268">
        <f>"L001-902303751"=S268</f>
        <v/>
      </c>
      <c r="P268">
        <f>G268-U268</f>
        <v/>
      </c>
      <c r="Q268" s="35" t="n">
        <v>45201</v>
      </c>
      <c r="R268" t="n">
        <v>189658</v>
      </c>
      <c r="S268" t="inlineStr">
        <is>
          <t>K009-901605081</t>
        </is>
      </c>
      <c r="T268" t="inlineStr">
        <is>
          <t>ទ្រូ ខមភែនៀន ឡូជីស្ទីក (ខេមបូឌា)</t>
        </is>
      </c>
      <c r="U268" t="n">
        <v>189658</v>
      </c>
      <c r="V268" t="n">
        <v>0</v>
      </c>
    </row>
    <row r="269">
      <c r="A269" t="n">
        <v>268</v>
      </c>
      <c r="B269" t="inlineStr">
        <is>
          <t>THC Fee, CFS Fee, Scan Fee, Border Gate Fee, Docs Fee, Agency Fee and D/O Fee</t>
        </is>
      </c>
      <c r="C269" t="inlineStr">
        <is>
          <t>អូរៀនថល ឡូជីស្ទីក &amp; ឌីស្ទ្រីប៊្យូសិន (ខេមបូឌា)</t>
        </is>
      </c>
      <c r="D269" t="inlineStr">
        <is>
          <t>L001-103007369</t>
        </is>
      </c>
      <c r="E269" t="inlineStr">
        <is>
          <t>24-1961</t>
        </is>
      </c>
      <c r="F269" t="inlineStr">
        <is>
          <t>01-03-2024</t>
        </is>
      </c>
      <c r="G269" t="n">
        <v>79103</v>
      </c>
      <c r="I269">
        <f>G269</f>
        <v/>
      </c>
      <c r="K269">
        <f>I269-G269</f>
        <v/>
      </c>
      <c r="M269">
        <f>R269=E269</f>
        <v/>
      </c>
      <c r="N269">
        <f>AND(MONTH(F269)=MONTH(Q269), YEAR(F269)=YEAR(Q269))</f>
        <v/>
      </c>
      <c r="O269">
        <f>"L001-902303751"=S269</f>
        <v/>
      </c>
      <c r="P269">
        <f>G269-U269</f>
        <v/>
      </c>
      <c r="Q269" s="35" t="n">
        <v>45229</v>
      </c>
      <c r="R269" t="n">
        <v>208505</v>
      </c>
      <c r="S269" t="inlineStr">
        <is>
          <t>K003-901635943</t>
        </is>
      </c>
      <c r="T269" t="inlineStr">
        <is>
          <t>អ៊ីឃ្យូឡាញ វើលវ៉ាយដ៍ ឡូជីស្ទីក</t>
        </is>
      </c>
      <c r="U269" t="n">
        <v>208505</v>
      </c>
      <c r="V269" t="n">
        <v>0</v>
      </c>
    </row>
    <row r="270">
      <c r="A270" t="n">
        <v>269</v>
      </c>
      <c r="B270" t="inlineStr">
        <is>
          <t>THC, EMC. EIB, Doc Fee and HANDLING CHARGE</t>
        </is>
      </c>
      <c r="C270" t="inlineStr">
        <is>
          <t>អ.អិន.វ៉ាយ ត្រេនស្ព័ត</t>
        </is>
      </c>
      <c r="D270" t="inlineStr">
        <is>
          <t>L001-901500191</t>
        </is>
      </c>
      <c r="E270" t="inlineStr">
        <is>
          <t>T241506</t>
        </is>
      </c>
      <c r="F270" t="inlineStr">
        <is>
          <t>09-03-2024</t>
        </is>
      </c>
      <c r="G270" t="n">
        <v>148117</v>
      </c>
      <c r="I270">
        <f>G270</f>
        <v/>
      </c>
      <c r="K270">
        <f>I270-G270</f>
        <v/>
      </c>
      <c r="M270">
        <f>R270=E270</f>
        <v/>
      </c>
      <c r="N270">
        <f>AND(MONTH(F270)=MONTH(Q270), YEAR(F270)=YEAR(Q270))</f>
        <v/>
      </c>
      <c r="O270">
        <f>"L001-902303751"=S270</f>
        <v/>
      </c>
      <c r="P270">
        <f>G270-U270</f>
        <v/>
      </c>
      <c r="Q270" s="35" t="n">
        <v>45208</v>
      </c>
      <c r="R270" t="n">
        <v>94990</v>
      </c>
      <c r="S270" t="inlineStr">
        <is>
          <t>K009-901605081</t>
        </is>
      </c>
      <c r="T270" t="inlineStr">
        <is>
          <t>ទ្រូ ខមភែនៀន ឡូជីស្ទីក (ខេមបូឌា)</t>
        </is>
      </c>
      <c r="U270" t="n">
        <v>94990</v>
      </c>
      <c r="V270" t="n">
        <v>0</v>
      </c>
    </row>
    <row r="271">
      <c r="A271" t="n">
        <v>270</v>
      </c>
      <c r="B271" t="inlineStr">
        <is>
          <t>Lift-On &amp; Lift-Off</t>
        </is>
      </c>
      <c r="C271" t="inlineStr">
        <is>
          <t>កំពង់ផែស្វយ័តក្រុងព្រះសីហនុ</t>
        </is>
      </c>
      <c r="D271" t="inlineStr">
        <is>
          <t>L001-100044638</t>
        </is>
      </c>
      <c r="E271" t="inlineStr">
        <is>
          <t>043912</t>
        </is>
      </c>
      <c r="F271" t="inlineStr">
        <is>
          <t>11-03-2024</t>
        </is>
      </c>
      <c r="G271" t="n">
        <v>35279</v>
      </c>
      <c r="I271">
        <f>G271</f>
        <v/>
      </c>
      <c r="K271">
        <f>I271-G271</f>
        <v/>
      </c>
      <c r="M271">
        <f>R271=E271</f>
        <v/>
      </c>
      <c r="N271">
        <f>AND(MONTH(F271)=MONTH(Q271), YEAR(F271)=YEAR(Q271))</f>
        <v/>
      </c>
      <c r="O271">
        <f>"L001-902303751"=S271</f>
        <v/>
      </c>
      <c r="P271">
        <f>G271-U271</f>
        <v/>
      </c>
      <c r="Q271" s="35" t="n">
        <v>45201</v>
      </c>
      <c r="R271" t="n">
        <v>2247035</v>
      </c>
      <c r="S271" t="inlineStr">
        <is>
          <t>K009-901605081</t>
        </is>
      </c>
      <c r="T271" t="inlineStr">
        <is>
          <t>ទ្រូ ខមភែនៀន ឡូជីស្ទីក (ខេមបូឌា)</t>
        </is>
      </c>
      <c r="U271" t="n">
        <v>2247035</v>
      </c>
      <c r="V271" t="n">
        <v>0</v>
      </c>
    </row>
    <row r="272">
      <c r="A272" t="n">
        <v>271</v>
      </c>
      <c r="B272" t="inlineStr">
        <is>
          <t>Customs Clearance Fee and Trucking Fee</t>
        </is>
      </c>
      <c r="C272" t="inlineStr">
        <is>
          <t>ត្រាយអ៊ែងហ្គល ឡូជីស្ទីក (ខេមបូឌា) ឯ.ក</t>
        </is>
      </c>
      <c r="D272" t="inlineStr">
        <is>
          <t>K010-902101743</t>
        </is>
      </c>
      <c r="E272" t="inlineStr">
        <is>
          <t>TAG-24-00102</t>
        </is>
      </c>
      <c r="F272" t="inlineStr">
        <is>
          <t>11-03-2024</t>
        </is>
      </c>
      <c r="G272" t="n">
        <v>109485</v>
      </c>
      <c r="I272">
        <f>G272</f>
        <v/>
      </c>
      <c r="K272">
        <f>I272-G272</f>
        <v/>
      </c>
      <c r="M272">
        <f>R272=E272</f>
        <v/>
      </c>
      <c r="N272">
        <f>AND(MONTH(F272)=MONTH(Q272), YEAR(F272)=YEAR(Q272))</f>
        <v/>
      </c>
      <c r="O272">
        <f>"L001-902303751"=S272</f>
        <v/>
      </c>
      <c r="P272">
        <f>G272-U272</f>
        <v/>
      </c>
      <c r="Q272" s="35" t="n">
        <v>45229</v>
      </c>
      <c r="R272" t="inlineStr"/>
      <c r="S272" t="inlineStr">
        <is>
          <t>K003-901635943</t>
        </is>
      </c>
      <c r="T272" t="inlineStr">
        <is>
          <t>អ៊ីឃ្យូឡាញ វើលវ៉ាយដ៍ ឡូជីស្ទីក</t>
        </is>
      </c>
      <c r="U272" t="n">
        <v>0</v>
      </c>
      <c r="V272" t="n">
        <v>0</v>
      </c>
    </row>
    <row r="273">
      <c r="A273" t="n">
        <v>272</v>
      </c>
      <c r="B273" t="inlineStr">
        <is>
          <t>Customs Clearance Fee</t>
        </is>
      </c>
      <c r="C273" t="inlineStr">
        <is>
          <t>ត្រាយអ៊ែងហ្គល ឡូជីស្ទីក (ខេមបូឌា) ឯ.ក</t>
        </is>
      </c>
      <c r="D273" t="inlineStr">
        <is>
          <t>K010-902101743</t>
        </is>
      </c>
      <c r="E273" t="inlineStr">
        <is>
          <t>TAG-24-00079</t>
        </is>
      </c>
      <c r="F273" t="inlineStr">
        <is>
          <t>01-03-2024</t>
        </is>
      </c>
      <c r="G273" t="n">
        <v>8134</v>
      </c>
      <c r="I273">
        <f>G273</f>
        <v/>
      </c>
      <c r="K273">
        <f>I273-G273</f>
        <v/>
      </c>
      <c r="M273">
        <f>R273=E273</f>
        <v/>
      </c>
      <c r="N273">
        <f>AND(MONTH(F273)=MONTH(Q273), YEAR(F273)=YEAR(Q273))</f>
        <v/>
      </c>
      <c r="O273">
        <f>"L001-902303751"=S273</f>
        <v/>
      </c>
      <c r="P273">
        <f>G273-U273</f>
        <v/>
      </c>
      <c r="Q273" s="35" t="n">
        <v>45210</v>
      </c>
      <c r="R273" t="n">
        <v>140454</v>
      </c>
      <c r="S273" t="inlineStr">
        <is>
          <t>L001-107032791</t>
        </is>
      </c>
      <c r="T273" t="inlineStr">
        <is>
          <t>នីបផន អិចប្រេស (ខេមបូឌា) ខូ អិលធីឌី</t>
        </is>
      </c>
      <c r="U273" t="n">
        <v>140454</v>
      </c>
      <c r="V273" t="n">
        <v>0</v>
      </c>
    </row>
    <row r="274">
      <c r="A274" t="n">
        <v>273</v>
      </c>
      <c r="B274" t="inlineStr">
        <is>
          <t>THC, SCAN FEE, LCL CHARGES, TOLL FEE, CONTAINER IMBALANCE CHARGE, LOW SULPHUR FUEL SURCHARGE, DOCUMENTATION, DELIVERY ORDER FEE, AGENCY FEE and CLEAN CONTAINER FEE</t>
        </is>
      </c>
      <c r="C274" t="inlineStr">
        <is>
          <t>ភើហ្វីក ណេតវើក ស៊ីបភីង ឯ.ក</t>
        </is>
      </c>
      <c r="D274" t="inlineStr">
        <is>
          <t>K009-901802143</t>
        </is>
      </c>
      <c r="E274" t="inlineStr">
        <is>
          <t>PNS24/00291</t>
        </is>
      </c>
      <c r="F274" t="inlineStr">
        <is>
          <t>01-03-2024</t>
        </is>
      </c>
      <c r="G274" t="n">
        <v>74019</v>
      </c>
      <c r="I274">
        <f>G274</f>
        <v/>
      </c>
      <c r="K274">
        <f>I274-G274</f>
        <v/>
      </c>
      <c r="M274">
        <f>R274=E274</f>
        <v/>
      </c>
      <c r="N274">
        <f>AND(MONTH(F274)=MONTH(Q274), YEAR(F274)=YEAR(Q274))</f>
        <v/>
      </c>
      <c r="O274">
        <f>"L001-902303751"=S274</f>
        <v/>
      </c>
      <c r="P274">
        <f>G274-U274</f>
        <v/>
      </c>
      <c r="Q274" s="35" t="n">
        <v>45208</v>
      </c>
      <c r="R274" t="n">
        <v>2250850</v>
      </c>
      <c r="S274" t="inlineStr">
        <is>
          <t>K009-901605081</t>
        </is>
      </c>
      <c r="T274" t="inlineStr">
        <is>
          <t>ទ្រូ ខមភែនៀន ឡូជីស្ទីក (ខេមបូឌា)</t>
        </is>
      </c>
      <c r="U274" t="n">
        <v>2250850</v>
      </c>
      <c r="V274" t="n">
        <v>0</v>
      </c>
    </row>
    <row r="275">
      <c r="A275" t="n">
        <v>274</v>
      </c>
      <c r="B275" t="inlineStr">
        <is>
          <t>Charge from Warehouse/cy to trucks</t>
        </is>
      </c>
      <c r="C275" t="inlineStr">
        <is>
          <t>កំពង់ផែស្វយ័តក្រុងព្រះសីហនុ</t>
        </is>
      </c>
      <c r="D275" t="inlineStr">
        <is>
          <t>L001-100044638</t>
        </is>
      </c>
      <c r="E275" t="inlineStr">
        <is>
          <t>051170</t>
        </is>
      </c>
      <c r="F275" t="inlineStr">
        <is>
          <t>21-03-2024</t>
        </is>
      </c>
      <c r="G275" t="n">
        <v>618</v>
      </c>
      <c r="I275">
        <f>G275</f>
        <v/>
      </c>
      <c r="K275">
        <f>I275-G275</f>
        <v/>
      </c>
      <c r="M275">
        <f>R275=E275</f>
        <v/>
      </c>
      <c r="N275">
        <f>AND(MONTH(F275)=MONTH(Q275), YEAR(F275)=YEAR(Q275))</f>
        <v/>
      </c>
      <c r="O275">
        <f>"L001-902303751"=S275</f>
        <v/>
      </c>
      <c r="P275">
        <f>G275-U275</f>
        <v/>
      </c>
      <c r="Q275" s="35" t="n">
        <v>45215</v>
      </c>
      <c r="R275" t="inlineStr"/>
      <c r="S275" t="inlineStr">
        <is>
          <t>K003-901635943</t>
        </is>
      </c>
      <c r="T275" t="inlineStr">
        <is>
          <t>អ៊ីឃ្យូឡាញ វើលវ៉ាយដ៍ ឡូជីស្ទីក</t>
        </is>
      </c>
      <c r="U275" t="n">
        <v>0</v>
      </c>
      <c r="V275" t="n">
        <v>0</v>
      </c>
    </row>
    <row r="276">
      <c r="A276" t="n">
        <v>275</v>
      </c>
      <c r="B276" t="inlineStr">
        <is>
          <t>Customs Clearance Fee and Trucking Fee</t>
        </is>
      </c>
      <c r="C276" t="inlineStr">
        <is>
          <t>ត្រាយអ៊ែងហ្គល ឡូជីស្ទីក (ខេមបូឌា) ឯ.ក</t>
        </is>
      </c>
      <c r="D276" t="inlineStr">
        <is>
          <t>K010-902101743</t>
        </is>
      </c>
      <c r="E276" t="inlineStr">
        <is>
          <t>TAG-24-00084</t>
        </is>
      </c>
      <c r="F276" t="inlineStr">
        <is>
          <t>05-03-2024</t>
        </is>
      </c>
      <c r="G276" t="n">
        <v>32512</v>
      </c>
      <c r="I276">
        <f>G276</f>
        <v/>
      </c>
      <c r="K276">
        <f>I276-G276</f>
        <v/>
      </c>
      <c r="M276">
        <f>R276=E276</f>
        <v/>
      </c>
      <c r="N276">
        <f>AND(MONTH(F276)=MONTH(Q276), YEAR(F276)=YEAR(Q276))</f>
        <v/>
      </c>
      <c r="O276">
        <f>"L001-902303751"=S276</f>
        <v/>
      </c>
      <c r="P276">
        <f>G276-U276</f>
        <v/>
      </c>
      <c r="Q276" s="35" t="n">
        <v>45225</v>
      </c>
      <c r="R276" t="n">
        <v>2256300</v>
      </c>
      <c r="S276" t="inlineStr">
        <is>
          <t>K009-901605081</t>
        </is>
      </c>
      <c r="T276" t="inlineStr">
        <is>
          <t>ទ្រូ ខមភែនៀន ឡូជីស្ទីក (ខេមបូឌា)</t>
        </is>
      </c>
      <c r="U276" t="n">
        <v>2256300</v>
      </c>
      <c r="V276" t="n">
        <v>0</v>
      </c>
    </row>
    <row r="277">
      <c r="A277" t="n">
        <v>276</v>
      </c>
      <c r="B277" t="inlineStr">
        <is>
          <t>Terminal Handling Charge, Documentation Fee, Agency Fee. Container Protect Essential and Equipment Positioning Service</t>
        </is>
      </c>
      <c r="C277" t="inlineStr">
        <is>
          <t>ផេនដា គ្លូប៊ល ឡូជីស្ទីក (ខេមបូឌា)</t>
        </is>
      </c>
      <c r="D277" t="inlineStr">
        <is>
          <t>K005-901501155</t>
        </is>
      </c>
      <c r="E277" t="inlineStr">
        <is>
          <t>PD240070</t>
        </is>
      </c>
      <c r="F277" t="inlineStr">
        <is>
          <t>05-03-2024</t>
        </is>
      </c>
      <c r="G277" t="n">
        <v>172720</v>
      </c>
      <c r="I277">
        <f>G277</f>
        <v/>
      </c>
      <c r="K277">
        <f>I277-G277</f>
        <v/>
      </c>
      <c r="M277">
        <f>R277=E277</f>
        <v/>
      </c>
      <c r="N277">
        <f>AND(MONTH(F277)=MONTH(Q277), YEAR(F277)=YEAR(Q277))</f>
        <v/>
      </c>
      <c r="O277">
        <f>"L001-902303751"=S277</f>
        <v/>
      </c>
      <c r="P277">
        <f>G277-U277</f>
        <v/>
      </c>
      <c r="Q277" s="35" t="n">
        <v>45201</v>
      </c>
      <c r="R277" t="n">
        <v>131936</v>
      </c>
      <c r="S277" t="inlineStr">
        <is>
          <t>K009-902002784</t>
        </is>
      </c>
      <c r="T277" t="inlineStr">
        <is>
          <t>ខាហ្គោលីង អ៊ិនធើណេសិនណល ឯ.ក</t>
        </is>
      </c>
      <c r="U277" t="n">
        <v>131936</v>
      </c>
      <c r="V277" t="n">
        <v>0</v>
      </c>
    </row>
    <row r="278">
      <c r="A278" t="n">
        <v>277</v>
      </c>
      <c r="B278" t="inlineStr">
        <is>
          <t>Lift-On &amp; Lift-Off</t>
        </is>
      </c>
      <c r="C278" t="inlineStr">
        <is>
          <t>កំពង់ផែស្វយ័តក្រុងព្រះសីហនុ</t>
        </is>
      </c>
      <c r="D278" t="inlineStr">
        <is>
          <t>L001-100044638</t>
        </is>
      </c>
      <c r="E278" t="inlineStr">
        <is>
          <t>042877</t>
        </is>
      </c>
      <c r="F278" t="inlineStr">
        <is>
          <t>08-03-2024</t>
        </is>
      </c>
      <c r="G278" t="n">
        <v>23131</v>
      </c>
      <c r="I278">
        <f>G278</f>
        <v/>
      </c>
      <c r="K278">
        <f>I278-G278</f>
        <v/>
      </c>
      <c r="M278">
        <f>R278=E278</f>
        <v/>
      </c>
      <c r="N278">
        <f>AND(MONTH(F278)=MONTH(Q278), YEAR(F278)=YEAR(Q278))</f>
        <v/>
      </c>
      <c r="O278">
        <f>"L001-902303751"=S278</f>
        <v/>
      </c>
      <c r="P278">
        <f>G278-U278</f>
        <v/>
      </c>
      <c r="Q278" s="35" t="n">
        <v>45208</v>
      </c>
      <c r="R278" t="inlineStr"/>
      <c r="S278" t="inlineStr">
        <is>
          <t>K003-901635943</t>
        </is>
      </c>
      <c r="T278" t="inlineStr">
        <is>
          <t>អ៊ីឃ្យូឡាញ វើលវ៉ាយដ៍ ឡូជីស្ទីក</t>
        </is>
      </c>
      <c r="U278" t="n">
        <v>0</v>
      </c>
      <c r="V278" t="n">
        <v>0</v>
      </c>
    </row>
    <row r="279">
      <c r="A279" t="n">
        <v>278</v>
      </c>
      <c r="B279" t="inlineStr">
        <is>
          <t>Customs Clearance Fee and Trucking Fee</t>
        </is>
      </c>
      <c r="C279" t="inlineStr">
        <is>
          <t>ត្រាយអ៊ែងហ្គល ឡូជីស្ទីក (ខេមបូឌា) ឯ.ក</t>
        </is>
      </c>
      <c r="D279" t="inlineStr">
        <is>
          <t>K010-902101743</t>
        </is>
      </c>
      <c r="E279" t="inlineStr">
        <is>
          <t>TAG-24-00093</t>
        </is>
      </c>
      <c r="F279" t="inlineStr">
        <is>
          <t>07-03-2024</t>
        </is>
      </c>
      <c r="G279" t="n">
        <v>68986</v>
      </c>
      <c r="I279">
        <f>G279</f>
        <v/>
      </c>
      <c r="K279">
        <f>I279-G279</f>
        <v/>
      </c>
      <c r="M279">
        <f>R279=E279</f>
        <v/>
      </c>
      <c r="N279">
        <f>AND(MONTH(F279)=MONTH(Q279), YEAR(F279)=YEAR(Q279))</f>
        <v/>
      </c>
      <c r="O279">
        <f>"L001-902303751"=S279</f>
        <v/>
      </c>
      <c r="P279">
        <f>G279-U279</f>
        <v/>
      </c>
      <c r="Q279" s="35" t="n">
        <v>45210</v>
      </c>
      <c r="R279" t="n">
        <v>190026</v>
      </c>
      <c r="S279" t="inlineStr">
        <is>
          <t>K009-901605081</t>
        </is>
      </c>
      <c r="T279" t="inlineStr">
        <is>
          <t>ទ្រូ ខមភែនៀន ឡូជីស្ទីក (ខេមបូឌា)</t>
        </is>
      </c>
      <c r="U279" t="n">
        <v>190026</v>
      </c>
      <c r="V279" t="n">
        <v>0</v>
      </c>
    </row>
    <row r="280">
      <c r="A280" t="n">
        <v>279</v>
      </c>
      <c r="B280" t="inlineStr">
        <is>
          <t>Raw Material</t>
        </is>
      </c>
      <c r="C280" t="inlineStr">
        <is>
          <t>ក្លាក ហ៊ូ ឯ.ក</t>
        </is>
      </c>
      <c r="D280" t="inlineStr">
        <is>
          <t>K007-901639199</t>
        </is>
      </c>
      <c r="E280" t="inlineStr">
        <is>
          <t>TN0556</t>
        </is>
      </c>
      <c r="F280" t="inlineStr">
        <is>
          <t>26-03-2024</t>
        </is>
      </c>
      <c r="G280" t="n">
        <v>868707</v>
      </c>
      <c r="I280">
        <f>G280</f>
        <v/>
      </c>
      <c r="K280">
        <f>I280-G280</f>
        <v/>
      </c>
      <c r="M280">
        <f>R280=E280</f>
        <v/>
      </c>
      <c r="N280">
        <f>AND(MONTH(F280)=MONTH(Q280), YEAR(F280)=YEAR(Q280))</f>
        <v/>
      </c>
      <c r="O280">
        <f>"L001-902303751"=S280</f>
        <v/>
      </c>
      <c r="P280">
        <f>G280-U280</f>
        <v/>
      </c>
      <c r="Q280" s="35" t="n">
        <v>45201</v>
      </c>
      <c r="R280" t="n">
        <v>189658</v>
      </c>
      <c r="S280" t="inlineStr">
        <is>
          <t>K009-901605081</t>
        </is>
      </c>
      <c r="T280" t="inlineStr">
        <is>
          <t>ទ្រូ ខមភែនៀន ឡូជីស្ទីក (ខេមបូឌា)</t>
        </is>
      </c>
      <c r="U280" t="n">
        <v>189658</v>
      </c>
      <c r="V280" t="n">
        <v>0</v>
      </c>
    </row>
    <row r="281">
      <c r="A281" t="n">
        <v>280</v>
      </c>
      <c r="B281" t="inlineStr">
        <is>
          <t>PVC</t>
        </is>
      </c>
      <c r="C281" t="inlineStr">
        <is>
          <t>យីស៊ូ ធេមផ្លេត ក្រាហ្វ ឯ.ក</t>
        </is>
      </c>
      <c r="D281" t="inlineStr">
        <is>
          <t>K010-902200360</t>
        </is>
      </c>
      <c r="E281" t="inlineStr">
        <is>
          <t>24-0058</t>
        </is>
      </c>
      <c r="F281" t="inlineStr">
        <is>
          <t>30-03-2024</t>
        </is>
      </c>
      <c r="G281" t="n">
        <v>909225</v>
      </c>
      <c r="I281">
        <f>G281</f>
        <v/>
      </c>
      <c r="K281">
        <f>I281-G281</f>
        <v/>
      </c>
      <c r="M281">
        <f>R281=E281</f>
        <v/>
      </c>
      <c r="N281">
        <f>AND(MONTH(F281)=MONTH(Q281), YEAR(F281)=YEAR(Q281))</f>
        <v/>
      </c>
      <c r="O281">
        <f>"L001-902303751"=S281</f>
        <v/>
      </c>
      <c r="P281">
        <f>G281-U281</f>
        <v/>
      </c>
      <c r="Q281" s="35" t="n">
        <v>45208</v>
      </c>
      <c r="R281" t="n">
        <v>114401</v>
      </c>
      <c r="S281" t="inlineStr">
        <is>
          <t>K003-901635943</t>
        </is>
      </c>
      <c r="T281" t="inlineStr">
        <is>
          <t>អ៊ីឃ្យូឡាញ វើលវ៉ាយដ៍ ឡូជីស្ទីក</t>
        </is>
      </c>
      <c r="U281" t="n">
        <v>114401</v>
      </c>
      <c r="V281" t="n">
        <v>0</v>
      </c>
    </row>
    <row r="282">
      <c r="A282" t="n">
        <v>281</v>
      </c>
      <c r="B282" t="inlineStr">
        <is>
          <t>Machinery Rental for Mar 2024</t>
        </is>
      </c>
      <c r="C282" t="inlineStr">
        <is>
          <t>ក្លាក ហ៊ូ ឯ.ក</t>
        </is>
      </c>
      <c r="D282" t="inlineStr">
        <is>
          <t>K007-901639199</t>
        </is>
      </c>
      <c r="E282" t="inlineStr">
        <is>
          <t>IN0565</t>
        </is>
      </c>
      <c r="F282" t="inlineStr">
        <is>
          <t>27-03-2024</t>
        </is>
      </c>
      <c r="G282" t="n">
        <v>327402</v>
      </c>
      <c r="I282">
        <f>G282</f>
        <v/>
      </c>
      <c r="K282">
        <f>I282-G282</f>
        <v/>
      </c>
      <c r="M282">
        <f>R282=E282</f>
        <v/>
      </c>
      <c r="N282">
        <f>AND(MONTH(F282)=MONTH(Q282), YEAR(F282)=YEAR(Q282))</f>
        <v/>
      </c>
      <c r="O282">
        <f>"L001-902303751"=S282</f>
        <v/>
      </c>
      <c r="P282">
        <f>G282-U282</f>
        <v/>
      </c>
      <c r="Q282" s="35" t="n">
        <v>45222</v>
      </c>
      <c r="R282" t="n">
        <v>179459</v>
      </c>
      <c r="S282" t="inlineStr">
        <is>
          <t>L001-107041723</t>
        </is>
      </c>
      <c r="T282" t="inlineStr">
        <is>
          <t>ឌីប៊ី សេនឃើរ (ខេមបូឌា) លីមីធីត</t>
        </is>
      </c>
      <c r="U282" t="n">
        <v>179459</v>
      </c>
      <c r="V282" t="n">
        <v>0</v>
      </c>
    </row>
    <row r="283">
      <c r="A283" t="n">
        <v>282</v>
      </c>
      <c r="B283" t="inlineStr">
        <is>
          <t>Stationary</t>
        </is>
      </c>
      <c r="C283" t="inlineStr">
        <is>
          <t>ស៊ី &amp; ជី ត្រេឌីង ឯ.ក</t>
        </is>
      </c>
      <c r="D283" t="inlineStr">
        <is>
          <t>K010-902205065</t>
        </is>
      </c>
      <c r="E283" t="inlineStr">
        <is>
          <t>2024-0024</t>
        </is>
      </c>
      <c r="F283" t="inlineStr">
        <is>
          <t>22-03-2024</t>
        </is>
      </c>
      <c r="G283" t="n">
        <v>730118</v>
      </c>
      <c r="I283">
        <f>G283</f>
        <v/>
      </c>
      <c r="K283">
        <f>I283-G283</f>
        <v/>
      </c>
      <c r="M283">
        <f>R283=E283</f>
        <v/>
      </c>
      <c r="N283">
        <f>AND(MONTH(F283)=MONTH(Q283), YEAR(F283)=YEAR(Q283))</f>
        <v/>
      </c>
      <c r="O283">
        <f>"L001-902303751"=S283</f>
        <v/>
      </c>
      <c r="P283">
        <f>G283-U283</f>
        <v/>
      </c>
      <c r="Q283" s="35" t="n">
        <v>45573</v>
      </c>
      <c r="R283" t="n">
        <v>2214880</v>
      </c>
      <c r="S283" t="inlineStr">
        <is>
          <t>K009-901605081</t>
        </is>
      </c>
      <c r="T283" t="inlineStr">
        <is>
          <t>ទ្រូ ខមភែនៀន ឡូជីស្ទីក (ខេមបូឌា)</t>
        </is>
      </c>
      <c r="U283" t="n">
        <v>2214880</v>
      </c>
      <c r="V283" t="n">
        <v>0</v>
      </c>
    </row>
    <row r="284">
      <c r="A284" t="n">
        <v>283</v>
      </c>
      <c r="B284" t="inlineStr">
        <is>
          <t>Non Woven Interlining</t>
        </is>
      </c>
      <c r="C284" t="inlineStr">
        <is>
          <t>ដេលី ហ្គាមេន អេកសេសឺរី</t>
        </is>
      </c>
      <c r="D284" t="inlineStr">
        <is>
          <t>L001-108012794</t>
        </is>
      </c>
      <c r="E284" t="inlineStr">
        <is>
          <t>00208</t>
        </is>
      </c>
      <c r="F284" t="inlineStr">
        <is>
          <t>29-03-2024</t>
        </is>
      </c>
      <c r="G284" t="n">
        <v>237611</v>
      </c>
      <c r="I284">
        <f>G284</f>
        <v/>
      </c>
      <c r="K284">
        <f>I284-G284</f>
        <v/>
      </c>
      <c r="M284">
        <f>R284=E284</f>
        <v/>
      </c>
      <c r="N284">
        <f>AND(MONTH(F284)=MONTH(Q284), YEAR(F284)=YEAR(Q284))</f>
        <v/>
      </c>
      <c r="O284">
        <f>"L001-902303751"=S284</f>
        <v/>
      </c>
      <c r="P284">
        <f>G284-U284</f>
        <v/>
      </c>
      <c r="Q284" s="35" t="n">
        <v>45575</v>
      </c>
      <c r="R284" t="n">
        <v>2215970</v>
      </c>
      <c r="S284" t="inlineStr">
        <is>
          <t>K009-901605081</t>
        </is>
      </c>
      <c r="T284" t="inlineStr">
        <is>
          <t>ទ្រូ ខមភែនៀន ឡូជីស្ទីក (ខេមបូឌា)</t>
        </is>
      </c>
      <c r="U284" t="n">
        <v>2215970</v>
      </c>
      <c r="V284" t="n">
        <v>0</v>
      </c>
    </row>
    <row r="285">
      <c r="A285" t="n">
        <v>284</v>
      </c>
      <c r="B285" t="inlineStr">
        <is>
          <t>PVC, Sponge strips, Automatic Cutting blade and Grinding wheel</t>
        </is>
      </c>
      <c r="C285" t="inlineStr">
        <is>
          <t>យីស៊ូ ធេមផ្លេត ក្រាហ្វ ឯ.ក</t>
        </is>
      </c>
      <c r="D285" t="inlineStr">
        <is>
          <t>K010-902200360</t>
        </is>
      </c>
      <c r="E285" t="inlineStr">
        <is>
          <t>24-0052</t>
        </is>
      </c>
      <c r="F285" t="inlineStr">
        <is>
          <t>25-03-2024</t>
        </is>
      </c>
      <c r="G285" t="n">
        <v>1144331</v>
      </c>
      <c r="I285">
        <f>G285</f>
        <v/>
      </c>
      <c r="K285">
        <f>I285-G285</f>
        <v/>
      </c>
      <c r="M285">
        <f>R285=E285</f>
        <v/>
      </c>
      <c r="N285">
        <f>AND(MONTH(F285)=MONTH(Q285), YEAR(F285)=YEAR(Q285))</f>
        <v/>
      </c>
      <c r="O285">
        <f>"L001-902303751"=S285</f>
        <v/>
      </c>
      <c r="P285">
        <f>G285-U285</f>
        <v/>
      </c>
      <c r="Q285" s="35" t="n">
        <v>45593</v>
      </c>
      <c r="R285" t="n">
        <v>84063</v>
      </c>
      <c r="S285" t="inlineStr">
        <is>
          <t>L001-104015799</t>
        </is>
      </c>
      <c r="T285" t="inlineStr">
        <is>
          <t>យូសេន ឡូជីស្ទីក (ខេមបូឌា) ខូ អិលធីឌី</t>
        </is>
      </c>
      <c r="U285" t="n">
        <v>84063</v>
      </c>
      <c r="V285" t="n">
        <v>0</v>
      </c>
    </row>
    <row r="286">
      <c r="A286" t="n">
        <v>285</v>
      </c>
      <c r="B286" t="inlineStr">
        <is>
          <t>Coated paper and Thermal Transfer Ribbons</t>
        </is>
      </c>
      <c r="C286" t="inlineStr">
        <is>
          <t>ហ្គូដញូ ភែកឃីជីង ថេកណឡជី ឯ.ក</t>
        </is>
      </c>
      <c r="D286" t="inlineStr">
        <is>
          <t>L001-901704919</t>
        </is>
      </c>
      <c r="E286" t="inlineStr">
        <is>
          <t>TI-GN-2024-022</t>
        </is>
      </c>
      <c r="F286" t="inlineStr">
        <is>
          <t>30-03-2024</t>
        </is>
      </c>
      <c r="G286" t="n">
        <v>281432</v>
      </c>
      <c r="I286">
        <f>G286</f>
        <v/>
      </c>
      <c r="K286">
        <f>I286-G286</f>
        <v/>
      </c>
      <c r="M286">
        <f>R286=E286</f>
        <v/>
      </c>
      <c r="N286">
        <f>AND(MONTH(F286)=MONTH(Q286), YEAR(F286)=YEAR(Q286))</f>
        <v/>
      </c>
      <c r="O286">
        <f>"L001-902303751"=S286</f>
        <v/>
      </c>
      <c r="P286">
        <f>G286-U286</f>
        <v/>
      </c>
      <c r="Q286" s="35" t="n">
        <v>45593</v>
      </c>
      <c r="R286" t="n">
        <v>186806</v>
      </c>
      <c r="S286" t="inlineStr">
        <is>
          <t>K009-901605081</t>
        </is>
      </c>
      <c r="T286" t="inlineStr">
        <is>
          <t>ទ្រូ ខមភែនៀន ឡូជីស្ទីក (ខេមបូឌា)</t>
        </is>
      </c>
      <c r="U286" t="n">
        <v>186806</v>
      </c>
      <c r="V286" t="n">
        <v>0</v>
      </c>
    </row>
    <row r="287">
      <c r="A287" t="n">
        <v>286</v>
      </c>
      <c r="B287" t="inlineStr">
        <is>
          <t>Coated paper and Thermal Transfer Ribbons</t>
        </is>
      </c>
      <c r="C287" t="inlineStr">
        <is>
          <t>ហ្គូដញូ ភែកឃីជីង ថេកណឡជី ឯ.ក</t>
        </is>
      </c>
      <c r="D287" t="inlineStr">
        <is>
          <t>L001-901704919</t>
        </is>
      </c>
      <c r="E287" t="inlineStr">
        <is>
          <t>TI-GN-2024-018</t>
        </is>
      </c>
      <c r="F287" t="inlineStr">
        <is>
          <t>04-03-2024</t>
        </is>
      </c>
      <c r="G287" t="n">
        <v>231198</v>
      </c>
      <c r="I287">
        <f>G287</f>
        <v/>
      </c>
      <c r="K287">
        <f>I287-G287</f>
        <v/>
      </c>
      <c r="M287">
        <f>R287=E287</f>
        <v/>
      </c>
      <c r="N287">
        <f>AND(MONTH(F287)=MONTH(Q287), YEAR(F287)=YEAR(Q287))</f>
        <v/>
      </c>
      <c r="O287">
        <f>"L001-902303751"=S287</f>
        <v/>
      </c>
      <c r="P287">
        <f>G287-U287</f>
        <v/>
      </c>
      <c r="Q287" s="35" t="n">
        <v>45573</v>
      </c>
      <c r="R287" t="inlineStr"/>
      <c r="S287" t="inlineStr">
        <is>
          <t>K009-901605081</t>
        </is>
      </c>
      <c r="T287" t="inlineStr">
        <is>
          <t>ទ្រូ ខមភែនៀន ឡូជីស្ទីក (ខេមបូឌា)</t>
        </is>
      </c>
      <c r="U287" t="n">
        <v>0</v>
      </c>
      <c r="V287" t="n">
        <v>0</v>
      </c>
    </row>
    <row r="288">
      <c r="A288" t="n">
        <v>287</v>
      </c>
      <c r="B288" t="inlineStr">
        <is>
          <t>Care Label</t>
        </is>
      </c>
      <c r="C288" t="inlineStr">
        <is>
          <t>ហ្វ៊ុលម៉ី អេកសេសីរី ឯ.ក</t>
        </is>
      </c>
      <c r="D288" t="inlineStr">
        <is>
          <t>K010-901902807</t>
        </is>
      </c>
      <c r="E288" t="inlineStr">
        <is>
          <t>24/0019</t>
        </is>
      </c>
      <c r="F288" t="inlineStr">
        <is>
          <t>16-03-2024</t>
        </is>
      </c>
      <c r="G288" t="n">
        <v>1008858</v>
      </c>
      <c r="I288">
        <f>G288</f>
        <v/>
      </c>
      <c r="K288">
        <f>I288-G288</f>
        <v/>
      </c>
      <c r="M288">
        <f>R288=E288</f>
        <v/>
      </c>
      <c r="N288">
        <f>AND(MONTH(F288)=MONTH(Q288), YEAR(F288)=YEAR(Q288))</f>
        <v/>
      </c>
      <c r="O288">
        <f>"L001-902303751"=S288</f>
        <v/>
      </c>
      <c r="P288">
        <f>G288-U288</f>
        <v/>
      </c>
      <c r="Q288" s="35" t="n">
        <v>45573</v>
      </c>
      <c r="R288" t="n">
        <v>186944</v>
      </c>
      <c r="S288" t="inlineStr">
        <is>
          <t>K009-901605081</t>
        </is>
      </c>
      <c r="T288" t="inlineStr">
        <is>
          <t>ទ្រូ ខមភែនៀន ឡូជីស្ទីក (ខេមបូឌា)</t>
        </is>
      </c>
      <c r="U288" t="n">
        <v>186944</v>
      </c>
      <c r="V288" t="n">
        <v>0</v>
      </c>
    </row>
    <row r="289">
      <c r="A289" t="n">
        <v>288</v>
      </c>
      <c r="B289" t="inlineStr">
        <is>
          <t>Decoration</t>
        </is>
      </c>
      <c r="C289" t="inlineStr">
        <is>
          <t>ដេកូស៍ អ៊ិនដាសស្ទ្រី ឯ.ក</t>
        </is>
      </c>
      <c r="D289" t="inlineStr">
        <is>
          <t>K007-901639102</t>
        </is>
      </c>
      <c r="E289" t="inlineStr">
        <is>
          <t>00037</t>
        </is>
      </c>
      <c r="F289" t="inlineStr">
        <is>
          <t>19-03-2024</t>
        </is>
      </c>
      <c r="G289" t="n">
        <v>841984</v>
      </c>
      <c r="I289">
        <f>G289</f>
        <v/>
      </c>
      <c r="K289">
        <f>I289-G289</f>
        <v/>
      </c>
      <c r="M289">
        <f>R289=E289</f>
        <v/>
      </c>
      <c r="N289">
        <f>AND(MONTH(F289)=MONTH(Q289), YEAR(F289)=YEAR(Q289))</f>
        <v/>
      </c>
      <c r="O289">
        <f>"L001-902303751"=S289</f>
        <v/>
      </c>
      <c r="P289">
        <f>G289-U289</f>
        <v/>
      </c>
      <c r="Q289" s="35" t="n">
        <v>45593</v>
      </c>
      <c r="R289" t="n">
        <v>96246</v>
      </c>
      <c r="S289" t="inlineStr">
        <is>
          <t>L001-104015799</t>
        </is>
      </c>
      <c r="T289" t="inlineStr">
        <is>
          <t>យូសេន ឡូជីស្ទីក (ខេមបូឌា) ខូ អិលធីឌី</t>
        </is>
      </c>
      <c r="U289" t="n">
        <v>96246</v>
      </c>
      <c r="V289" t="n">
        <v>0</v>
      </c>
    </row>
    <row r="290">
      <c r="A290" t="n">
        <v>289</v>
      </c>
      <c r="B290" t="inlineStr">
        <is>
          <t>Coated paper and Thermal Transfer Ribbons</t>
        </is>
      </c>
      <c r="C290" t="inlineStr">
        <is>
          <t>ហ្គូដញូ ភែកឃីជីង ថេកណឡជី ឯ.ក</t>
        </is>
      </c>
      <c r="D290" t="inlineStr">
        <is>
          <t>L001-901704919</t>
        </is>
      </c>
      <c r="E290" t="inlineStr">
        <is>
          <t>TI-GN-2024-017</t>
        </is>
      </c>
      <c r="F290" t="inlineStr">
        <is>
          <t>04-03-2024</t>
        </is>
      </c>
      <c r="G290" t="n">
        <v>76866</v>
      </c>
      <c r="I290">
        <f>G290</f>
        <v/>
      </c>
      <c r="K290">
        <f>I290-G290</f>
        <v/>
      </c>
      <c r="M290">
        <f>R290=E290</f>
        <v/>
      </c>
      <c r="N290">
        <f>AND(MONTH(F290)=MONTH(Q290), YEAR(F290)=YEAR(Q290))</f>
        <v/>
      </c>
      <c r="O290">
        <f>"L001-902303751"=S290</f>
        <v/>
      </c>
      <c r="P290">
        <f>G290-U290</f>
        <v/>
      </c>
      <c r="Q290" s="35" t="n">
        <v>45593</v>
      </c>
      <c r="R290" t="n">
        <v>2213245</v>
      </c>
      <c r="S290" t="inlineStr">
        <is>
          <t>K009-901605081</t>
        </is>
      </c>
      <c r="T290" t="inlineStr">
        <is>
          <t>ទ្រូ ខមភែនៀន ឡូជីស្ទីក (ខេមបូឌា)</t>
        </is>
      </c>
      <c r="U290" t="n">
        <v>2213245</v>
      </c>
      <c r="V290" t="n">
        <v>0</v>
      </c>
    </row>
    <row r="291">
      <c r="A291" t="n">
        <v>290</v>
      </c>
      <c r="B291" t="inlineStr">
        <is>
          <t>Yellow tape</t>
        </is>
      </c>
      <c r="C291" t="inlineStr">
        <is>
          <t>ដេលី ហ្គាមេន អេកសេសឺរី</t>
        </is>
      </c>
      <c r="D291" t="inlineStr">
        <is>
          <t>L001-108012794</t>
        </is>
      </c>
      <c r="E291" t="inlineStr">
        <is>
          <t>00035</t>
        </is>
      </c>
      <c r="F291" t="inlineStr">
        <is>
          <t>15-03-2024</t>
        </is>
      </c>
      <c r="G291" t="n">
        <v>64768</v>
      </c>
      <c r="I291">
        <f>G291</f>
        <v/>
      </c>
      <c r="K291">
        <f>I291-G291</f>
        <v/>
      </c>
      <c r="M291">
        <f>R291=E291</f>
        <v/>
      </c>
      <c r="N291">
        <f>AND(MONTH(F291)=MONTH(Q291), YEAR(F291)=YEAR(Q291))</f>
        <v/>
      </c>
      <c r="O291">
        <f>"L001-902303751"=S291</f>
        <v/>
      </c>
      <c r="P291">
        <f>G291-U291</f>
        <v/>
      </c>
      <c r="Q291" s="35" t="n">
        <v>45581</v>
      </c>
      <c r="R291" t="n">
        <v>186760</v>
      </c>
      <c r="S291" t="inlineStr">
        <is>
          <t>K009-901605081</t>
        </is>
      </c>
      <c r="T291" t="inlineStr">
        <is>
          <t>ទ្រូ ខមភែនៀន ឡូជីស្ទីក (ខេមបូឌា)</t>
        </is>
      </c>
      <c r="U291" t="n">
        <v>186760</v>
      </c>
      <c r="V291" t="n">
        <v>0</v>
      </c>
    </row>
    <row r="292">
      <c r="A292" t="n">
        <v>291</v>
      </c>
      <c r="B292" t="inlineStr">
        <is>
          <t>Monthly Charge of Photo Copies Rental from 06/02/2024 to 06/03/2024</t>
        </is>
      </c>
      <c r="C292" t="inlineStr">
        <is>
          <t>វី.អាយ.អេស ខភៀ ឯ.ក</t>
        </is>
      </c>
      <c r="D292" t="inlineStr">
        <is>
          <t>K007-901705195</t>
        </is>
      </c>
      <c r="E292" t="inlineStr">
        <is>
          <t>RNT240326</t>
        </is>
      </c>
      <c r="F292" t="inlineStr">
        <is>
          <t>06-03-2024</t>
        </is>
      </c>
      <c r="G292" t="n">
        <v>56574</v>
      </c>
      <c r="I292">
        <f>G292</f>
        <v/>
      </c>
      <c r="K292">
        <f>I292-G292</f>
        <v/>
      </c>
      <c r="M292">
        <f>R292=E292</f>
        <v/>
      </c>
      <c r="N292">
        <f>AND(MONTH(F292)=MONTH(Q292), YEAR(F292)=YEAR(Q292))</f>
        <v/>
      </c>
      <c r="O292">
        <f>"L001-902303751"=S292</f>
        <v/>
      </c>
      <c r="P292">
        <f>G292-U292</f>
        <v/>
      </c>
      <c r="Q292" s="35" t="n">
        <v>45573</v>
      </c>
      <c r="R292" t="n">
        <v>186944</v>
      </c>
      <c r="S292" t="inlineStr">
        <is>
          <t>K009-901605081</t>
        </is>
      </c>
      <c r="T292" t="inlineStr">
        <is>
          <t>ទ្រូ ខមភែនៀន ឡូជីស្ទីក (ខេមបូឌា)</t>
        </is>
      </c>
      <c r="U292" t="n">
        <v>186944</v>
      </c>
      <c r="V292" t="n">
        <v>0</v>
      </c>
    </row>
    <row r="293">
      <c r="A293" t="n">
        <v>292</v>
      </c>
      <c r="B293" t="inlineStr">
        <is>
          <t>Monthly Charge of Photo Copies Rental from 06/02/2024 to 06/03/2024</t>
        </is>
      </c>
      <c r="C293" t="inlineStr">
        <is>
          <t>វី.អាយ.អេស ខភៀ ឯ.ក</t>
        </is>
      </c>
      <c r="D293" t="inlineStr">
        <is>
          <t>K007-901705195</t>
        </is>
      </c>
      <c r="E293" t="inlineStr">
        <is>
          <t>RNT240325</t>
        </is>
      </c>
      <c r="F293" t="inlineStr">
        <is>
          <t>06-03-2024</t>
        </is>
      </c>
      <c r="G293" t="n">
        <v>28455</v>
      </c>
      <c r="I293">
        <f>G293</f>
        <v/>
      </c>
      <c r="K293">
        <f>I293-G293</f>
        <v/>
      </c>
      <c r="M293">
        <f>R293=E293</f>
        <v/>
      </c>
      <c r="N293">
        <f>AND(MONTH(F293)=MONTH(Q293), YEAR(F293)=YEAR(Q293))</f>
        <v/>
      </c>
      <c r="O293">
        <f>"L001-902303751"=S293</f>
        <v/>
      </c>
      <c r="P293">
        <f>G293-U293</f>
        <v/>
      </c>
      <c r="Q293" s="35" t="n">
        <v>45586</v>
      </c>
      <c r="R293" t="inlineStr"/>
      <c r="S293" t="inlineStr">
        <is>
          <t>L001-104015799</t>
        </is>
      </c>
      <c r="T293" t="inlineStr">
        <is>
          <t>យូសេន ឡូជីស្ទីក (ខេមបូឌា) ខូ អិលធីឌី</t>
        </is>
      </c>
      <c r="U293" t="n">
        <v>0</v>
      </c>
      <c r="V293" t="n">
        <v>0</v>
      </c>
    </row>
    <row r="294">
      <c r="A294" t="n">
        <v>293</v>
      </c>
      <c r="B294" t="inlineStr">
        <is>
          <t>Monthly Charge of Photo Copies Rental from 06/02/2024 to 06/03/2024</t>
        </is>
      </c>
      <c r="C294" t="inlineStr">
        <is>
          <t>វី.អាយ.អេស ខភៀ ឯ.ក</t>
        </is>
      </c>
      <c r="D294" t="inlineStr">
        <is>
          <t>K007-901705195</t>
        </is>
      </c>
      <c r="E294" t="inlineStr">
        <is>
          <t>RNT240324</t>
        </is>
      </c>
      <c r="F294" t="inlineStr">
        <is>
          <t>06-03-2024</t>
        </is>
      </c>
      <c r="G294" t="n">
        <v>26423</v>
      </c>
      <c r="I294">
        <f>G294</f>
        <v/>
      </c>
      <c r="K294">
        <f>I294-G294</f>
        <v/>
      </c>
      <c r="M294">
        <f>R294=E294</f>
        <v/>
      </c>
      <c r="N294">
        <f>AND(MONTH(F294)=MONTH(Q294), YEAR(F294)=YEAR(Q294))</f>
        <v/>
      </c>
      <c r="O294">
        <f>"L001-902303751"=S294</f>
        <v/>
      </c>
      <c r="P294">
        <f>G294-U294</f>
        <v/>
      </c>
      <c r="Q294" s="35" t="n">
        <v>45593</v>
      </c>
      <c r="R294" t="n">
        <v>84063</v>
      </c>
      <c r="S294" t="inlineStr">
        <is>
          <t>K003-901635943</t>
        </is>
      </c>
      <c r="T294" t="inlineStr">
        <is>
          <t>អ៊ីឃ្យូឡាញ វើលវ៉ាយដ៍ ឡូជីស្ទីក</t>
        </is>
      </c>
      <c r="U294" t="n">
        <v>84063</v>
      </c>
      <c r="V294" t="n">
        <v>0</v>
      </c>
    </row>
    <row r="295">
      <c r="A295" t="n">
        <v>294</v>
      </c>
      <c r="B295" t="inlineStr">
        <is>
          <t>Monthly Charge of Photo Copies Rental from 06/02/2024 to 06/03/2024</t>
        </is>
      </c>
      <c r="C295" t="inlineStr">
        <is>
          <t>វី.អាយ.អេស ខភៀ ឯ.ក</t>
        </is>
      </c>
      <c r="D295" t="inlineStr">
        <is>
          <t>K007-901705195</t>
        </is>
      </c>
      <c r="E295" t="inlineStr">
        <is>
          <t>RNT240323</t>
        </is>
      </c>
      <c r="F295" t="inlineStr">
        <is>
          <t>06-03-2024</t>
        </is>
      </c>
      <c r="G295" t="n">
        <v>56910</v>
      </c>
      <c r="I295">
        <f>G295</f>
        <v/>
      </c>
      <c r="K295">
        <f>I295-G295</f>
        <v/>
      </c>
      <c r="M295">
        <f>R295=E295</f>
        <v/>
      </c>
      <c r="N295">
        <f>AND(MONTH(F295)=MONTH(Q295), YEAR(F295)=YEAR(Q295))</f>
        <v/>
      </c>
      <c r="O295">
        <f>"L001-902303751"=S295</f>
        <v/>
      </c>
      <c r="P295">
        <f>G295-U295</f>
        <v/>
      </c>
      <c r="Q295" s="35" t="n">
        <v>45593</v>
      </c>
      <c r="R295" t="inlineStr"/>
      <c r="S295" t="inlineStr">
        <is>
          <t>K003-901635943</t>
        </is>
      </c>
      <c r="T295" t="inlineStr">
        <is>
          <t>អ៊ីឃ្យូឡាញ វើលវ៉ាយដ៍ ឡូជីស្ទីក</t>
        </is>
      </c>
      <c r="U295" t="n">
        <v>0</v>
      </c>
      <c r="V295" t="n">
        <v>0</v>
      </c>
    </row>
    <row r="296">
      <c r="A296" t="n">
        <v>295</v>
      </c>
      <c r="B296" t="inlineStr">
        <is>
          <t>50% for Assisting in Preparation CMT Contract and Submission to GDT</t>
        </is>
      </c>
      <c r="C296" t="inlineStr">
        <is>
          <t>ខេឌី ខនសាល់ធេន ឯ.ក</t>
        </is>
      </c>
      <c r="D296" t="inlineStr">
        <is>
          <t>K005-901704277</t>
        </is>
      </c>
      <c r="E296" t="inlineStr">
        <is>
          <t>20240000299</t>
        </is>
      </c>
      <c r="F296" t="inlineStr">
        <is>
          <t>12-03-2024</t>
        </is>
      </c>
      <c r="G296" t="n">
        <v>81100</v>
      </c>
      <c r="I296">
        <f>G296</f>
        <v/>
      </c>
      <c r="K296">
        <f>I296-G296</f>
        <v/>
      </c>
      <c r="M296">
        <f>R296=E296</f>
        <v/>
      </c>
      <c r="N296">
        <f>AND(MONTH(F296)=MONTH(Q296), YEAR(F296)=YEAR(Q296))</f>
        <v/>
      </c>
      <c r="O296">
        <f>"L001-902303751"=S296</f>
        <v/>
      </c>
      <c r="P296">
        <f>G296-U296</f>
        <v/>
      </c>
      <c r="Q296" s="35" t="n">
        <v>45569</v>
      </c>
      <c r="R296" t="n">
        <v>96198</v>
      </c>
      <c r="S296" t="inlineStr">
        <is>
          <t>L001-104015799</t>
        </is>
      </c>
      <c r="T296" t="inlineStr">
        <is>
          <t>យូសេន ឡូជីស្ទីក (ខេមបូឌា) ខូ អិលធីឌី</t>
        </is>
      </c>
      <c r="U296" t="n">
        <v>96198</v>
      </c>
      <c r="V296" t="n">
        <v>0</v>
      </c>
    </row>
    <row r="297">
      <c r="A297" t="n">
        <v>296</v>
      </c>
      <c r="B297" t="inlineStr">
        <is>
          <t>Decoration</t>
        </is>
      </c>
      <c r="C297" t="inlineStr">
        <is>
          <t>ដេកូស៍ អ៊ិនដាសស្ទ្រី ឯ.ក</t>
        </is>
      </c>
      <c r="D297" t="inlineStr">
        <is>
          <t>K007-901639102</t>
        </is>
      </c>
      <c r="E297" t="inlineStr">
        <is>
          <t>00027</t>
        </is>
      </c>
      <c r="F297" t="inlineStr">
        <is>
          <t>01-03-2024</t>
        </is>
      </c>
      <c r="G297" t="n">
        <v>365054</v>
      </c>
      <c r="I297">
        <f>G297</f>
        <v/>
      </c>
      <c r="K297">
        <f>I297-G297</f>
        <v/>
      </c>
      <c r="M297">
        <f>R297=E297</f>
        <v/>
      </c>
      <c r="N297">
        <f>AND(MONTH(F297)=MONTH(Q297), YEAR(F297)=YEAR(Q297))</f>
        <v/>
      </c>
      <c r="O297">
        <f>"L001-902303751"=S297</f>
        <v/>
      </c>
      <c r="P297">
        <f>G297-U297</f>
        <v/>
      </c>
      <c r="Q297" s="35" t="n">
        <v>45593</v>
      </c>
      <c r="R297" t="inlineStr"/>
      <c r="S297" t="inlineStr">
        <is>
          <t>L001-104015799</t>
        </is>
      </c>
      <c r="T297" t="inlineStr">
        <is>
          <t>យូសេន ឡូជីស្ទីក (ខេមបូឌា) ខូ អិលធីឌី</t>
        </is>
      </c>
      <c r="U297" t="n">
        <v>0</v>
      </c>
      <c r="V297" t="n">
        <v>0</v>
      </c>
    </row>
    <row r="298">
      <c r="A298" t="n">
        <v>297</v>
      </c>
      <c r="B298" t="inlineStr">
        <is>
          <t>PVC Thin Film</t>
        </is>
      </c>
      <c r="C298" t="inlineStr">
        <is>
          <t>ដេកូស៍ អ៊ិនដាសស្ទ្រី ឯ.ក</t>
        </is>
      </c>
      <c r="D298" t="inlineStr">
        <is>
          <t>K007-901639102</t>
        </is>
      </c>
      <c r="E298" t="inlineStr">
        <is>
          <t>00028</t>
        </is>
      </c>
      <c r="F298" t="inlineStr">
        <is>
          <t>04-03-2024</t>
        </is>
      </c>
      <c r="G298" t="n">
        <v>178948</v>
      </c>
      <c r="I298">
        <f>G298</f>
        <v/>
      </c>
      <c r="K298">
        <f>I298-G298</f>
        <v/>
      </c>
      <c r="M298">
        <f>R298=E298</f>
        <v/>
      </c>
      <c r="N298">
        <f>AND(MONTH(F298)=MONTH(Q298), YEAR(F298)=YEAR(Q298))</f>
        <v/>
      </c>
      <c r="O298">
        <f>"L001-902303751"=S298</f>
        <v/>
      </c>
      <c r="P298">
        <f>G298-U298</f>
        <v/>
      </c>
      <c r="Q298" s="35" t="n">
        <v>45579</v>
      </c>
      <c r="R298" t="n">
        <v>84083</v>
      </c>
      <c r="S298" t="inlineStr">
        <is>
          <t>L001-104015799</t>
        </is>
      </c>
      <c r="T298" t="inlineStr">
        <is>
          <t>យូសេន ឡូជីស្ទីក (ខេមបូឌា) ខូ អិលធីឌី</t>
        </is>
      </c>
      <c r="U298" t="n">
        <v>84083</v>
      </c>
      <c r="V298" t="n">
        <v>0</v>
      </c>
    </row>
    <row r="299">
      <c r="A299" t="n">
        <v>298</v>
      </c>
      <c r="B299" t="inlineStr">
        <is>
          <t>Building Rental from Feb-July 2024</t>
        </is>
      </c>
      <c r="C299" t="inlineStr">
        <is>
          <t>ស្មាត សាញ ហ្គាម៉ិន (ខេមបូឌា) ឯ.ក</t>
        </is>
      </c>
      <c r="D299" t="inlineStr">
        <is>
          <t>L001-902105025</t>
        </is>
      </c>
      <c r="E299" t="inlineStr">
        <is>
          <t>SSG-20240001</t>
        </is>
      </c>
      <c r="F299" t="inlineStr">
        <is>
          <t>01-04-2024</t>
        </is>
      </c>
      <c r="G299" t="n">
        <v>21108344</v>
      </c>
      <c r="I299">
        <f>G299</f>
        <v/>
      </c>
      <c r="K299">
        <f>I299-G299</f>
        <v/>
      </c>
      <c r="M299">
        <f>R299=E299</f>
        <v/>
      </c>
      <c r="N299">
        <f>AND(MONTH(F299)=MONTH(Q299), YEAR(F299)=YEAR(Q299))</f>
        <v/>
      </c>
      <c r="O299">
        <f>"L001-902303751"=S299</f>
        <v/>
      </c>
      <c r="P299">
        <f>G299-U299</f>
        <v/>
      </c>
      <c r="Q299" s="35" t="n">
        <v>45573</v>
      </c>
      <c r="R299" t="inlineStr"/>
      <c r="S299" t="inlineStr">
        <is>
          <t>K009-901605081</t>
        </is>
      </c>
      <c r="T299" t="inlineStr">
        <is>
          <t>ទ្រូ ខមភែនៀន ឡូជីស្ទីក (ខេមបូឌា)</t>
        </is>
      </c>
      <c r="U299" t="n">
        <v>0</v>
      </c>
      <c r="V299" t="n">
        <v>0</v>
      </c>
    </row>
    <row r="300">
      <c r="A300" t="n">
        <v>299</v>
      </c>
      <c r="B300" t="inlineStr">
        <is>
          <t>Supplement fee on building rental</t>
        </is>
      </c>
      <c r="C300" t="inlineStr">
        <is>
          <t>ស្មាត សាញ ហ្គាម៉ិន (ខេមបូឌា) ឯ.ក</t>
        </is>
      </c>
      <c r="D300" t="inlineStr">
        <is>
          <t>L001-902105025</t>
        </is>
      </c>
      <c r="E300" t="inlineStr">
        <is>
          <t>SSG-20240002</t>
        </is>
      </c>
      <c r="F300" t="inlineStr">
        <is>
          <t>30-04-2024</t>
        </is>
      </c>
      <c r="G300" t="n">
        <v>21203637</v>
      </c>
      <c r="I300">
        <f>G300</f>
        <v/>
      </c>
      <c r="K300">
        <f>I300-G300</f>
        <v/>
      </c>
      <c r="M300">
        <f>R300=E300</f>
        <v/>
      </c>
      <c r="N300">
        <f>AND(MONTH(F300)=MONTH(Q300), YEAR(F300)=YEAR(Q300))</f>
        <v/>
      </c>
      <c r="O300">
        <f>"L001-902303751"=S300</f>
        <v/>
      </c>
      <c r="P300">
        <f>G300-U300</f>
        <v/>
      </c>
      <c r="Q300" s="35" t="n">
        <v>45575</v>
      </c>
      <c r="R300" t="n">
        <v>187036</v>
      </c>
      <c r="S300" t="inlineStr">
        <is>
          <t>K009-901605081</t>
        </is>
      </c>
      <c r="T300" t="inlineStr">
        <is>
          <t>ទ្រូ ខមភែនៀន ឡូជីស្ទីក (ខេមបូឌា)</t>
        </is>
      </c>
      <c r="U300" t="n">
        <v>187036</v>
      </c>
      <c r="V300" t="n">
        <v>0</v>
      </c>
    </row>
    <row r="301">
      <c r="A301" t="n">
        <v>300</v>
      </c>
      <c r="B301" t="inlineStr">
        <is>
          <t>Monthly Security for April 2024</t>
        </is>
      </c>
      <c r="C301" t="inlineStr">
        <is>
          <t>អិល.ប៊ី.អិល.អេច ស៊ីឃ្យូរឹធី ឯ.ក</t>
        </is>
      </c>
      <c r="D301" t="inlineStr">
        <is>
          <t>K010-902202247</t>
        </is>
      </c>
      <c r="E301" t="inlineStr">
        <is>
          <t>L.B.L.H00004</t>
        </is>
      </c>
      <c r="F301" t="inlineStr">
        <is>
          <t>25-04-2024</t>
        </is>
      </c>
      <c r="G301" t="n">
        <v>1393650</v>
      </c>
      <c r="I301">
        <f>G301</f>
        <v/>
      </c>
      <c r="K301">
        <f>I301-G301</f>
        <v/>
      </c>
      <c r="M301">
        <f>R301=E301</f>
        <v/>
      </c>
      <c r="N301">
        <f>AND(MONTH(F301)=MONTH(Q301), YEAR(F301)=YEAR(Q301))</f>
        <v/>
      </c>
      <c r="O301">
        <f>"L001-902303751"=S301</f>
        <v/>
      </c>
      <c r="P301">
        <f>G301-U301</f>
        <v/>
      </c>
      <c r="Q301" s="35" t="n">
        <v>45586</v>
      </c>
      <c r="R301" t="n">
        <v>84083</v>
      </c>
      <c r="S301" t="inlineStr">
        <is>
          <t>L001-104015799</t>
        </is>
      </c>
      <c r="T301" t="inlineStr">
        <is>
          <t>យូសេន ឡូជីស្ទីក (ខេមបូឌា) ខូ អិលធីឌី</t>
        </is>
      </c>
      <c r="U301" t="n">
        <v>84083</v>
      </c>
      <c r="V301" t="n">
        <v>0</v>
      </c>
    </row>
    <row r="302">
      <c r="A302" t="n">
        <v>301</v>
      </c>
      <c r="B302" t="inlineStr">
        <is>
          <t>Monthly Security for April 2024</t>
        </is>
      </c>
      <c r="C302" t="inlineStr">
        <is>
          <t>អិល.ប៊ី.អិល.អេច ស៊ីឃ្យូរឹធី ឯ.ក</t>
        </is>
      </c>
      <c r="D302" t="inlineStr">
        <is>
          <t>K010-902202247</t>
        </is>
      </c>
      <c r="E302" t="inlineStr">
        <is>
          <t>L.B.L.H00018</t>
        </is>
      </c>
      <c r="F302" t="inlineStr">
        <is>
          <t>25-04-2024</t>
        </is>
      </c>
      <c r="G302" t="n">
        <v>509375</v>
      </c>
      <c r="I302">
        <f>G302</f>
        <v/>
      </c>
      <c r="K302">
        <f>I302-G302</f>
        <v/>
      </c>
      <c r="M302">
        <f>R302=E302</f>
        <v/>
      </c>
      <c r="N302">
        <f>AND(MONTH(F302)=MONTH(Q302), YEAR(F302)=YEAR(Q302))</f>
        <v/>
      </c>
      <c r="O302">
        <f>"L001-902303751"=S302</f>
        <v/>
      </c>
      <c r="P302">
        <f>G302-U302</f>
        <v/>
      </c>
      <c r="Q302" s="35" t="n">
        <v>45579</v>
      </c>
      <c r="R302" t="n">
        <v>211630</v>
      </c>
      <c r="S302" t="inlineStr">
        <is>
          <t>K002-901900264</t>
        </is>
      </c>
      <c r="T302" t="inlineStr">
        <is>
          <t>ហេកធ័រ ត្រេនស្ព័រថេសិន (ខេមបូឌា) ឯ.ក</t>
        </is>
      </c>
      <c r="U302" t="n">
        <v>211630</v>
      </c>
      <c r="V302" t="n">
        <v>0</v>
      </c>
    </row>
    <row r="303">
      <c r="A303" t="n">
        <v>302</v>
      </c>
      <c r="B303" t="inlineStr">
        <is>
          <t>Forklift Part</t>
        </is>
      </c>
      <c r="C303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303" t="inlineStr">
        <is>
          <t>L001-901906721</t>
        </is>
      </c>
      <c r="E303" t="inlineStr">
        <is>
          <t>TI-0107</t>
        </is>
      </c>
      <c r="F303" t="inlineStr">
        <is>
          <t>10-04-2024</t>
        </is>
      </c>
      <c r="G303" t="n">
        <v>88902</v>
      </c>
      <c r="I303">
        <f>G303</f>
        <v/>
      </c>
      <c r="K303">
        <f>I303-G303</f>
        <v/>
      </c>
      <c r="M303">
        <f>R303=E303</f>
        <v/>
      </c>
      <c r="N303">
        <f>AND(MONTH(F303)=MONTH(Q303), YEAR(F303)=YEAR(Q303))</f>
        <v/>
      </c>
      <c r="O303">
        <f>"L001-902303751"=S303</f>
        <v/>
      </c>
      <c r="P303">
        <f>G303-U303</f>
        <v/>
      </c>
      <c r="Q303" s="35" t="n">
        <v>45581</v>
      </c>
      <c r="R303" t="n">
        <v>2212700</v>
      </c>
      <c r="S303" t="inlineStr">
        <is>
          <t>K009-901605081</t>
        </is>
      </c>
      <c r="T303" t="inlineStr">
        <is>
          <t>ទ្រូ ខមភែនៀន ឡូជីស្ទីក (ខេមបូឌា)</t>
        </is>
      </c>
      <c r="U303" t="n">
        <v>2212700</v>
      </c>
      <c r="V303" t="n">
        <v>0</v>
      </c>
    </row>
    <row r="304">
      <c r="A304" t="n">
        <v>303</v>
      </c>
      <c r="B304" t="inlineStr">
        <is>
          <t>Cargo Terminal</t>
        </is>
      </c>
      <c r="C304" t="inlineStr">
        <is>
          <t>សូស៊ីយេតេ កុងសេស្យូនែរ ដឺ ឡាអេរ៉ូព័រ</t>
        </is>
      </c>
      <c r="D304" t="inlineStr">
        <is>
          <t>L001-100047300</t>
        </is>
      </c>
      <c r="E304" t="inlineStr">
        <is>
          <t>2400-030399</t>
        </is>
      </c>
      <c r="F304" t="inlineStr">
        <is>
          <t>29-04-2024</t>
        </is>
      </c>
      <c r="G304" t="n">
        <v>812</v>
      </c>
      <c r="I304">
        <f>G304</f>
        <v/>
      </c>
      <c r="K304">
        <f>I304-G304</f>
        <v/>
      </c>
      <c r="M304">
        <f>R304=E304</f>
        <v/>
      </c>
      <c r="N304">
        <f>AND(MONTH(F304)=MONTH(Q304), YEAR(F304)=YEAR(Q304))</f>
        <v/>
      </c>
      <c r="O304">
        <f>"L001-902303751"=S304</f>
        <v/>
      </c>
      <c r="P304">
        <f>G304-U304</f>
        <v/>
      </c>
      <c r="Q304" s="35" t="n">
        <v>45569</v>
      </c>
      <c r="R304" t="inlineStr"/>
      <c r="S304" t="inlineStr">
        <is>
          <t>L001-104015799</t>
        </is>
      </c>
      <c r="T304" t="inlineStr">
        <is>
          <t>យូសេន ឡូជីស្ទីក (ខេមបូឌា) ខូ អិលធីឌី</t>
        </is>
      </c>
      <c r="U304" t="n">
        <v>0</v>
      </c>
      <c r="V304" t="n">
        <v>0</v>
      </c>
    </row>
    <row r="305">
      <c r="A305" t="n">
        <v>304</v>
      </c>
      <c r="B305" t="inlineStr">
        <is>
          <t>Customs Clearance Fee</t>
        </is>
      </c>
      <c r="C305" t="inlineStr">
        <is>
          <t>ត្រាយអ៊ែងហ្គល ឡូជីស្ទីក (ខេមបូឌា) ឯ.ក</t>
        </is>
      </c>
      <c r="D305" t="inlineStr">
        <is>
          <t>K010-902101743</t>
        </is>
      </c>
      <c r="E305" t="inlineStr">
        <is>
          <t>TAG-24-00297</t>
        </is>
      </c>
      <c r="F305" t="inlineStr">
        <is>
          <t>30-04-2024</t>
        </is>
      </c>
      <c r="G305" t="n">
        <v>8128</v>
      </c>
      <c r="I305">
        <f>G305</f>
        <v/>
      </c>
      <c r="K305">
        <f>I305-G305</f>
        <v/>
      </c>
      <c r="M305">
        <f>R305=E305</f>
        <v/>
      </c>
      <c r="N305">
        <f>AND(MONTH(F305)=MONTH(Q305), YEAR(F305)=YEAR(Q305))</f>
        <v/>
      </c>
      <c r="O305">
        <f>"L001-902303751"=S305</f>
        <v/>
      </c>
      <c r="P305">
        <f>G305-U305</f>
        <v/>
      </c>
      <c r="Q305" s="35" t="n">
        <v>45579</v>
      </c>
      <c r="R305" t="n">
        <v>176291</v>
      </c>
      <c r="S305" t="inlineStr">
        <is>
          <t>L001-104015799</t>
        </is>
      </c>
      <c r="T305" t="inlineStr">
        <is>
          <t>យូសេន ឡូជីស្ទីក (ខេមបូឌា) ខូ អិលធីឌី</t>
        </is>
      </c>
      <c r="U305" t="n">
        <v>176291</v>
      </c>
      <c r="V305" t="n">
        <v>0</v>
      </c>
    </row>
    <row r="306">
      <c r="A306" t="n">
        <v>305</v>
      </c>
      <c r="B306" t="inlineStr">
        <is>
          <t>Cargo Terminal</t>
        </is>
      </c>
      <c r="C306" t="inlineStr">
        <is>
          <t>សូស៊ីយេតេ កុងសេស្យូនែរ ដឺ ឡាអេរ៉ូព័រ</t>
        </is>
      </c>
      <c r="D306" t="inlineStr">
        <is>
          <t>L001-100047300</t>
        </is>
      </c>
      <c r="E306" t="inlineStr">
        <is>
          <t>2400-026356</t>
        </is>
      </c>
      <c r="F306" t="inlineStr">
        <is>
          <t>12-04-2024</t>
        </is>
      </c>
      <c r="G306" t="n">
        <v>6884</v>
      </c>
      <c r="I306">
        <f>G306</f>
        <v/>
      </c>
      <c r="K306">
        <f>I306-G306</f>
        <v/>
      </c>
      <c r="M306">
        <f>R306=E306</f>
        <v/>
      </c>
      <c r="N306">
        <f>AND(MONTH(F306)=MONTH(Q306), YEAR(F306)=YEAR(Q306))</f>
        <v/>
      </c>
      <c r="O306">
        <f>"L001-902303751"=S306</f>
        <v/>
      </c>
      <c r="P306">
        <f>G306-U306</f>
        <v/>
      </c>
      <c r="Q306" s="35" t="n">
        <v>45575</v>
      </c>
      <c r="R306" t="inlineStr"/>
      <c r="S306" t="inlineStr">
        <is>
          <t>K009-901605081</t>
        </is>
      </c>
      <c r="T306" t="inlineStr">
        <is>
          <t>ទ្រូ ខមភែនៀន ឡូជីស្ទីក (ខេមបូឌា)</t>
        </is>
      </c>
      <c r="U306" t="n">
        <v>0</v>
      </c>
      <c r="V306" t="n">
        <v>0</v>
      </c>
    </row>
    <row r="307">
      <c r="A307" t="n">
        <v>306</v>
      </c>
      <c r="B307" t="inlineStr">
        <is>
          <t>Customs Clearance Fee</t>
        </is>
      </c>
      <c r="C307" t="inlineStr">
        <is>
          <t>ត្រាយអ៊ែងហ្គល ឡូជីស្ទីក (ខេមបូឌា) ឯ.ក</t>
        </is>
      </c>
      <c r="D307" t="inlineStr">
        <is>
          <t>K010-902101743</t>
        </is>
      </c>
      <c r="E307" t="inlineStr">
        <is>
          <t>TAG-24-00252</t>
        </is>
      </c>
      <c r="F307" t="inlineStr">
        <is>
          <t>11-04-2024</t>
        </is>
      </c>
      <c r="G307" t="n">
        <v>8080</v>
      </c>
      <c r="I307">
        <f>G307</f>
        <v/>
      </c>
      <c r="K307">
        <f>I307-G307</f>
        <v/>
      </c>
      <c r="M307">
        <f>R307=E307</f>
        <v/>
      </c>
      <c r="N307">
        <f>AND(MONTH(F307)=MONTH(Q307), YEAR(F307)=YEAR(Q307))</f>
        <v/>
      </c>
      <c r="O307">
        <f>"L001-902303751"=S307</f>
        <v/>
      </c>
      <c r="P307">
        <f>G307-U307</f>
        <v/>
      </c>
      <c r="Q307" s="35" t="n">
        <v>45589</v>
      </c>
      <c r="R307" t="n">
        <v>186852</v>
      </c>
      <c r="S307" t="inlineStr">
        <is>
          <t>K009-901605081</t>
        </is>
      </c>
      <c r="T307" t="inlineStr">
        <is>
          <t>ទ្រូ ខមភែនៀន ឡូជីស្ទីក (ខេមបូឌា)</t>
        </is>
      </c>
      <c r="U307" t="n">
        <v>186852</v>
      </c>
      <c r="V307" t="n">
        <v>0</v>
      </c>
    </row>
    <row r="308">
      <c r="A308" t="n">
        <v>307</v>
      </c>
      <c r="B308" t="inlineStr">
        <is>
          <t>Lift-On Charge and Gate Fee Charge</t>
        </is>
      </c>
      <c r="C308" t="inlineStr">
        <is>
          <t>កំពង់ផែស្វយ័តភ្នំពេញ "ក.ស.ភ"</t>
        </is>
      </c>
      <c r="D308" t="inlineStr">
        <is>
          <t>L001-100044999</t>
        </is>
      </c>
      <c r="E308" t="inlineStr">
        <is>
          <t>INV20240423887</t>
        </is>
      </c>
      <c r="F308" t="inlineStr">
        <is>
          <t>30-04-2024</t>
        </is>
      </c>
      <c r="G308" t="n">
        <v>1219</v>
      </c>
      <c r="I308">
        <f>G308</f>
        <v/>
      </c>
      <c r="K308">
        <f>I308-G308</f>
        <v/>
      </c>
      <c r="M308">
        <f>R308=E308</f>
        <v/>
      </c>
      <c r="N308">
        <f>AND(MONTH(F308)=MONTH(Q308), YEAR(F308)=YEAR(Q308))</f>
        <v/>
      </c>
      <c r="O308">
        <f>"L001-902303751"=S308</f>
        <v/>
      </c>
      <c r="P308">
        <f>G308-U308</f>
        <v/>
      </c>
      <c r="Q308" s="35" t="n">
        <v>45579</v>
      </c>
      <c r="R308" t="n">
        <v>96269</v>
      </c>
      <c r="S308" t="inlineStr">
        <is>
          <t>K009-901605081</t>
        </is>
      </c>
      <c r="T308" t="inlineStr">
        <is>
          <t>ទ្រូ ខមភែនៀន ឡូជីស្ទីក (ខេមបូឌា)</t>
        </is>
      </c>
      <c r="U308" t="n">
        <v>96269</v>
      </c>
      <c r="V308" t="n">
        <v>0</v>
      </c>
    </row>
    <row r="309">
      <c r="A309" t="n">
        <v>308</v>
      </c>
      <c r="B309" t="inlineStr">
        <is>
          <t>Lift-On Charge and Gate Fee Charge</t>
        </is>
      </c>
      <c r="C309" t="inlineStr">
        <is>
          <t>កំពង់ផែស្វយ័តភ្នំពេញ "ក.ស.ភ"</t>
        </is>
      </c>
      <c r="D309" t="inlineStr">
        <is>
          <t>L001-100044999</t>
        </is>
      </c>
      <c r="E309" t="inlineStr">
        <is>
          <t>INV20240423820</t>
        </is>
      </c>
      <c r="F309" t="inlineStr">
        <is>
          <t>30-04-2024</t>
        </is>
      </c>
      <c r="G309" t="n">
        <v>18694</v>
      </c>
      <c r="I309">
        <f>G309</f>
        <v/>
      </c>
      <c r="K309">
        <f>I309-G309</f>
        <v/>
      </c>
      <c r="M309">
        <f>R309=E309</f>
        <v/>
      </c>
      <c r="N309">
        <f>AND(MONTH(F309)=MONTH(Q309), YEAR(F309)=YEAR(Q309))</f>
        <v/>
      </c>
      <c r="O309">
        <f>"L001-902303751"=S309</f>
        <v/>
      </c>
      <c r="P309">
        <f>G309-U309</f>
        <v/>
      </c>
      <c r="Q309" s="35" t="n">
        <v>45593</v>
      </c>
      <c r="R309" t="n">
        <v>112490</v>
      </c>
      <c r="S309" t="inlineStr">
        <is>
          <t>L001-107041723</t>
        </is>
      </c>
      <c r="T309" t="inlineStr">
        <is>
          <t>ឌីប៊ី សេនឃើរ (ខេមបូឌា) លីមីធីត</t>
        </is>
      </c>
      <c r="U309" t="n">
        <v>112490</v>
      </c>
      <c r="V309" t="n">
        <v>0</v>
      </c>
    </row>
    <row r="310">
      <c r="A310" t="n">
        <v>309</v>
      </c>
      <c r="B310" t="inlineStr">
        <is>
          <t>Customs Clearance Fee and Trucking Fee</t>
        </is>
      </c>
      <c r="C310" t="inlineStr">
        <is>
          <t>ត្រាយអ៊ែងហ្គល ឡូជីស្ទីក (ខេមបូឌា) ឯ.ក</t>
        </is>
      </c>
      <c r="D310" t="inlineStr">
        <is>
          <t>K010-902101743</t>
        </is>
      </c>
      <c r="E310" t="inlineStr">
        <is>
          <t>TAG-24-00222</t>
        </is>
      </c>
      <c r="F310" t="inlineStr">
        <is>
          <t>05-04-2024</t>
        </is>
      </c>
      <c r="G310" t="n">
        <v>81331</v>
      </c>
      <c r="I310">
        <f>G310</f>
        <v/>
      </c>
      <c r="K310">
        <f>I310-G310</f>
        <v/>
      </c>
      <c r="M310">
        <f>R310=E310</f>
        <v/>
      </c>
      <c r="N310">
        <f>AND(MONTH(F310)=MONTH(Q310), YEAR(F310)=YEAR(Q310))</f>
        <v/>
      </c>
      <c r="O310">
        <f>"L001-902303751"=S310</f>
        <v/>
      </c>
      <c r="P310">
        <f>G310-U310</f>
        <v/>
      </c>
      <c r="Q310" s="35" t="n">
        <v>45579</v>
      </c>
      <c r="R310" t="inlineStr"/>
      <c r="S310" t="inlineStr">
        <is>
          <t>K002-901900264</t>
        </is>
      </c>
      <c r="T310" t="inlineStr">
        <is>
          <t>ហេកធ័រ ត្រេនស្ព័រថេសិន (ខេមបូឌា) ឯ.ក</t>
        </is>
      </c>
      <c r="U310" t="n">
        <v>0</v>
      </c>
      <c r="V310" t="n">
        <v>0</v>
      </c>
    </row>
    <row r="311">
      <c r="A311" t="n">
        <v>310</v>
      </c>
      <c r="B311" t="inlineStr">
        <is>
          <t>Charge from warehouse and Storage Charges</t>
        </is>
      </c>
      <c r="C311" t="inlineStr">
        <is>
          <t>កំពង់ផែស្វយ័តក្រុងព្រះសីហនុ</t>
        </is>
      </c>
      <c r="D311" t="inlineStr">
        <is>
          <t>L001-100044638</t>
        </is>
      </c>
      <c r="E311" t="inlineStr">
        <is>
          <t>059600</t>
        </is>
      </c>
      <c r="F311" t="inlineStr">
        <is>
          <t>03-04-2024</t>
        </is>
      </c>
      <c r="G311" t="n">
        <v>2219</v>
      </c>
      <c r="I311">
        <f>G311</f>
        <v/>
      </c>
      <c r="K311">
        <f>I311-G311</f>
        <v/>
      </c>
      <c r="M311">
        <f>R311=E311</f>
        <v/>
      </c>
      <c r="N311">
        <f>AND(MONTH(F311)=MONTH(Q311), YEAR(F311)=YEAR(Q311))</f>
        <v/>
      </c>
      <c r="O311">
        <f>"L001-902303751"=S311</f>
        <v/>
      </c>
      <c r="P311">
        <f>G311-U311</f>
        <v/>
      </c>
      <c r="Q311" s="35" t="n">
        <v>45586</v>
      </c>
      <c r="R311" t="n">
        <v>112517</v>
      </c>
      <c r="S311" t="inlineStr">
        <is>
          <t>L001-104015799</t>
        </is>
      </c>
      <c r="T311" t="inlineStr">
        <is>
          <t>យូសេន ឡូជីស្ទីក (ខេមបូឌា) ខូ អិលធីឌី</t>
        </is>
      </c>
      <c r="U311" t="n">
        <v>112517</v>
      </c>
      <c r="V311" t="n">
        <v>0</v>
      </c>
    </row>
    <row r="312">
      <c r="A312" t="n">
        <v>311</v>
      </c>
      <c r="B312" t="inlineStr">
        <is>
          <t>Customs Clearance Fee and Trucking Fee</t>
        </is>
      </c>
      <c r="C312" t="inlineStr">
        <is>
          <t>ត្រាយអ៊ែងហ្គល ឡូជីស្ទីក (ខេមបូឌា) ឯ.ក</t>
        </is>
      </c>
      <c r="D312" t="inlineStr">
        <is>
          <t>K010-902101743</t>
        </is>
      </c>
      <c r="E312" t="inlineStr">
        <is>
          <t>TAG-24-00218</t>
        </is>
      </c>
      <c r="F312" t="inlineStr">
        <is>
          <t>05-04-2024</t>
        </is>
      </c>
      <c r="G312" t="n">
        <v>32328</v>
      </c>
      <c r="I312">
        <f>G312</f>
        <v/>
      </c>
      <c r="K312">
        <f>I312-G312</f>
        <v/>
      </c>
      <c r="M312">
        <f>R312=E312</f>
        <v/>
      </c>
      <c r="N312">
        <f>AND(MONTH(F312)=MONTH(Q312), YEAR(F312)=YEAR(Q312))</f>
        <v/>
      </c>
      <c r="O312">
        <f>"L001-902303751"=S312</f>
        <v/>
      </c>
      <c r="P312">
        <f>G312-U312</f>
        <v/>
      </c>
      <c r="Q312" s="35" t="n">
        <v>45589</v>
      </c>
      <c r="R312" t="n">
        <v>2213790</v>
      </c>
      <c r="S312" t="inlineStr">
        <is>
          <t>K009-901605081</t>
        </is>
      </c>
      <c r="T312" t="inlineStr">
        <is>
          <t>ទ្រូ ខមភែនៀន ឡូជីស្ទីក (ខេមបូឌា)</t>
        </is>
      </c>
      <c r="U312" t="n">
        <v>2213790</v>
      </c>
      <c r="V312" t="n">
        <v>0</v>
      </c>
    </row>
    <row r="313">
      <c r="A313" t="n">
        <v>312</v>
      </c>
      <c r="B313" t="inlineStr">
        <is>
          <t>Charge from warehouse and Storage Charges</t>
        </is>
      </c>
      <c r="C313" t="inlineStr">
        <is>
          <t>កំពង់ផែស្វយ័តក្រុងព្រះសីហនុ</t>
        </is>
      </c>
      <c r="D313" t="inlineStr">
        <is>
          <t>L001-100044638</t>
        </is>
      </c>
      <c r="E313" t="inlineStr">
        <is>
          <t>059601</t>
        </is>
      </c>
      <c r="F313" t="inlineStr">
        <is>
          <t>03-04-2024</t>
        </is>
      </c>
      <c r="G313" t="n">
        <v>738</v>
      </c>
      <c r="I313">
        <f>G313</f>
        <v/>
      </c>
      <c r="K313">
        <f>I313-G313</f>
        <v/>
      </c>
      <c r="M313">
        <f>R313=E313</f>
        <v/>
      </c>
      <c r="N313">
        <f>AND(MONTH(F313)=MONTH(Q313), YEAR(F313)=YEAR(Q313))</f>
        <v/>
      </c>
      <c r="O313">
        <f>"L001-902303751"=S313</f>
        <v/>
      </c>
      <c r="P313">
        <f>G313-U313</f>
        <v/>
      </c>
      <c r="Q313" s="35" t="n">
        <v>45579</v>
      </c>
      <c r="R313" t="inlineStr"/>
      <c r="S313" t="inlineStr">
        <is>
          <t>K009-901605081</t>
        </is>
      </c>
      <c r="T313" t="inlineStr">
        <is>
          <t>ទ្រូ ខមភែនៀន ឡូជីស្ទីក (ខេមបូឌា)</t>
        </is>
      </c>
      <c r="U313" t="n">
        <v>0</v>
      </c>
      <c r="V313" t="n">
        <v>0</v>
      </c>
    </row>
    <row r="314">
      <c r="A314" t="n">
        <v>313</v>
      </c>
      <c r="B314" t="inlineStr">
        <is>
          <t>Customs Clearance Fee and Trucking Fee</t>
        </is>
      </c>
      <c r="C314" t="inlineStr">
        <is>
          <t>ត្រាយអ៊ែងហ្គល ឡូជីស្ទីក (ខេមបូឌា) ឯ.ក</t>
        </is>
      </c>
      <c r="D314" t="inlineStr">
        <is>
          <t>K010-902101743</t>
        </is>
      </c>
      <c r="E314" t="inlineStr">
        <is>
          <t>TAG-24-00219</t>
        </is>
      </c>
      <c r="F314" t="inlineStr">
        <is>
          <t>05-04-2024</t>
        </is>
      </c>
      <c r="G314" t="n">
        <v>67217</v>
      </c>
      <c r="I314">
        <f>G314</f>
        <v/>
      </c>
      <c r="K314">
        <f>I314-G314</f>
        <v/>
      </c>
      <c r="M314">
        <f>R314=E314</f>
        <v/>
      </c>
      <c r="N314">
        <f>AND(MONTH(F314)=MONTH(Q314), YEAR(F314)=YEAR(Q314))</f>
        <v/>
      </c>
      <c r="O314">
        <f>"L001-902303751"=S314</f>
        <v/>
      </c>
      <c r="P314">
        <f>G314-U314</f>
        <v/>
      </c>
      <c r="Q314" s="35" t="n">
        <v>45573</v>
      </c>
      <c r="R314" t="n">
        <v>2214880</v>
      </c>
      <c r="S314" t="inlineStr">
        <is>
          <t>K009-901605081</t>
        </is>
      </c>
      <c r="T314" t="inlineStr">
        <is>
          <t>ទ្រូ ខមភែនៀន ឡូជីស្ទីក (ខេមបូឌា)</t>
        </is>
      </c>
      <c r="U314" t="n">
        <v>2214880</v>
      </c>
      <c r="V314" t="n">
        <v>0</v>
      </c>
    </row>
    <row r="315">
      <c r="A315" t="n">
        <v>314</v>
      </c>
      <c r="B315" t="inlineStr">
        <is>
          <t>Charge from warehouse</t>
        </is>
      </c>
      <c r="C315" t="inlineStr">
        <is>
          <t>កំពង់ផែស្វយ័តក្រុងព្រះសីហនុ</t>
        </is>
      </c>
      <c r="D315" t="inlineStr">
        <is>
          <t>L001-100044638</t>
        </is>
      </c>
      <c r="E315" t="inlineStr">
        <is>
          <t>061618</t>
        </is>
      </c>
      <c r="F315" t="inlineStr">
        <is>
          <t>05-04-2024</t>
        </is>
      </c>
      <c r="G315" t="n">
        <v>3710</v>
      </c>
      <c r="I315">
        <f>G315</f>
        <v/>
      </c>
      <c r="K315">
        <f>I315-G315</f>
        <v/>
      </c>
      <c r="M315">
        <f>R315=E315</f>
        <v/>
      </c>
      <c r="N315">
        <f>AND(MONTH(F315)=MONTH(Q315), YEAR(F315)=YEAR(Q315))</f>
        <v/>
      </c>
      <c r="O315">
        <f>"L001-902303751"=S315</f>
        <v/>
      </c>
      <c r="P315">
        <f>G315-U315</f>
        <v/>
      </c>
      <c r="Q315" s="35" t="n">
        <v>45238</v>
      </c>
      <c r="R315" t="n">
        <v>189842</v>
      </c>
      <c r="S315" t="inlineStr">
        <is>
          <t>K009-901605081</t>
        </is>
      </c>
      <c r="T315" t="inlineStr">
        <is>
          <t>ទ្រូ ខមភែនៀន ឡូជីស្ទីក (ខេមបូឌា)</t>
        </is>
      </c>
      <c r="U315" t="n">
        <v>189842</v>
      </c>
      <c r="V315" t="n">
        <v>0</v>
      </c>
    </row>
    <row r="316">
      <c r="A316" t="n">
        <v>315</v>
      </c>
      <c r="B316" t="inlineStr">
        <is>
          <t>Customs Clearance Fee and Trucking Fee</t>
        </is>
      </c>
      <c r="C316" t="inlineStr">
        <is>
          <t>ត្រាយអ៊ែងហ្គល ឡូជីស្ទីក (ខេមបូឌា) ឯ.ក</t>
        </is>
      </c>
      <c r="D316" t="inlineStr">
        <is>
          <t>K010-902101743</t>
        </is>
      </c>
      <c r="E316" t="inlineStr">
        <is>
          <t>TAG-24-00235</t>
        </is>
      </c>
      <c r="F316" t="inlineStr">
        <is>
          <t>08-04-2024</t>
        </is>
      </c>
      <c r="G316" t="n">
        <v>28280</v>
      </c>
      <c r="I316">
        <f>G316</f>
        <v/>
      </c>
      <c r="K316">
        <f>I316-G316</f>
        <v/>
      </c>
      <c r="M316">
        <f>R316=E316</f>
        <v/>
      </c>
      <c r="N316">
        <f>AND(MONTH(F316)=MONTH(Q316), YEAR(F316)=YEAR(Q316))</f>
        <v/>
      </c>
      <c r="O316">
        <f>"L001-902303751"=S316</f>
        <v/>
      </c>
      <c r="P316">
        <f>G316-U316</f>
        <v/>
      </c>
      <c r="Q316" s="35" t="n">
        <v>45250</v>
      </c>
      <c r="R316" t="inlineStr"/>
      <c r="S316" t="inlineStr">
        <is>
          <t>K003-901635943</t>
        </is>
      </c>
      <c r="T316" t="inlineStr">
        <is>
          <t>អ៊ីឃ្យូឡាញ វើលវ៉ាយដ៍ ឡូជីស្ទីក</t>
        </is>
      </c>
      <c r="U316" t="n">
        <v>0</v>
      </c>
      <c r="V316" t="n">
        <v>0</v>
      </c>
    </row>
    <row r="317">
      <c r="A317" t="n">
        <v>316</v>
      </c>
      <c r="B317" t="inlineStr">
        <is>
          <t>Warehouse Fee, Transit Fee and Storage Fee</t>
        </is>
      </c>
      <c r="C317" t="inlineStr">
        <is>
          <t>អាយធីអាយ អ៊ិនធើណេសិនណល ត្រេនស័្ពរថេសិន (ខេមបូឌា) ឯ.ក</t>
        </is>
      </c>
      <c r="D317" t="inlineStr">
        <is>
          <t>K002-901800477</t>
        </is>
      </c>
      <c r="E317" t="inlineStr">
        <is>
          <t>CAM241529</t>
        </is>
      </c>
      <c r="F317" t="inlineStr">
        <is>
          <t>08-04-2024</t>
        </is>
      </c>
      <c r="G317" t="n">
        <v>14698</v>
      </c>
      <c r="I317">
        <f>G317</f>
        <v/>
      </c>
      <c r="K317">
        <f>I317-G317</f>
        <v/>
      </c>
      <c r="M317">
        <f>R317=E317</f>
        <v/>
      </c>
      <c r="N317">
        <f>AND(MONTH(F317)=MONTH(Q317), YEAR(F317)=YEAR(Q317))</f>
        <v/>
      </c>
      <c r="O317">
        <f>"L001-902303751"=S317</f>
        <v/>
      </c>
      <c r="P317">
        <f>G317-U317</f>
        <v/>
      </c>
      <c r="Q317" s="35" t="n">
        <v>45238</v>
      </c>
      <c r="R317" t="n">
        <v>210477</v>
      </c>
      <c r="S317" t="inlineStr">
        <is>
          <t>K009-107021862</t>
        </is>
      </c>
      <c r="T317" t="inlineStr">
        <is>
          <t>អិមអាយ ឡូជីកស៍ (ខេមបូឌា)</t>
        </is>
      </c>
      <c r="U317" t="n">
        <v>210477</v>
      </c>
      <c r="V317" t="n">
        <v>0</v>
      </c>
    </row>
    <row r="318">
      <c r="A318" t="n">
        <v>317</v>
      </c>
      <c r="B318" t="inlineStr">
        <is>
          <t>Import Shipment Expense</t>
        </is>
      </c>
      <c r="C318" t="inlineStr">
        <is>
          <t>ផេនដា គ្លូប៊ល ឡូជីស្ទីក (ខេមបូឌា)</t>
        </is>
      </c>
      <c r="D318" t="inlineStr">
        <is>
          <t>K005-901501155</t>
        </is>
      </c>
      <c r="E318" t="inlineStr">
        <is>
          <t>PD240103</t>
        </is>
      </c>
      <c r="F318" t="inlineStr">
        <is>
          <t>02-04-2024</t>
        </is>
      </c>
      <c r="G318" t="n">
        <v>110826</v>
      </c>
      <c r="I318">
        <f>G318</f>
        <v/>
      </c>
      <c r="K318">
        <f>I318-G318</f>
        <v/>
      </c>
      <c r="M318">
        <f>R318=E318</f>
        <v/>
      </c>
      <c r="N318">
        <f>AND(MONTH(F318)=MONTH(Q318), YEAR(F318)=YEAR(Q318))</f>
        <v/>
      </c>
      <c r="O318">
        <f>"L001-902303751"=S318</f>
        <v/>
      </c>
      <c r="P318">
        <f>G318-U318</f>
        <v/>
      </c>
      <c r="Q318" s="35" t="n">
        <v>45243</v>
      </c>
      <c r="R318" t="n">
        <v>114069</v>
      </c>
      <c r="S318" t="inlineStr">
        <is>
          <t>K003-901635943</t>
        </is>
      </c>
      <c r="T318" t="inlineStr">
        <is>
          <t>អ៊ីឃ្យូឡាញ វើលវ៉ាយដ៍ ឡូជីស្ទីក</t>
        </is>
      </c>
      <c r="U318" t="n">
        <v>114069</v>
      </c>
      <c r="V318" t="n">
        <v>0</v>
      </c>
    </row>
    <row r="319">
      <c r="A319" t="n">
        <v>318</v>
      </c>
      <c r="B319" t="inlineStr">
        <is>
          <t>Customs Clearance Fee and Trucking Fee</t>
        </is>
      </c>
      <c r="C319" t="inlineStr">
        <is>
          <t>ត្រាយអ៊ែងហ្គល ឡូជីស្ទីក (ខេមបូឌា) ឯ.ក</t>
        </is>
      </c>
      <c r="D319" t="inlineStr">
        <is>
          <t>K010-902101743</t>
        </is>
      </c>
      <c r="E319" t="inlineStr">
        <is>
          <t>TAG-24-00236</t>
        </is>
      </c>
      <c r="F319" t="inlineStr">
        <is>
          <t>08-04-2024</t>
        </is>
      </c>
      <c r="G319" t="n">
        <v>28280</v>
      </c>
      <c r="I319">
        <f>G319</f>
        <v/>
      </c>
      <c r="K319">
        <f>I319-G319</f>
        <v/>
      </c>
      <c r="M319">
        <f>R319=E319</f>
        <v/>
      </c>
      <c r="N319">
        <f>AND(MONTH(F319)=MONTH(Q319), YEAR(F319)=YEAR(Q319))</f>
        <v/>
      </c>
      <c r="O319">
        <f>"L001-902303751"=S319</f>
        <v/>
      </c>
      <c r="P319">
        <f>G319-U319</f>
        <v/>
      </c>
      <c r="Q319" s="35" t="n">
        <v>45243</v>
      </c>
      <c r="R319" t="n">
        <v>189428</v>
      </c>
      <c r="S319" t="inlineStr">
        <is>
          <t>K009-901605081</t>
        </is>
      </c>
      <c r="T319" t="inlineStr">
        <is>
          <t>ទ្រូ ខមភែនៀន ឡូជីស្ទីក (ខេមបូឌា)</t>
        </is>
      </c>
      <c r="U319" t="n">
        <v>189428</v>
      </c>
      <c r="V319" t="n">
        <v>0</v>
      </c>
    </row>
    <row r="320">
      <c r="A320" t="n">
        <v>319</v>
      </c>
      <c r="B320" t="inlineStr">
        <is>
          <t>Warehouse Fee, Transit Fee and Storage Fee</t>
        </is>
      </c>
      <c r="C320" t="inlineStr">
        <is>
          <t>អាយធីអាយ អ៊ិនធើណេសិនណល ត្រេនស័្ពរថេសិន (ខេមបូឌា) ឯ.ក</t>
        </is>
      </c>
      <c r="D320" t="inlineStr">
        <is>
          <t>K002-901800477</t>
        </is>
      </c>
      <c r="E320" t="inlineStr">
        <is>
          <t>CAM241530</t>
        </is>
      </c>
      <c r="F320" t="inlineStr">
        <is>
          <t>08-04-2024</t>
        </is>
      </c>
      <c r="G320" t="n">
        <v>25503</v>
      </c>
      <c r="I320">
        <f>G320</f>
        <v/>
      </c>
      <c r="K320">
        <f>I320-G320</f>
        <v/>
      </c>
      <c r="M320">
        <f>R320=E320</f>
        <v/>
      </c>
      <c r="N320">
        <f>AND(MONTH(F320)=MONTH(Q320), YEAR(F320)=YEAR(Q320))</f>
        <v/>
      </c>
      <c r="O320">
        <f>"L001-902303751"=S320</f>
        <v/>
      </c>
      <c r="P320">
        <f>G320-U320</f>
        <v/>
      </c>
      <c r="Q320" s="35" t="n">
        <v>45232</v>
      </c>
      <c r="R320" t="n">
        <v>2251940</v>
      </c>
      <c r="S320" t="inlineStr">
        <is>
          <t>K009-901605081</t>
        </is>
      </c>
      <c r="T320" t="inlineStr">
        <is>
          <t>ទ្រូ ខមភែនៀន ឡូជីស្ទីក (ខេមបូឌា)</t>
        </is>
      </c>
      <c r="U320" t="n">
        <v>2251940</v>
      </c>
      <c r="V320" t="n">
        <v>0</v>
      </c>
    </row>
    <row r="321">
      <c r="A321" t="n">
        <v>320</v>
      </c>
      <c r="B321" t="inlineStr">
        <is>
          <t>Import Shipment Expense</t>
        </is>
      </c>
      <c r="C321" t="inlineStr">
        <is>
          <t>ផេនដា គ្លូប៊ល ឡូជីស្ទីក (ខេមបូឌា)</t>
        </is>
      </c>
      <c r="D321" t="inlineStr">
        <is>
          <t>K005-901501155</t>
        </is>
      </c>
      <c r="E321" t="inlineStr">
        <is>
          <t>PD240102</t>
        </is>
      </c>
      <c r="F321" t="inlineStr">
        <is>
          <t>02-04-2024</t>
        </is>
      </c>
      <c r="G321" t="n">
        <v>135894</v>
      </c>
      <c r="I321">
        <f>G321</f>
        <v/>
      </c>
      <c r="K321">
        <f>I321-G321</f>
        <v/>
      </c>
      <c r="M321">
        <f>R321=E321</f>
        <v/>
      </c>
      <c r="N321">
        <f>AND(MONTH(F321)=MONTH(Q321), YEAR(F321)=YEAR(Q321))</f>
        <v/>
      </c>
      <c r="O321">
        <f>"L001-902303751"=S321</f>
        <v/>
      </c>
      <c r="P321">
        <f>G321-U321</f>
        <v/>
      </c>
      <c r="Q321" s="35" t="n">
        <v>45243</v>
      </c>
      <c r="R321" t="inlineStr"/>
      <c r="S321" t="inlineStr">
        <is>
          <t>K003-901635943</t>
        </is>
      </c>
      <c r="T321" t="inlineStr">
        <is>
          <t>អ៊ីឃ្យូឡាញ វើលវ៉ាយដ៍ ឡូជីស្ទីក</t>
        </is>
      </c>
      <c r="U321" t="n">
        <v>0</v>
      </c>
      <c r="V321" t="n">
        <v>0</v>
      </c>
    </row>
    <row r="322">
      <c r="A322" t="n">
        <v>321</v>
      </c>
      <c r="B322" t="inlineStr">
        <is>
          <t>Customs Clearance Fee and Trucking Fee</t>
        </is>
      </c>
      <c r="C322" t="inlineStr">
        <is>
          <t>ត្រាយអ៊ែងហ្គល ឡូជីស្ទីក (ខេមបូឌា) ឯ.ក</t>
        </is>
      </c>
      <c r="D322" t="inlineStr">
        <is>
          <t>K010-902101743</t>
        </is>
      </c>
      <c r="E322" t="inlineStr">
        <is>
          <t>TAG-24-00206</t>
        </is>
      </c>
      <c r="F322" t="inlineStr">
        <is>
          <t>05-04-2024</t>
        </is>
      </c>
      <c r="G322" t="n">
        <v>101841</v>
      </c>
      <c r="I322">
        <f>G322</f>
        <v/>
      </c>
      <c r="K322">
        <f>I322-G322</f>
        <v/>
      </c>
      <c r="M322">
        <f>R322=E322</f>
        <v/>
      </c>
      <c r="N322">
        <f>AND(MONTH(F322)=MONTH(Q322), YEAR(F322)=YEAR(Q322))</f>
        <v/>
      </c>
      <c r="O322">
        <f>"L001-902303751"=S322</f>
        <v/>
      </c>
      <c r="P322">
        <f>G322-U322</f>
        <v/>
      </c>
      <c r="Q322" s="35" t="n">
        <v>45243</v>
      </c>
      <c r="R322" t="n">
        <v>189428</v>
      </c>
      <c r="S322" t="inlineStr">
        <is>
          <t>K009-901605081</t>
        </is>
      </c>
      <c r="T322" t="inlineStr">
        <is>
          <t>ទ្រូ ខមភែនៀន ឡូជីស្ទីក (ខេមបូឌា)</t>
        </is>
      </c>
      <c r="U322" t="n">
        <v>189428</v>
      </c>
      <c r="V322" t="n">
        <v>0</v>
      </c>
    </row>
    <row r="323">
      <c r="A323" t="n">
        <v>322</v>
      </c>
      <c r="B323" t="inlineStr">
        <is>
          <t>Charge from warehouse and Storage Charges</t>
        </is>
      </c>
      <c r="C323" t="inlineStr">
        <is>
          <t>កំពង់ផែស្វយ័តក្រុងព្រះសីហនុ</t>
        </is>
      </c>
      <c r="D323" t="inlineStr">
        <is>
          <t>L001-100044638</t>
        </is>
      </c>
      <c r="E323" t="inlineStr">
        <is>
          <t>059602</t>
        </is>
      </c>
      <c r="F323" t="inlineStr">
        <is>
          <t>03-04-2024</t>
        </is>
      </c>
      <c r="G323" t="n">
        <v>7395</v>
      </c>
      <c r="I323">
        <f>G323</f>
        <v/>
      </c>
      <c r="K323">
        <f>I323-G323</f>
        <v/>
      </c>
      <c r="M323">
        <f>R323=E323</f>
        <v/>
      </c>
      <c r="N323">
        <f>AND(MONTH(F323)=MONTH(Q323), YEAR(F323)=YEAR(Q323))</f>
        <v/>
      </c>
      <c r="O323">
        <f>"L001-902303751"=S323</f>
        <v/>
      </c>
      <c r="P323">
        <f>G323-U323</f>
        <v/>
      </c>
      <c r="Q323" s="35" t="n">
        <v>45243</v>
      </c>
      <c r="R323" t="n">
        <v>2244310</v>
      </c>
      <c r="S323" t="inlineStr">
        <is>
          <t>K009-901605081</t>
        </is>
      </c>
      <c r="T323" t="inlineStr">
        <is>
          <t>ទ្រូ ខមភែនៀន ឡូជីស្ទីក (ខេមបូឌា)</t>
        </is>
      </c>
      <c r="U323" t="n">
        <v>2244310</v>
      </c>
      <c r="V323" t="n">
        <v>0</v>
      </c>
    </row>
    <row r="324">
      <c r="A324" t="n">
        <v>323</v>
      </c>
      <c r="B324" t="inlineStr">
        <is>
          <t>Customs Clearance Fee and Trucking Fee</t>
        </is>
      </c>
      <c r="C324" t="inlineStr">
        <is>
          <t>ត្រាយអ៊ែងហ្គល ឡូជីស្ទីក (ខេមបូឌា) ឯ.ក</t>
        </is>
      </c>
      <c r="D324" t="inlineStr">
        <is>
          <t>K010-902101743</t>
        </is>
      </c>
      <c r="E324" t="inlineStr">
        <is>
          <t>TAG-24-00216</t>
        </is>
      </c>
      <c r="F324" t="inlineStr">
        <is>
          <t>05-04-2024</t>
        </is>
      </c>
      <c r="G324" t="n">
        <v>93839</v>
      </c>
      <c r="I324">
        <f>G324</f>
        <v/>
      </c>
      <c r="K324">
        <f>I324-G324</f>
        <v/>
      </c>
      <c r="M324">
        <f>R324=E324</f>
        <v/>
      </c>
      <c r="N324">
        <f>AND(MONTH(F324)=MONTH(Q324), YEAR(F324)=YEAR(Q324))</f>
        <v/>
      </c>
      <c r="O324">
        <f>"L001-902303751"=S324</f>
        <v/>
      </c>
      <c r="P324">
        <f>G324-U324</f>
        <v/>
      </c>
      <c r="Q324" s="35" t="n">
        <v>45232</v>
      </c>
      <c r="R324" t="n">
        <v>190072</v>
      </c>
      <c r="S324" t="inlineStr">
        <is>
          <t>K009-901605081</t>
        </is>
      </c>
      <c r="T324" t="inlineStr">
        <is>
          <t>ទ្រូ ខមភែនៀន ឡូជីស្ទីក (ខេមបូឌា)</t>
        </is>
      </c>
      <c r="U324" t="n">
        <v>190072</v>
      </c>
      <c r="V324" t="n">
        <v>0</v>
      </c>
    </row>
    <row r="325">
      <c r="A325" t="n">
        <v>324</v>
      </c>
      <c r="B325" t="inlineStr">
        <is>
          <t>Service Fee</t>
        </is>
      </c>
      <c r="C325" t="inlineStr">
        <is>
          <t>ប្យួរ៉ូ វេរីតាស (ខេមបូឌា) លីមីធីត</t>
        </is>
      </c>
      <c r="D325" t="inlineStr">
        <is>
          <t>L001-107024462</t>
        </is>
      </c>
      <c r="E325" t="inlineStr">
        <is>
          <t>59017377</t>
        </is>
      </c>
      <c r="F325" t="inlineStr">
        <is>
          <t>05-04-2024</t>
        </is>
      </c>
      <c r="G325" t="n">
        <v>803149</v>
      </c>
      <c r="I325">
        <f>G325</f>
        <v/>
      </c>
      <c r="K325">
        <f>I325-G325</f>
        <v/>
      </c>
      <c r="M325">
        <f>R325=E325</f>
        <v/>
      </c>
      <c r="N325">
        <f>AND(MONTH(F325)=MONTH(Q325), YEAR(F325)=YEAR(Q325))</f>
        <v/>
      </c>
      <c r="O325">
        <f>"L001-902303751"=S325</f>
        <v/>
      </c>
      <c r="P325">
        <f>G325-U325</f>
        <v/>
      </c>
      <c r="Q325" s="35" t="n">
        <v>45238</v>
      </c>
      <c r="R325" t="n">
        <v>2249215</v>
      </c>
      <c r="S325" t="inlineStr">
        <is>
          <t>K009-901605081</t>
        </is>
      </c>
      <c r="T325" t="inlineStr">
        <is>
          <t>ទ្រូ ខមភែនៀន ឡូជីស្ទីក (ខេមបូឌា)</t>
        </is>
      </c>
      <c r="U325" t="n">
        <v>2249215</v>
      </c>
      <c r="V325" t="n">
        <v>0</v>
      </c>
    </row>
    <row r="326">
      <c r="A326" t="n">
        <v>325</v>
      </c>
      <c r="B326" t="inlineStr">
        <is>
          <t>Service Fee</t>
        </is>
      </c>
      <c r="C326" t="inlineStr">
        <is>
          <t>ប្យួរ៉ូ វេរីតាស (ខេមបូឌា) លីមីធីត</t>
        </is>
      </c>
      <c r="D326" t="inlineStr">
        <is>
          <t>L001-107024462</t>
        </is>
      </c>
      <c r="E326" t="inlineStr">
        <is>
          <t>59017464</t>
        </is>
      </c>
      <c r="F326" t="inlineStr">
        <is>
          <t>03-04-2024</t>
        </is>
      </c>
      <c r="G326" t="n">
        <v>132851</v>
      </c>
      <c r="I326">
        <f>G326</f>
        <v/>
      </c>
      <c r="K326">
        <f>I326-G326</f>
        <v/>
      </c>
      <c r="M326">
        <f>R326=E326</f>
        <v/>
      </c>
      <c r="N326">
        <f>AND(MONTH(F326)=MONTH(Q326), YEAR(F326)=YEAR(Q326))</f>
        <v/>
      </c>
      <c r="O326">
        <f>"L001-902303751"=S326</f>
        <v/>
      </c>
      <c r="P326">
        <f>G326-U326</f>
        <v/>
      </c>
      <c r="Q326" s="35" t="n">
        <v>45232</v>
      </c>
      <c r="R326" t="n">
        <v>190072</v>
      </c>
      <c r="S326" t="inlineStr">
        <is>
          <t>K009-901605081</t>
        </is>
      </c>
      <c r="T326" t="inlineStr">
        <is>
          <t>ទ្រូ ខមភែនៀន ឡូជីស្ទីក (ខេមបូឌា)</t>
        </is>
      </c>
      <c r="U326" t="n">
        <v>190072</v>
      </c>
      <c r="V326" t="n">
        <v>0</v>
      </c>
    </row>
    <row r="327">
      <c r="A327" t="n">
        <v>326</v>
      </c>
      <c r="B327" t="inlineStr">
        <is>
          <t>Raw Material</t>
        </is>
      </c>
      <c r="C327" t="inlineStr">
        <is>
          <t>ក្លាក ហ៊ូ ឯ.ក</t>
        </is>
      </c>
      <c r="D327" t="inlineStr">
        <is>
          <t>K007-901639199</t>
        </is>
      </c>
      <c r="E327" t="inlineStr">
        <is>
          <t>IN0082</t>
        </is>
      </c>
      <c r="F327" t="inlineStr">
        <is>
          <t>01-04-2024</t>
        </is>
      </c>
      <c r="G327" t="n">
        <v>589052</v>
      </c>
      <c r="I327">
        <f>G327</f>
        <v/>
      </c>
      <c r="K327">
        <f>I327-G327</f>
        <v/>
      </c>
      <c r="M327">
        <f>R327=E327</f>
        <v/>
      </c>
      <c r="N327">
        <f>AND(MONTH(F327)=MONTH(Q327), YEAR(F327)=YEAR(Q327))</f>
        <v/>
      </c>
      <c r="O327">
        <f>"L001-902303751"=S327</f>
        <v/>
      </c>
      <c r="P327">
        <f>G327-U327</f>
        <v/>
      </c>
      <c r="Q327" s="35" t="n">
        <v>45250</v>
      </c>
      <c r="R327" t="n">
        <v>85284</v>
      </c>
      <c r="S327" t="inlineStr">
        <is>
          <t>L001-104015799</t>
        </is>
      </c>
      <c r="T327" t="inlineStr">
        <is>
          <t>យូសេន ឡូជីស្ទីក (ខេមបូឌា) ខូ អិលធីឌី</t>
        </is>
      </c>
      <c r="U327" t="n">
        <v>85284</v>
      </c>
      <c r="V327" t="n">
        <v>0</v>
      </c>
    </row>
    <row r="328">
      <c r="A328" t="n">
        <v>327</v>
      </c>
      <c r="B328" t="inlineStr">
        <is>
          <t>Customs Clearance Fee and Trucking Fee</t>
        </is>
      </c>
      <c r="C328" t="inlineStr">
        <is>
          <t>ត្រាយអ៊ែងហ្គល ឡូជីស្ទីក (ខេមបូឌា) ឯ.ក</t>
        </is>
      </c>
      <c r="D328" t="inlineStr">
        <is>
          <t>K010-902101743</t>
        </is>
      </c>
      <c r="E328" t="inlineStr">
        <is>
          <t>TAG-24-00215</t>
        </is>
      </c>
      <c r="F328" t="inlineStr">
        <is>
          <t>05-04-2024</t>
        </is>
      </c>
      <c r="G328" t="n">
        <v>68697</v>
      </c>
      <c r="I328">
        <f>G328</f>
        <v/>
      </c>
      <c r="K328">
        <f>I328-G328</f>
        <v/>
      </c>
      <c r="M328">
        <f>R328=E328</f>
        <v/>
      </c>
      <c r="N328">
        <f>AND(MONTH(F328)=MONTH(Q328), YEAR(F328)=YEAR(Q328))</f>
        <v/>
      </c>
      <c r="O328">
        <f>"L001-902303751"=S328</f>
        <v/>
      </c>
      <c r="P328">
        <f>G328-U328</f>
        <v/>
      </c>
      <c r="Q328" s="35" t="n">
        <v>45232</v>
      </c>
      <c r="R328" t="n">
        <v>2251940</v>
      </c>
      <c r="S328" t="inlineStr">
        <is>
          <t>K009-901605081</t>
        </is>
      </c>
      <c r="T328" t="inlineStr">
        <is>
          <t>ទ្រូ ខមភែនៀន ឡូជីស្ទីក (ខេមបូឌា)</t>
        </is>
      </c>
      <c r="U328" t="n">
        <v>2251940</v>
      </c>
      <c r="V328" t="n">
        <v>0</v>
      </c>
    </row>
    <row r="329">
      <c r="A329" t="n">
        <v>328</v>
      </c>
      <c r="B329" t="inlineStr">
        <is>
          <t>Lift-On &amp; Lift-Off</t>
        </is>
      </c>
      <c r="C329" t="inlineStr">
        <is>
          <t>កំពង់ផែស្វយ័តក្រុងព្រះសីហនុ</t>
        </is>
      </c>
      <c r="D329" t="inlineStr">
        <is>
          <t>L001-100044638</t>
        </is>
      </c>
      <c r="E329" t="inlineStr">
        <is>
          <t>059534</t>
        </is>
      </c>
      <c r="F329" t="inlineStr">
        <is>
          <t>03-04-2024</t>
        </is>
      </c>
      <c r="G329" t="n">
        <v>23034</v>
      </c>
      <c r="I329">
        <f>G329</f>
        <v/>
      </c>
      <c r="K329">
        <f>I329-G329</f>
        <v/>
      </c>
      <c r="M329">
        <f>R329=E329</f>
        <v/>
      </c>
      <c r="N329">
        <f>AND(MONTH(F329)=MONTH(Q329), YEAR(F329)=YEAR(Q329))</f>
        <v/>
      </c>
      <c r="O329">
        <f>"L001-902303751"=S329</f>
        <v/>
      </c>
      <c r="P329">
        <f>G329-U329</f>
        <v/>
      </c>
      <c r="Q329" s="35" t="n">
        <v>45254</v>
      </c>
      <c r="R329" t="n">
        <v>113986</v>
      </c>
      <c r="S329" t="inlineStr">
        <is>
          <t>L001-104015799</t>
        </is>
      </c>
      <c r="T329" t="inlineStr">
        <is>
          <t>យូសេន ឡូជីស្ទីក (ខេមបូឌា) ខូ អិលធីឌី</t>
        </is>
      </c>
      <c r="U329" t="n">
        <v>113986</v>
      </c>
      <c r="V329" t="n">
        <v>0</v>
      </c>
    </row>
    <row r="330">
      <c r="A330" t="n">
        <v>329</v>
      </c>
      <c r="B330" t="inlineStr">
        <is>
          <t>THC Carrier Charge, CIC Carrire Charge, Admin Fee, Agency Fee and Ocean Freight</t>
        </is>
      </c>
      <c r="C330" t="inlineStr">
        <is>
          <t>ហ្វ្រេត ខនសិប (ខេមបូឌា)</t>
        </is>
      </c>
      <c r="D330" t="inlineStr">
        <is>
          <t>K009-901502482</t>
        </is>
      </c>
      <c r="E330" t="inlineStr">
        <is>
          <t>240287</t>
        </is>
      </c>
      <c r="F330" t="inlineStr">
        <is>
          <t>01-04-2024</t>
        </is>
      </c>
      <c r="G330" t="n">
        <v>248337</v>
      </c>
      <c r="I330">
        <f>G330</f>
        <v/>
      </c>
      <c r="K330">
        <f>I330-G330</f>
        <v/>
      </c>
      <c r="M330">
        <f>R330=E330</f>
        <v/>
      </c>
      <c r="N330">
        <f>AND(MONTH(F330)=MONTH(Q330), YEAR(F330)=YEAR(Q330))</f>
        <v/>
      </c>
      <c r="O330">
        <f>"L001-902303751"=S330</f>
        <v/>
      </c>
      <c r="P330">
        <f>G330-U330</f>
        <v/>
      </c>
      <c r="Q330" s="35" t="n">
        <v>45260</v>
      </c>
      <c r="R330" t="n">
        <v>20575</v>
      </c>
      <c r="S330" t="inlineStr">
        <is>
          <t>L001-104015799</t>
        </is>
      </c>
      <c r="T330" t="inlineStr">
        <is>
          <t>យូសេន ឡូជីស្ទីក (ខេមបូឌា) ខូ អិលធីឌី</t>
        </is>
      </c>
      <c r="U330" t="n">
        <v>20575</v>
      </c>
      <c r="V330" t="n">
        <v>0</v>
      </c>
    </row>
    <row r="331">
      <c r="A331" t="n">
        <v>330</v>
      </c>
      <c r="B331" t="inlineStr">
        <is>
          <t>Customs Clearance Fee and Trucking Fee</t>
        </is>
      </c>
      <c r="C331" t="inlineStr">
        <is>
          <t>ត្រាយអ៊ែងហ្គល ឡូជីស្ទីក (ខេមបូឌា) ឯ.ក</t>
        </is>
      </c>
      <c r="D331" t="inlineStr">
        <is>
          <t>K010-902101743</t>
        </is>
      </c>
      <c r="E331" t="inlineStr">
        <is>
          <t>TAG-24-00234</t>
        </is>
      </c>
      <c r="F331" t="inlineStr">
        <is>
          <t>08-04-2024</t>
        </is>
      </c>
      <c r="G331" t="n">
        <v>68680</v>
      </c>
      <c r="I331">
        <f>G331</f>
        <v/>
      </c>
      <c r="K331">
        <f>I331-G331</f>
        <v/>
      </c>
      <c r="M331">
        <f>R331=E331</f>
        <v/>
      </c>
      <c r="N331">
        <f>AND(MONTH(F331)=MONTH(Q331), YEAR(F331)=YEAR(Q331))</f>
        <v/>
      </c>
      <c r="O331">
        <f>"L001-902303751"=S331</f>
        <v/>
      </c>
      <c r="P331">
        <f>G331-U331</f>
        <v/>
      </c>
      <c r="Q331" s="35" t="n">
        <v>45250</v>
      </c>
      <c r="R331" t="n">
        <v>178808</v>
      </c>
      <c r="S331" t="inlineStr">
        <is>
          <t>K003-901635943</t>
        </is>
      </c>
      <c r="T331" t="inlineStr">
        <is>
          <t>អ៊ីឃ្យូឡាញ វើលវ៉ាយដ៍ ឡូជីស្ទីក</t>
        </is>
      </c>
      <c r="U331" t="n">
        <v>178808</v>
      </c>
      <c r="V331" t="n">
        <v>0</v>
      </c>
    </row>
    <row r="332">
      <c r="A332" t="n">
        <v>331</v>
      </c>
      <c r="B332" t="inlineStr">
        <is>
          <t>Lift-On &amp; Lift-Off and Storage Charges</t>
        </is>
      </c>
      <c r="C332" t="inlineStr">
        <is>
          <t>កំពង់ផែស្វយ័តក្រុងព្រះសីហនុ</t>
        </is>
      </c>
      <c r="D332" t="inlineStr">
        <is>
          <t>L001-100044638</t>
        </is>
      </c>
      <c r="E332" t="inlineStr">
        <is>
          <t>062994</t>
        </is>
      </c>
      <c r="F332" t="inlineStr">
        <is>
          <t>08-04-2024</t>
        </is>
      </c>
      <c r="G332" t="n">
        <v>38784</v>
      </c>
      <c r="I332">
        <f>G332</f>
        <v/>
      </c>
      <c r="K332">
        <f>I332-G332</f>
        <v/>
      </c>
      <c r="M332">
        <f>R332=E332</f>
        <v/>
      </c>
      <c r="N332">
        <f>AND(MONTH(F332)=MONTH(Q332), YEAR(F332)=YEAR(Q332))</f>
        <v/>
      </c>
      <c r="O332">
        <f>"L001-902303751"=S332</f>
        <v/>
      </c>
      <c r="P332">
        <f>G332-U332</f>
        <v/>
      </c>
      <c r="Q332" s="35" t="n">
        <v>45254</v>
      </c>
      <c r="R332" t="n">
        <v>207396</v>
      </c>
      <c r="S332" t="inlineStr">
        <is>
          <t>L001-104015799</t>
        </is>
      </c>
      <c r="T332" t="inlineStr">
        <is>
          <t>យូសេន ឡូជីស្ទីក (ខេមបូឌា) ខូ អិលធីឌី</t>
        </is>
      </c>
      <c r="U332" t="n">
        <v>207396</v>
      </c>
      <c r="V332" t="n">
        <v>0</v>
      </c>
    </row>
    <row r="333">
      <c r="A333" t="n">
        <v>332</v>
      </c>
      <c r="B333" t="inlineStr">
        <is>
          <t>Charge from warehouse</t>
        </is>
      </c>
      <c r="C333" t="inlineStr">
        <is>
          <t>កំពង់ផែស្វយ័តក្រុងព្រះសីហនុ</t>
        </is>
      </c>
      <c r="D333" t="inlineStr">
        <is>
          <t>L001-100044638</t>
        </is>
      </c>
      <c r="E333" t="inlineStr">
        <is>
          <t>062102</t>
        </is>
      </c>
      <c r="F333" t="inlineStr">
        <is>
          <t>06-04-2024</t>
        </is>
      </c>
      <c r="G333" t="n">
        <v>3710</v>
      </c>
      <c r="I333">
        <f>G333</f>
        <v/>
      </c>
      <c r="K333">
        <f>I333-G333</f>
        <v/>
      </c>
      <c r="M333">
        <f>R333=E333</f>
        <v/>
      </c>
      <c r="N333">
        <f>AND(MONTH(F333)=MONTH(Q333), YEAR(F333)=YEAR(Q333))</f>
        <v/>
      </c>
      <c r="O333">
        <f>"L001-902303751"=S333</f>
        <v/>
      </c>
      <c r="P333">
        <f>G333-U333</f>
        <v/>
      </c>
      <c r="Q333" s="35" t="n">
        <v>45254</v>
      </c>
      <c r="R333" t="inlineStr"/>
      <c r="S333" t="inlineStr">
        <is>
          <t>K003-901635943</t>
        </is>
      </c>
      <c r="T333" t="inlineStr">
        <is>
          <t>អ៊ីឃ្យូឡាញ វើលវ៉ាយដ៍ ឡូជីស្ទីក</t>
        </is>
      </c>
      <c r="U333" t="n">
        <v>0</v>
      </c>
      <c r="V333" t="n">
        <v>0</v>
      </c>
    </row>
    <row r="334">
      <c r="A334" t="n">
        <v>333</v>
      </c>
      <c r="B334" t="inlineStr">
        <is>
          <t>Terminal Handling Charges, CFS Fee, Scan Fee, D/O Fee, Document Fee, Handling Fee, Co-Leader Agency Fee and LSS Charge</t>
        </is>
      </c>
      <c r="C334" t="inlineStr">
        <is>
          <t>ត្រាយអ៊ែងហ្គល ឡូជីស្ទីក (ខេមបូឌា) ឯ.ក</t>
        </is>
      </c>
      <c r="D334" t="inlineStr">
        <is>
          <t>K010-902101743</t>
        </is>
      </c>
      <c r="E334" t="inlineStr">
        <is>
          <t>TAG-24-00200</t>
        </is>
      </c>
      <c r="F334" t="inlineStr">
        <is>
          <t>01-04-2024</t>
        </is>
      </c>
      <c r="G334" t="n">
        <v>218738</v>
      </c>
      <c r="I334">
        <f>G334</f>
        <v/>
      </c>
      <c r="K334">
        <f>I334-G334</f>
        <v/>
      </c>
      <c r="M334">
        <f>R334=E334</f>
        <v/>
      </c>
      <c r="N334">
        <f>AND(MONTH(F334)=MONTH(Q334), YEAR(F334)=YEAR(Q334))</f>
        <v/>
      </c>
      <c r="O334">
        <f>"L001-902303751"=S334</f>
        <v/>
      </c>
      <c r="P334">
        <f>G334-U334</f>
        <v/>
      </c>
      <c r="Q334" s="35" t="n">
        <v>45232</v>
      </c>
      <c r="R334" t="n">
        <v>190072</v>
      </c>
      <c r="S334" t="inlineStr">
        <is>
          <t>K009-901605081</t>
        </is>
      </c>
      <c r="T334" t="inlineStr">
        <is>
          <t>ទ្រូ ខមភែនៀន ឡូជីស្ទីក (ខេមបូឌា)</t>
        </is>
      </c>
      <c r="U334" t="n">
        <v>190072</v>
      </c>
      <c r="V334" t="n">
        <v>0</v>
      </c>
    </row>
    <row r="335">
      <c r="A335" t="n">
        <v>334</v>
      </c>
      <c r="B335" t="inlineStr">
        <is>
          <t>Customs Clearance Fee and Trucking Fee</t>
        </is>
      </c>
      <c r="C335" t="inlineStr">
        <is>
          <t>ត្រាយអ៊ែងហ្គល ឡូជីស្ទីក (ខេមបូឌា) ឯ.ក</t>
        </is>
      </c>
      <c r="D335" t="inlineStr">
        <is>
          <t>K010-902101743</t>
        </is>
      </c>
      <c r="E335" t="inlineStr">
        <is>
          <t>TAG-24-00209</t>
        </is>
      </c>
      <c r="F335" t="inlineStr">
        <is>
          <t>05-04-2024</t>
        </is>
      </c>
      <c r="G335" t="n">
        <v>28287</v>
      </c>
      <c r="I335">
        <f>G335</f>
        <v/>
      </c>
      <c r="K335">
        <f>I335-G335</f>
        <v/>
      </c>
      <c r="M335">
        <f>R335=E335</f>
        <v/>
      </c>
      <c r="N335">
        <f>AND(MONTH(F335)=MONTH(Q335), YEAR(F335)=YEAR(Q335))</f>
        <v/>
      </c>
      <c r="O335">
        <f>"L001-902303751"=S335</f>
        <v/>
      </c>
      <c r="P335">
        <f>G335-U335</f>
        <v/>
      </c>
      <c r="Q335" s="35" t="n">
        <v>45254</v>
      </c>
      <c r="R335" t="n">
        <v>113986</v>
      </c>
      <c r="S335" t="inlineStr">
        <is>
          <t>K003-901635943</t>
        </is>
      </c>
      <c r="T335" t="inlineStr">
        <is>
          <t>អ៊ីឃ្យូឡាញ វើលវ៉ាយដ៍ ឡូជីស្ទីក</t>
        </is>
      </c>
      <c r="U335" t="n">
        <v>113986</v>
      </c>
      <c r="V335" t="n">
        <v>0</v>
      </c>
    </row>
    <row r="336">
      <c r="A336" t="n">
        <v>335</v>
      </c>
      <c r="B336" t="inlineStr">
        <is>
          <t>Customs Clearance Fee and Trucking Fee</t>
        </is>
      </c>
      <c r="C336" t="inlineStr">
        <is>
          <t>ត្រាយអ៊ែងហ្គល ឡូជីស្ទីក (ខេមបូឌា) ឯ.ក</t>
        </is>
      </c>
      <c r="D336" t="inlineStr">
        <is>
          <t>K010-902101743</t>
        </is>
      </c>
      <c r="E336" t="inlineStr">
        <is>
          <t>TAG-24-00243</t>
        </is>
      </c>
      <c r="F336" t="inlineStr">
        <is>
          <t>10-04-2024</t>
        </is>
      </c>
      <c r="G336" t="n">
        <v>32328</v>
      </c>
      <c r="I336">
        <f>G336</f>
        <v/>
      </c>
      <c r="K336">
        <f>I336-G336</f>
        <v/>
      </c>
      <c r="M336">
        <f>R336=E336</f>
        <v/>
      </c>
      <c r="N336">
        <f>AND(MONTH(F336)=MONTH(Q336), YEAR(F336)=YEAR(Q336))</f>
        <v/>
      </c>
      <c r="O336">
        <f>"L001-902303751"=S336</f>
        <v/>
      </c>
      <c r="P336">
        <f>G336-U336</f>
        <v/>
      </c>
      <c r="Q336" s="35" t="n">
        <v>45250</v>
      </c>
      <c r="R336" t="n">
        <v>97644</v>
      </c>
      <c r="S336" t="inlineStr">
        <is>
          <t>L001-104015799</t>
        </is>
      </c>
      <c r="T336" t="inlineStr">
        <is>
          <t>យូសេន ឡូជីស្ទីក (ខេមបូឌា) ខូ អិលធីឌី</t>
        </is>
      </c>
      <c r="U336" t="n">
        <v>97644</v>
      </c>
      <c r="V336" t="n">
        <v>0</v>
      </c>
    </row>
    <row r="337">
      <c r="A337" t="n">
        <v>336</v>
      </c>
      <c r="B337" t="inlineStr">
        <is>
          <t>Charge from warehouse</t>
        </is>
      </c>
      <c r="C337" t="inlineStr">
        <is>
          <t>កំពង់ផែស្វយ័តក្រុងព្រះសីហនុ</t>
        </is>
      </c>
      <c r="D337" t="inlineStr">
        <is>
          <t>L001-100044638</t>
        </is>
      </c>
      <c r="E337" t="inlineStr">
        <is>
          <t>064525</t>
        </is>
      </c>
      <c r="F337" t="inlineStr">
        <is>
          <t>10-04-2024</t>
        </is>
      </c>
      <c r="G337" t="n">
        <v>617</v>
      </c>
      <c r="I337">
        <f>G337</f>
        <v/>
      </c>
      <c r="K337">
        <f>I337-G337</f>
        <v/>
      </c>
      <c r="M337">
        <f>R337=E337</f>
        <v/>
      </c>
      <c r="N337">
        <f>AND(MONTH(F337)=MONTH(Q337), YEAR(F337)=YEAR(Q337))</f>
        <v/>
      </c>
      <c r="O337">
        <f>"L001-902303751"=S337</f>
        <v/>
      </c>
      <c r="P337">
        <f>G337-U337</f>
        <v/>
      </c>
      <c r="Q337" s="35" t="n">
        <v>45237</v>
      </c>
      <c r="R337" t="inlineStr"/>
      <c r="S337" t="inlineStr">
        <is>
          <t>K003-901635943</t>
        </is>
      </c>
      <c r="T337" t="inlineStr">
        <is>
          <t>អ៊ីឃ្យូឡាញ វើលវ៉ាយដ៍ ឡូជីស្ទីក</t>
        </is>
      </c>
      <c r="U337" t="n">
        <v>0</v>
      </c>
      <c r="V337" t="n">
        <v>0</v>
      </c>
    </row>
    <row r="338">
      <c r="A338" t="n">
        <v>337</v>
      </c>
      <c r="B338" t="inlineStr">
        <is>
          <t>THC Fee, Scanning Fee, LCL Fee, CFS Fee, D/O Fee, Agency Fee, Document Fee and Handling Fee</t>
        </is>
      </c>
      <c r="C338" t="inlineStr">
        <is>
          <t>ខាហ្គោលីង អ៊ិនធើណេសិនណល ឯ.ក</t>
        </is>
      </c>
      <c r="D338" t="inlineStr">
        <is>
          <t>K009-902002784</t>
        </is>
      </c>
      <c r="E338" t="inlineStr">
        <is>
          <t>SIC2404/0007</t>
        </is>
      </c>
      <c r="F338" t="inlineStr">
        <is>
          <t>05-04-2024</t>
        </is>
      </c>
      <c r="G338" t="n">
        <v>100217</v>
      </c>
      <c r="I338">
        <f>G338</f>
        <v/>
      </c>
      <c r="K338">
        <f>I338-G338</f>
        <v/>
      </c>
      <c r="M338">
        <f>R338=E338</f>
        <v/>
      </c>
      <c r="N338">
        <f>AND(MONTH(F338)=MONTH(Q338), YEAR(F338)=YEAR(Q338))</f>
        <v/>
      </c>
      <c r="O338">
        <f>"L001-902303751"=S338</f>
        <v/>
      </c>
      <c r="P338">
        <f>G338-U338</f>
        <v/>
      </c>
      <c r="Q338" s="35" t="n">
        <v>45254</v>
      </c>
      <c r="R338" t="n">
        <v>178591</v>
      </c>
      <c r="S338" t="inlineStr">
        <is>
          <t>L001-107041723</t>
        </is>
      </c>
      <c r="T338" t="inlineStr">
        <is>
          <t>ឌីប៊ី សេនឃើរ (ខេមបូឌា) លីមីធីត</t>
        </is>
      </c>
      <c r="U338" t="n">
        <v>178591</v>
      </c>
      <c r="V338" t="n">
        <v>0</v>
      </c>
    </row>
    <row r="339">
      <c r="A339" t="n">
        <v>338</v>
      </c>
      <c r="B339" t="inlineStr">
        <is>
          <t>Customs Clearance Fee</t>
        </is>
      </c>
      <c r="C339" t="inlineStr">
        <is>
          <t>ត្រាយអ៊ែងហ្គល ឡូជីស្ទីក (ខេមបូឌា) ឯ.ក</t>
        </is>
      </c>
      <c r="D339" t="inlineStr">
        <is>
          <t>K010-902101743</t>
        </is>
      </c>
      <c r="E339" t="inlineStr">
        <is>
          <t>TAG-24-00213</t>
        </is>
      </c>
      <c r="F339" t="inlineStr">
        <is>
          <t>05-04-2024</t>
        </is>
      </c>
      <c r="G339" t="n">
        <v>8082</v>
      </c>
      <c r="I339">
        <f>G339</f>
        <v/>
      </c>
      <c r="K339">
        <f>I339-G339</f>
        <v/>
      </c>
      <c r="M339">
        <f>R339=E339</f>
        <v/>
      </c>
      <c r="N339">
        <f>AND(MONTH(F339)=MONTH(Q339), YEAR(F339)=YEAR(Q339))</f>
        <v/>
      </c>
      <c r="O339">
        <f>"L001-902303751"=S339</f>
        <v/>
      </c>
      <c r="P339">
        <f>G339-U339</f>
        <v/>
      </c>
      <c r="Q339" s="35" t="n">
        <v>45250</v>
      </c>
      <c r="R339" t="n">
        <v>2245400</v>
      </c>
      <c r="S339" t="inlineStr">
        <is>
          <t>K009-901605081</t>
        </is>
      </c>
      <c r="T339" t="inlineStr">
        <is>
          <t>ទ្រូ ខមភែនៀន ឡូជីស្ទីក (ខេមបូឌា)</t>
        </is>
      </c>
      <c r="U339" t="n">
        <v>2245400</v>
      </c>
      <c r="V339" t="n">
        <v>0</v>
      </c>
    </row>
    <row r="340">
      <c r="A340" t="n">
        <v>339</v>
      </c>
      <c r="B340" t="inlineStr">
        <is>
          <t>Customs Clearance Fee and Trucking Fee</t>
        </is>
      </c>
      <c r="C340" t="inlineStr">
        <is>
          <t>ត្រាយអ៊ែងហ្គល ឡូជីស្ទីក (ខេមបូឌា) ឯ.ក</t>
        </is>
      </c>
      <c r="D340" t="inlineStr">
        <is>
          <t>K010-902101743</t>
        </is>
      </c>
      <c r="E340" t="inlineStr">
        <is>
          <t>TAG-24-00245</t>
        </is>
      </c>
      <c r="F340" t="inlineStr">
        <is>
          <t>11-04-2024</t>
        </is>
      </c>
      <c r="G340" t="n">
        <v>32320</v>
      </c>
      <c r="I340">
        <f>G340</f>
        <v/>
      </c>
      <c r="K340">
        <f>I340-G340</f>
        <v/>
      </c>
      <c r="M340">
        <f>R340=E340</f>
        <v/>
      </c>
      <c r="N340">
        <f>AND(MONTH(F340)=MONTH(Q340), YEAR(F340)=YEAR(Q340))</f>
        <v/>
      </c>
      <c r="O340">
        <f>"L001-902303751"=S340</f>
        <v/>
      </c>
      <c r="P340">
        <f>G340-U340</f>
        <v/>
      </c>
      <c r="Q340" s="35" t="n">
        <v>45243</v>
      </c>
      <c r="R340" t="n">
        <v>2244310</v>
      </c>
      <c r="S340" t="inlineStr">
        <is>
          <t>K009-901605081</t>
        </is>
      </c>
      <c r="T340" t="inlineStr">
        <is>
          <t>ទ្រូ ខមភែនៀន ឡូជីស្ទីក (ខេមបូឌា)</t>
        </is>
      </c>
      <c r="U340" t="n">
        <v>2244310</v>
      </c>
      <c r="V340" t="n">
        <v>0</v>
      </c>
    </row>
    <row r="341">
      <c r="A341" t="n">
        <v>340</v>
      </c>
      <c r="B341" t="inlineStr">
        <is>
          <t>Warehouse Fee, Transit Fee and Storage Fee</t>
        </is>
      </c>
      <c r="C341" t="inlineStr">
        <is>
          <t>អាយធីអាយ អ៊ិនធើណេសិនណល ត្រេនស័្ពរថេសិន (ខេមបូឌា) ឯ.ក</t>
        </is>
      </c>
      <c r="D341" t="inlineStr">
        <is>
          <t>K002-901800477</t>
        </is>
      </c>
      <c r="E341" t="inlineStr">
        <is>
          <t>CAM241665</t>
        </is>
      </c>
      <c r="F341" t="inlineStr">
        <is>
          <t>18-04-2024</t>
        </is>
      </c>
      <c r="G341" t="n">
        <v>63874</v>
      </c>
      <c r="I341">
        <f>G341</f>
        <v/>
      </c>
      <c r="K341">
        <f>I341-G341</f>
        <v/>
      </c>
      <c r="M341">
        <f>R341=E341</f>
        <v/>
      </c>
      <c r="N341">
        <f>AND(MONTH(F341)=MONTH(Q341), YEAR(F341)=YEAR(Q341))</f>
        <v/>
      </c>
      <c r="O341">
        <f>"L001-902303751"=S341</f>
        <v/>
      </c>
      <c r="P341">
        <f>G341-U341</f>
        <v/>
      </c>
      <c r="Q341" s="35" t="n">
        <v>45238</v>
      </c>
      <c r="R341" t="n">
        <v>2249215</v>
      </c>
      <c r="S341" t="inlineStr">
        <is>
          <t>K009-901605081</t>
        </is>
      </c>
      <c r="T341" t="inlineStr">
        <is>
          <t>ទ្រូ ខមភែនៀន ឡូជីស្ទីក (ខេមបូឌា)</t>
        </is>
      </c>
      <c r="U341" t="n">
        <v>2249215</v>
      </c>
      <c r="V341" t="n">
        <v>0</v>
      </c>
    </row>
    <row r="342">
      <c r="A342" t="n">
        <v>341</v>
      </c>
      <c r="B342" t="inlineStr">
        <is>
          <t>Import Shipment Expense</t>
        </is>
      </c>
      <c r="C342" t="inlineStr">
        <is>
          <t>ផេនដា គ្លូប៊ល ឡូជីស្ទីក (ខេមបូឌា)</t>
        </is>
      </c>
      <c r="D342" t="inlineStr">
        <is>
          <t>K005-901501155</t>
        </is>
      </c>
      <c r="E342" t="inlineStr">
        <is>
          <t>PD240118</t>
        </is>
      </c>
      <c r="F342" t="inlineStr">
        <is>
          <t>09-04-2024</t>
        </is>
      </c>
      <c r="G342" t="n">
        <v>204397</v>
      </c>
      <c r="I342">
        <f>G342</f>
        <v/>
      </c>
      <c r="K342">
        <f>I342-G342</f>
        <v/>
      </c>
      <c r="M342">
        <f>R342=E342</f>
        <v/>
      </c>
      <c r="N342">
        <f>AND(MONTH(F342)=MONTH(Q342), YEAR(F342)=YEAR(Q342))</f>
        <v/>
      </c>
      <c r="O342">
        <f>"L001-902303751"=S342</f>
        <v/>
      </c>
      <c r="P342">
        <f>G342-U342</f>
        <v/>
      </c>
      <c r="Q342" s="35" t="n">
        <v>45232</v>
      </c>
      <c r="R342" t="n">
        <v>2251940</v>
      </c>
      <c r="S342" t="inlineStr">
        <is>
          <t>K009-901605081</t>
        </is>
      </c>
      <c r="T342" t="inlineStr">
        <is>
          <t>ទ្រូ ខមភែនៀន ឡូជីស្ទីក (ខេមបូឌា)</t>
        </is>
      </c>
      <c r="U342" t="n">
        <v>2251940</v>
      </c>
      <c r="V342" t="n">
        <v>0</v>
      </c>
    </row>
    <row r="343">
      <c r="A343" t="n">
        <v>342</v>
      </c>
      <c r="B343" t="inlineStr">
        <is>
          <t>Customs Clearance Fee and Trucking Fee</t>
        </is>
      </c>
      <c r="C343" t="inlineStr">
        <is>
          <t>ត្រាយអ៊ែងហ្គល ឡូជីស្ទីក (ខេមបូឌា) ឯ.ក</t>
        </is>
      </c>
      <c r="D343" t="inlineStr">
        <is>
          <t>K010-902101743</t>
        </is>
      </c>
      <c r="E343" t="inlineStr">
        <is>
          <t>TAG-24-00258</t>
        </is>
      </c>
      <c r="F343" t="inlineStr">
        <is>
          <t>19-04-2024</t>
        </is>
      </c>
      <c r="G343" t="n">
        <v>101811</v>
      </c>
      <c r="I343">
        <f>G343</f>
        <v/>
      </c>
      <c r="K343">
        <f>I343-G343</f>
        <v/>
      </c>
      <c r="M343">
        <f>R343=E343</f>
        <v/>
      </c>
      <c r="N343">
        <f>AND(MONTH(F343)=MONTH(Q343), YEAR(F343)=YEAR(Q343))</f>
        <v/>
      </c>
      <c r="O343">
        <f>"L001-902303751"=S343</f>
        <v/>
      </c>
      <c r="P343">
        <f>G343-U343</f>
        <v/>
      </c>
      <c r="Q343" s="35" t="n">
        <v>45254</v>
      </c>
      <c r="R343" t="n">
        <v>113986</v>
      </c>
      <c r="S343" t="inlineStr">
        <is>
          <t>L001-104015799</t>
        </is>
      </c>
      <c r="T343" t="inlineStr">
        <is>
          <t>យូសេន ឡូជីស្ទីក (ខេមបូឌា) ខូ អិលធីឌី</t>
        </is>
      </c>
      <c r="U343" t="n">
        <v>113986</v>
      </c>
      <c r="V343" t="n">
        <v>0</v>
      </c>
    </row>
    <row r="344">
      <c r="A344" t="n">
        <v>343</v>
      </c>
      <c r="B344" t="inlineStr">
        <is>
          <t>Charge from warehouse and Storage Charges</t>
        </is>
      </c>
      <c r="C344" t="inlineStr">
        <is>
          <t>កំពង់ផែស្វយ័តក្រុងព្រះសីហនុ</t>
        </is>
      </c>
      <c r="D344" t="inlineStr">
        <is>
          <t>L001-100044638</t>
        </is>
      </c>
      <c r="E344" t="inlineStr">
        <is>
          <t>070480</t>
        </is>
      </c>
      <c r="F344" t="inlineStr">
        <is>
          <t>19-04-2024</t>
        </is>
      </c>
      <c r="G344" t="n">
        <v>8924</v>
      </c>
      <c r="I344">
        <f>G344</f>
        <v/>
      </c>
      <c r="K344">
        <f>I344-G344</f>
        <v/>
      </c>
      <c r="M344">
        <f>R344=E344</f>
        <v/>
      </c>
      <c r="N344">
        <f>AND(MONTH(F344)=MONTH(Q344), YEAR(F344)=YEAR(Q344))</f>
        <v/>
      </c>
      <c r="O344">
        <f>"L001-902303751"=S344</f>
        <v/>
      </c>
      <c r="P344">
        <f>G344-U344</f>
        <v/>
      </c>
      <c r="Q344" s="35" t="n">
        <v>45250</v>
      </c>
      <c r="R344" t="n">
        <v>85284</v>
      </c>
      <c r="S344" t="inlineStr">
        <is>
          <t>L001-104015799</t>
        </is>
      </c>
      <c r="T344" t="inlineStr">
        <is>
          <t>យូសេន ឡូជីស្ទីក (ខេមបូឌា) ខូ អិលធីឌី</t>
        </is>
      </c>
      <c r="U344" t="n">
        <v>85284</v>
      </c>
      <c r="V344" t="n">
        <v>0</v>
      </c>
    </row>
    <row r="345">
      <c r="A345" t="n">
        <v>344</v>
      </c>
      <c r="B345" t="inlineStr">
        <is>
          <t>Import Shipment Expense</t>
        </is>
      </c>
      <c r="C345" t="inlineStr">
        <is>
          <t>ទ្រូ ខមភែនៀន ឡូជីស្ទីក (ខេមបូឌា)</t>
        </is>
      </c>
      <c r="D345" t="inlineStr">
        <is>
          <t>K009-901605081</t>
        </is>
      </c>
      <c r="E345" t="inlineStr">
        <is>
          <t>TCLCAMSI2024-0204</t>
        </is>
      </c>
      <c r="F345" t="inlineStr">
        <is>
          <t>08-04-2024</t>
        </is>
      </c>
      <c r="G345" t="n">
        <v>214997</v>
      </c>
      <c r="I345">
        <f>G345</f>
        <v/>
      </c>
      <c r="K345">
        <f>I345-G345</f>
        <v/>
      </c>
      <c r="M345">
        <f>R345=E345</f>
        <v/>
      </c>
      <c r="N345">
        <f>AND(MONTH(F345)=MONTH(Q345), YEAR(F345)=YEAR(Q345))</f>
        <v/>
      </c>
      <c r="O345">
        <f>"L001-902303751"=S345</f>
        <v/>
      </c>
      <c r="P345">
        <f>G345-U345</f>
        <v/>
      </c>
      <c r="Q345" s="35" t="n">
        <v>45250</v>
      </c>
      <c r="R345" t="inlineStr"/>
      <c r="S345" t="inlineStr">
        <is>
          <t>L001-104015799</t>
        </is>
      </c>
      <c r="T345" t="inlineStr">
        <is>
          <t>យូសេន ឡូជីស្ទីក (ខេមបូឌា) ខូ អិលធីឌី</t>
        </is>
      </c>
      <c r="U345" t="n">
        <v>0</v>
      </c>
      <c r="V345" t="n">
        <v>0</v>
      </c>
    </row>
    <row r="346">
      <c r="A346" t="n">
        <v>345</v>
      </c>
      <c r="B346" t="inlineStr">
        <is>
          <t>Customs Clearance Fee and Trucking Fee</t>
        </is>
      </c>
      <c r="C346" t="inlineStr">
        <is>
          <t>ត្រាយអ៊ែងហ្គល ឡូជីស្ទីក (ខេមបូឌា) ឯ.ក</t>
        </is>
      </c>
      <c r="D346" t="inlineStr">
        <is>
          <t>K010-902101743</t>
        </is>
      </c>
      <c r="E346" t="inlineStr">
        <is>
          <t>TAG-24-00226</t>
        </is>
      </c>
      <c r="F346" t="inlineStr">
        <is>
          <t>08-04-2024</t>
        </is>
      </c>
      <c r="G346" t="n">
        <v>28280</v>
      </c>
      <c r="I346">
        <f>G346</f>
        <v/>
      </c>
      <c r="K346">
        <f>I346-G346</f>
        <v/>
      </c>
      <c r="M346">
        <f>R346=E346</f>
        <v/>
      </c>
      <c r="N346">
        <f>AND(MONTH(F346)=MONTH(Q346), YEAR(F346)=YEAR(Q346))</f>
        <v/>
      </c>
      <c r="O346">
        <f>"L001-902303751"=S346</f>
        <v/>
      </c>
      <c r="P346">
        <f>G346-U346</f>
        <v/>
      </c>
      <c r="Q346" s="35" t="n">
        <v>45238</v>
      </c>
      <c r="R346" t="n">
        <v>14032</v>
      </c>
      <c r="S346" t="inlineStr">
        <is>
          <t>K009-107021862</t>
        </is>
      </c>
      <c r="T346" t="inlineStr">
        <is>
          <t>អិមអាយ ឡូជីកស៍ (ខេមបូឌា)</t>
        </is>
      </c>
      <c r="U346" t="n">
        <v>14032</v>
      </c>
      <c r="V346" t="n">
        <v>0</v>
      </c>
    </row>
    <row r="347">
      <c r="A347" t="n">
        <v>346</v>
      </c>
      <c r="B347" t="inlineStr">
        <is>
          <t>Cargo Terminal</t>
        </is>
      </c>
      <c r="C347" t="inlineStr">
        <is>
          <t>សូស៊ីយេតេ កុងសេស្យូនែរ ដឺ ឡាអេរ៉ូព័រ</t>
        </is>
      </c>
      <c r="D347" t="inlineStr">
        <is>
          <t>L001-100047300</t>
        </is>
      </c>
      <c r="E347" t="inlineStr">
        <is>
          <t>2400-024137</t>
        </is>
      </c>
      <c r="F347" t="inlineStr">
        <is>
          <t>06-04-2024</t>
        </is>
      </c>
      <c r="G347" t="n">
        <v>2682</v>
      </c>
      <c r="I347">
        <f>G347</f>
        <v/>
      </c>
      <c r="K347">
        <f>I347-G347</f>
        <v/>
      </c>
      <c r="M347">
        <f>R347=E347</f>
        <v/>
      </c>
      <c r="N347">
        <f>AND(MONTH(F347)=MONTH(Q347), YEAR(F347)=YEAR(Q347))</f>
        <v/>
      </c>
      <c r="O347">
        <f>"L001-902303751"=S347</f>
        <v/>
      </c>
      <c r="P347">
        <f>G347-U347</f>
        <v/>
      </c>
      <c r="Q347" s="35" t="n">
        <v>45247</v>
      </c>
      <c r="R347" t="n">
        <v>9476</v>
      </c>
      <c r="S347" t="inlineStr">
        <is>
          <t>L001-100098134</t>
        </is>
      </c>
      <c r="T347" t="inlineStr">
        <is>
          <t>បុងកាហ្វេ (ខេមបូឌា)</t>
        </is>
      </c>
      <c r="U347" t="n">
        <v>9476</v>
      </c>
      <c r="V347" t="n">
        <v>0</v>
      </c>
    </row>
    <row r="348">
      <c r="A348" t="n">
        <v>347</v>
      </c>
      <c r="B348" t="inlineStr">
        <is>
          <t>Customs Clearance Fee and Agency Fee</t>
        </is>
      </c>
      <c r="C348" t="inlineStr">
        <is>
          <t>ត្រាយអ៊ែងហ្គល ឡូជីស្ទីក (ខេមបូឌា) ឯ.ក</t>
        </is>
      </c>
      <c r="D348" t="inlineStr">
        <is>
          <t>K010-902101743</t>
        </is>
      </c>
      <c r="E348" t="inlineStr">
        <is>
          <t>TAG-24-00202</t>
        </is>
      </c>
      <c r="F348" t="inlineStr">
        <is>
          <t>03-04-2024</t>
        </is>
      </c>
      <c r="G348" t="n">
        <v>32328</v>
      </c>
      <c r="I348">
        <f>G348</f>
        <v/>
      </c>
      <c r="K348">
        <f>I348-G348</f>
        <v/>
      </c>
      <c r="M348">
        <f>R348=E348</f>
        <v/>
      </c>
      <c r="N348">
        <f>AND(MONTH(F348)=MONTH(Q348), YEAR(F348)=YEAR(Q348))</f>
        <v/>
      </c>
      <c r="O348">
        <f>"L001-902303751"=S348</f>
        <v/>
      </c>
      <c r="P348">
        <f>G348-U348</f>
        <v/>
      </c>
      <c r="Q348" s="35" t="n">
        <v>45237</v>
      </c>
      <c r="R348" t="n">
        <v>114346</v>
      </c>
      <c r="S348" t="inlineStr">
        <is>
          <t>K003-901635943</t>
        </is>
      </c>
      <c r="T348" t="inlineStr">
        <is>
          <t>អ៊ីឃ្យូឡាញ វើលវ៉ាយដ៍ ឡូជីស្ទីក</t>
        </is>
      </c>
      <c r="U348" t="n">
        <v>114346</v>
      </c>
      <c r="V348" t="n">
        <v>0</v>
      </c>
    </row>
    <row r="349">
      <c r="A349" t="n">
        <v>348</v>
      </c>
      <c r="B349" t="inlineStr">
        <is>
          <t>Cargo Terminal</t>
        </is>
      </c>
      <c r="C349" t="inlineStr">
        <is>
          <t>សូស៊ីយេតេ កុងសេស្យូនែរ ដឺ ឡាអេរ៉ូព័រ</t>
        </is>
      </c>
      <c r="D349" t="inlineStr">
        <is>
          <t>L001-100047300</t>
        </is>
      </c>
      <c r="E349" t="inlineStr">
        <is>
          <t>2400-022860</t>
        </is>
      </c>
      <c r="F349" t="inlineStr">
        <is>
          <t>02-04-2024</t>
        </is>
      </c>
      <c r="G349" t="n">
        <v>2357</v>
      </c>
      <c r="I349">
        <f>G349</f>
        <v/>
      </c>
      <c r="K349">
        <f>I349-G349</f>
        <v/>
      </c>
      <c r="M349">
        <f>R349=E349</f>
        <v/>
      </c>
      <c r="N349">
        <f>AND(MONTH(F349)=MONTH(Q349), YEAR(F349)=YEAR(Q349))</f>
        <v/>
      </c>
      <c r="O349">
        <f>"L001-902303751"=S349</f>
        <v/>
      </c>
      <c r="P349">
        <f>G349-U349</f>
        <v/>
      </c>
      <c r="Q349" s="35" t="n">
        <v>45250</v>
      </c>
      <c r="R349" t="n">
        <v>2245400</v>
      </c>
      <c r="S349" t="inlineStr">
        <is>
          <t>K009-901605081</t>
        </is>
      </c>
      <c r="T349" t="inlineStr">
        <is>
          <t>ទ្រូ ខមភែនៀន ឡូជីស្ទីក (ខេមបូឌា)</t>
        </is>
      </c>
      <c r="U349" t="n">
        <v>2245400</v>
      </c>
      <c r="V349" t="n">
        <v>0</v>
      </c>
    </row>
    <row r="350">
      <c r="A350" t="n">
        <v>349</v>
      </c>
      <c r="B350" t="inlineStr">
        <is>
          <t>Customs Clearance Fee and Agency Fee</t>
        </is>
      </c>
      <c r="C350" t="inlineStr">
        <is>
          <t>ត្រាយអ៊ែងហ្គល ឡូជីស្ទីក (ខេមបូឌា) ឯ.ក</t>
        </is>
      </c>
      <c r="D350" t="inlineStr">
        <is>
          <t>K010-902101743</t>
        </is>
      </c>
      <c r="E350" t="inlineStr">
        <is>
          <t>TAG-24-00199</t>
        </is>
      </c>
      <c r="F350" t="inlineStr">
        <is>
          <t>01-04-2024</t>
        </is>
      </c>
      <c r="G350" t="n">
        <v>32304</v>
      </c>
      <c r="I350">
        <f>G350</f>
        <v/>
      </c>
      <c r="K350">
        <f>I350-G350</f>
        <v/>
      </c>
      <c r="M350">
        <f>R350=E350</f>
        <v/>
      </c>
      <c r="N350">
        <f>AND(MONTH(F350)=MONTH(Q350), YEAR(F350)=YEAR(Q350))</f>
        <v/>
      </c>
      <c r="O350">
        <f>"L001-902303751"=S350</f>
        <v/>
      </c>
      <c r="P350">
        <f>G350-U350</f>
        <v/>
      </c>
      <c r="Q350" s="35" t="n">
        <v>45250</v>
      </c>
      <c r="R350" t="n">
        <v>189520</v>
      </c>
      <c r="S350" t="inlineStr">
        <is>
          <t>K009-901605081</t>
        </is>
      </c>
      <c r="T350" t="inlineStr">
        <is>
          <t>ទ្រូ ខមភែនៀន ឡូជីស្ទីក (ខេមបូឌា)</t>
        </is>
      </c>
      <c r="U350" t="n">
        <v>189520</v>
      </c>
      <c r="V350" t="n">
        <v>0</v>
      </c>
    </row>
    <row r="351">
      <c r="A351" t="n">
        <v>350</v>
      </c>
      <c r="B351" t="inlineStr">
        <is>
          <t>Customs Clearance Fee and Trucking Fee</t>
        </is>
      </c>
      <c r="C351" t="inlineStr">
        <is>
          <t>ត្រាយអ៊ែងហ្គល ឡូជីស្ទីក (ខេមបូឌា) ឯ.ក</t>
        </is>
      </c>
      <c r="D351" t="inlineStr">
        <is>
          <t>K010-902101743</t>
        </is>
      </c>
      <c r="E351" t="inlineStr">
        <is>
          <t>TAG-24-00207</t>
        </is>
      </c>
      <c r="F351" t="inlineStr">
        <is>
          <t>05-04-2024</t>
        </is>
      </c>
      <c r="G351" t="n">
        <v>46269</v>
      </c>
      <c r="I351">
        <f>G351</f>
        <v/>
      </c>
      <c r="K351">
        <f>I351-G351</f>
        <v/>
      </c>
      <c r="M351">
        <f>R351=E351</f>
        <v/>
      </c>
      <c r="N351">
        <f>AND(MONTH(F351)=MONTH(Q351), YEAR(F351)=YEAR(Q351))</f>
        <v/>
      </c>
      <c r="O351">
        <f>"L001-902303751"=S351</f>
        <v/>
      </c>
      <c r="P351">
        <f>G351-U351</f>
        <v/>
      </c>
      <c r="Q351" s="35" t="n">
        <v>45247</v>
      </c>
      <c r="R351" t="n">
        <v>90640</v>
      </c>
      <c r="S351" t="inlineStr">
        <is>
          <t>L001-100098134</t>
        </is>
      </c>
      <c r="T351" t="inlineStr">
        <is>
          <t>បុងកាហ្វេ (ខេមបូឌា)</t>
        </is>
      </c>
      <c r="U351" t="n">
        <v>90640</v>
      </c>
      <c r="V351" t="n">
        <v>0</v>
      </c>
    </row>
    <row r="352">
      <c r="A352" t="n">
        <v>351</v>
      </c>
      <c r="B352" t="inlineStr">
        <is>
          <t>Charge from warehouse</t>
        </is>
      </c>
      <c r="C352" t="inlineStr">
        <is>
          <t>កំពង់ផែស្វយ័តក្រុងព្រះសីហនុ</t>
        </is>
      </c>
      <c r="D352" t="inlineStr">
        <is>
          <t>L001-100044638</t>
        </is>
      </c>
      <c r="E352" t="inlineStr">
        <is>
          <t>062101</t>
        </is>
      </c>
      <c r="F352" t="inlineStr">
        <is>
          <t>06-04-2024</t>
        </is>
      </c>
      <c r="G352" t="n">
        <v>1855</v>
      </c>
      <c r="I352">
        <f>G352</f>
        <v/>
      </c>
      <c r="K352">
        <f>I352-G352</f>
        <v/>
      </c>
      <c r="M352">
        <f>R352=E352</f>
        <v/>
      </c>
      <c r="N352">
        <f>AND(MONTH(F352)=MONTH(Q352), YEAR(F352)=YEAR(Q352))</f>
        <v/>
      </c>
      <c r="O352">
        <f>"L001-902303751"=S352</f>
        <v/>
      </c>
      <c r="P352">
        <f>G352-U352</f>
        <v/>
      </c>
      <c r="Q352" s="35" t="n">
        <v>45238</v>
      </c>
      <c r="R352" t="n">
        <v>189842</v>
      </c>
      <c r="S352" t="inlineStr">
        <is>
          <t>K009-901605081</t>
        </is>
      </c>
      <c r="T352" t="inlineStr">
        <is>
          <t>ទ្រូ ខមភែនៀន ឡូជីស្ទីក (ខេមបូឌា)</t>
        </is>
      </c>
      <c r="U352" t="n">
        <v>189842</v>
      </c>
      <c r="V352" t="n">
        <v>0</v>
      </c>
    </row>
    <row r="353">
      <c r="A353" t="n">
        <v>352</v>
      </c>
      <c r="B353" t="inlineStr">
        <is>
          <t>Terminal Handling Charges, CFS Fee, Scan Fee, D/O Fee, Document Fee, Handling Fee, Co-Leader Agency Fee and LSS Charge</t>
        </is>
      </c>
      <c r="C353" t="inlineStr">
        <is>
          <t>ត្រាយអ៊ែងហ្គល ឡូជីស្ទីក (ខេមបូឌា) ឯ.ក</t>
        </is>
      </c>
      <c r="D353" t="inlineStr">
        <is>
          <t>K010-902101743</t>
        </is>
      </c>
      <c r="E353" t="inlineStr">
        <is>
          <t>TAG-24-00204</t>
        </is>
      </c>
      <c r="F353" t="inlineStr">
        <is>
          <t>03-04-2024</t>
        </is>
      </c>
      <c r="G353" t="n">
        <v>126188</v>
      </c>
      <c r="I353">
        <f>G353</f>
        <v/>
      </c>
      <c r="K353">
        <f>I353-G353</f>
        <v/>
      </c>
      <c r="M353">
        <f>R353=E353</f>
        <v/>
      </c>
      <c r="N353">
        <f>AND(MONTH(F353)=MONTH(Q353), YEAR(F353)=YEAR(Q353))</f>
        <v/>
      </c>
      <c r="O353">
        <f>"L001-902303751"=S353</f>
        <v/>
      </c>
      <c r="P353">
        <f>G353-U353</f>
        <v/>
      </c>
      <c r="Q353" s="35" t="n">
        <v>45260</v>
      </c>
      <c r="R353" t="n">
        <v>20575</v>
      </c>
      <c r="S353" t="inlineStr">
        <is>
          <t>L001-104015799</t>
        </is>
      </c>
      <c r="T353" t="inlineStr">
        <is>
          <t>យូសេន ឡូជីស្ទីក (ខេមបូឌា) ខូ អិលធីឌី</t>
        </is>
      </c>
      <c r="U353" t="n">
        <v>20575</v>
      </c>
      <c r="V353" t="n">
        <v>0</v>
      </c>
    </row>
    <row r="354">
      <c r="A354" t="n">
        <v>353</v>
      </c>
      <c r="B354" t="inlineStr">
        <is>
          <t>Customs Clearance Fee and Trucking Fee</t>
        </is>
      </c>
      <c r="C354" t="inlineStr">
        <is>
          <t>ត្រាយអ៊ែងហ្គល ឡូជីស្ទីក (ខេមបូឌា) ឯ.ក</t>
        </is>
      </c>
      <c r="D354" t="inlineStr">
        <is>
          <t>K010-902101743</t>
        </is>
      </c>
      <c r="E354" t="inlineStr">
        <is>
          <t>TAG-24-00233</t>
        </is>
      </c>
      <c r="F354" t="inlineStr">
        <is>
          <t>08-04-2024</t>
        </is>
      </c>
      <c r="G354" t="n">
        <v>32320</v>
      </c>
      <c r="I354">
        <f>G354</f>
        <v/>
      </c>
      <c r="K354">
        <f>I354-G354</f>
        <v/>
      </c>
      <c r="M354">
        <f>R354=E354</f>
        <v/>
      </c>
      <c r="N354">
        <f>AND(MONTH(F354)=MONTH(Q354), YEAR(F354)=YEAR(Q354))</f>
        <v/>
      </c>
      <c r="O354">
        <f>"L001-902303751"=S354</f>
        <v/>
      </c>
      <c r="P354">
        <f>G354-U354</f>
        <v/>
      </c>
      <c r="Q354" s="35" t="n">
        <v>45250</v>
      </c>
      <c r="R354" t="n">
        <v>114124</v>
      </c>
      <c r="S354" t="inlineStr">
        <is>
          <t>L001-104015799</t>
        </is>
      </c>
      <c r="T354" t="inlineStr">
        <is>
          <t>យូសេន ឡូជីស្ទីក (ខេមបូឌា) ខូ អិលធីឌី</t>
        </is>
      </c>
      <c r="U354" t="n">
        <v>114124</v>
      </c>
      <c r="V354" t="n">
        <v>0</v>
      </c>
    </row>
    <row r="355">
      <c r="A355" t="n">
        <v>354</v>
      </c>
      <c r="B355" t="inlineStr">
        <is>
          <t>Charge from warehouse</t>
        </is>
      </c>
      <c r="C355" t="inlineStr">
        <is>
          <t>កំពង់ផែស្វយ័តក្រុងព្រះសីហនុ</t>
        </is>
      </c>
      <c r="D355" t="inlineStr">
        <is>
          <t>L001-100044638</t>
        </is>
      </c>
      <c r="E355" t="inlineStr">
        <is>
          <t>062100</t>
        </is>
      </c>
      <c r="F355" t="inlineStr">
        <is>
          <t>06-04-2024</t>
        </is>
      </c>
      <c r="G355" t="n">
        <v>1238</v>
      </c>
      <c r="I355">
        <f>G355</f>
        <v/>
      </c>
      <c r="K355">
        <f>I355-G355</f>
        <v/>
      </c>
      <c r="M355">
        <f>R355=E355</f>
        <v/>
      </c>
      <c r="N355">
        <f>AND(MONTH(F355)=MONTH(Q355), YEAR(F355)=YEAR(Q355))</f>
        <v/>
      </c>
      <c r="O355">
        <f>"L001-902303751"=S355</f>
        <v/>
      </c>
      <c r="P355">
        <f>G355-U355</f>
        <v/>
      </c>
      <c r="Q355" s="35" t="n">
        <v>45250</v>
      </c>
      <c r="R355" t="n">
        <v>189520</v>
      </c>
      <c r="S355" t="inlineStr">
        <is>
          <t>K009-901605081</t>
        </is>
      </c>
      <c r="T355" t="inlineStr">
        <is>
          <t>ទ្រូ ខមភែនៀន ឡូជីស្ទីក (ខេមបូឌា)</t>
        </is>
      </c>
      <c r="U355" t="n">
        <v>189520</v>
      </c>
      <c r="V355" t="n">
        <v>0</v>
      </c>
    </row>
    <row r="356">
      <c r="A356" t="n">
        <v>355</v>
      </c>
      <c r="B356" t="inlineStr">
        <is>
          <t>THC Charge, CFS Fee, Scanning Fee, CIC Fee, D/O Fee, Doc Fee, Agency Fee, Handling Fee and Ocean Freight</t>
        </is>
      </c>
      <c r="C356" t="inlineStr">
        <is>
          <t>ហ្វ្រេត ខនសិប (ខេមបូឌា)</t>
        </is>
      </c>
      <c r="D356" t="inlineStr">
        <is>
          <t>K009-901502482</t>
        </is>
      </c>
      <c r="E356" t="inlineStr">
        <is>
          <t>240302</t>
        </is>
      </c>
      <c r="F356" t="inlineStr">
        <is>
          <t>03-04-2024</t>
        </is>
      </c>
      <c r="G356" t="n">
        <v>89064</v>
      </c>
      <c r="I356">
        <f>G356</f>
        <v/>
      </c>
      <c r="K356">
        <f>I356-G356</f>
        <v/>
      </c>
      <c r="M356">
        <f>R356=E356</f>
        <v/>
      </c>
      <c r="N356">
        <f>AND(MONTH(F356)=MONTH(Q356), YEAR(F356)=YEAR(Q356))</f>
        <v/>
      </c>
      <c r="O356">
        <f>"L001-902303751"=S356</f>
        <v/>
      </c>
      <c r="P356">
        <f>G356-U356</f>
        <v/>
      </c>
      <c r="Q356" s="35" t="n">
        <v>45600</v>
      </c>
      <c r="R356" t="n">
        <v>112601</v>
      </c>
      <c r="S356" t="inlineStr">
        <is>
          <t>L001-104015799</t>
        </is>
      </c>
      <c r="T356" t="inlineStr">
        <is>
          <t>យូសេន ឡូជីស្ទីក (ខេមបូឌា) ខូ អិលធីឌី</t>
        </is>
      </c>
      <c r="U356" t="n">
        <v>112601</v>
      </c>
      <c r="V356" t="n">
        <v>0</v>
      </c>
    </row>
    <row r="357">
      <c r="A357" t="n">
        <v>356</v>
      </c>
      <c r="B357" t="inlineStr">
        <is>
          <t>Charge from warehouse</t>
        </is>
      </c>
      <c r="C357" t="inlineStr">
        <is>
          <t>កំពង់ផែស្វយ័តក្រុងព្រះសីហនុ</t>
        </is>
      </c>
      <c r="D357" t="inlineStr">
        <is>
          <t>L001-100044638</t>
        </is>
      </c>
      <c r="E357" t="inlineStr">
        <is>
          <t>062098</t>
        </is>
      </c>
      <c r="F357" t="inlineStr">
        <is>
          <t>06-04-2024</t>
        </is>
      </c>
      <c r="G357" t="n">
        <v>1855</v>
      </c>
      <c r="I357">
        <f>G357</f>
        <v/>
      </c>
      <c r="K357">
        <f>I357-G357</f>
        <v/>
      </c>
      <c r="M357">
        <f>R357=E357</f>
        <v/>
      </c>
      <c r="N357">
        <f>AND(MONTH(F357)=MONTH(Q357), YEAR(F357)=YEAR(Q357))</f>
        <v/>
      </c>
      <c r="O357">
        <f>"L001-902303751"=S357</f>
        <v/>
      </c>
      <c r="P357">
        <f>G357-U357</f>
        <v/>
      </c>
      <c r="Q357" s="35" t="n">
        <v>45621</v>
      </c>
      <c r="R357" t="n">
        <v>83090</v>
      </c>
      <c r="S357" t="inlineStr">
        <is>
          <t>L001-104015799</t>
        </is>
      </c>
      <c r="T357" t="inlineStr">
        <is>
          <t>យូសេន ឡូជីស្ទីក (ខេមបូឌា) ខូ អិលធីឌី</t>
        </is>
      </c>
      <c r="U357" t="n">
        <v>83090</v>
      </c>
      <c r="V357" t="n">
        <v>0</v>
      </c>
    </row>
    <row r="358">
      <c r="A358" t="n">
        <v>357</v>
      </c>
      <c r="B358" t="inlineStr">
        <is>
          <t>THC Charge, CFS Fee, Scanning Fee, CIC Fee, D/O Fee, Doc Fee, Agency Fee, Handling Fee and Ocean Freight</t>
        </is>
      </c>
      <c r="C358" t="inlineStr">
        <is>
          <t>ហ្វ្រេត ខនសិប (ខេមបូឌា)</t>
        </is>
      </c>
      <c r="D358" t="inlineStr">
        <is>
          <t>K009-901502482</t>
        </is>
      </c>
      <c r="E358" t="inlineStr">
        <is>
          <t>240295</t>
        </is>
      </c>
      <c r="F358" t="inlineStr">
        <is>
          <t>01-04-2024</t>
        </is>
      </c>
      <c r="G358" t="n">
        <v>115487</v>
      </c>
      <c r="I358">
        <f>G358</f>
        <v/>
      </c>
      <c r="K358">
        <f>I358-G358</f>
        <v/>
      </c>
      <c r="M358">
        <f>R358=E358</f>
        <v/>
      </c>
      <c r="N358">
        <f>AND(MONTH(F358)=MONTH(Q358), YEAR(F358)=YEAR(Q358))</f>
        <v/>
      </c>
      <c r="O358">
        <f>"L001-902303751"=S358</f>
        <v/>
      </c>
      <c r="P358">
        <f>G358-U358</f>
        <v/>
      </c>
      <c r="Q358" s="35" t="n">
        <v>45614</v>
      </c>
      <c r="R358" t="n">
        <v>83649</v>
      </c>
      <c r="S358" t="inlineStr">
        <is>
          <t>L001-104015799</t>
        </is>
      </c>
      <c r="T358" t="inlineStr">
        <is>
          <t>យូសេន ឡូជីស្ទីក (ខេមបូឌា) ខូ អិលធីឌី</t>
        </is>
      </c>
      <c r="U358" t="n">
        <v>83649</v>
      </c>
      <c r="V358" t="n">
        <v>0</v>
      </c>
    </row>
    <row r="359">
      <c r="A359" t="n">
        <v>358</v>
      </c>
      <c r="B359" t="inlineStr">
        <is>
          <t>Customs Clearance Fee and Trucking Fee</t>
        </is>
      </c>
      <c r="C359" t="inlineStr">
        <is>
          <t>ត្រាយអ៊ែងហ្គល ឡូជីស្ទីក (ខេមបូឌា) ឯ.ក</t>
        </is>
      </c>
      <c r="D359" t="inlineStr">
        <is>
          <t>K010-902101743</t>
        </is>
      </c>
      <c r="E359" t="inlineStr">
        <is>
          <t>TAG-24-00225</t>
        </is>
      </c>
      <c r="F359" t="inlineStr">
        <is>
          <t>08-04-2024</t>
        </is>
      </c>
      <c r="G359" t="n">
        <v>32805</v>
      </c>
      <c r="I359">
        <f>G359</f>
        <v/>
      </c>
      <c r="K359">
        <f>I359-G359</f>
        <v/>
      </c>
      <c r="M359">
        <f>R359=E359</f>
        <v/>
      </c>
      <c r="N359">
        <f>AND(MONTH(F359)=MONTH(Q359), YEAR(F359)=YEAR(Q359))</f>
        <v/>
      </c>
      <c r="O359">
        <f>"L001-902303751"=S359</f>
        <v/>
      </c>
      <c r="P359">
        <f>G359-U359</f>
        <v/>
      </c>
      <c r="Q359" s="35" t="n">
        <v>45621</v>
      </c>
      <c r="R359" t="n">
        <v>83090</v>
      </c>
      <c r="S359" t="inlineStr">
        <is>
          <t>L001-104015799</t>
        </is>
      </c>
      <c r="T359" t="inlineStr">
        <is>
          <t>យូសេន ឡូជីស្ទីក (ខេមបូឌា) ខូ អិលធីឌី</t>
        </is>
      </c>
      <c r="U359" t="n">
        <v>83090</v>
      </c>
      <c r="V359" t="n">
        <v>0</v>
      </c>
    </row>
    <row r="360">
      <c r="A360" t="n">
        <v>359</v>
      </c>
      <c r="B360" t="inlineStr">
        <is>
          <t>Customs Clearance Fee and Trucking Fee</t>
        </is>
      </c>
      <c r="C360" t="inlineStr">
        <is>
          <t>ត្រាយអ៊ែងហ្គល ឡូជីស្ទីក (ខេមបូឌា) ឯ.ក</t>
        </is>
      </c>
      <c r="D360" t="inlineStr">
        <is>
          <t>K010-902101743</t>
        </is>
      </c>
      <c r="E360" t="inlineStr">
        <is>
          <t>TAG-24-00231</t>
        </is>
      </c>
      <c r="F360" t="inlineStr">
        <is>
          <t>08-04-2024</t>
        </is>
      </c>
      <c r="G360" t="n">
        <v>32320</v>
      </c>
      <c r="I360">
        <f>G360</f>
        <v/>
      </c>
      <c r="K360">
        <f>I360-G360</f>
        <v/>
      </c>
      <c r="M360">
        <f>R360=E360</f>
        <v/>
      </c>
      <c r="N360">
        <f>AND(MONTH(F360)=MONTH(Q360), YEAR(F360)=YEAR(Q360))</f>
        <v/>
      </c>
      <c r="O360">
        <f>"L001-902303751"=S360</f>
        <v/>
      </c>
      <c r="P360">
        <f>G360-U360</f>
        <v/>
      </c>
      <c r="Q360" s="35" t="n">
        <v>45607</v>
      </c>
      <c r="R360" t="n">
        <v>129888</v>
      </c>
      <c r="S360" t="inlineStr">
        <is>
          <t>L001-100098134</t>
        </is>
      </c>
      <c r="T360" t="inlineStr">
        <is>
          <t>បុងកាហ្វេ (ខេមបូឌា)</t>
        </is>
      </c>
      <c r="U360" t="n">
        <v>129888</v>
      </c>
      <c r="V360" t="n">
        <v>0</v>
      </c>
    </row>
    <row r="361">
      <c r="A361" t="n">
        <v>360</v>
      </c>
      <c r="B361" t="inlineStr">
        <is>
          <t>Charge from warehouse</t>
        </is>
      </c>
      <c r="C361" t="inlineStr">
        <is>
          <t>កំពង់ផែស្វយ័តក្រុងព្រះសីហនុ</t>
        </is>
      </c>
      <c r="D361" t="inlineStr">
        <is>
          <t>L001-100044638</t>
        </is>
      </c>
      <c r="E361" t="inlineStr">
        <is>
          <t>062097</t>
        </is>
      </c>
      <c r="F361" t="inlineStr">
        <is>
          <t>06-04-2024</t>
        </is>
      </c>
      <c r="G361" t="n">
        <v>617</v>
      </c>
      <c r="I361">
        <f>G361</f>
        <v/>
      </c>
      <c r="K361">
        <f>I361-G361</f>
        <v/>
      </c>
      <c r="M361">
        <f>R361=E361</f>
        <v/>
      </c>
      <c r="N361">
        <f>AND(MONTH(F361)=MONTH(Q361), YEAR(F361)=YEAR(Q361))</f>
        <v/>
      </c>
      <c r="O361">
        <f>"L001-902303751"=S361</f>
        <v/>
      </c>
      <c r="P361">
        <f>G361-U361</f>
        <v/>
      </c>
      <c r="Q361" s="35" t="n">
        <v>45607</v>
      </c>
      <c r="R361" t="n">
        <v>2212155</v>
      </c>
      <c r="S361" t="inlineStr">
        <is>
          <t>K009-901605081</t>
        </is>
      </c>
      <c r="T361" t="inlineStr">
        <is>
          <t>ទ្រូ ខមភែនៀន ឡូជីស្ទីក (ខេមបូឌា)</t>
        </is>
      </c>
      <c r="U361" t="n">
        <v>2212155</v>
      </c>
      <c r="V361" t="n">
        <v>0</v>
      </c>
    </row>
    <row r="362">
      <c r="A362" t="n">
        <v>361</v>
      </c>
      <c r="B362" t="inlineStr">
        <is>
          <t>THC Charge, CFS Fee, Scanning Fee, CIC Fee, D/O Fee, Doc Fee, Agency Fee, Handling Fee and Ocean Freight</t>
        </is>
      </c>
      <c r="C362" t="inlineStr">
        <is>
          <t>ហ្វ្រេត ខនសិប (ខេមបូឌា)</t>
        </is>
      </c>
      <c r="D362" t="inlineStr">
        <is>
          <t>K009-901502482</t>
        </is>
      </c>
      <c r="E362" t="inlineStr">
        <is>
          <t>240293</t>
        </is>
      </c>
      <c r="F362" t="inlineStr">
        <is>
          <t>01-04-2024</t>
        </is>
      </c>
      <c r="G362" t="n">
        <v>76722</v>
      </c>
      <c r="I362">
        <f>G362</f>
        <v/>
      </c>
      <c r="K362">
        <f>I362-G362</f>
        <v/>
      </c>
      <c r="M362">
        <f>R362=E362</f>
        <v/>
      </c>
      <c r="N362">
        <f>AND(MONTH(F362)=MONTH(Q362), YEAR(F362)=YEAR(Q362))</f>
        <v/>
      </c>
      <c r="O362">
        <f>"L001-902303751"=S362</f>
        <v/>
      </c>
      <c r="P362">
        <f>G362-U362</f>
        <v/>
      </c>
      <c r="Q362" s="35" t="n">
        <v>45614</v>
      </c>
      <c r="R362" t="n">
        <v>185886</v>
      </c>
      <c r="S362" t="inlineStr">
        <is>
          <t>K009-901605081</t>
        </is>
      </c>
      <c r="T362" t="inlineStr">
        <is>
          <t>ទ្រូ ខមភែនៀន ឡូជីស្ទីក (ខេមបូឌា)</t>
        </is>
      </c>
      <c r="U362" t="n">
        <v>185886</v>
      </c>
      <c r="V362" t="n">
        <v>0</v>
      </c>
    </row>
    <row r="363">
      <c r="A363" t="n">
        <v>362</v>
      </c>
      <c r="B363" t="inlineStr">
        <is>
          <t>Customs Clearance Fee</t>
        </is>
      </c>
      <c r="C363" t="inlineStr">
        <is>
          <t>ត្រាយអ៊ែងហ្គល ឡូជីស្ទីក (ខេមបូឌា) ឯ.ក</t>
        </is>
      </c>
      <c r="D363" t="inlineStr">
        <is>
          <t>K010-902101743</t>
        </is>
      </c>
      <c r="E363" t="inlineStr">
        <is>
          <t>TAG-24-00211</t>
        </is>
      </c>
      <c r="F363" t="inlineStr">
        <is>
          <t>05-04-2024</t>
        </is>
      </c>
      <c r="G363" t="n">
        <v>8082</v>
      </c>
      <c r="I363">
        <f>G363</f>
        <v/>
      </c>
      <c r="K363">
        <f>I363-G363</f>
        <v/>
      </c>
      <c r="M363">
        <f>R363=E363</f>
        <v/>
      </c>
      <c r="N363">
        <f>AND(MONTH(F363)=MONTH(Q363), YEAR(F363)=YEAR(Q363))</f>
        <v/>
      </c>
      <c r="O363">
        <f>"L001-902303751"=S363</f>
        <v/>
      </c>
      <c r="P363">
        <f>G363-U363</f>
        <v/>
      </c>
      <c r="Q363" s="35" t="n">
        <v>45621</v>
      </c>
      <c r="R363" t="n">
        <v>83090</v>
      </c>
      <c r="S363" t="inlineStr">
        <is>
          <t>K009-901605081</t>
        </is>
      </c>
      <c r="T363" t="inlineStr">
        <is>
          <t>ទ្រូ ខមភែនៀន ឡូជីស្ទីក (ខេមបូឌា)</t>
        </is>
      </c>
      <c r="U363" t="n">
        <v>83090</v>
      </c>
      <c r="V363" t="n">
        <v>0</v>
      </c>
    </row>
    <row r="364">
      <c r="A364" t="n">
        <v>363</v>
      </c>
      <c r="B364" t="inlineStr">
        <is>
          <t>Cargo Terminal</t>
        </is>
      </c>
      <c r="C364" t="inlineStr">
        <is>
          <t>សូស៊ីយេតេ កុងសេស្យូនែរ ដឺ ឡាអេរ៉ូព័រ</t>
        </is>
      </c>
      <c r="D364" t="inlineStr">
        <is>
          <t>L001-100047300</t>
        </is>
      </c>
      <c r="E364" t="inlineStr">
        <is>
          <t>2400-022764</t>
        </is>
      </c>
      <c r="F364" t="inlineStr">
        <is>
          <t>02-04-2024</t>
        </is>
      </c>
      <c r="G364" t="n">
        <v>1616</v>
      </c>
      <c r="I364">
        <f>G364</f>
        <v/>
      </c>
      <c r="K364">
        <f>I364-G364</f>
        <v/>
      </c>
      <c r="M364">
        <f>R364=E364</f>
        <v/>
      </c>
      <c r="N364">
        <f>AND(MONTH(F364)=MONTH(Q364), YEAR(F364)=YEAR(Q364))</f>
        <v/>
      </c>
      <c r="O364">
        <f>"L001-902303751"=S364</f>
        <v/>
      </c>
      <c r="P364">
        <f>G364-U364</f>
        <v/>
      </c>
      <c r="Q364" s="35" t="n">
        <v>45614</v>
      </c>
      <c r="R364" t="n">
        <v>111936</v>
      </c>
      <c r="S364" t="inlineStr">
        <is>
          <t>L001-104015799</t>
        </is>
      </c>
      <c r="T364" t="inlineStr">
        <is>
          <t>យូសេន ឡូជីស្ទីក (ខេមបូឌា) ខូ អិលធីឌី</t>
        </is>
      </c>
      <c r="U364" t="n">
        <v>111936</v>
      </c>
      <c r="V364" t="n">
        <v>0</v>
      </c>
    </row>
    <row r="365">
      <c r="A365" t="n">
        <v>364</v>
      </c>
      <c r="B365" t="inlineStr">
        <is>
          <t>Customs Clearance Fee and Agency Fee</t>
        </is>
      </c>
      <c r="C365" t="inlineStr">
        <is>
          <t>ត្រាយអ៊ែងហ្គល ឡូជីស្ទីក (ខេមបូឌា) ឯ.ក</t>
        </is>
      </c>
      <c r="D365" t="inlineStr">
        <is>
          <t>K010-902101743</t>
        </is>
      </c>
      <c r="E365" t="inlineStr">
        <is>
          <t>TAG-24-00201</t>
        </is>
      </c>
      <c r="F365" t="inlineStr">
        <is>
          <t>01-04-2024</t>
        </is>
      </c>
      <c r="G365" t="n">
        <v>32304</v>
      </c>
      <c r="I365">
        <f>G365</f>
        <v/>
      </c>
      <c r="K365">
        <f>I365-G365</f>
        <v/>
      </c>
      <c r="M365">
        <f>R365=E365</f>
        <v/>
      </c>
      <c r="N365">
        <f>AND(MONTH(F365)=MONTH(Q365), YEAR(F365)=YEAR(Q365))</f>
        <v/>
      </c>
      <c r="O365">
        <f>"L001-902303751"=S365</f>
        <v/>
      </c>
      <c r="P365">
        <f>G365-U365</f>
        <v/>
      </c>
      <c r="Q365" s="35" t="n">
        <v>45607</v>
      </c>
      <c r="R365" t="n">
        <v>186714</v>
      </c>
      <c r="S365" t="inlineStr">
        <is>
          <t>K009-901605081</t>
        </is>
      </c>
      <c r="T365" t="inlineStr">
        <is>
          <t>ទ្រូ ខមភែនៀន ឡូជីស្ទីក (ខេមបូឌា)</t>
        </is>
      </c>
      <c r="U365" t="n">
        <v>186714</v>
      </c>
      <c r="V365" t="n">
        <v>0</v>
      </c>
    </row>
    <row r="366">
      <c r="A366" t="n">
        <v>365</v>
      </c>
      <c r="B366" t="inlineStr">
        <is>
          <t>PVC Thin Film</t>
        </is>
      </c>
      <c r="C366" t="inlineStr">
        <is>
          <t>ដេកូស៍ អ៊ិនដាសស្ទ្រី ឯ.ក</t>
        </is>
      </c>
      <c r="D366" t="inlineStr">
        <is>
          <t>K007-901639102</t>
        </is>
      </c>
      <c r="E366" t="inlineStr">
        <is>
          <t>00043</t>
        </is>
      </c>
      <c r="F366" t="inlineStr">
        <is>
          <t>08-04-2024</t>
        </is>
      </c>
      <c r="G366" t="n">
        <v>88880</v>
      </c>
      <c r="I366">
        <f>G366</f>
        <v/>
      </c>
      <c r="K366">
        <f>I366-G366</f>
        <v/>
      </c>
      <c r="M366">
        <f>R366=E366</f>
        <v/>
      </c>
      <c r="N366">
        <f>AND(MONTH(F366)=MONTH(Q366), YEAR(F366)=YEAR(Q366))</f>
        <v/>
      </c>
      <c r="O366">
        <f>"L001-902303751"=S366</f>
        <v/>
      </c>
      <c r="P366">
        <f>G366-U366</f>
        <v/>
      </c>
      <c r="Q366" s="35" t="n">
        <v>45607</v>
      </c>
      <c r="R366" t="inlineStr"/>
      <c r="S366" t="inlineStr">
        <is>
          <t>L001-104015799</t>
        </is>
      </c>
      <c r="T366" t="inlineStr">
        <is>
          <t>យូសេន ឡូជីស្ទីក (ខេមបូឌា) ខូ អិលធីឌី</t>
        </is>
      </c>
      <c r="U366" t="n">
        <v>0</v>
      </c>
      <c r="V366" t="n">
        <v>0</v>
      </c>
    </row>
    <row r="367">
      <c r="A367" t="n">
        <v>366</v>
      </c>
      <c r="B367" t="inlineStr">
        <is>
          <t>Decoration</t>
        </is>
      </c>
      <c r="C367" t="inlineStr">
        <is>
          <t>ដេកូស៍ អ៊ិនដាសស្ទ្រី ឯ.ក</t>
        </is>
      </c>
      <c r="D367" t="inlineStr">
        <is>
          <t>K007-901639102</t>
        </is>
      </c>
      <c r="E367" t="inlineStr">
        <is>
          <t>00044</t>
        </is>
      </c>
      <c r="F367" t="inlineStr">
        <is>
          <t>08-04-2024</t>
        </is>
      </c>
      <c r="G367" t="n">
        <v>305424</v>
      </c>
      <c r="I367">
        <f>G367</f>
        <v/>
      </c>
      <c r="K367">
        <f>I367-G367</f>
        <v/>
      </c>
      <c r="M367">
        <f>R367=E367</f>
        <v/>
      </c>
      <c r="N367">
        <f>AND(MONTH(F367)=MONTH(Q367), YEAR(F367)=YEAR(Q367))</f>
        <v/>
      </c>
      <c r="O367">
        <f>"L001-902303751"=S367</f>
        <v/>
      </c>
      <c r="P367">
        <f>G367-U367</f>
        <v/>
      </c>
      <c r="Q367" s="35" t="n">
        <v>45622</v>
      </c>
      <c r="R367" t="n">
        <v>2187630</v>
      </c>
      <c r="S367" t="inlineStr">
        <is>
          <t>K009-901605081</t>
        </is>
      </c>
      <c r="T367" t="inlineStr">
        <is>
          <t>ទ្រូ ខមភែនៀន ឡូជីស្ទីក (ខេមបូឌា)</t>
        </is>
      </c>
      <c r="U367" t="n">
        <v>2187630</v>
      </c>
      <c r="V367" t="n">
        <v>0</v>
      </c>
    </row>
    <row r="368">
      <c r="A368" t="n">
        <v>367</v>
      </c>
      <c r="B368" t="inlineStr">
        <is>
          <t>Monthly Charge of Photo Copies Rental from06/03/2024 to 06/04/2024</t>
        </is>
      </c>
      <c r="C368" t="inlineStr">
        <is>
          <t>វី.អាយ.អេស ខភៀ ឯ.ក</t>
        </is>
      </c>
      <c r="D368" t="inlineStr">
        <is>
          <t>K007-901705195</t>
        </is>
      </c>
      <c r="E368" t="inlineStr">
        <is>
          <t>RNT240426</t>
        </is>
      </c>
      <c r="F368" t="inlineStr">
        <is>
          <t>06-04-2024</t>
        </is>
      </c>
      <c r="G368" t="n">
        <v>56574</v>
      </c>
      <c r="I368">
        <f>G368</f>
        <v/>
      </c>
      <c r="K368">
        <f>I368-G368</f>
        <v/>
      </c>
      <c r="M368">
        <f>R368=E368</f>
        <v/>
      </c>
      <c r="N368">
        <f>AND(MONTH(F368)=MONTH(Q368), YEAR(F368)=YEAR(Q368))</f>
        <v/>
      </c>
      <c r="O368">
        <f>"L001-902303751"=S368</f>
        <v/>
      </c>
      <c r="P368">
        <f>G368-U368</f>
        <v/>
      </c>
      <c r="Q368" s="35" t="n">
        <v>45621</v>
      </c>
      <c r="R368" t="n">
        <v>111188</v>
      </c>
      <c r="S368" t="inlineStr">
        <is>
          <t>L001-104015799</t>
        </is>
      </c>
      <c r="T368" t="inlineStr">
        <is>
          <t>យូសេន ឡូជីស្ទីក (ខេមបូឌា) ខូ អិលធីឌី</t>
        </is>
      </c>
      <c r="U368" t="n">
        <v>111188</v>
      </c>
      <c r="V368" t="n">
        <v>0</v>
      </c>
    </row>
    <row r="369">
      <c r="A369" t="n">
        <v>368</v>
      </c>
      <c r="B369" t="inlineStr">
        <is>
          <t>Monthly Charge of Photo Copies Rental from06/03/2024 to 06/04/2024</t>
        </is>
      </c>
      <c r="C369" t="inlineStr">
        <is>
          <t>វី.អាយ.អេស ខភៀ ឯ.ក</t>
        </is>
      </c>
      <c r="D369" t="inlineStr">
        <is>
          <t>K007-901705195</t>
        </is>
      </c>
      <c r="E369" t="inlineStr">
        <is>
          <t>RNT240425</t>
        </is>
      </c>
      <c r="F369" t="inlineStr">
        <is>
          <t>06-04-2024</t>
        </is>
      </c>
      <c r="G369" t="n">
        <v>28287</v>
      </c>
      <c r="I369">
        <f>G369</f>
        <v/>
      </c>
      <c r="K369">
        <f>I369-G369</f>
        <v/>
      </c>
      <c r="M369">
        <f>R369=E369</f>
        <v/>
      </c>
      <c r="N369">
        <f>AND(MONTH(F369)=MONTH(Q369), YEAR(F369)=YEAR(Q369))</f>
        <v/>
      </c>
      <c r="O369">
        <f>"L001-902303751"=S369</f>
        <v/>
      </c>
      <c r="P369">
        <f>G369-U369</f>
        <v/>
      </c>
      <c r="Q369" s="35" t="n">
        <v>45621</v>
      </c>
      <c r="R369" t="inlineStr"/>
      <c r="S369" t="inlineStr">
        <is>
          <t>L001-104015799</t>
        </is>
      </c>
      <c r="T369" t="inlineStr">
        <is>
          <t>យូសេន ឡូជីស្ទីក (ខេមបូឌា) ខូ អិលធីឌី</t>
        </is>
      </c>
      <c r="U369" t="n">
        <v>0</v>
      </c>
      <c r="V369" t="n">
        <v>0</v>
      </c>
    </row>
    <row r="370">
      <c r="A370" t="n">
        <v>369</v>
      </c>
      <c r="B370" t="inlineStr">
        <is>
          <t>Monthly Charge of Photo Copies Rental from06/03/2024 to 06/04/2024</t>
        </is>
      </c>
      <c r="C370" t="inlineStr">
        <is>
          <t>វី.អាយ.អេស ខភៀ ឯ.ក</t>
        </is>
      </c>
      <c r="D370" t="inlineStr">
        <is>
          <t>K007-901705195</t>
        </is>
      </c>
      <c r="E370" t="inlineStr">
        <is>
          <t>RNT240423</t>
        </is>
      </c>
      <c r="F370" t="inlineStr">
        <is>
          <t>06-04-2024</t>
        </is>
      </c>
      <c r="G370" t="n">
        <v>56574</v>
      </c>
      <c r="I370">
        <f>G370</f>
        <v/>
      </c>
      <c r="K370">
        <f>I370-G370</f>
        <v/>
      </c>
      <c r="M370">
        <f>R370=E370</f>
        <v/>
      </c>
      <c r="N370">
        <f>AND(MONTH(F370)=MONTH(Q370), YEAR(F370)=YEAR(Q370))</f>
        <v/>
      </c>
      <c r="O370">
        <f>"L001-902303751"=S370</f>
        <v/>
      </c>
      <c r="P370">
        <f>G370-U370</f>
        <v/>
      </c>
      <c r="Q370" s="35" t="n">
        <v>45621</v>
      </c>
      <c r="R370" t="inlineStr"/>
      <c r="S370" t="inlineStr">
        <is>
          <t>L001-104015799</t>
        </is>
      </c>
      <c r="T370" t="inlineStr">
        <is>
          <t>យូសេន ឡូជីស្ទីក (ខេមបូឌា) ខូ អិលធីឌី</t>
        </is>
      </c>
      <c r="U370" t="n">
        <v>0</v>
      </c>
      <c r="V370" t="n">
        <v>0</v>
      </c>
    </row>
    <row r="371">
      <c r="A371" t="n">
        <v>370</v>
      </c>
      <c r="B371" t="inlineStr">
        <is>
          <t>Monthly Charge of Photo Copies Rental from06/03/2024 to 06/04/2024</t>
        </is>
      </c>
      <c r="C371" t="inlineStr">
        <is>
          <t>វី.អាយ.អេស ខភៀ ឯ.ក</t>
        </is>
      </c>
      <c r="D371" t="inlineStr">
        <is>
          <t>K007-901705195</t>
        </is>
      </c>
      <c r="E371" t="inlineStr">
        <is>
          <t>RNT240424</t>
        </is>
      </c>
      <c r="F371" t="inlineStr">
        <is>
          <t>06-04-2024</t>
        </is>
      </c>
      <c r="G371" t="n">
        <v>26267</v>
      </c>
      <c r="I371">
        <f>G371</f>
        <v/>
      </c>
      <c r="K371">
        <f>I371-G371</f>
        <v/>
      </c>
      <c r="M371">
        <f>R371=E371</f>
        <v/>
      </c>
      <c r="N371">
        <f>AND(MONTH(F371)=MONTH(Q371), YEAR(F371)=YEAR(Q371))</f>
        <v/>
      </c>
      <c r="O371">
        <f>"L001-902303751"=S371</f>
        <v/>
      </c>
      <c r="P371">
        <f>G371-U371</f>
        <v/>
      </c>
      <c r="Q371" s="35" t="n">
        <v>45607</v>
      </c>
      <c r="R371" t="n">
        <v>9336</v>
      </c>
      <c r="S371" t="inlineStr">
        <is>
          <t>L001-100098134</t>
        </is>
      </c>
      <c r="T371" t="inlineStr">
        <is>
          <t>បុងកាហ្វេ (ខេមបូឌា)</t>
        </is>
      </c>
      <c r="U371" t="n">
        <v>9336</v>
      </c>
      <c r="V371" t="n">
        <v>0</v>
      </c>
    </row>
    <row r="372">
      <c r="A372" t="n">
        <v>371</v>
      </c>
      <c r="B372" t="inlineStr">
        <is>
          <t>Customs Clearance Fee and Trucking Fee</t>
        </is>
      </c>
      <c r="C372" t="inlineStr">
        <is>
          <t>ត្រាយអ៊ែងហ្គល ឡូជីស្ទីក (ខេមបូឌា) ឯ.ក</t>
        </is>
      </c>
      <c r="D372" t="inlineStr">
        <is>
          <t>K010-902101743</t>
        </is>
      </c>
      <c r="E372" t="inlineStr">
        <is>
          <t>TAG-24-00224</t>
        </is>
      </c>
      <c r="F372" t="inlineStr">
        <is>
          <t>08-04-2024</t>
        </is>
      </c>
      <c r="G372" t="n">
        <v>28280</v>
      </c>
      <c r="I372">
        <f>G372</f>
        <v/>
      </c>
      <c r="K372">
        <f>I372-G372</f>
        <v/>
      </c>
      <c r="M372">
        <f>R372=E372</f>
        <v/>
      </c>
      <c r="N372">
        <f>AND(MONTH(F372)=MONTH(Q372), YEAR(F372)=YEAR(Q372))</f>
        <v/>
      </c>
      <c r="O372">
        <f>"L001-902303751"=S372</f>
        <v/>
      </c>
      <c r="P372">
        <f>G372-U372</f>
        <v/>
      </c>
      <c r="Q372" s="35" t="n">
        <v>45603</v>
      </c>
      <c r="R372" t="n">
        <v>199087</v>
      </c>
      <c r="S372" t="inlineStr">
        <is>
          <t>K002-901635875</t>
        </is>
      </c>
      <c r="T372" t="inlineStr">
        <is>
          <t>ដាត គ្លូប៊ល ឡូជីស្ទីក (ខេមបូឌា)</t>
        </is>
      </c>
      <c r="U372" t="n">
        <v>199087</v>
      </c>
      <c r="V372" t="n">
        <v>0</v>
      </c>
    </row>
    <row r="373">
      <c r="A373" t="n">
        <v>372</v>
      </c>
      <c r="B373" t="inlineStr">
        <is>
          <t>CFS Handling, Carrier BL, Document Assembly, Terminal Handling, Handling Fee, VGM Processing Fee, Manifest Fee and Late Booking Revisio</t>
        </is>
      </c>
      <c r="C373" t="inlineStr">
        <is>
          <t>អ៊ិចស្ពែឌីធ័រ ខេមបូឌា អិលធីឌី</t>
        </is>
      </c>
      <c r="D373" t="inlineStr">
        <is>
          <t>L001-100045898</t>
        </is>
      </c>
      <c r="E373" t="inlineStr">
        <is>
          <t>TI-0272869</t>
        </is>
      </c>
      <c r="F373" t="inlineStr">
        <is>
          <t>30-04-2024</t>
        </is>
      </c>
      <c r="G373" t="n">
        <v>112166</v>
      </c>
      <c r="I373">
        <f>G373</f>
        <v/>
      </c>
      <c r="K373">
        <f>I373-G373</f>
        <v/>
      </c>
      <c r="M373">
        <f>R373=E373</f>
        <v/>
      </c>
      <c r="N373">
        <f>AND(MONTH(F373)=MONTH(Q373), YEAR(F373)=YEAR(Q373))</f>
        <v/>
      </c>
      <c r="O373">
        <f>"L001-902303751"=S373</f>
        <v/>
      </c>
      <c r="P373">
        <f>G373-U373</f>
        <v/>
      </c>
      <c r="Q373" s="35" t="n">
        <v>45607</v>
      </c>
      <c r="R373" t="n">
        <v>84021</v>
      </c>
      <c r="S373" t="inlineStr">
        <is>
          <t>L001-104015799</t>
        </is>
      </c>
      <c r="T373" t="inlineStr">
        <is>
          <t>យូសេន ឡូជីស្ទីក (ខេមបូឌា) ខូ អិលធីឌី</t>
        </is>
      </c>
      <c r="U373" t="n">
        <v>84021</v>
      </c>
      <c r="V373" t="n">
        <v>0</v>
      </c>
    </row>
    <row r="374">
      <c r="A374" t="n">
        <v>373</v>
      </c>
      <c r="B374" t="inlineStr">
        <is>
          <t>Thread</t>
        </is>
      </c>
      <c r="C374" t="inlineStr">
        <is>
          <t>គ្លូប៊ល សុីលីន ហ្គាមុិន អេកសេសឺរី ឯ.ក</t>
        </is>
      </c>
      <c r="D374" t="inlineStr">
        <is>
          <t>L001-902200857</t>
        </is>
      </c>
      <c r="E374" t="inlineStr">
        <is>
          <t>000250</t>
        </is>
      </c>
      <c r="F374" t="inlineStr">
        <is>
          <t>24-04-2024</t>
        </is>
      </c>
      <c r="G374" t="n">
        <v>1823149</v>
      </c>
      <c r="I374">
        <f>G374</f>
        <v/>
      </c>
      <c r="K374">
        <f>I374-G374</f>
        <v/>
      </c>
      <c r="M374">
        <f>R374=E374</f>
        <v/>
      </c>
      <c r="N374">
        <f>AND(MONTH(F374)=MONTH(Q374), YEAR(F374)=YEAR(Q374))</f>
        <v/>
      </c>
      <c r="O374">
        <f>"L001-902303751"=S374</f>
        <v/>
      </c>
      <c r="P374">
        <f>G374-U374</f>
        <v/>
      </c>
      <c r="Q374" s="35" t="n">
        <v>45614</v>
      </c>
      <c r="R374" t="n">
        <v>2202345</v>
      </c>
      <c r="S374" t="inlineStr">
        <is>
          <t>K009-901605081</t>
        </is>
      </c>
      <c r="T374" t="inlineStr">
        <is>
          <t>ទ្រូ ខមភែនៀន ឡូជីស្ទីក (ខេមបូឌា)</t>
        </is>
      </c>
      <c r="U374" t="n">
        <v>2202345</v>
      </c>
      <c r="V374" t="n">
        <v>0</v>
      </c>
    </row>
    <row r="375">
      <c r="A375" t="n">
        <v>374</v>
      </c>
      <c r="B375" t="inlineStr">
        <is>
          <t>Thread</t>
        </is>
      </c>
      <c r="C375" t="inlineStr">
        <is>
          <t>គ្លូប៊ល សុីលីន ហ្គាមុិន អេកសេសឺរី ឯ.ក</t>
        </is>
      </c>
      <c r="D375" t="inlineStr">
        <is>
          <t>L001-902200857</t>
        </is>
      </c>
      <c r="E375" t="inlineStr">
        <is>
          <t>000249</t>
        </is>
      </c>
      <c r="F375" t="inlineStr">
        <is>
          <t>24-04-2024</t>
        </is>
      </c>
      <c r="G375" t="n">
        <v>60640</v>
      </c>
      <c r="I375">
        <f>G375</f>
        <v/>
      </c>
      <c r="K375">
        <f>I375-G375</f>
        <v/>
      </c>
      <c r="M375">
        <f>R375=E375</f>
        <v/>
      </c>
      <c r="N375">
        <f>AND(MONTH(F375)=MONTH(Q375), YEAR(F375)=YEAR(Q375))</f>
        <v/>
      </c>
      <c r="O375">
        <f>"L001-902303751"=S375</f>
        <v/>
      </c>
      <c r="P375">
        <f>G375-U375</f>
        <v/>
      </c>
      <c r="Q375" s="35" t="n">
        <v>45600</v>
      </c>
      <c r="R375" t="n">
        <v>84146</v>
      </c>
      <c r="S375" t="inlineStr">
        <is>
          <t>L001-104015799</t>
        </is>
      </c>
      <c r="T375" t="inlineStr">
        <is>
          <t>យូសេន ឡូជីស្ទីក (ខេមបូឌា) ខូ អិលធីឌី</t>
        </is>
      </c>
      <c r="U375" t="n">
        <v>84146</v>
      </c>
      <c r="V375" t="n">
        <v>0</v>
      </c>
    </row>
    <row r="376">
      <c r="A376" t="n">
        <v>375</v>
      </c>
      <c r="B376" t="inlineStr">
        <is>
          <t>Documentation Origin, Handling Charges Origin, PLACI Fee and HAWB Transmission Fee</t>
        </is>
      </c>
      <c r="C376" t="inlineStr">
        <is>
          <t>ឌីប៊ី សេនឃើរ (ខេមបូឌា) លីមីធីត</t>
        </is>
      </c>
      <c r="D376" t="inlineStr">
        <is>
          <t>L001-107041723</t>
        </is>
      </c>
      <c r="E376" t="inlineStr">
        <is>
          <t>2400003577</t>
        </is>
      </c>
      <c r="F376" t="inlineStr">
        <is>
          <t>29-04-2024</t>
        </is>
      </c>
      <c r="G376" t="n">
        <v>49963</v>
      </c>
      <c r="I376">
        <f>G376</f>
        <v/>
      </c>
      <c r="K376">
        <f>I376-G376</f>
        <v/>
      </c>
      <c r="M376">
        <f>R376=E376</f>
        <v/>
      </c>
      <c r="N376">
        <f>AND(MONTH(F376)=MONTH(Q376), YEAR(F376)=YEAR(Q376))</f>
        <v/>
      </c>
      <c r="O376">
        <f>"L001-902303751"=S376</f>
        <v/>
      </c>
      <c r="P376">
        <f>G376-U376</f>
        <v/>
      </c>
      <c r="Q376" s="35" t="n">
        <v>45607</v>
      </c>
      <c r="R376" t="n">
        <v>84021</v>
      </c>
      <c r="S376" t="inlineStr">
        <is>
          <t>L001-104015799</t>
        </is>
      </c>
      <c r="T376" t="inlineStr">
        <is>
          <t>យូសេន ឡូជីស្ទីក (ខេមបូឌា) ខូ អិលធីឌី</t>
        </is>
      </c>
      <c r="U376" t="n">
        <v>84021</v>
      </c>
      <c r="V376" t="n">
        <v>0</v>
      </c>
    </row>
    <row r="377">
      <c r="A377" t="n">
        <v>376</v>
      </c>
      <c r="B377" t="inlineStr">
        <is>
          <t>Export Custom Clearance</t>
        </is>
      </c>
      <c r="C377" t="inlineStr">
        <is>
          <t>អ៊ីឃ្យូឡាញ វើលវ៉ាយដ៍ ឡូជីស្ទីក</t>
        </is>
      </c>
      <c r="D377" t="inlineStr">
        <is>
          <t>K003-901635943</t>
        </is>
      </c>
      <c r="E377" t="inlineStr">
        <is>
          <t>PPTI24/002172</t>
        </is>
      </c>
      <c r="F377" t="inlineStr">
        <is>
          <t>30-04-2024</t>
        </is>
      </c>
      <c r="G377" t="n">
        <v>65024</v>
      </c>
      <c r="I377">
        <f>G377</f>
        <v/>
      </c>
      <c r="K377">
        <f>I377-G377</f>
        <v/>
      </c>
      <c r="M377">
        <f>R377=E377</f>
        <v/>
      </c>
      <c r="N377">
        <f>AND(MONTH(F377)=MONTH(Q377), YEAR(F377)=YEAR(Q377))</f>
        <v/>
      </c>
      <c r="O377">
        <f>"L001-902303751"=S377</f>
        <v/>
      </c>
      <c r="P377">
        <f>G377-U377</f>
        <v/>
      </c>
      <c r="Q377" s="35" t="n">
        <v>45622</v>
      </c>
      <c r="R377" t="n">
        <v>184644</v>
      </c>
      <c r="S377" t="inlineStr">
        <is>
          <t>K009-901605081</t>
        </is>
      </c>
      <c r="T377" t="inlineStr">
        <is>
          <t>ទ្រូ ខមភែនៀន ឡូជីស្ទីក (ខេមបូឌា)</t>
        </is>
      </c>
      <c r="U377" t="n">
        <v>184644</v>
      </c>
      <c r="V377" t="n">
        <v>0</v>
      </c>
    </row>
    <row r="378">
      <c r="A378" t="n">
        <v>377</v>
      </c>
      <c r="B378" t="inlineStr">
        <is>
          <t>Overtime charges, Late Gate and Standby Fee</t>
        </is>
      </c>
      <c r="C378" t="inlineStr">
        <is>
          <t>អ៊ីឃ្យូឡាញ វើលវ៉ាយដ៍ ឡូជីស្ទីក</t>
        </is>
      </c>
      <c r="D378" t="inlineStr">
        <is>
          <t>K003-901635943</t>
        </is>
      </c>
      <c r="E378" t="inlineStr">
        <is>
          <t>PPTI24/002176</t>
        </is>
      </c>
      <c r="F378" t="inlineStr">
        <is>
          <t>30-04-2024</t>
        </is>
      </c>
      <c r="G378" t="n">
        <v>207264</v>
      </c>
      <c r="I378">
        <f>G378</f>
        <v/>
      </c>
      <c r="K378">
        <f>I378-G378</f>
        <v/>
      </c>
      <c r="M378">
        <f>R378=E378</f>
        <v/>
      </c>
      <c r="N378">
        <f>AND(MONTH(F378)=MONTH(Q378), YEAR(F378)=YEAR(Q378))</f>
        <v/>
      </c>
      <c r="O378">
        <f>"L001-902303751"=S378</f>
        <v/>
      </c>
      <c r="P378">
        <f>G378-U378</f>
        <v/>
      </c>
      <c r="Q378" s="35" t="n">
        <v>45621</v>
      </c>
      <c r="R378" t="n">
        <v>95132</v>
      </c>
      <c r="S378" t="inlineStr">
        <is>
          <t>L001-104015799</t>
        </is>
      </c>
      <c r="T378" t="inlineStr">
        <is>
          <t>យូសេន ឡូជីស្ទីក (ខេមបូឌា) ខូ អិលធីឌី</t>
        </is>
      </c>
      <c r="U378" t="n">
        <v>95132</v>
      </c>
      <c r="V378" t="n">
        <v>0</v>
      </c>
    </row>
    <row r="379">
      <c r="A379" t="n">
        <v>378</v>
      </c>
      <c r="B379" t="inlineStr">
        <is>
          <t>Export Custom Clearance</t>
        </is>
      </c>
      <c r="C379" t="inlineStr">
        <is>
          <t>អ៊ីឃ្យូឡាញ វើលវ៉ាយដ៍ ឡូជីស្ទីក</t>
        </is>
      </c>
      <c r="D379" t="inlineStr">
        <is>
          <t>K003-901635943</t>
        </is>
      </c>
      <c r="E379" t="inlineStr">
        <is>
          <t>PPTI24/002174</t>
        </is>
      </c>
      <c r="F379" t="inlineStr">
        <is>
          <t>30-04-2024</t>
        </is>
      </c>
      <c r="G379" t="n">
        <v>65024</v>
      </c>
      <c r="I379">
        <f>G379</f>
        <v/>
      </c>
      <c r="K379">
        <f>I379-G379</f>
        <v/>
      </c>
      <c r="M379">
        <f>R379=E379</f>
        <v/>
      </c>
      <c r="N379">
        <f>AND(MONTH(F379)=MONTH(Q379), YEAR(F379)=YEAR(Q379))</f>
        <v/>
      </c>
      <c r="O379">
        <f>"L001-902303751"=S379</f>
        <v/>
      </c>
      <c r="P379">
        <f>G379-U379</f>
        <v/>
      </c>
      <c r="Q379" s="35" t="n">
        <v>45614</v>
      </c>
      <c r="R379" t="n">
        <v>111936</v>
      </c>
      <c r="S379" t="inlineStr">
        <is>
          <t>L001-104015799</t>
        </is>
      </c>
      <c r="T379" t="inlineStr">
        <is>
          <t>យូសេន ឡូជីស្ទីក (ខេមបូឌា) ខូ អិលធីឌី</t>
        </is>
      </c>
      <c r="U379" t="n">
        <v>111936</v>
      </c>
      <c r="V379" t="n">
        <v>0</v>
      </c>
    </row>
    <row r="380">
      <c r="A380" t="n">
        <v>379</v>
      </c>
      <c r="B380" t="inlineStr">
        <is>
          <t>Overtime charges, Late Gate and Standby Fee</t>
        </is>
      </c>
      <c r="C380" t="inlineStr">
        <is>
          <t>អ៊ីឃ្យូឡាញ វើលវ៉ាយដ៍ ឡូជីស្ទីក</t>
        </is>
      </c>
      <c r="D380" t="inlineStr">
        <is>
          <t>K003-901635943</t>
        </is>
      </c>
      <c r="E380" t="inlineStr">
        <is>
          <t>PPTI24/002175</t>
        </is>
      </c>
      <c r="F380" t="inlineStr">
        <is>
          <t>30-04-2024</t>
        </is>
      </c>
      <c r="G380" t="n">
        <v>207264</v>
      </c>
      <c r="I380">
        <f>G380</f>
        <v/>
      </c>
      <c r="K380">
        <f>I380-G380</f>
        <v/>
      </c>
      <c r="M380">
        <f>R380=E380</f>
        <v/>
      </c>
      <c r="N380">
        <f>AND(MONTH(F380)=MONTH(Q380), YEAR(F380)=YEAR(Q380))</f>
        <v/>
      </c>
      <c r="O380">
        <f>"L001-902303751"=S380</f>
        <v/>
      </c>
      <c r="P380">
        <f>G380-U380</f>
        <v/>
      </c>
      <c r="Q380" s="35" t="n">
        <v>45617</v>
      </c>
      <c r="R380" t="n">
        <v>2198530</v>
      </c>
      <c r="S380" t="inlineStr">
        <is>
          <t>K009-901605081</t>
        </is>
      </c>
      <c r="T380" t="inlineStr">
        <is>
          <t>ទ្រូ ខមភែនៀន ឡូជីស្ទីក (ខេមបូឌា)</t>
        </is>
      </c>
      <c r="U380" t="n">
        <v>2198530</v>
      </c>
      <c r="V380" t="n">
        <v>0</v>
      </c>
    </row>
    <row r="381">
      <c r="A381" t="n">
        <v>380</v>
      </c>
      <c r="B381" t="inlineStr">
        <is>
          <t>CFS Charges, THC Charges, Bill of Lading Fee, VGM Fee, Manifest Fee and FCR Fee</t>
        </is>
      </c>
      <c r="C381" t="inlineStr">
        <is>
          <t>អ៊ិចស្ពែឌីធ័រ ខេមបូឌា អិលធីឌី</t>
        </is>
      </c>
      <c r="D381" t="inlineStr">
        <is>
          <t>L001-100045898</t>
        </is>
      </c>
      <c r="E381" t="inlineStr">
        <is>
          <t>TI-0272616</t>
        </is>
      </c>
      <c r="F381" t="inlineStr">
        <is>
          <t>29-04-2024</t>
        </is>
      </c>
      <c r="G381" t="n">
        <v>66617</v>
      </c>
      <c r="I381">
        <f>G381</f>
        <v/>
      </c>
      <c r="K381">
        <f>I381-G381</f>
        <v/>
      </c>
      <c r="M381">
        <f>R381=E381</f>
        <v/>
      </c>
      <c r="N381">
        <f>AND(MONTH(F381)=MONTH(Q381), YEAR(F381)=YEAR(Q381))</f>
        <v/>
      </c>
      <c r="O381">
        <f>"L001-902303751"=S381</f>
        <v/>
      </c>
      <c r="P381">
        <f>G381-U381</f>
        <v/>
      </c>
      <c r="Q381" s="35" t="n">
        <v>45617</v>
      </c>
      <c r="R381" t="n">
        <v>185564</v>
      </c>
      <c r="S381" t="inlineStr">
        <is>
          <t>K009-901605081</t>
        </is>
      </c>
      <c r="T381" t="inlineStr">
        <is>
          <t>ទ្រូ ខមភែនៀន ឡូជីស្ទីក (ខេមបូឌា)</t>
        </is>
      </c>
      <c r="U381" t="n">
        <v>185564</v>
      </c>
      <c r="V381" t="n">
        <v>0</v>
      </c>
    </row>
    <row r="382">
      <c r="A382" t="n">
        <v>381</v>
      </c>
      <c r="B382" t="inlineStr">
        <is>
          <t>OM Forwarding Fee, Terminal Handling, Carrier BL, Document Assemly, VGM Admin Fee, Container Seal and Manifest Fee</t>
        </is>
      </c>
      <c r="C382" t="inlineStr">
        <is>
          <t>អ៊ិចស្ពែឌីធ័រ ខេមបូឌា អិលធីឌី</t>
        </is>
      </c>
      <c r="D382" t="inlineStr">
        <is>
          <t>L001-100045898</t>
        </is>
      </c>
      <c r="E382" t="inlineStr">
        <is>
          <t>TI-0272867</t>
        </is>
      </c>
      <c r="F382" t="inlineStr">
        <is>
          <t>30-04-2024</t>
        </is>
      </c>
      <c r="G382" t="n">
        <v>193446</v>
      </c>
      <c r="I382">
        <f>G382</f>
        <v/>
      </c>
      <c r="K382">
        <f>I382-G382</f>
        <v/>
      </c>
      <c r="M382">
        <f>R382=E382</f>
        <v/>
      </c>
      <c r="N382">
        <f>AND(MONTH(F382)=MONTH(Q382), YEAR(F382)=YEAR(Q382))</f>
        <v/>
      </c>
      <c r="O382">
        <f>"L001-902303751"=S382</f>
        <v/>
      </c>
      <c r="P382">
        <f>G382-U382</f>
        <v/>
      </c>
      <c r="Q382" s="35" t="n">
        <v>45621</v>
      </c>
      <c r="R382" t="inlineStr"/>
      <c r="S382" t="inlineStr">
        <is>
          <t>L001-104015799</t>
        </is>
      </c>
      <c r="T382" t="inlineStr">
        <is>
          <t>យូសេន ឡូជីស្ទីក (ខេមបូឌា) ខូ អិលធីឌី</t>
        </is>
      </c>
      <c r="U382" t="n">
        <v>0</v>
      </c>
      <c r="V382" t="n">
        <v>0</v>
      </c>
    </row>
    <row r="383">
      <c r="A383" t="n">
        <v>382</v>
      </c>
      <c r="B383" t="inlineStr">
        <is>
          <t>CFS Handling, Carrier BL, Document Assembly, Terminal Handling, Handling Fee, VGM Processing Fee, Manifest Fee</t>
        </is>
      </c>
      <c r="C383" t="inlineStr">
        <is>
          <t>អ៊ិចស្ពែឌីធ័រ ខេមបូឌា អិលធីឌី</t>
        </is>
      </c>
      <c r="D383" t="inlineStr">
        <is>
          <t>L001-100045898</t>
        </is>
      </c>
      <c r="E383" t="inlineStr">
        <is>
          <t>TI-0272868</t>
        </is>
      </c>
      <c r="F383" t="inlineStr">
        <is>
          <t>30-04-2024</t>
        </is>
      </c>
      <c r="G383" t="n">
        <v>91846</v>
      </c>
      <c r="I383">
        <f>G383</f>
        <v/>
      </c>
      <c r="K383">
        <f>I383-G383</f>
        <v/>
      </c>
      <c r="M383">
        <f>R383=E383</f>
        <v/>
      </c>
      <c r="N383">
        <f>AND(MONTH(F383)=MONTH(Q383), YEAR(F383)=YEAR(Q383))</f>
        <v/>
      </c>
      <c r="O383">
        <f>"L001-902303751"=S383</f>
        <v/>
      </c>
      <c r="P383">
        <f>G383-U383</f>
        <v/>
      </c>
      <c r="Q383" s="35" t="n">
        <v>45271</v>
      </c>
      <c r="R383" t="n">
        <v>189244</v>
      </c>
      <c r="S383" t="inlineStr">
        <is>
          <t>K009-901605081</t>
        </is>
      </c>
      <c r="T383" t="inlineStr">
        <is>
          <t>ទ្រូ ខមភែនៀន ឡូជីស្ទីក (ខេមបូឌា)</t>
        </is>
      </c>
      <c r="U383" t="n">
        <v>189244</v>
      </c>
      <c r="V383" t="n">
        <v>0</v>
      </c>
    </row>
    <row r="384">
      <c r="A384" t="n">
        <v>383</v>
      </c>
      <c r="B384" t="inlineStr">
        <is>
          <t>Raw Material</t>
        </is>
      </c>
      <c r="C384" t="inlineStr">
        <is>
          <t>ហ្វ៊ុលម៉ី អេកសេសីរី ឯ.ក</t>
        </is>
      </c>
      <c r="D384" t="inlineStr">
        <is>
          <t>K010-901902807</t>
        </is>
      </c>
      <c r="E384" t="inlineStr">
        <is>
          <t>24/0030</t>
        </is>
      </c>
      <c r="F384" t="inlineStr">
        <is>
          <t>23-04-2024</t>
        </is>
      </c>
      <c r="G384" t="n">
        <v>146195</v>
      </c>
      <c r="I384">
        <f>G384</f>
        <v/>
      </c>
      <c r="K384">
        <f>I384-G384</f>
        <v/>
      </c>
      <c r="M384">
        <f>R384=E384</f>
        <v/>
      </c>
      <c r="N384">
        <f>AND(MONTH(F384)=MONTH(Q384), YEAR(F384)=YEAR(Q384))</f>
        <v/>
      </c>
      <c r="O384">
        <f>"L001-902303751"=S384</f>
        <v/>
      </c>
      <c r="P384">
        <f>G384-U384</f>
        <v/>
      </c>
      <c r="Q384" s="35" t="n">
        <v>45274</v>
      </c>
      <c r="R384" t="n">
        <v>2239405</v>
      </c>
      <c r="S384" t="inlineStr">
        <is>
          <t>K009-901605081</t>
        </is>
      </c>
      <c r="T384" t="inlineStr">
        <is>
          <t>ទ្រូ ខមភែនៀន ឡូជីស្ទីក (ខេមបូឌា)</t>
        </is>
      </c>
      <c r="U384" t="n">
        <v>2239405</v>
      </c>
      <c r="V384" t="n">
        <v>0</v>
      </c>
    </row>
    <row r="385">
      <c r="A385" t="n">
        <v>384</v>
      </c>
      <c r="B385" t="inlineStr">
        <is>
          <t>Non Woven Interlining</t>
        </is>
      </c>
      <c r="C385" t="inlineStr">
        <is>
          <t>ដេលី ហ្គាមេន អេកសេសឺរី</t>
        </is>
      </c>
      <c r="D385" t="inlineStr">
        <is>
          <t>L001-108012794</t>
        </is>
      </c>
      <c r="E385" t="inlineStr">
        <is>
          <t>00160</t>
        </is>
      </c>
      <c r="F385" t="inlineStr">
        <is>
          <t>29-04-2024</t>
        </is>
      </c>
      <c r="G385" t="n">
        <v>874475</v>
      </c>
      <c r="I385">
        <f>G385</f>
        <v/>
      </c>
      <c r="K385">
        <f>I385-G385</f>
        <v/>
      </c>
      <c r="M385">
        <f>R385=E385</f>
        <v/>
      </c>
      <c r="N385">
        <f>AND(MONTH(F385)=MONTH(Q385), YEAR(F385)=YEAR(Q385))</f>
        <v/>
      </c>
      <c r="O385">
        <f>"L001-902303751"=S385</f>
        <v/>
      </c>
      <c r="P385">
        <f>G385-U385</f>
        <v/>
      </c>
      <c r="Q385" s="35" t="n">
        <v>45264</v>
      </c>
      <c r="R385" t="n">
        <v>207346</v>
      </c>
      <c r="S385" t="inlineStr">
        <is>
          <t>K003-901635943</t>
        </is>
      </c>
      <c r="T385" t="inlineStr">
        <is>
          <t>អ៊ីឃ្យូឡាញ វើលវ៉ាយដ៍ ឡូជីស្ទីក</t>
        </is>
      </c>
      <c r="U385" t="n">
        <v>207346</v>
      </c>
      <c r="V385" t="n">
        <v>0</v>
      </c>
    </row>
    <row r="386">
      <c r="A386" t="n">
        <v>385</v>
      </c>
      <c r="B386" t="inlineStr">
        <is>
          <t>Non Woven Interlining</t>
        </is>
      </c>
      <c r="C386" t="inlineStr">
        <is>
          <t>ដេលី ហ្គាមេន អេកសេសឺរី</t>
        </is>
      </c>
      <c r="D386" t="inlineStr">
        <is>
          <t>L001-108012794</t>
        </is>
      </c>
      <c r="E386" t="inlineStr">
        <is>
          <t>00161</t>
        </is>
      </c>
      <c r="F386" t="inlineStr">
        <is>
          <t>29-04-2024</t>
        </is>
      </c>
      <c r="G386" t="n">
        <v>48744</v>
      </c>
      <c r="I386">
        <f>G386</f>
        <v/>
      </c>
      <c r="K386">
        <f>I386-G386</f>
        <v/>
      </c>
      <c r="M386">
        <f>R386=E386</f>
        <v/>
      </c>
      <c r="N386">
        <f>AND(MONTH(F386)=MONTH(Q386), YEAR(F386)=YEAR(Q386))</f>
        <v/>
      </c>
      <c r="O386">
        <f>"L001-902303751"=S386</f>
        <v/>
      </c>
      <c r="P386">
        <f>G386-U386</f>
        <v/>
      </c>
      <c r="Q386" s="35" t="n">
        <v>45285</v>
      </c>
      <c r="R386" t="n">
        <v>188600</v>
      </c>
      <c r="S386" t="inlineStr">
        <is>
          <t>K009-901605081</t>
        </is>
      </c>
      <c r="T386" t="inlineStr">
        <is>
          <t>ទ្រូ ខមភែនៀន ឡូជីស្ទីក (ខេមបូឌា)</t>
        </is>
      </c>
      <c r="U386" t="n">
        <v>188600</v>
      </c>
      <c r="V386" t="n">
        <v>0</v>
      </c>
    </row>
    <row r="387">
      <c r="A387" t="n">
        <v>386</v>
      </c>
      <c r="B387" t="inlineStr">
        <is>
          <t>Raw Material</t>
        </is>
      </c>
      <c r="C387" t="inlineStr">
        <is>
          <t>ក្លាក ហ៊ូ ឯ.ក</t>
        </is>
      </c>
      <c r="D387" t="inlineStr">
        <is>
          <t>K007-901639199</t>
        </is>
      </c>
      <c r="E387" t="inlineStr">
        <is>
          <t>IN0811</t>
        </is>
      </c>
      <c r="F387" t="inlineStr">
        <is>
          <t>30-04-2024</t>
        </is>
      </c>
      <c r="G387" t="n">
        <v>721360</v>
      </c>
      <c r="I387">
        <f>G387</f>
        <v/>
      </c>
      <c r="K387">
        <f>I387-G387</f>
        <v/>
      </c>
      <c r="M387">
        <f>R387=E387</f>
        <v/>
      </c>
      <c r="N387">
        <f>AND(MONTH(F387)=MONTH(Q387), YEAR(F387)=YEAR(Q387))</f>
        <v/>
      </c>
      <c r="O387">
        <f>"L001-902303751"=S387</f>
        <v/>
      </c>
      <c r="P387">
        <f>G387-U387</f>
        <v/>
      </c>
      <c r="Q387" s="35" t="n">
        <v>45278</v>
      </c>
      <c r="R387" t="n">
        <v>85098</v>
      </c>
      <c r="S387" t="inlineStr">
        <is>
          <t>L001-104015799</t>
        </is>
      </c>
      <c r="T387" t="inlineStr">
        <is>
          <t>យូសេន ឡូជីស្ទីក (ខេមបូឌា) ខូ អិលធីឌី</t>
        </is>
      </c>
      <c r="U387" t="n">
        <v>85098</v>
      </c>
      <c r="V387" t="n">
        <v>0</v>
      </c>
    </row>
    <row r="388">
      <c r="A388" t="n">
        <v>387</v>
      </c>
      <c r="B388" t="inlineStr">
        <is>
          <t>Customs Clearance Fee and Trucking Fee</t>
        </is>
      </c>
      <c r="C388" t="inlineStr">
        <is>
          <t>ត្រាយអ៊ែងហ្គល ឡូជីស្ទីក (ខេមបូឌា) ឯ.ក</t>
        </is>
      </c>
      <c r="D388" t="inlineStr">
        <is>
          <t>K010-902101743</t>
        </is>
      </c>
      <c r="E388" t="inlineStr">
        <is>
          <t>TAG-24-00289</t>
        </is>
      </c>
      <c r="F388" t="inlineStr">
        <is>
          <t>29-04-2024</t>
        </is>
      </c>
      <c r="G388" t="n">
        <v>69054</v>
      </c>
      <c r="I388">
        <f>G388</f>
        <v/>
      </c>
      <c r="K388">
        <f>I388-G388</f>
        <v/>
      </c>
      <c r="M388">
        <f>R388=E388</f>
        <v/>
      </c>
      <c r="N388">
        <f>AND(MONTH(F388)=MONTH(Q388), YEAR(F388)=YEAR(Q388))</f>
        <v/>
      </c>
      <c r="O388">
        <f>"L001-902303751"=S388</f>
        <v/>
      </c>
      <c r="P388">
        <f>G388-U388</f>
        <v/>
      </c>
      <c r="Q388" s="35" t="n">
        <v>45261</v>
      </c>
      <c r="R388" t="n">
        <v>189290</v>
      </c>
      <c r="S388" t="inlineStr">
        <is>
          <t>K009-901605081</t>
        </is>
      </c>
      <c r="T388" t="inlineStr">
        <is>
          <t>ទ្រូ ខមភែនៀន ឡូជីស្ទីក (ខេមបូឌា)</t>
        </is>
      </c>
      <c r="U388" t="n">
        <v>189290</v>
      </c>
      <c r="V388" t="n">
        <v>0</v>
      </c>
    </row>
    <row r="389">
      <c r="A389" t="n">
        <v>388</v>
      </c>
      <c r="B389" t="inlineStr">
        <is>
          <t>THC, Doc Fee and Container Imbalance</t>
        </is>
      </c>
      <c r="C389" t="inlineStr">
        <is>
          <t>សាខាក្រុមហ៊ុន ជីម៉ាឌីប ស៊ីបភីង ខមភេនី លីមីធីត</t>
        </is>
      </c>
      <c r="D389" t="inlineStr">
        <is>
          <t>L001-901704777</t>
        </is>
      </c>
      <c r="E389" t="inlineStr">
        <is>
          <t>24-01379</t>
        </is>
      </c>
      <c r="F389" t="inlineStr">
        <is>
          <t>25-04-2024</t>
        </is>
      </c>
      <c r="G389" t="n">
        <v>136010</v>
      </c>
      <c r="I389">
        <f>G389</f>
        <v/>
      </c>
      <c r="K389">
        <f>I389-G389</f>
        <v/>
      </c>
      <c r="M389">
        <f>R389=E389</f>
        <v/>
      </c>
      <c r="N389">
        <f>AND(MONTH(F389)=MONTH(Q389), YEAR(F389)=YEAR(Q389))</f>
        <v/>
      </c>
      <c r="O389">
        <f>"L001-902303751"=S389</f>
        <v/>
      </c>
      <c r="P389">
        <f>G389-U389</f>
        <v/>
      </c>
      <c r="Q389" s="35" t="n">
        <v>45274</v>
      </c>
      <c r="R389" t="n">
        <v>189014</v>
      </c>
      <c r="S389" t="inlineStr">
        <is>
          <t>K009-901605081</t>
        </is>
      </c>
      <c r="T389" t="inlineStr">
        <is>
          <t>ទ្រូ ខមភែនៀន ឡូជីស្ទីក (ខេមបូឌា)</t>
        </is>
      </c>
      <c r="U389" t="n">
        <v>189014</v>
      </c>
      <c r="V389" t="n">
        <v>0</v>
      </c>
    </row>
    <row r="390">
      <c r="A390" t="n">
        <v>389</v>
      </c>
      <c r="B390" t="inlineStr">
        <is>
          <t>THC, Doc Fee and Container Imbalance</t>
        </is>
      </c>
      <c r="C390" t="inlineStr">
        <is>
          <t>សាខាក្រុមហ៊ុន ជីម៉ាឌីប ស៊ីបភីង ខមភេនី លីមីធីត</t>
        </is>
      </c>
      <c r="D390" t="inlineStr">
        <is>
          <t>L001-901704777</t>
        </is>
      </c>
      <c r="E390" t="inlineStr">
        <is>
          <t>24-01380</t>
        </is>
      </c>
      <c r="F390" t="inlineStr">
        <is>
          <t>25-04-2024</t>
        </is>
      </c>
      <c r="G390" t="n">
        <v>95410</v>
      </c>
      <c r="I390">
        <f>G390</f>
        <v/>
      </c>
      <c r="K390">
        <f>I390-G390</f>
        <v/>
      </c>
      <c r="M390">
        <f>R390=E390</f>
        <v/>
      </c>
      <c r="N390">
        <f>AND(MONTH(F390)=MONTH(Q390), YEAR(F390)=YEAR(Q390))</f>
        <v/>
      </c>
      <c r="O390">
        <f>"L001-902303751"=S390</f>
        <v/>
      </c>
      <c r="P390">
        <f>G390-U390</f>
        <v/>
      </c>
      <c r="Q390" s="35" t="n">
        <v>45264</v>
      </c>
      <c r="R390" t="n">
        <v>85160</v>
      </c>
      <c r="S390" t="inlineStr">
        <is>
          <t>L001-104015799</t>
        </is>
      </c>
      <c r="T390" t="inlineStr">
        <is>
          <t>យូសេន ឡូជីស្ទីក (ខេមបូឌា) ខូ អិលធីឌី</t>
        </is>
      </c>
      <c r="U390" t="n">
        <v>85160</v>
      </c>
      <c r="V390" t="n">
        <v>0</v>
      </c>
    </row>
    <row r="391">
      <c r="A391" t="n">
        <v>390</v>
      </c>
      <c r="B391" t="inlineStr">
        <is>
          <t>Lift-On Charge and Gate Fee Charage</t>
        </is>
      </c>
      <c r="C391" t="inlineStr">
        <is>
          <t>កំពង់ផែស្វយ័តភ្នំពេញ "ក.ស.ភ"</t>
        </is>
      </c>
      <c r="D391" t="inlineStr">
        <is>
          <t>L001-100044999</t>
        </is>
      </c>
      <c r="E391" t="inlineStr">
        <is>
          <t>INV20240423146</t>
        </is>
      </c>
      <c r="F391" t="inlineStr">
        <is>
          <t>27-04-2024</t>
        </is>
      </c>
      <c r="G391" t="n">
        <v>18681</v>
      </c>
      <c r="I391">
        <f>G391</f>
        <v/>
      </c>
      <c r="K391">
        <f>I391-G391</f>
        <v/>
      </c>
      <c r="M391">
        <f>R391=E391</f>
        <v/>
      </c>
      <c r="N391">
        <f>AND(MONTH(F391)=MONTH(Q391), YEAR(F391)=YEAR(Q391))</f>
        <v/>
      </c>
      <c r="O391">
        <f>"L001-902303751"=S391</f>
        <v/>
      </c>
      <c r="P391">
        <f>G391-U391</f>
        <v/>
      </c>
      <c r="Q391" s="35" t="n">
        <v>45287</v>
      </c>
      <c r="R391" t="n">
        <v>188324</v>
      </c>
      <c r="S391" t="inlineStr">
        <is>
          <t>K009-901605081</t>
        </is>
      </c>
      <c r="T391" t="inlineStr">
        <is>
          <t>ទ្រូ ខមភែនៀន ឡូជីស្ទីក (ខេមបូឌា)</t>
        </is>
      </c>
      <c r="U391" t="n">
        <v>188324</v>
      </c>
      <c r="V391" t="n">
        <v>0</v>
      </c>
    </row>
    <row r="392">
      <c r="A392" t="n">
        <v>391</v>
      </c>
      <c r="B392" t="inlineStr">
        <is>
          <t>Customs Clearance Fee and Trucking Fee</t>
        </is>
      </c>
      <c r="C392" t="inlineStr">
        <is>
          <t>ត្រាយអ៊ែងហ្គល ឡូជីស្ទីក (ខេមបូឌា) ឯ.ក</t>
        </is>
      </c>
      <c r="D392" t="inlineStr">
        <is>
          <t>K010-902101743</t>
        </is>
      </c>
      <c r="E392" t="inlineStr">
        <is>
          <t>TAG-24-00288</t>
        </is>
      </c>
      <c r="F392" t="inlineStr">
        <is>
          <t>29-04-2024</t>
        </is>
      </c>
      <c r="G392" t="n">
        <v>64992</v>
      </c>
      <c r="I392">
        <f>G392</f>
        <v/>
      </c>
      <c r="K392">
        <f>I392-G392</f>
        <v/>
      </c>
      <c r="M392">
        <f>R392=E392</f>
        <v/>
      </c>
      <c r="N392">
        <f>AND(MONTH(F392)=MONTH(Q392), YEAR(F392)=YEAR(Q392))</f>
        <v/>
      </c>
      <c r="O392">
        <f>"L001-902303751"=S392</f>
        <v/>
      </c>
      <c r="P392">
        <f>G392-U392</f>
        <v/>
      </c>
      <c r="Q392" s="35" t="n">
        <v>45266</v>
      </c>
      <c r="R392" t="n">
        <v>20570</v>
      </c>
      <c r="S392" t="inlineStr">
        <is>
          <t>K003-901635943</t>
        </is>
      </c>
      <c r="T392" t="inlineStr">
        <is>
          <t>អ៊ីឃ្យូឡាញ វើលវ៉ាយដ៍ ឡូជីស្ទីក</t>
        </is>
      </c>
      <c r="U392" t="n">
        <v>20570</v>
      </c>
      <c r="V392" t="n">
        <v>0</v>
      </c>
    </row>
    <row r="393">
      <c r="A393" t="n">
        <v>392</v>
      </c>
      <c r="B393" t="inlineStr">
        <is>
          <t>Terminal Handling Charge, CFS FEE, Scanner Fee, CIC Fee, Agency Fee, D/O Fee, Documentation Fee, Handling Fee, Ex-work charge and Ocean Freight Charge</t>
        </is>
      </c>
      <c r="C393" t="inlineStr">
        <is>
          <t>ភី.ដាប់បែលយូ. ស្កេនវែល ឡូជីស្ទីក (ខេមបូឌា)</t>
        </is>
      </c>
      <c r="D393" t="inlineStr">
        <is>
          <t>K002-107011379</t>
        </is>
      </c>
      <c r="E393" t="inlineStr">
        <is>
          <t>240400089</t>
        </is>
      </c>
      <c r="F393" t="inlineStr">
        <is>
          <t>29-04-2024</t>
        </is>
      </c>
      <c r="G393" t="n">
        <v>240795</v>
      </c>
      <c r="I393">
        <f>G393</f>
        <v/>
      </c>
      <c r="K393">
        <f>I393-G393</f>
        <v/>
      </c>
      <c r="M393">
        <f>R393=E393</f>
        <v/>
      </c>
      <c r="N393">
        <f>AND(MONTH(F393)=MONTH(Q393), YEAR(F393)=YEAR(Q393))</f>
        <v/>
      </c>
      <c r="O393">
        <f>"L001-902303751"=S393</f>
        <v/>
      </c>
      <c r="P393">
        <f>G393-U393</f>
        <v/>
      </c>
      <c r="Q393" s="35" t="n">
        <v>45290</v>
      </c>
      <c r="R393" t="inlineStr"/>
      <c r="S393" t="inlineStr">
        <is>
          <t>K003-901635943</t>
        </is>
      </c>
      <c r="T393" t="inlineStr">
        <is>
          <t>អ៊ីឃ្យូឡាញ វើលវ៉ាយដ៍ ឡូជីស្ទីក</t>
        </is>
      </c>
      <c r="U393" t="n">
        <v>0</v>
      </c>
      <c r="V393" t="n">
        <v>0</v>
      </c>
    </row>
    <row r="394">
      <c r="A394" t="n">
        <v>393</v>
      </c>
      <c r="B394" t="inlineStr">
        <is>
          <t>Customs Clearance Fee and Trucking Fee</t>
        </is>
      </c>
      <c r="C394" t="inlineStr">
        <is>
          <t>ត្រាយអ៊ែងហ្គល ឡូជីស្ទីក (ខេមបូឌា) ឯ.ក</t>
        </is>
      </c>
      <c r="D394" t="inlineStr">
        <is>
          <t>K010-902101743</t>
        </is>
      </c>
      <c r="E394" t="inlineStr">
        <is>
          <t>TAG-24-00293</t>
        </is>
      </c>
      <c r="F394" t="inlineStr">
        <is>
          <t>30-04-2024</t>
        </is>
      </c>
      <c r="G394" t="n">
        <v>28448</v>
      </c>
      <c r="I394">
        <f>G394</f>
        <v/>
      </c>
      <c r="K394">
        <f>I394-G394</f>
        <v/>
      </c>
      <c r="M394">
        <f>R394=E394</f>
        <v/>
      </c>
      <c r="N394">
        <f>AND(MONTH(F394)=MONTH(Q394), YEAR(F394)=YEAR(Q394))</f>
        <v/>
      </c>
      <c r="O394">
        <f>"L001-902303751"=S394</f>
        <v/>
      </c>
      <c r="P394">
        <f>G394-U394</f>
        <v/>
      </c>
      <c r="Q394" s="35" t="n">
        <v>45285</v>
      </c>
      <c r="R394" t="n">
        <v>177940</v>
      </c>
      <c r="S394" t="inlineStr">
        <is>
          <t>K003-901635943</t>
        </is>
      </c>
      <c r="T394" t="inlineStr">
        <is>
          <t>អ៊ីឃ្យូឡាញ វើលវ៉ាយដ៍ ឡូជីស្ទីក</t>
        </is>
      </c>
      <c r="U394" t="n">
        <v>177940</v>
      </c>
      <c r="V394" t="n">
        <v>0</v>
      </c>
    </row>
    <row r="395">
      <c r="A395" t="n">
        <v>394</v>
      </c>
      <c r="B395" t="inlineStr">
        <is>
          <t>Customs Clearance Fee and Trucking Fee</t>
        </is>
      </c>
      <c r="C395" t="inlineStr">
        <is>
          <t>ត្រាយអ៊ែងហ្គល ឡូជីស្ទីក (ខេមបូឌា) ឯ.ក</t>
        </is>
      </c>
      <c r="D395" t="inlineStr">
        <is>
          <t>K010-902101743</t>
        </is>
      </c>
      <c r="E395" t="inlineStr">
        <is>
          <t>TAG-24-00295</t>
        </is>
      </c>
      <c r="F395" t="inlineStr">
        <is>
          <t>30-04-2024</t>
        </is>
      </c>
      <c r="G395" t="n">
        <v>76337</v>
      </c>
      <c r="I395">
        <f>G395</f>
        <v/>
      </c>
      <c r="K395">
        <f>I395-G395</f>
        <v/>
      </c>
      <c r="M395">
        <f>R395=E395</f>
        <v/>
      </c>
      <c r="N395">
        <f>AND(MONTH(F395)=MONTH(Q395), YEAR(F395)=YEAR(Q395))</f>
        <v/>
      </c>
      <c r="O395">
        <f>"L001-902303751"=S395</f>
        <v/>
      </c>
      <c r="P395">
        <f>G395-U395</f>
        <v/>
      </c>
      <c r="Q395" s="35" t="n">
        <v>45271</v>
      </c>
      <c r="R395" t="n">
        <v>2242130</v>
      </c>
      <c r="S395" t="inlineStr">
        <is>
          <t>K009-901605081</t>
        </is>
      </c>
      <c r="T395" t="inlineStr">
        <is>
          <t>ទ្រូ ខមភែនៀន ឡូជីស្ទីក (ខេមបូឌា)</t>
        </is>
      </c>
      <c r="U395" t="n">
        <v>2242130</v>
      </c>
      <c r="V395" t="n">
        <v>0</v>
      </c>
    </row>
    <row r="396">
      <c r="A396" t="n">
        <v>395</v>
      </c>
      <c r="B396" t="inlineStr">
        <is>
          <t>THC, CFS Charge, Scanning Fee, D/O Fee, Documentation Fee and Agency Fee</t>
        </is>
      </c>
      <c r="C396" t="inlineStr">
        <is>
          <t>អេស៊ាន ហ្វ្រេត (ខេមបូឌា)</t>
        </is>
      </c>
      <c r="D396" t="inlineStr">
        <is>
          <t>K004-105012505</t>
        </is>
      </c>
      <c r="E396" t="inlineStr">
        <is>
          <t>PPTI24/0777</t>
        </is>
      </c>
      <c r="F396" t="inlineStr">
        <is>
          <t>29-04-2024</t>
        </is>
      </c>
      <c r="G396" t="n">
        <v>170877</v>
      </c>
      <c r="I396">
        <f>G396</f>
        <v/>
      </c>
      <c r="K396">
        <f>I396-G396</f>
        <v/>
      </c>
      <c r="M396">
        <f>R396=E396</f>
        <v/>
      </c>
      <c r="N396">
        <f>AND(MONTH(F396)=MONTH(Q396), YEAR(F396)=YEAR(Q396))</f>
        <v/>
      </c>
      <c r="O396">
        <f>"L001-902303751"=S396</f>
        <v/>
      </c>
      <c r="P396">
        <f>G396-U396</f>
        <v/>
      </c>
      <c r="Q396" s="35" t="n">
        <v>45285</v>
      </c>
      <c r="R396" t="n">
        <v>2234500</v>
      </c>
      <c r="S396" t="inlineStr">
        <is>
          <t>K009-901605081</t>
        </is>
      </c>
      <c r="T396" t="inlineStr">
        <is>
          <t>ទ្រូ ខមភែនៀន ឡូជីស្ទីក (ខេមបូឌា)</t>
        </is>
      </c>
      <c r="U396" t="n">
        <v>2234500</v>
      </c>
      <c r="V396" t="n">
        <v>0</v>
      </c>
    </row>
    <row r="397">
      <c r="A397" t="n">
        <v>396</v>
      </c>
      <c r="B397" t="inlineStr">
        <is>
          <t>Customs Clearance Fee and Trucking Fee</t>
        </is>
      </c>
      <c r="C397" t="inlineStr">
        <is>
          <t>ត្រាយអ៊ែងហ្គល ឡូជីស្ទីក (ខេមបូឌា) ឯ.ក</t>
        </is>
      </c>
      <c r="D397" t="inlineStr">
        <is>
          <t>K010-902101743</t>
        </is>
      </c>
      <c r="E397" t="inlineStr">
        <is>
          <t>TAG-24-00296</t>
        </is>
      </c>
      <c r="F397" t="inlineStr">
        <is>
          <t>30-04-2024</t>
        </is>
      </c>
      <c r="G397" t="n">
        <v>28448</v>
      </c>
      <c r="I397">
        <f>G397</f>
        <v/>
      </c>
      <c r="K397">
        <f>I397-G397</f>
        <v/>
      </c>
      <c r="M397">
        <f>R397=E397</f>
        <v/>
      </c>
      <c r="N397">
        <f>AND(MONTH(F397)=MONTH(Q397), YEAR(F397)=YEAR(Q397))</f>
        <v/>
      </c>
      <c r="O397">
        <f>"L001-902303751"=S397</f>
        <v/>
      </c>
      <c r="P397">
        <f>G397-U397</f>
        <v/>
      </c>
      <c r="Q397" s="35" t="n">
        <v>45280</v>
      </c>
      <c r="R397" t="n">
        <v>2237770</v>
      </c>
      <c r="S397" t="inlineStr">
        <is>
          <t>K009-901605081</t>
        </is>
      </c>
      <c r="T397" t="inlineStr">
        <is>
          <t>ទ្រូ ខមភែនៀន ឡូជីស្ទីក (ខេមបូឌា)</t>
        </is>
      </c>
      <c r="U397" t="n">
        <v>2237770</v>
      </c>
      <c r="V397" t="n">
        <v>0</v>
      </c>
    </row>
    <row r="398">
      <c r="A398" t="n">
        <v>397</v>
      </c>
      <c r="B398" t="inlineStr">
        <is>
          <t>Agency Fee and Bill of Lading</t>
        </is>
      </c>
      <c r="C398" t="inlineStr">
        <is>
          <t>ស្តារ ខង់ខដ (ខេមបូឌា) ឯ.ក</t>
        </is>
      </c>
      <c r="D398" t="inlineStr">
        <is>
          <t>K005-901805913</t>
        </is>
      </c>
      <c r="E398" t="inlineStr">
        <is>
          <t>KHMTAXIV2404001868</t>
        </is>
      </c>
      <c r="F398" t="inlineStr">
        <is>
          <t>28-04-2024</t>
        </is>
      </c>
      <c r="G398" t="n">
        <v>30458</v>
      </c>
      <c r="I398">
        <f>G398</f>
        <v/>
      </c>
      <c r="K398">
        <f>I398-G398</f>
        <v/>
      </c>
      <c r="M398">
        <f>R398=E398</f>
        <v/>
      </c>
      <c r="N398">
        <f>AND(MONTH(F398)=MONTH(Q398), YEAR(F398)=YEAR(Q398))</f>
        <v/>
      </c>
      <c r="O398">
        <f>"L001-902303751"=S398</f>
        <v/>
      </c>
      <c r="P398">
        <f>G398-U398</f>
        <v/>
      </c>
      <c r="Q398" s="35" t="n">
        <v>45287</v>
      </c>
      <c r="R398" t="n">
        <v>2231230</v>
      </c>
      <c r="S398" t="inlineStr">
        <is>
          <t>K009-901605081</t>
        </is>
      </c>
      <c r="T398" t="inlineStr">
        <is>
          <t>ទ្រូ ខមភែនៀន ឡូជីស្ទីក (ខេមបូឌា)</t>
        </is>
      </c>
      <c r="U398" t="n">
        <v>2231230</v>
      </c>
      <c r="V398" t="n">
        <v>0</v>
      </c>
    </row>
    <row r="399">
      <c r="A399" t="n">
        <v>398</v>
      </c>
      <c r="B399" t="inlineStr">
        <is>
          <t>Cargo Terminal</t>
        </is>
      </c>
      <c r="C399" t="inlineStr">
        <is>
          <t>សូស៊ីយេតេ កុងសេស្យូនែរ ដឺ ឡាអេរ៉ូព័រ</t>
        </is>
      </c>
      <c r="D399" t="inlineStr">
        <is>
          <t>L001-100047300</t>
        </is>
      </c>
      <c r="E399" t="inlineStr">
        <is>
          <t>2400-030753</t>
        </is>
      </c>
      <c r="F399" t="inlineStr">
        <is>
          <t>30-04-2024</t>
        </is>
      </c>
      <c r="G399" t="n">
        <v>7445</v>
      </c>
      <c r="I399">
        <f>G399</f>
        <v/>
      </c>
      <c r="K399">
        <f>I399-G399</f>
        <v/>
      </c>
      <c r="M399">
        <f>R399=E399</f>
        <v/>
      </c>
      <c r="N399">
        <f>AND(MONTH(F399)=MONTH(Q399), YEAR(F399)=YEAR(Q399))</f>
        <v/>
      </c>
      <c r="O399">
        <f>"L001-902303751"=S399</f>
        <v/>
      </c>
      <c r="P399">
        <f>G399-U399</f>
        <v/>
      </c>
      <c r="Q399" s="35" t="n">
        <v>45281</v>
      </c>
      <c r="R399" t="inlineStr"/>
      <c r="S399" t="inlineStr">
        <is>
          <t>L001-104015799</t>
        </is>
      </c>
      <c r="T399" t="inlineStr">
        <is>
          <t>យូសេន ឡូជីស្ទីក (ខេមបូឌា) ខូ អិលធីឌី</t>
        </is>
      </c>
      <c r="U399" t="n">
        <v>0</v>
      </c>
      <c r="V399" t="n">
        <v>0</v>
      </c>
    </row>
    <row r="400">
      <c r="A400" t="n">
        <v>399</v>
      </c>
      <c r="B400" t="inlineStr">
        <is>
          <t>THC, EMF, 3 PARTY TRUCKING, CIC, R/O, DOC FEE and HANDLING FEE</t>
        </is>
      </c>
      <c r="C400" t="inlineStr">
        <is>
          <t>ខេអិលអិន ហ្វ្រេត (ខេមបូឌា) ឯ.ក</t>
        </is>
      </c>
      <c r="D400" t="inlineStr">
        <is>
          <t>L001-100074669</t>
        </is>
      </c>
      <c r="E400" t="inlineStr">
        <is>
          <t>IVO04719</t>
        </is>
      </c>
      <c r="F400" t="inlineStr">
        <is>
          <t>02-04-2024</t>
        </is>
      </c>
      <c r="G400" t="n">
        <v>128345</v>
      </c>
      <c r="I400">
        <f>G400</f>
        <v/>
      </c>
      <c r="K400">
        <f>I400-G400</f>
        <v/>
      </c>
      <c r="M400">
        <f>R400=E400</f>
        <v/>
      </c>
      <c r="N400">
        <f>AND(MONTH(F400)=MONTH(Q400), YEAR(F400)=YEAR(Q400))</f>
        <v/>
      </c>
      <c r="O400">
        <f>"L001-902303751"=S400</f>
        <v/>
      </c>
      <c r="P400">
        <f>G400-U400</f>
        <v/>
      </c>
      <c r="Q400" s="35" t="n">
        <v>45282</v>
      </c>
      <c r="R400" t="n">
        <v>2235590</v>
      </c>
      <c r="S400" t="inlineStr">
        <is>
          <t>K009-901605081</t>
        </is>
      </c>
      <c r="T400" t="inlineStr">
        <is>
          <t>ទ្រូ ខមភែនៀន ឡូជីស្ទីក (ខេមបូឌា)</t>
        </is>
      </c>
      <c r="U400" t="n">
        <v>2235590</v>
      </c>
      <c r="V400" t="n">
        <v>0</v>
      </c>
    </row>
    <row r="401">
      <c r="A401" t="n">
        <v>400</v>
      </c>
      <c r="B401" t="inlineStr">
        <is>
          <t>Monthly Tax Service for March 2024</t>
        </is>
      </c>
      <c r="C401" t="inlineStr">
        <is>
          <t>ខេឌី ខនសាល់ធេន ឯ.ក</t>
        </is>
      </c>
      <c r="D401" t="inlineStr">
        <is>
          <t>K005-901704277</t>
        </is>
      </c>
      <c r="E401" t="inlineStr">
        <is>
          <t>20240000510</t>
        </is>
      </c>
      <c r="F401" t="inlineStr">
        <is>
          <t>25-04-2024</t>
        </is>
      </c>
      <c r="G401" t="n">
        <v>101500</v>
      </c>
      <c r="I401">
        <f>G401</f>
        <v/>
      </c>
      <c r="K401">
        <f>I401-G401</f>
        <v/>
      </c>
      <c r="M401">
        <f>R401=E401</f>
        <v/>
      </c>
      <c r="N401">
        <f>AND(MONTH(F401)=MONTH(Q401), YEAR(F401)=YEAR(Q401))</f>
        <v/>
      </c>
      <c r="O401">
        <f>"L001-902303751"=S401</f>
        <v/>
      </c>
      <c r="P401">
        <f>G401-U401</f>
        <v/>
      </c>
      <c r="Q401" s="35" t="n">
        <v>45261</v>
      </c>
      <c r="R401" t="n">
        <v>2242675</v>
      </c>
      <c r="S401" t="inlineStr">
        <is>
          <t>K009-901605081</t>
        </is>
      </c>
      <c r="T401" t="inlineStr">
        <is>
          <t>ទ្រូ ខមភែនៀន ឡូជីស្ទីក (ខេមបូឌា)</t>
        </is>
      </c>
      <c r="U401" t="n">
        <v>2242675</v>
      </c>
      <c r="V401" t="n">
        <v>0</v>
      </c>
    </row>
    <row r="402">
      <c r="A402" t="n">
        <v>401</v>
      </c>
      <c r="B402" t="inlineStr">
        <is>
          <t>Stationary</t>
        </is>
      </c>
      <c r="C402" t="inlineStr">
        <is>
          <t>ស៊ី &amp; ជី ត្រេឌីង ឯ.ក</t>
        </is>
      </c>
      <c r="D402" t="inlineStr">
        <is>
          <t>K010-902205065</t>
        </is>
      </c>
      <c r="E402" t="inlineStr">
        <is>
          <t>2024-0031</t>
        </is>
      </c>
      <c r="F402" t="inlineStr">
        <is>
          <t>22-04-2024</t>
        </is>
      </c>
      <c r="G402" t="n">
        <v>135738</v>
      </c>
      <c r="I402">
        <f>G402</f>
        <v/>
      </c>
      <c r="K402">
        <f>I402-G402</f>
        <v/>
      </c>
      <c r="M402">
        <f>R402=E402</f>
        <v/>
      </c>
      <c r="N402">
        <f>AND(MONTH(F402)=MONTH(Q402), YEAR(F402)=YEAR(Q402))</f>
        <v/>
      </c>
      <c r="O402">
        <f>"L001-902303751"=S402</f>
        <v/>
      </c>
      <c r="P402">
        <f>G402-U402</f>
        <v/>
      </c>
      <c r="Q402" s="35" t="n">
        <v>45269</v>
      </c>
      <c r="R402" t="n">
        <v>113986</v>
      </c>
      <c r="S402" t="inlineStr">
        <is>
          <t>K003-901635943</t>
        </is>
      </c>
      <c r="T402" t="inlineStr">
        <is>
          <t>អ៊ីឃ្យូឡាញ វើលវ៉ាយដ៍ ឡូជីស្ទីក</t>
        </is>
      </c>
      <c r="U402" t="n">
        <v>113986</v>
      </c>
      <c r="V402" t="n">
        <v>0</v>
      </c>
    </row>
    <row r="403">
      <c r="A403" t="n">
        <v>402</v>
      </c>
      <c r="B403" t="inlineStr">
        <is>
          <t>Hardware</t>
        </is>
      </c>
      <c r="C403" t="inlineStr">
        <is>
          <t>ភ្នំពេញ ថប វើលដ៍ ខនស្ត្រាក់សិន &amp; អេនជីនារីង ឯ.ក</t>
        </is>
      </c>
      <c r="D403" t="inlineStr">
        <is>
          <t>K005-901638261</t>
        </is>
      </c>
      <c r="E403" t="inlineStr">
        <is>
          <t>000010</t>
        </is>
      </c>
      <c r="F403" t="inlineStr">
        <is>
          <t>30-04-2024</t>
        </is>
      </c>
      <c r="G403" t="n">
        <v>34112</v>
      </c>
      <c r="I403">
        <f>G403</f>
        <v/>
      </c>
      <c r="K403">
        <f>I403-G403</f>
        <v/>
      </c>
      <c r="M403">
        <f>R403=E403</f>
        <v/>
      </c>
      <c r="N403">
        <f>AND(MONTH(F403)=MONTH(Q403), YEAR(F403)=YEAR(Q403))</f>
        <v/>
      </c>
      <c r="O403">
        <f>"L001-902303751"=S403</f>
        <v/>
      </c>
      <c r="P403">
        <f>G403-U403</f>
        <v/>
      </c>
      <c r="Q403" s="35" t="n">
        <v>45285</v>
      </c>
      <c r="R403" t="n">
        <v>113570</v>
      </c>
      <c r="S403" t="inlineStr">
        <is>
          <t>L001-104015799</t>
        </is>
      </c>
      <c r="T403" t="inlineStr">
        <is>
          <t>យូសេន ឡូជីស្ទីក (ខេមបូឌា) ខូ អិលធីឌី</t>
        </is>
      </c>
      <c r="U403" t="n">
        <v>113570</v>
      </c>
      <c r="V403" t="n">
        <v>0</v>
      </c>
    </row>
    <row r="404">
      <c r="A404" t="n">
        <v>403</v>
      </c>
      <c r="B404" t="inlineStr">
        <is>
          <t>Lift-On Charge and Gate Fee Charage</t>
        </is>
      </c>
      <c r="C404" t="inlineStr">
        <is>
          <t>កំពង់ផែស្វយ័តភ្នំពេញ "ក.ស.ភ"</t>
        </is>
      </c>
      <c r="D404" t="inlineStr">
        <is>
          <t>L001-100044999</t>
        </is>
      </c>
      <c r="E404" t="inlineStr">
        <is>
          <t>INV20240423145</t>
        </is>
      </c>
      <c r="F404" t="inlineStr">
        <is>
          <t>27-04-2024</t>
        </is>
      </c>
      <c r="G404" t="n">
        <v>28427</v>
      </c>
      <c r="I404">
        <f>G404</f>
        <v/>
      </c>
      <c r="K404">
        <f>I404-G404</f>
        <v/>
      </c>
      <c r="M404">
        <f>R404=E404</f>
        <v/>
      </c>
      <c r="N404">
        <f>AND(MONTH(F404)=MONTH(Q404), YEAR(F404)=YEAR(Q404))</f>
        <v/>
      </c>
      <c r="O404">
        <f>"L001-902303751"=S404</f>
        <v/>
      </c>
      <c r="P404">
        <f>G404-U404</f>
        <v/>
      </c>
      <c r="Q404" s="35" t="n">
        <v>45274</v>
      </c>
      <c r="R404" t="n">
        <v>2239405</v>
      </c>
      <c r="S404" t="inlineStr">
        <is>
          <t>K009-901605081</t>
        </is>
      </c>
      <c r="T404" t="inlineStr">
        <is>
          <t>ទ្រូ ខមភែនៀន ឡូជីស្ទីក (ខេមបូឌា)</t>
        </is>
      </c>
      <c r="U404" t="n">
        <v>2239405</v>
      </c>
      <c r="V404" t="n">
        <v>0</v>
      </c>
    </row>
    <row r="405">
      <c r="A405" t="n">
        <v>404</v>
      </c>
      <c r="B405" t="inlineStr">
        <is>
          <t>Customs Clearance Fee and Trucking Fee</t>
        </is>
      </c>
      <c r="C405" t="inlineStr">
        <is>
          <t>ត្រាយអ៊ែងហ្គល ឡូជីស្ទីក (ខេមបូឌា) ឯ.ក</t>
        </is>
      </c>
      <c r="D405" t="inlineStr">
        <is>
          <t>K010-902101743</t>
        </is>
      </c>
      <c r="E405" t="inlineStr">
        <is>
          <t>TAG-24-00259</t>
        </is>
      </c>
      <c r="F405" t="inlineStr">
        <is>
          <t>19-04-2024</t>
        </is>
      </c>
      <c r="G405" t="n">
        <v>28441</v>
      </c>
      <c r="I405">
        <f>G405</f>
        <v/>
      </c>
      <c r="K405">
        <f>I405-G405</f>
        <v/>
      </c>
      <c r="M405">
        <f>R405=E405</f>
        <v/>
      </c>
      <c r="N405">
        <f>AND(MONTH(F405)=MONTH(Q405), YEAR(F405)=YEAR(Q405))</f>
        <v/>
      </c>
      <c r="O405">
        <f>"L001-902303751"=S405</f>
        <v/>
      </c>
      <c r="P405">
        <f>G405-U405</f>
        <v/>
      </c>
      <c r="Q405" s="35" t="n">
        <v>45290</v>
      </c>
      <c r="R405" t="n">
        <v>177289</v>
      </c>
      <c r="S405" t="inlineStr">
        <is>
          <t>K003-901635943</t>
        </is>
      </c>
      <c r="T405" t="inlineStr">
        <is>
          <t>អ៊ីឃ្យូឡាញ វើលវ៉ាយដ៍ ឡូជីស្ទីក</t>
        </is>
      </c>
      <c r="U405" t="n">
        <v>177289</v>
      </c>
      <c r="V405" t="n">
        <v>0</v>
      </c>
    </row>
    <row r="406">
      <c r="A406" t="n">
        <v>405</v>
      </c>
      <c r="B406" t="inlineStr">
        <is>
          <t>Docs Fee and Handling Fee</t>
        </is>
      </c>
      <c r="C406" t="inlineStr">
        <is>
          <t>អិមអាយ ឡូជីកស៍ (ខេមបូឌា)</t>
        </is>
      </c>
      <c r="D406" t="inlineStr">
        <is>
          <t>K009-107021862</t>
        </is>
      </c>
      <c r="E406" t="inlineStr">
        <is>
          <t>MII202404-003</t>
        </is>
      </c>
      <c r="F406" t="inlineStr">
        <is>
          <t>08-04-2024</t>
        </is>
      </c>
      <c r="G406" t="n">
        <v>24240</v>
      </c>
      <c r="I406">
        <f>G406</f>
        <v/>
      </c>
      <c r="K406">
        <f>I406-G406</f>
        <v/>
      </c>
      <c r="M406">
        <f>R406=E406</f>
        <v/>
      </c>
      <c r="N406">
        <f>AND(MONTH(F406)=MONTH(Q406), YEAR(F406)=YEAR(Q406))</f>
        <v/>
      </c>
      <c r="O406">
        <f>"L001-902303751"=S406</f>
        <v/>
      </c>
      <c r="P406">
        <f>G406-U406</f>
        <v/>
      </c>
      <c r="Q406" s="35" t="n">
        <v>45285</v>
      </c>
      <c r="R406" t="inlineStr"/>
      <c r="S406" t="inlineStr">
        <is>
          <t>K003-901635943</t>
        </is>
      </c>
      <c r="T406" t="inlineStr">
        <is>
          <t>អ៊ីឃ្យូឡាញ វើលវ៉ាយដ៍ ឡូជីស្ទីក</t>
        </is>
      </c>
      <c r="U406" t="n">
        <v>0</v>
      </c>
      <c r="V406" t="n">
        <v>0</v>
      </c>
    </row>
    <row r="407">
      <c r="A407" t="n">
        <v>406</v>
      </c>
      <c r="B407" t="inlineStr">
        <is>
          <t>Customs Clearance Fee and Trucking Fee</t>
        </is>
      </c>
      <c r="C407" t="inlineStr">
        <is>
          <t>ត្រាយអ៊ែងហ្គល ឡូជីស្ទីក (ខេមបូឌា) ឯ.ក</t>
        </is>
      </c>
      <c r="D407" t="inlineStr">
        <is>
          <t>K010-902101743</t>
        </is>
      </c>
      <c r="E407" t="inlineStr">
        <is>
          <t>TAG-24-00265</t>
        </is>
      </c>
      <c r="F407" t="inlineStr">
        <is>
          <t>19-04-2024</t>
        </is>
      </c>
      <c r="G407" t="n">
        <v>90620</v>
      </c>
      <c r="I407">
        <f>G407</f>
        <v/>
      </c>
      <c r="K407">
        <f>I407-G407</f>
        <v/>
      </c>
      <c r="M407">
        <f>R407=E407</f>
        <v/>
      </c>
      <c r="N407">
        <f>AND(MONTH(F407)=MONTH(Q407), YEAR(F407)=YEAR(Q407))</f>
        <v/>
      </c>
      <c r="O407">
        <f>"L001-902303751"=S407</f>
        <v/>
      </c>
      <c r="P407">
        <f>G407-U407</f>
        <v/>
      </c>
      <c r="Q407" s="35" t="n">
        <v>45280</v>
      </c>
      <c r="R407" t="n">
        <v>188876</v>
      </c>
      <c r="S407" t="inlineStr">
        <is>
          <t>K009-901605081</t>
        </is>
      </c>
      <c r="T407" t="inlineStr">
        <is>
          <t>ទ្រូ ខមភែនៀន ឡូជីស្ទីក (ខេមបូឌា)</t>
        </is>
      </c>
      <c r="U407" t="n">
        <v>188876</v>
      </c>
      <c r="V407" t="n">
        <v>0</v>
      </c>
    </row>
    <row r="408">
      <c r="A408" t="n">
        <v>407</v>
      </c>
      <c r="B408" t="inlineStr">
        <is>
          <t>Charge from warehouse and Storage Charges</t>
        </is>
      </c>
      <c r="C408" t="inlineStr">
        <is>
          <t>កំពង់ផែស្វយ័តក្រុងព្រះសីហនុ</t>
        </is>
      </c>
      <c r="D408" t="inlineStr">
        <is>
          <t>L001-100044638</t>
        </is>
      </c>
      <c r="E408" t="inlineStr">
        <is>
          <t>075856</t>
        </is>
      </c>
      <c r="F408" t="inlineStr">
        <is>
          <t>25-04-2024</t>
        </is>
      </c>
      <c r="G408" t="n">
        <v>2351</v>
      </c>
      <c r="I408">
        <f>G408</f>
        <v/>
      </c>
      <c r="K408">
        <f>I408-G408</f>
        <v/>
      </c>
      <c r="M408">
        <f>R408=E408</f>
        <v/>
      </c>
      <c r="N408">
        <f>AND(MONTH(F408)=MONTH(Q408), YEAR(F408)=YEAR(Q408))</f>
        <v/>
      </c>
      <c r="O408">
        <f>"L001-902303751"=S408</f>
        <v/>
      </c>
      <c r="P408">
        <f>G408-U408</f>
        <v/>
      </c>
      <c r="Q408" s="35" t="n">
        <v>45269</v>
      </c>
      <c r="R408" t="inlineStr"/>
      <c r="S408" t="inlineStr">
        <is>
          <t>K003-901635943</t>
        </is>
      </c>
      <c r="T408" t="inlineStr">
        <is>
          <t>អ៊ីឃ្យូឡាញ វើលវ៉ាយដ៍ ឡូជីស្ទីក</t>
        </is>
      </c>
      <c r="U408" t="n">
        <v>0</v>
      </c>
      <c r="V408" t="n">
        <v>0</v>
      </c>
    </row>
    <row r="409">
      <c r="A409" t="n">
        <v>408</v>
      </c>
      <c r="B409" t="inlineStr">
        <is>
          <t>Terminal Handling charge, CFS Fee, Scan Fee, D/O Fee, Document Fee, Handling Fee, Co-Loader THC Charge and LSS Charge</t>
        </is>
      </c>
      <c r="C409" t="inlineStr">
        <is>
          <t>ត្រាយអ៊ែងហ្គល ឡូជីស្ទីក (ខេមបូឌា) ឯ.ក</t>
        </is>
      </c>
      <c r="D409" t="inlineStr">
        <is>
          <t>K010-902101743</t>
        </is>
      </c>
      <c r="E409" t="inlineStr">
        <is>
          <t>TAG-24-00263</t>
        </is>
      </c>
      <c r="F409" t="inlineStr">
        <is>
          <t>19-04-2024</t>
        </is>
      </c>
      <c r="G409" t="n">
        <v>200465</v>
      </c>
      <c r="I409">
        <f>G409</f>
        <v/>
      </c>
      <c r="K409">
        <f>I409-G409</f>
        <v/>
      </c>
      <c r="M409">
        <f>R409=E409</f>
        <v/>
      </c>
      <c r="N409">
        <f>AND(MONTH(F409)=MONTH(Q409), YEAR(F409)=YEAR(Q409))</f>
        <v/>
      </c>
      <c r="O409">
        <f>"L001-902303751"=S409</f>
        <v/>
      </c>
      <c r="P409">
        <f>G409-U409</f>
        <v/>
      </c>
      <c r="Q409" s="35" t="n">
        <v>45281</v>
      </c>
      <c r="R409" t="n">
        <v>97312</v>
      </c>
      <c r="S409" t="inlineStr">
        <is>
          <t>L001-104015799</t>
        </is>
      </c>
      <c r="T409" t="inlineStr">
        <is>
          <t>យូសេន ឡូជីស្ទីក (ខេមបូឌា) ខូ អិលធីឌី</t>
        </is>
      </c>
      <c r="U409" t="n">
        <v>97312</v>
      </c>
      <c r="V409" t="n">
        <v>0</v>
      </c>
    </row>
    <row r="410">
      <c r="A410" t="n">
        <v>409</v>
      </c>
      <c r="B410" t="inlineStr">
        <is>
          <t>Customs Clearance Fee and Trucking Fee</t>
        </is>
      </c>
      <c r="C410" t="inlineStr">
        <is>
          <t>ត្រាយអ៊ែងហ្គល ឡូជីស្ទីក (ខេមបូឌា) ឯ.ក</t>
        </is>
      </c>
      <c r="D410" t="inlineStr">
        <is>
          <t>K010-902101743</t>
        </is>
      </c>
      <c r="E410" t="inlineStr">
        <is>
          <t>TAG-24-00275</t>
        </is>
      </c>
      <c r="F410" t="inlineStr">
        <is>
          <t>24-04-2024</t>
        </is>
      </c>
      <c r="G410" t="n">
        <v>32488</v>
      </c>
      <c r="I410">
        <f>G410</f>
        <v/>
      </c>
      <c r="K410">
        <f>I410-G410</f>
        <v/>
      </c>
      <c r="M410">
        <f>R410=E410</f>
        <v/>
      </c>
      <c r="N410">
        <f>AND(MONTH(F410)=MONTH(Q410), YEAR(F410)=YEAR(Q410))</f>
        <v/>
      </c>
      <c r="O410">
        <f>"L001-902303751"=S410</f>
        <v/>
      </c>
      <c r="P410">
        <f>G410-U410</f>
        <v/>
      </c>
      <c r="Q410" s="35" t="n">
        <v>45282</v>
      </c>
      <c r="R410" t="n">
        <v>188692</v>
      </c>
      <c r="S410" t="inlineStr">
        <is>
          <t>K009-901605081</t>
        </is>
      </c>
      <c r="T410" t="inlineStr">
        <is>
          <t>ទ្រូ ខមភែនៀន ឡូជីស្ទីក (ខេមបូឌា)</t>
        </is>
      </c>
      <c r="U410" t="n">
        <v>188692</v>
      </c>
      <c r="V410" t="n">
        <v>0</v>
      </c>
    </row>
    <row r="411">
      <c r="A411" t="n">
        <v>410</v>
      </c>
      <c r="B411" t="inlineStr">
        <is>
          <t>Charge from warehouse and Storage Charges</t>
        </is>
      </c>
      <c r="C411" t="inlineStr">
        <is>
          <t>កំពង់ផែស្វយ័តក្រុងព្រះសីហនុ</t>
        </is>
      </c>
      <c r="D411" t="inlineStr">
        <is>
          <t>L001-100044638</t>
        </is>
      </c>
      <c r="E411" t="inlineStr">
        <is>
          <t>075853</t>
        </is>
      </c>
      <c r="F411" t="inlineStr">
        <is>
          <t>25-04-2024</t>
        </is>
      </c>
      <c r="G411" t="n">
        <v>661</v>
      </c>
      <c r="I411">
        <f>G411</f>
        <v/>
      </c>
      <c r="K411">
        <f>I411-G411</f>
        <v/>
      </c>
      <c r="M411">
        <f>R411=E411</f>
        <v/>
      </c>
      <c r="N411">
        <f>AND(MONTH(F411)=MONTH(Q411), YEAR(F411)=YEAR(Q411))</f>
        <v/>
      </c>
      <c r="O411">
        <f>"L001-902303751"=S411</f>
        <v/>
      </c>
      <c r="P411">
        <f>G411-U411</f>
        <v/>
      </c>
      <c r="Q411" s="35" t="n">
        <v>45267</v>
      </c>
      <c r="R411" t="n">
        <v>189336</v>
      </c>
      <c r="S411" t="inlineStr">
        <is>
          <t>K009-901605081</t>
        </is>
      </c>
      <c r="T411" t="inlineStr">
        <is>
          <t>ទ្រូ ខមភែនៀន ឡូជីស្ទីក (ខេមបូឌា)</t>
        </is>
      </c>
      <c r="U411" t="n">
        <v>189336</v>
      </c>
      <c r="V411" t="n">
        <v>0</v>
      </c>
    </row>
    <row r="412">
      <c r="A412" t="n">
        <v>411</v>
      </c>
      <c r="B412" t="inlineStr">
        <is>
          <t>Import Shipment Expense</t>
        </is>
      </c>
      <c r="C412" t="inlineStr">
        <is>
          <t>ហ្វ្រេត ខនសិប (ខេមបូឌា)</t>
        </is>
      </c>
      <c r="D412" t="inlineStr">
        <is>
          <t>K009-901502482</t>
        </is>
      </c>
      <c r="E412" t="inlineStr">
        <is>
          <t>240352</t>
        </is>
      </c>
      <c r="F412" t="inlineStr">
        <is>
          <t>18-04-2024</t>
        </is>
      </c>
      <c r="G412" t="n">
        <v>77017</v>
      </c>
      <c r="I412">
        <f>G412</f>
        <v/>
      </c>
      <c r="K412">
        <f>I412-G412</f>
        <v/>
      </c>
      <c r="M412">
        <f>R412=E412</f>
        <v/>
      </c>
      <c r="N412">
        <f>AND(MONTH(F412)=MONTH(Q412), YEAR(F412)=YEAR(Q412))</f>
        <v/>
      </c>
      <c r="O412">
        <f>"L001-902303751"=S412</f>
        <v/>
      </c>
      <c r="P412">
        <f>G412-U412</f>
        <v/>
      </c>
      <c r="Q412" s="35" t="n">
        <v>45264</v>
      </c>
      <c r="R412" t="inlineStr"/>
      <c r="S412" t="inlineStr">
        <is>
          <t>K003-901635943</t>
        </is>
      </c>
      <c r="T412" t="inlineStr">
        <is>
          <t>អ៊ីឃ្យូឡាញ វើលវ៉ាយដ៍ ឡូជីស្ទីក</t>
        </is>
      </c>
      <c r="U412" t="n">
        <v>0</v>
      </c>
      <c r="V412" t="n">
        <v>0</v>
      </c>
    </row>
    <row r="413">
      <c r="A413" t="n">
        <v>412</v>
      </c>
      <c r="B413" t="inlineStr">
        <is>
          <t>Customs Clearance Fee</t>
        </is>
      </c>
      <c r="C413" t="inlineStr">
        <is>
          <t>ត្រាយអ៊ែងហ្គល ឡូជីស្ទីក (ខេមបូឌា) ឯ.ក</t>
        </is>
      </c>
      <c r="D413" t="inlineStr">
        <is>
          <t>K010-902101743</t>
        </is>
      </c>
      <c r="E413" t="inlineStr">
        <is>
          <t>TAG-24-00292</t>
        </is>
      </c>
      <c r="F413" t="inlineStr">
        <is>
          <t>29-04-2024</t>
        </is>
      </c>
      <c r="G413" t="n">
        <v>8124</v>
      </c>
      <c r="I413">
        <f>G413</f>
        <v/>
      </c>
      <c r="K413">
        <f>I413-G413</f>
        <v/>
      </c>
      <c r="M413">
        <f>R413=E413</f>
        <v/>
      </c>
      <c r="N413">
        <f>AND(MONTH(F413)=MONTH(Q413), YEAR(F413)=YEAR(Q413))</f>
        <v/>
      </c>
      <c r="O413">
        <f>"L001-902303751"=S413</f>
        <v/>
      </c>
      <c r="P413">
        <f>G413-U413</f>
        <v/>
      </c>
      <c r="Q413" s="35" t="n">
        <v>45266</v>
      </c>
      <c r="R413" t="n">
        <v>131648</v>
      </c>
      <c r="S413" t="inlineStr">
        <is>
          <t>K009-901605081</t>
        </is>
      </c>
      <c r="T413" t="inlineStr">
        <is>
          <t>ទ្រូ ខមភែនៀន ឡូជីស្ទីក (ខេមបូឌា)</t>
        </is>
      </c>
      <c r="U413" t="n">
        <v>131648</v>
      </c>
      <c r="V413" t="n">
        <v>0</v>
      </c>
    </row>
    <row r="414">
      <c r="A414" t="n">
        <v>413</v>
      </c>
      <c r="B414" t="inlineStr">
        <is>
          <t>Cargo Terminal</t>
        </is>
      </c>
      <c r="C414" t="inlineStr">
        <is>
          <t>សូស៊ីយេតេ កុងសេស្យូនែរ ដឺ ឡាអេរ៉ូព័រ</t>
        </is>
      </c>
      <c r="D414" t="inlineStr">
        <is>
          <t>L001-100047300</t>
        </is>
      </c>
      <c r="E414" t="inlineStr">
        <is>
          <t>2400-027471</t>
        </is>
      </c>
      <c r="F414" t="inlineStr">
        <is>
          <t>19-04-2024</t>
        </is>
      </c>
      <c r="G414" t="n">
        <v>15993</v>
      </c>
      <c r="I414">
        <f>G414</f>
        <v/>
      </c>
      <c r="K414">
        <f>I414-G414</f>
        <v/>
      </c>
      <c r="M414">
        <f>R414=E414</f>
        <v/>
      </c>
      <c r="N414">
        <f>AND(MONTH(F414)=MONTH(Q414), YEAR(F414)=YEAR(Q414))</f>
        <v/>
      </c>
      <c r="O414">
        <f>"L001-902303751"=S414</f>
        <v/>
      </c>
      <c r="P414">
        <f>G414-U414</f>
        <v/>
      </c>
      <c r="Q414" s="35" t="n">
        <v>45278</v>
      </c>
      <c r="R414" t="n">
        <v>207194</v>
      </c>
      <c r="S414" t="inlineStr">
        <is>
          <t>K003-901635943</t>
        </is>
      </c>
      <c r="T414" t="inlineStr">
        <is>
          <t>អ៊ីឃ្យូឡាញ វើលវ៉ាយដ៍ ឡូជីស្ទីក</t>
        </is>
      </c>
      <c r="U414" t="n">
        <v>207194</v>
      </c>
      <c r="V414" t="n">
        <v>0</v>
      </c>
    </row>
    <row r="415">
      <c r="A415" t="n">
        <v>414</v>
      </c>
      <c r="B415" t="inlineStr">
        <is>
          <t>Airway bill fee and Handling Agency fee</t>
        </is>
      </c>
      <c r="C415" t="inlineStr">
        <is>
          <t>ត្រេន ស្តារ ហ្រេ្វត</t>
        </is>
      </c>
      <c r="D415" t="inlineStr">
        <is>
          <t>L001-100011888</t>
        </is>
      </c>
      <c r="E415" t="inlineStr">
        <is>
          <t>PPTI24-04107</t>
        </is>
      </c>
      <c r="F415" t="inlineStr">
        <is>
          <t>18-04-2024</t>
        </is>
      </c>
      <c r="G415" t="n">
        <v>34383</v>
      </c>
      <c r="I415">
        <f>G415</f>
        <v/>
      </c>
      <c r="K415">
        <f>I415-G415</f>
        <v/>
      </c>
      <c r="M415">
        <f>R415=E415</f>
        <v/>
      </c>
      <c r="N415">
        <f>AND(MONTH(F415)=MONTH(Q415), YEAR(F415)=YEAR(Q415))</f>
        <v/>
      </c>
      <c r="O415">
        <f>"L001-902303751"=S415</f>
        <v/>
      </c>
      <c r="P415">
        <f>G415-U415</f>
        <v/>
      </c>
      <c r="Q415" s="35" t="n">
        <v>45278</v>
      </c>
      <c r="R415" t="inlineStr"/>
      <c r="S415" t="inlineStr">
        <is>
          <t>K003-901635943</t>
        </is>
      </c>
      <c r="T415" t="inlineStr">
        <is>
          <t>អ៊ីឃ្យូឡាញ វើលវ៉ាយដ៍ ឡូជីស្ទីក</t>
        </is>
      </c>
      <c r="U415" t="n">
        <v>0</v>
      </c>
      <c r="V415" t="n">
        <v>0</v>
      </c>
    </row>
    <row r="416">
      <c r="A416" t="n">
        <v>415</v>
      </c>
      <c r="B416" t="inlineStr">
        <is>
          <t>Customs Clearance Fee and Trucking Fee</t>
        </is>
      </c>
      <c r="C416" t="inlineStr">
        <is>
          <t>ត្រាយអ៊ែងហ្គល ឡូជីស្ទីក (ខេមបូឌា) ឯ.ក</t>
        </is>
      </c>
      <c r="D416" t="inlineStr">
        <is>
          <t>K010-902101743</t>
        </is>
      </c>
      <c r="E416" t="inlineStr">
        <is>
          <t>TAG-24-00270</t>
        </is>
      </c>
      <c r="F416" t="inlineStr">
        <is>
          <t>22-04-2024</t>
        </is>
      </c>
      <c r="G416" t="n">
        <v>28448</v>
      </c>
      <c r="I416">
        <f>G416</f>
        <v/>
      </c>
      <c r="K416">
        <f>I416-G416</f>
        <v/>
      </c>
      <c r="M416">
        <f>R416=E416</f>
        <v/>
      </c>
      <c r="N416">
        <f>AND(MONTH(F416)=MONTH(Q416), YEAR(F416)=YEAR(Q416))</f>
        <v/>
      </c>
      <c r="O416">
        <f>"L001-902303751"=S416</f>
        <v/>
      </c>
      <c r="P416">
        <f>G416-U416</f>
        <v/>
      </c>
      <c r="Q416" s="35" t="n">
        <v>45274</v>
      </c>
      <c r="R416" t="n">
        <v>189014</v>
      </c>
      <c r="S416" t="inlineStr">
        <is>
          <t>K009-901605081</t>
        </is>
      </c>
      <c r="T416" t="inlineStr">
        <is>
          <t>ទ្រូ ខមភែនៀន ឡូជីស្ទីក (ខេមបូឌា)</t>
        </is>
      </c>
      <c r="U416" t="n">
        <v>189014</v>
      </c>
      <c r="V416" t="n">
        <v>0</v>
      </c>
    </row>
    <row r="417">
      <c r="A417" t="n">
        <v>416</v>
      </c>
      <c r="B417" t="inlineStr">
        <is>
          <t>Gate Fee Charage</t>
        </is>
      </c>
      <c r="C417" t="inlineStr">
        <is>
          <t>កំពង់ផែស្វយ័តភ្នំពេញ "ក.ស.ភ"</t>
        </is>
      </c>
      <c r="D417" t="inlineStr">
        <is>
          <t>L001-100044999</t>
        </is>
      </c>
      <c r="E417" t="inlineStr">
        <is>
          <t>INV20240422600</t>
        </is>
      </c>
      <c r="F417" t="inlineStr">
        <is>
          <t>24-04-2024</t>
        </is>
      </c>
      <c r="G417" t="n">
        <v>812</v>
      </c>
      <c r="I417">
        <f>G417</f>
        <v/>
      </c>
      <c r="K417">
        <f>I417-G417</f>
        <v/>
      </c>
      <c r="M417">
        <f>R417=E417</f>
        <v/>
      </c>
      <c r="N417">
        <f>AND(MONTH(F417)=MONTH(Q417), YEAR(F417)=YEAR(Q417))</f>
        <v/>
      </c>
      <c r="O417">
        <f>"L001-902303751"=S417</f>
        <v/>
      </c>
      <c r="P417">
        <f>G417-U417</f>
        <v/>
      </c>
      <c r="Q417" s="35" t="n">
        <v>45267</v>
      </c>
      <c r="R417" t="n">
        <v>2243220</v>
      </c>
      <c r="S417" t="inlineStr">
        <is>
          <t>K009-901605081</t>
        </is>
      </c>
      <c r="T417" t="inlineStr">
        <is>
          <t>ទ្រូ ខមភែនៀន ឡូជីស្ទីក (ខេមបូឌា)</t>
        </is>
      </c>
      <c r="U417" t="n">
        <v>2243220</v>
      </c>
      <c r="V417" t="n">
        <v>0</v>
      </c>
    </row>
    <row r="418">
      <c r="A418" t="n">
        <v>417</v>
      </c>
      <c r="B418" t="inlineStr">
        <is>
          <t>Terminal Handling Charge, CFS FEE, Scanner Fee, CIC Fee, Agency Fee, D/O Fee, Documentation Fee, Handling Fee, Ex-work charge and Ocean Freight Charge</t>
        </is>
      </c>
      <c r="C418" t="inlineStr">
        <is>
          <t>ភី.ដាប់បែលយូ. ស្កេនវែល ឡូជីស្ទីក (ខេមបូឌា)</t>
        </is>
      </c>
      <c r="D418" t="inlineStr">
        <is>
          <t>K002-107011379</t>
        </is>
      </c>
      <c r="E418" t="inlineStr">
        <is>
          <t>240400079</t>
        </is>
      </c>
      <c r="F418" t="inlineStr">
        <is>
          <t>18-04-2024</t>
        </is>
      </c>
      <c r="G418" t="n">
        <v>1483441</v>
      </c>
      <c r="I418">
        <f>G418</f>
        <v/>
      </c>
      <c r="K418">
        <f>I418-G418</f>
        <v/>
      </c>
      <c r="M418">
        <f>R418=E418</f>
        <v/>
      </c>
      <c r="N418">
        <f>AND(MONTH(F418)=MONTH(Q418), YEAR(F418)=YEAR(Q418))</f>
        <v/>
      </c>
      <c r="O418">
        <f>"L001-902303751"=S418</f>
        <v/>
      </c>
      <c r="P418">
        <f>G418-U418</f>
        <v/>
      </c>
      <c r="Q418" s="35" t="n">
        <v>45268</v>
      </c>
      <c r="R418" t="n">
        <v>85181</v>
      </c>
      <c r="S418" t="inlineStr">
        <is>
          <t>K009-901605081</t>
        </is>
      </c>
      <c r="T418" t="inlineStr">
        <is>
          <t>ទ្រូ ខមភែនៀន ឡូជីស្ទីក (ខេមបូឌា)</t>
        </is>
      </c>
      <c r="U418" t="n">
        <v>85181</v>
      </c>
      <c r="V418" t="n">
        <v>0</v>
      </c>
    </row>
    <row r="419">
      <c r="A419" t="n">
        <v>418</v>
      </c>
      <c r="B419" t="inlineStr">
        <is>
          <t>Customs Clearance Fee and Trucking Fee</t>
        </is>
      </c>
      <c r="C419" t="inlineStr">
        <is>
          <t>ត្រាយអ៊ែងហ្គល ឡូជីស្ទីក (ខេមបូឌា) ឯ.ក</t>
        </is>
      </c>
      <c r="D419" t="inlineStr">
        <is>
          <t>K010-902101743</t>
        </is>
      </c>
      <c r="E419" t="inlineStr">
        <is>
          <t>TAG-24-00272</t>
        </is>
      </c>
      <c r="F419" t="inlineStr">
        <is>
          <t>22-04-2024</t>
        </is>
      </c>
      <c r="G419" t="n">
        <v>28448</v>
      </c>
      <c r="I419">
        <f>G419</f>
        <v/>
      </c>
      <c r="K419">
        <f>I419-G419</f>
        <v/>
      </c>
      <c r="M419">
        <f>R419=E419</f>
        <v/>
      </c>
      <c r="N419">
        <f>AND(MONTH(F419)=MONTH(Q419), YEAR(F419)=YEAR(Q419))</f>
        <v/>
      </c>
      <c r="O419">
        <f>"L001-902303751"=S419</f>
        <v/>
      </c>
      <c r="P419">
        <f>G419-U419</f>
        <v/>
      </c>
      <c r="Q419" s="35" t="n">
        <v>45636</v>
      </c>
      <c r="R419" t="n">
        <v>185150</v>
      </c>
      <c r="S419" t="inlineStr">
        <is>
          <t>K009-901605081</t>
        </is>
      </c>
      <c r="T419" t="inlineStr">
        <is>
          <t>ទ្រូ ខមភែនៀន ឡូជីស្ទីក (ខេមបូឌា)</t>
        </is>
      </c>
      <c r="U419" t="n">
        <v>185150</v>
      </c>
      <c r="V419" t="n">
        <v>0</v>
      </c>
    </row>
    <row r="420">
      <c r="A420" t="n">
        <v>419</v>
      </c>
      <c r="B420" t="inlineStr">
        <is>
          <t>Cargo Terminal</t>
        </is>
      </c>
      <c r="C420" t="inlineStr">
        <is>
          <t>សូស៊ីយេតេ កុងសេស្យូនែរ ដឺ ឡាអេរ៉ូព័រ</t>
        </is>
      </c>
      <c r="D420" t="inlineStr">
        <is>
          <t>L001-100047300</t>
        </is>
      </c>
      <c r="E420" t="inlineStr">
        <is>
          <t>2400-028003</t>
        </is>
      </c>
      <c r="F420" t="inlineStr">
        <is>
          <t>22-04-2024</t>
        </is>
      </c>
      <c r="G420" t="n">
        <v>7511</v>
      </c>
      <c r="I420">
        <f>G420</f>
        <v/>
      </c>
      <c r="K420">
        <f>I420-G420</f>
        <v/>
      </c>
      <c r="M420">
        <f>R420=E420</f>
        <v/>
      </c>
      <c r="N420">
        <f>AND(MONTH(F420)=MONTH(Q420), YEAR(F420)=YEAR(Q420))</f>
        <v/>
      </c>
      <c r="O420">
        <f>"L001-902303751"=S420</f>
        <v/>
      </c>
      <c r="P420">
        <f>G420-U420</f>
        <v/>
      </c>
      <c r="Q420" s="35" t="n">
        <v>45649</v>
      </c>
      <c r="R420" t="n">
        <v>237582</v>
      </c>
      <c r="S420" t="inlineStr">
        <is>
          <t>L001-104015799</t>
        </is>
      </c>
      <c r="T420" t="inlineStr">
        <is>
          <t>យូសេន ឡូជីស្ទីក (ខេមបូឌា) ខូ អិលធីឌី</t>
        </is>
      </c>
      <c r="U420" t="n">
        <v>237582</v>
      </c>
      <c r="V420" t="n">
        <v>0</v>
      </c>
    </row>
    <row r="421">
      <c r="A421" t="n">
        <v>420</v>
      </c>
      <c r="B421" t="inlineStr">
        <is>
          <t>Docs Fee and Handling Fee</t>
        </is>
      </c>
      <c r="C421" t="inlineStr">
        <is>
          <t>អិមអាយ ឡូជីកស៍ (ខេមបូឌា)</t>
        </is>
      </c>
      <c r="D421" t="inlineStr">
        <is>
          <t>K009-107021862</t>
        </is>
      </c>
      <c r="E421" t="inlineStr">
        <is>
          <t>MII202404-004</t>
        </is>
      </c>
      <c r="F421" t="inlineStr">
        <is>
          <t>19-04-2024</t>
        </is>
      </c>
      <c r="G421" t="n">
        <v>24378</v>
      </c>
      <c r="I421">
        <f>G421</f>
        <v/>
      </c>
      <c r="K421">
        <f>I421-G421</f>
        <v/>
      </c>
      <c r="M421">
        <f>R421=E421</f>
        <v/>
      </c>
      <c r="N421">
        <f>AND(MONTH(F421)=MONTH(Q421), YEAR(F421)=YEAR(Q421))</f>
        <v/>
      </c>
      <c r="O421">
        <f>"L001-902303751"=S421</f>
        <v/>
      </c>
      <c r="P421">
        <f>G421-U421</f>
        <v/>
      </c>
      <c r="Q421" s="35" t="n">
        <v>45636</v>
      </c>
      <c r="R421" t="n">
        <v>185150</v>
      </c>
      <c r="S421" t="inlineStr">
        <is>
          <t>K009-901605081</t>
        </is>
      </c>
      <c r="T421" t="inlineStr">
        <is>
          <t>ទ្រូ ខមភែនៀន ឡូជីស្ទីក (ខេមបូឌា)</t>
        </is>
      </c>
      <c r="U421" t="n">
        <v>185150</v>
      </c>
      <c r="V421" t="n">
        <v>0</v>
      </c>
    </row>
    <row r="422">
      <c r="A422" t="n">
        <v>421</v>
      </c>
      <c r="B422" t="inlineStr">
        <is>
          <t>Cargo Terminal</t>
        </is>
      </c>
      <c r="C422" t="inlineStr">
        <is>
          <t>សូស៊ីយេតេ កុងសេស្យូនែរ ដឺ ឡាអេរ៉ូព័រ</t>
        </is>
      </c>
      <c r="D422" t="inlineStr">
        <is>
          <t>L001-100047300</t>
        </is>
      </c>
      <c r="E422" t="inlineStr">
        <is>
          <t>2400-025290</t>
        </is>
      </c>
      <c r="F422" t="inlineStr">
        <is>
          <t>09-04-2024</t>
        </is>
      </c>
      <c r="G422" t="n">
        <v>4397</v>
      </c>
      <c r="I422">
        <f>G422</f>
        <v/>
      </c>
      <c r="K422">
        <f>I422-G422</f>
        <v/>
      </c>
      <c r="M422">
        <f>R422=E422</f>
        <v/>
      </c>
      <c r="N422">
        <f>AND(MONTH(F422)=MONTH(Q422), YEAR(F422)=YEAR(Q422))</f>
        <v/>
      </c>
      <c r="O422">
        <f>"L001-902303751"=S422</f>
        <v/>
      </c>
      <c r="P422">
        <f>G422-U422</f>
        <v/>
      </c>
      <c r="Q422" s="35" t="n">
        <v>45649</v>
      </c>
      <c r="R422" t="n">
        <v>83214</v>
      </c>
      <c r="S422" t="inlineStr">
        <is>
          <t>K009-901605081</t>
        </is>
      </c>
      <c r="T422" t="inlineStr">
        <is>
          <t>ទ្រូ ខមភែនៀន ឡូជីស្ទីក (ខេមបូឌា)</t>
        </is>
      </c>
      <c r="U422" t="n">
        <v>83214</v>
      </c>
      <c r="V422" t="n">
        <v>0</v>
      </c>
    </row>
    <row r="423">
      <c r="A423" t="n">
        <v>422</v>
      </c>
      <c r="B423" t="inlineStr">
        <is>
          <t>Customs Clearance Fee and Trucking Fee</t>
        </is>
      </c>
      <c r="C423" t="inlineStr">
        <is>
          <t>ត្រាយអ៊ែងហ្គល ឡូជីស្ទីក (ខេមបូឌា) ឯ.ក</t>
        </is>
      </c>
      <c r="D423" t="inlineStr">
        <is>
          <t>K010-902101743</t>
        </is>
      </c>
      <c r="E423" t="inlineStr">
        <is>
          <t>TAG-24-00238</t>
        </is>
      </c>
      <c r="F423" t="inlineStr">
        <is>
          <t>09-04-2024</t>
        </is>
      </c>
      <c r="G423" t="n">
        <v>28287</v>
      </c>
      <c r="I423">
        <f>G423</f>
        <v/>
      </c>
      <c r="K423">
        <f>I423-G423</f>
        <v/>
      </c>
      <c r="M423">
        <f>R423=E423</f>
        <v/>
      </c>
      <c r="N423">
        <f>AND(MONTH(F423)=MONTH(Q423), YEAR(F423)=YEAR(Q423))</f>
        <v/>
      </c>
      <c r="O423">
        <f>"L001-902303751"=S423</f>
        <v/>
      </c>
      <c r="P423">
        <f>G423-U423</f>
        <v/>
      </c>
      <c r="Q423" s="35" t="n">
        <v>45653</v>
      </c>
      <c r="R423" t="n">
        <v>184966</v>
      </c>
      <c r="S423" t="inlineStr">
        <is>
          <t>K009-901605081</t>
        </is>
      </c>
      <c r="T423" t="inlineStr">
        <is>
          <t>ទ្រូ ខមភែនៀន ឡូជីស្ទីក (ខេមបូឌា)</t>
        </is>
      </c>
      <c r="U423" t="n">
        <v>184966</v>
      </c>
      <c r="V423" t="n">
        <v>0</v>
      </c>
    </row>
    <row r="424">
      <c r="A424" t="n">
        <v>423</v>
      </c>
      <c r="B424" t="inlineStr">
        <is>
          <t>Cargo Terminal</t>
        </is>
      </c>
      <c r="C424" t="inlineStr">
        <is>
          <t>សូស៊ីយេតេ កុងសេស្យូនែរ ដឺ ឡាអេរ៉ូព័រ</t>
        </is>
      </c>
      <c r="D424" t="inlineStr">
        <is>
          <t>L001-100047300</t>
        </is>
      </c>
      <c r="E424" t="inlineStr">
        <is>
          <t>2400-024173</t>
        </is>
      </c>
      <c r="F424" t="inlineStr">
        <is>
          <t>06-04-2024</t>
        </is>
      </c>
      <c r="G424" t="n">
        <v>13288</v>
      </c>
      <c r="I424">
        <f>G424</f>
        <v/>
      </c>
      <c r="K424">
        <f>I424-G424</f>
        <v/>
      </c>
      <c r="M424">
        <f>R424=E424</f>
        <v/>
      </c>
      <c r="N424">
        <f>AND(MONTH(F424)=MONTH(Q424), YEAR(F424)=YEAR(Q424))</f>
        <v/>
      </c>
      <c r="O424">
        <f>"L001-902303751"=S424</f>
        <v/>
      </c>
      <c r="P424">
        <f>G424-U424</f>
        <v/>
      </c>
      <c r="Q424" s="35" t="n">
        <v>45656</v>
      </c>
      <c r="R424" t="n">
        <v>111465</v>
      </c>
      <c r="S424" t="inlineStr">
        <is>
          <t>L001-104015799</t>
        </is>
      </c>
      <c r="T424" t="inlineStr">
        <is>
          <t>យូសេន ឡូជីស្ទីក (ខេមបូឌា) ខូ អិលធីឌី</t>
        </is>
      </c>
      <c r="U424" t="n">
        <v>111465</v>
      </c>
      <c r="V424" t="n">
        <v>0</v>
      </c>
    </row>
    <row r="425">
      <c r="A425" t="n">
        <v>424</v>
      </c>
      <c r="B425" t="inlineStr">
        <is>
          <t>Customs Clearance Fee and Agency Fee</t>
        </is>
      </c>
      <c r="C425" t="inlineStr">
        <is>
          <t>ត្រាយអ៊ែងហ្គល ឡូជីស្ទីក (ខេមបូឌា) ឯ.ក</t>
        </is>
      </c>
      <c r="D425" t="inlineStr">
        <is>
          <t>K010-902101743</t>
        </is>
      </c>
      <c r="E425" t="inlineStr">
        <is>
          <t>TAG-24-00203</t>
        </is>
      </c>
      <c r="F425" t="inlineStr">
        <is>
          <t>03-04-2024</t>
        </is>
      </c>
      <c r="G425" t="n">
        <v>32328</v>
      </c>
      <c r="I425">
        <f>G425</f>
        <v/>
      </c>
      <c r="K425">
        <f>I425-G425</f>
        <v/>
      </c>
      <c r="M425">
        <f>R425=E425</f>
        <v/>
      </c>
      <c r="N425">
        <f>AND(MONTH(F425)=MONTH(Q425), YEAR(F425)=YEAR(Q425))</f>
        <v/>
      </c>
      <c r="O425">
        <f>"L001-902303751"=S425</f>
        <v/>
      </c>
      <c r="P425">
        <f>G425-U425</f>
        <v/>
      </c>
      <c r="Q425" s="35" t="n">
        <v>45642</v>
      </c>
      <c r="R425" t="n">
        <v>83193</v>
      </c>
      <c r="S425" t="inlineStr">
        <is>
          <t>K007-901702732</t>
        </is>
      </c>
      <c r="T425" t="inlineStr">
        <is>
          <t>គ្លូប៊ល ស៊ី &amp; លែន ឯ.ក</t>
        </is>
      </c>
      <c r="U425" t="n">
        <v>83193</v>
      </c>
      <c r="V425" t="n">
        <v>0</v>
      </c>
    </row>
    <row r="426">
      <c r="A426" t="n">
        <v>425</v>
      </c>
      <c r="B426" t="inlineStr">
        <is>
          <t>Customs Clearance Fee and Trucking Fee</t>
        </is>
      </c>
      <c r="C426" t="inlineStr">
        <is>
          <t>ត្រាយអ៊ែងហ្គល ឡូជីស្ទីក (ខេមបូឌា) ឯ.ក</t>
        </is>
      </c>
      <c r="D426" t="inlineStr">
        <is>
          <t>K010-902101743</t>
        </is>
      </c>
      <c r="E426" t="inlineStr">
        <is>
          <t>TAG-24-00227</t>
        </is>
      </c>
      <c r="F426" t="inlineStr">
        <is>
          <t>08-04-2024</t>
        </is>
      </c>
      <c r="G426" t="n">
        <v>68680</v>
      </c>
      <c r="I426">
        <f>G426</f>
        <v/>
      </c>
      <c r="K426">
        <f>I426-G426</f>
        <v/>
      </c>
      <c r="M426">
        <f>R426=E426</f>
        <v/>
      </c>
      <c r="N426">
        <f>AND(MONTH(F426)=MONTH(Q426), YEAR(F426)=YEAR(Q426))</f>
        <v/>
      </c>
      <c r="O426">
        <f>"L001-902303751"=S426</f>
        <v/>
      </c>
      <c r="P426">
        <f>G426-U426</f>
        <v/>
      </c>
      <c r="Q426" s="35" t="n">
        <v>45643</v>
      </c>
      <c r="R426" t="n">
        <v>184874</v>
      </c>
      <c r="S426" t="inlineStr">
        <is>
          <t>K009-901605081</t>
        </is>
      </c>
      <c r="T426" t="inlineStr">
        <is>
          <t>ទ្រូ ខមភែនៀន ឡូជីស្ទីក (ខេមបូឌា)</t>
        </is>
      </c>
      <c r="U426" t="n">
        <v>184874</v>
      </c>
      <c r="V426" t="n">
        <v>0</v>
      </c>
    </row>
    <row r="427">
      <c r="A427" t="n">
        <v>426</v>
      </c>
      <c r="B427" t="inlineStr">
        <is>
          <t>Lift-On &amp; Lift-Off</t>
        </is>
      </c>
      <c r="C427" t="inlineStr">
        <is>
          <t>កំពង់ផែស្វយ័តក្រុងព្រះសីហនុ</t>
        </is>
      </c>
      <c r="D427" t="inlineStr">
        <is>
          <t>L001-100044638</t>
        </is>
      </c>
      <c r="E427" t="inlineStr">
        <is>
          <t>062057</t>
        </is>
      </c>
      <c r="F427" t="inlineStr">
        <is>
          <t>06-04-2024</t>
        </is>
      </c>
      <c r="G427" t="n">
        <v>23034</v>
      </c>
      <c r="I427">
        <f>G427</f>
        <v/>
      </c>
      <c r="K427">
        <f>I427-G427</f>
        <v/>
      </c>
      <c r="M427">
        <f>R427=E427</f>
        <v/>
      </c>
      <c r="N427">
        <f>AND(MONTH(F427)=MONTH(Q427), YEAR(F427)=YEAR(Q427))</f>
        <v/>
      </c>
      <c r="O427">
        <f>"L001-902303751"=S427</f>
        <v/>
      </c>
      <c r="P427">
        <f>G427-U427</f>
        <v/>
      </c>
      <c r="Q427" s="35" t="n">
        <v>45635</v>
      </c>
      <c r="R427" t="n">
        <v>83359</v>
      </c>
      <c r="S427" t="inlineStr">
        <is>
          <t>K009-901605081</t>
        </is>
      </c>
      <c r="T427" t="inlineStr">
        <is>
          <t>ទ្រូ ខមភែនៀន ឡូជីស្ទីក (ខេមបូឌា)</t>
        </is>
      </c>
      <c r="U427" t="n">
        <v>83359</v>
      </c>
      <c r="V427" t="n">
        <v>0</v>
      </c>
    </row>
    <row r="428">
      <c r="A428" t="n">
        <v>427</v>
      </c>
      <c r="B428" t="inlineStr">
        <is>
          <t>THC, EMF, 3 PARTY TRUCKING, CIC, R/O, DOC FEE and HANDLING FEE</t>
        </is>
      </c>
      <c r="C428" t="inlineStr">
        <is>
          <t>ខេអិលអិន ហ្វ្រេត (ខេមបូឌា) ឯ.ក</t>
        </is>
      </c>
      <c r="D428" t="inlineStr">
        <is>
          <t>L001-100074669</t>
        </is>
      </c>
      <c r="E428" t="inlineStr">
        <is>
          <t>IVO05777</t>
        </is>
      </c>
      <c r="F428" t="inlineStr">
        <is>
          <t>19-04-2024</t>
        </is>
      </c>
      <c r="G428" t="n">
        <v>124627</v>
      </c>
      <c r="I428">
        <f>G428</f>
        <v/>
      </c>
      <c r="K428">
        <f>I428-G428</f>
        <v/>
      </c>
      <c r="M428">
        <f>R428=E428</f>
        <v/>
      </c>
      <c r="N428">
        <f>AND(MONTH(F428)=MONTH(Q428), YEAR(F428)=YEAR(Q428))</f>
        <v/>
      </c>
      <c r="O428">
        <f>"L001-902303751"=S428</f>
        <v/>
      </c>
      <c r="P428">
        <f>G428-U428</f>
        <v/>
      </c>
      <c r="Q428" s="35" t="n">
        <v>45636</v>
      </c>
      <c r="R428" t="n">
        <v>25760</v>
      </c>
      <c r="S428" t="inlineStr">
        <is>
          <t>K002-901635875</t>
        </is>
      </c>
      <c r="T428" t="inlineStr">
        <is>
          <t>ដាត គ្លូប៊ល ឡូជីស្ទីក (ខេមបូឌា)</t>
        </is>
      </c>
      <c r="U428" t="n">
        <v>25760</v>
      </c>
      <c r="V428" t="n">
        <v>0</v>
      </c>
    </row>
    <row r="429">
      <c r="A429" t="n">
        <v>428</v>
      </c>
      <c r="B429" t="inlineStr">
        <is>
          <t>Customs Clearance Fee and Trucking Fee</t>
        </is>
      </c>
      <c r="C429" t="inlineStr">
        <is>
          <t>ត្រាយអ៊ែងហ្គល ឡូជីស្ទីក (ខេមបូឌា) ឯ.ក</t>
        </is>
      </c>
      <c r="D429" t="inlineStr">
        <is>
          <t>K010-902101743</t>
        </is>
      </c>
      <c r="E429" t="inlineStr">
        <is>
          <t>TAG-24-00257</t>
        </is>
      </c>
      <c r="F429" t="inlineStr">
        <is>
          <t>19-04-2024</t>
        </is>
      </c>
      <c r="G429" t="n">
        <v>32504</v>
      </c>
      <c r="I429">
        <f>G429</f>
        <v/>
      </c>
      <c r="K429">
        <f>I429-G429</f>
        <v/>
      </c>
      <c r="M429">
        <f>R429=E429</f>
        <v/>
      </c>
      <c r="N429">
        <f>AND(MONTH(F429)=MONTH(Q429), YEAR(F429)=YEAR(Q429))</f>
        <v/>
      </c>
      <c r="O429">
        <f>"L001-902303751"=S429</f>
        <v/>
      </c>
      <c r="P429">
        <f>G429-U429</f>
        <v/>
      </c>
      <c r="Q429" s="35" t="n">
        <v>45652</v>
      </c>
      <c r="R429" t="n">
        <v>220990</v>
      </c>
      <c r="S429" t="inlineStr">
        <is>
          <t>L001-106004107</t>
        </is>
      </c>
      <c r="T429" t="inlineStr">
        <is>
          <t>ត្រេនម៉ារីន ឡូជីស្ទីក (ខេមបូឌា)</t>
        </is>
      </c>
      <c r="U429" t="n">
        <v>220990</v>
      </c>
      <c r="V429" t="n">
        <v>0</v>
      </c>
    </row>
    <row r="430">
      <c r="A430" t="n">
        <v>429</v>
      </c>
      <c r="B430" t="inlineStr">
        <is>
          <t>Charge from warehouse and Storage Charges</t>
        </is>
      </c>
      <c r="C430" t="inlineStr">
        <is>
          <t>កំពង់ផែស្វយ័តក្រុងព្រះសីហនុ</t>
        </is>
      </c>
      <c r="D430" t="inlineStr">
        <is>
          <t>L001-100044638</t>
        </is>
      </c>
      <c r="E430" t="inlineStr">
        <is>
          <t>070477</t>
        </is>
      </c>
      <c r="F430" t="inlineStr">
        <is>
          <t>19-04-2024</t>
        </is>
      </c>
      <c r="G430" t="n">
        <v>1489</v>
      </c>
      <c r="I430">
        <f>G430</f>
        <v/>
      </c>
      <c r="K430">
        <f>I430-G430</f>
        <v/>
      </c>
      <c r="M430">
        <f>R430=E430</f>
        <v/>
      </c>
      <c r="N430">
        <f>AND(MONTH(F430)=MONTH(Q430), YEAR(F430)=YEAR(Q430))</f>
        <v/>
      </c>
      <c r="O430">
        <f>"L001-902303751"=S430</f>
        <v/>
      </c>
      <c r="P430">
        <f>G430-U430</f>
        <v/>
      </c>
      <c r="Q430" s="35" t="n">
        <v>45653</v>
      </c>
      <c r="R430" t="n">
        <v>2191445</v>
      </c>
      <c r="S430" t="inlineStr">
        <is>
          <t>K009-901605081</t>
        </is>
      </c>
      <c r="T430" t="inlineStr">
        <is>
          <t>ទ្រូ ខមភែនៀន ឡូជីស្ទីក (ខេមបូឌា)</t>
        </is>
      </c>
      <c r="U430" t="n">
        <v>2191445</v>
      </c>
      <c r="V430" t="n">
        <v>0</v>
      </c>
    </row>
    <row r="431">
      <c r="A431" t="n">
        <v>430</v>
      </c>
      <c r="B431" t="inlineStr">
        <is>
          <t>Import Shipment Expense</t>
        </is>
      </c>
      <c r="C431" t="inlineStr">
        <is>
          <t>ត្រាយអ៊ែងហ្គល ឡូជីស្ទីក (ខេមបូឌា) ឯ.ក</t>
        </is>
      </c>
      <c r="D431" t="inlineStr">
        <is>
          <t>K010-902101743</t>
        </is>
      </c>
      <c r="E431" t="inlineStr">
        <is>
          <t>TAG-24-00205</t>
        </is>
      </c>
      <c r="F431" t="inlineStr">
        <is>
          <t>05-04-2024</t>
        </is>
      </c>
      <c r="G431" t="n">
        <v>95977</v>
      </c>
      <c r="I431">
        <f>G431</f>
        <v/>
      </c>
      <c r="K431">
        <f>I431-G431</f>
        <v/>
      </c>
      <c r="M431">
        <f>R431=E431</f>
        <v/>
      </c>
      <c r="N431">
        <f>AND(MONTH(F431)=MONTH(Q431), YEAR(F431)=YEAR(Q431))</f>
        <v/>
      </c>
      <c r="O431">
        <f>"L001-902303751"=S431</f>
        <v/>
      </c>
      <c r="P431">
        <f>G431-U431</f>
        <v/>
      </c>
      <c r="Q431" s="35" t="n">
        <v>45636</v>
      </c>
      <c r="R431" t="n">
        <v>2193625</v>
      </c>
      <c r="S431" t="inlineStr">
        <is>
          <t>K009-901605081</t>
        </is>
      </c>
      <c r="T431" t="inlineStr">
        <is>
          <t>ទ្រូ ខមភែនៀន ឡូជីស្ទីក (ខេមបូឌា)</t>
        </is>
      </c>
      <c r="U431" t="n">
        <v>2193625</v>
      </c>
      <c r="V431" t="n">
        <v>0</v>
      </c>
    </row>
    <row r="432">
      <c r="A432" t="n">
        <v>431</v>
      </c>
      <c r="B432" t="inlineStr">
        <is>
          <t>Customs Clearance Fee and Trucking Fee</t>
        </is>
      </c>
      <c r="C432" t="inlineStr">
        <is>
          <t>ត្រាយអ៊ែងហ្គល ឡូជីស្ទីក (ខេមបូឌា) ឯ.ក</t>
        </is>
      </c>
      <c r="D432" t="inlineStr">
        <is>
          <t>K010-902101743</t>
        </is>
      </c>
      <c r="E432" t="inlineStr">
        <is>
          <t>TAG-24-00254</t>
        </is>
      </c>
      <c r="F432" t="inlineStr">
        <is>
          <t>11-04-2024</t>
        </is>
      </c>
      <c r="G432" t="n">
        <v>28280</v>
      </c>
      <c r="I432">
        <f>G432</f>
        <v/>
      </c>
      <c r="K432">
        <f>I432-G432</f>
        <v/>
      </c>
      <c r="M432">
        <f>R432=E432</f>
        <v/>
      </c>
      <c r="N432">
        <f>AND(MONTH(F432)=MONTH(Q432), YEAR(F432)=YEAR(Q432))</f>
        <v/>
      </c>
      <c r="O432">
        <f>"L001-902303751"=S432</f>
        <v/>
      </c>
      <c r="P432">
        <f>G432-U432</f>
        <v/>
      </c>
      <c r="Q432" s="35" t="n">
        <v>45636</v>
      </c>
      <c r="R432" t="n">
        <v>2193625</v>
      </c>
      <c r="S432" t="inlineStr">
        <is>
          <t>K009-901605081</t>
        </is>
      </c>
      <c r="T432" t="inlineStr">
        <is>
          <t>ទ្រូ ខមភែនៀន ឡូជីស្ទីក (ខេមបូឌា)</t>
        </is>
      </c>
      <c r="U432" t="n">
        <v>2193625</v>
      </c>
      <c r="V432" t="n">
        <v>0</v>
      </c>
    </row>
    <row r="433">
      <c r="A433" t="n">
        <v>432</v>
      </c>
      <c r="B433" t="inlineStr">
        <is>
          <t>Gate Fee Charage</t>
        </is>
      </c>
      <c r="C433" t="inlineStr">
        <is>
          <t>កំពង់ផែស្វយ័តភ្នំពេញ "ក.ស.ភ"</t>
        </is>
      </c>
      <c r="D433" t="inlineStr">
        <is>
          <t>L001-100044999</t>
        </is>
      </c>
      <c r="E433" t="inlineStr">
        <is>
          <t>INV20240421558</t>
        </is>
      </c>
      <c r="F433" t="inlineStr">
        <is>
          <t>19-04-2024</t>
        </is>
      </c>
      <c r="G433" t="n">
        <v>813</v>
      </c>
      <c r="I433">
        <f>G433</f>
        <v/>
      </c>
      <c r="K433">
        <f>I433-G433</f>
        <v/>
      </c>
      <c r="M433">
        <f>R433=E433</f>
        <v/>
      </c>
      <c r="N433">
        <f>AND(MONTH(F433)=MONTH(Q433), YEAR(F433)=YEAR(Q433))</f>
        <v/>
      </c>
      <c r="O433">
        <f>"L001-902303751"=S433</f>
        <v/>
      </c>
      <c r="P433">
        <f>G433-U433</f>
        <v/>
      </c>
      <c r="Q433" s="35" t="n">
        <v>45635</v>
      </c>
      <c r="R433" t="n">
        <v>2194715</v>
      </c>
      <c r="S433" t="inlineStr">
        <is>
          <t>K009-901605081</t>
        </is>
      </c>
      <c r="T433" t="inlineStr">
        <is>
          <t>ទ្រូ ខមភែនៀន ឡូជីស្ទីក (ខេមបូឌា)</t>
        </is>
      </c>
      <c r="U433" t="n">
        <v>2194715</v>
      </c>
      <c r="V433" t="n">
        <v>0</v>
      </c>
    </row>
    <row r="434">
      <c r="A434" t="n">
        <v>433</v>
      </c>
      <c r="B434" t="inlineStr">
        <is>
          <t>Import Shipment Expense</t>
        </is>
      </c>
      <c r="C434" t="inlineStr">
        <is>
          <t>អូរៀនថល ឡូជីស្ទីក &amp; ឌីស្ទ្រីប៊្យូសិន (ខេមបូឌា)</t>
        </is>
      </c>
      <c r="D434" t="inlineStr">
        <is>
          <t>L001-103007369</t>
        </is>
      </c>
      <c r="E434" t="inlineStr">
        <is>
          <t>24-3375</t>
        </is>
      </c>
      <c r="F434" t="inlineStr">
        <is>
          <t>19-04-2024</t>
        </is>
      </c>
      <c r="G434" t="n">
        <v>13408</v>
      </c>
      <c r="I434">
        <f>G434</f>
        <v/>
      </c>
      <c r="K434">
        <f>I434-G434</f>
        <v/>
      </c>
      <c r="M434">
        <f>R434=E434</f>
        <v/>
      </c>
      <c r="N434">
        <f>AND(MONTH(F434)=MONTH(Q434), YEAR(F434)=YEAR(Q434))</f>
        <v/>
      </c>
      <c r="O434">
        <f>"L001-902303751"=S434</f>
        <v/>
      </c>
      <c r="P434">
        <f>G434-U434</f>
        <v/>
      </c>
      <c r="Q434" s="35" t="n">
        <v>45649</v>
      </c>
      <c r="R434" t="n">
        <v>184920</v>
      </c>
      <c r="S434" t="inlineStr">
        <is>
          <t>K009-901605081</t>
        </is>
      </c>
      <c r="T434" t="inlineStr">
        <is>
          <t>ទ្រូ ខមភែនៀន ឡូជីស្ទីក (ខេមបូឌា)</t>
        </is>
      </c>
      <c r="U434" t="n">
        <v>184920</v>
      </c>
      <c r="V434" t="n">
        <v>0</v>
      </c>
    </row>
    <row r="435">
      <c r="A435" t="n">
        <v>434</v>
      </c>
      <c r="B435" t="inlineStr">
        <is>
          <t>Terminal Handling Charge, CFS FEE, Scanner Fee, CIC Fee, Agency Fee, D/O Fee, Documentation Fee, Handling Fee, Ex-work charge and Ocean Freight Charge</t>
        </is>
      </c>
      <c r="C435" t="inlineStr">
        <is>
          <t>ភី.ដាប់បែលយូ. ស្កេនវែល ឡូជីស្ទីក (ខេមបូឌា)</t>
        </is>
      </c>
      <c r="D435" t="inlineStr">
        <is>
          <t>K002-107011379</t>
        </is>
      </c>
      <c r="E435" t="inlineStr">
        <is>
          <t>240400077</t>
        </is>
      </c>
      <c r="F435" t="inlineStr">
        <is>
          <t>08-04-2024</t>
        </is>
      </c>
      <c r="G435" t="n">
        <v>206289</v>
      </c>
      <c r="I435">
        <f>G435</f>
        <v/>
      </c>
      <c r="K435">
        <f>I435-G435</f>
        <v/>
      </c>
      <c r="M435">
        <f>R435=E435</f>
        <v/>
      </c>
      <c r="N435">
        <f>AND(MONTH(F435)=MONTH(Q435), YEAR(F435)=YEAR(Q435))</f>
        <v/>
      </c>
      <c r="O435">
        <f>"L001-902303751"=S435</f>
        <v/>
      </c>
      <c r="P435">
        <f>G435-U435</f>
        <v/>
      </c>
      <c r="Q435" s="35" t="n">
        <v>45652</v>
      </c>
      <c r="R435" t="n">
        <v>2189810</v>
      </c>
      <c r="S435" t="inlineStr">
        <is>
          <t>K009-901605081</t>
        </is>
      </c>
      <c r="T435" t="inlineStr">
        <is>
          <t>ទ្រូ ខមភែនៀន ឡូជីស្ទីក (ខេមបូឌា)</t>
        </is>
      </c>
      <c r="U435" t="n">
        <v>2189810</v>
      </c>
      <c r="V435" t="n">
        <v>0</v>
      </c>
    </row>
    <row r="436">
      <c r="A436" t="n">
        <v>435</v>
      </c>
      <c r="B436" t="inlineStr">
        <is>
          <t>Customs Clearance Fee and Trucking Fee</t>
        </is>
      </c>
      <c r="C436" t="inlineStr">
        <is>
          <t>ត្រាយអ៊ែងហ្គល ឡូជីស្ទីក (ខេមបូឌា) ឯ.ក</t>
        </is>
      </c>
      <c r="D436" t="inlineStr">
        <is>
          <t>K010-902101743</t>
        </is>
      </c>
      <c r="E436" t="inlineStr">
        <is>
          <t>TAG-24-00237</t>
        </is>
      </c>
      <c r="F436" t="inlineStr">
        <is>
          <t>09-04-2024</t>
        </is>
      </c>
      <c r="G436" t="n">
        <v>28287</v>
      </c>
      <c r="I436">
        <f>G436</f>
        <v/>
      </c>
      <c r="K436">
        <f>I436-G436</f>
        <v/>
      </c>
      <c r="M436">
        <f>R436=E436</f>
        <v/>
      </c>
      <c r="N436">
        <f>AND(MONTH(F436)=MONTH(Q436), YEAR(F436)=YEAR(Q436))</f>
        <v/>
      </c>
      <c r="O436">
        <f>"L001-902303751"=S436</f>
        <v/>
      </c>
      <c r="P436">
        <f>G436-U436</f>
        <v/>
      </c>
      <c r="Q436" s="35" t="n">
        <v>45635</v>
      </c>
      <c r="R436" t="n">
        <v>83359</v>
      </c>
      <c r="S436" t="inlineStr">
        <is>
          <t>L001-104015799</t>
        </is>
      </c>
      <c r="T436" t="inlineStr">
        <is>
          <t>យូសេន ឡូជីស្ទីក (ខេមបូឌា) ខូ អិលធីឌី</t>
        </is>
      </c>
      <c r="U436" t="n">
        <v>83359</v>
      </c>
      <c r="V436" t="n">
        <v>0</v>
      </c>
    </row>
    <row r="437">
      <c r="A437" t="n">
        <v>436</v>
      </c>
      <c r="B437" t="inlineStr">
        <is>
          <t>Cargo Terminal</t>
        </is>
      </c>
      <c r="C437" t="inlineStr">
        <is>
          <t>សូស៊ីយេតេ កុងសេស្យូនែរ ដឺ ឡាអេរ៉ូព័រ</t>
        </is>
      </c>
      <c r="D437" t="inlineStr">
        <is>
          <t>L001-100047300</t>
        </is>
      </c>
      <c r="E437" t="inlineStr">
        <is>
          <t>2400-025289</t>
        </is>
      </c>
      <c r="F437" t="inlineStr">
        <is>
          <t>09-04-2024</t>
        </is>
      </c>
      <c r="G437" t="n">
        <v>8534</v>
      </c>
      <c r="I437">
        <f>G437</f>
        <v/>
      </c>
      <c r="K437">
        <f>I437-G437</f>
        <v/>
      </c>
      <c r="M437">
        <f>R437=E437</f>
        <v/>
      </c>
      <c r="N437">
        <f>AND(MONTH(F437)=MONTH(Q437), YEAR(F437)=YEAR(Q437))</f>
        <v/>
      </c>
      <c r="O437">
        <f>"L001-902303751"=S437</f>
        <v/>
      </c>
      <c r="P437">
        <f>G437-U437</f>
        <v/>
      </c>
      <c r="Q437" s="35" t="n">
        <v>45652</v>
      </c>
      <c r="R437" t="n">
        <v>184828</v>
      </c>
      <c r="S437" t="inlineStr">
        <is>
          <t>K009-901605081</t>
        </is>
      </c>
      <c r="T437" t="inlineStr">
        <is>
          <t>ទ្រូ ខមភែនៀន ឡូជីស្ទីក (ខេមបូឌា)</t>
        </is>
      </c>
      <c r="U437" t="n">
        <v>184828</v>
      </c>
      <c r="V437" t="n">
        <v>0</v>
      </c>
    </row>
    <row r="438">
      <c r="A438" t="n">
        <v>437</v>
      </c>
      <c r="B438" t="inlineStr">
        <is>
          <t>Document Fee and Agency Fee</t>
        </is>
      </c>
      <c r="C438" t="inlineStr">
        <is>
          <t>ឆាយ ដា ឡូយីស្ទីក</t>
        </is>
      </c>
      <c r="D438" t="inlineStr">
        <is>
          <t>L001-100063098</t>
        </is>
      </c>
      <c r="E438" t="inlineStr">
        <is>
          <t>2404004302</t>
        </is>
      </c>
      <c r="F438" t="inlineStr">
        <is>
          <t>08-04-2024</t>
        </is>
      </c>
      <c r="G438" t="n">
        <v>24240</v>
      </c>
      <c r="I438">
        <f>G438</f>
        <v/>
      </c>
      <c r="K438">
        <f>I438-G438</f>
        <v/>
      </c>
      <c r="M438">
        <f>R438=E438</f>
        <v/>
      </c>
      <c r="N438">
        <f>AND(MONTH(F438)=MONTH(Q438), YEAR(F438)=YEAR(Q438))</f>
        <v/>
      </c>
      <c r="O438">
        <f>"L001-902303751"=S438</f>
        <v/>
      </c>
      <c r="P438">
        <f>G438-U438</f>
        <v/>
      </c>
      <c r="Q438" s="35" t="n">
        <v>45649</v>
      </c>
      <c r="R438" t="n">
        <v>111354</v>
      </c>
      <c r="S438" t="inlineStr">
        <is>
          <t>L001-107041723</t>
        </is>
      </c>
      <c r="T438" t="inlineStr">
        <is>
          <t>ឌីប៊ី សេនឃើរ (ខេមបូឌា) លីមីធីត</t>
        </is>
      </c>
      <c r="U438" t="n">
        <v>111354</v>
      </c>
      <c r="V438" t="n">
        <v>0</v>
      </c>
    </row>
    <row r="439">
      <c r="A439" t="n">
        <v>438</v>
      </c>
      <c r="B439" t="inlineStr">
        <is>
          <t>Customs Clearance Fee and Trucking Fee</t>
        </is>
      </c>
      <c r="C439" t="inlineStr">
        <is>
          <t>ត្រាយអ៊ែងហ្គល ឡូជីស្ទីក (ខេមបូឌា) ឯ.ក</t>
        </is>
      </c>
      <c r="D439" t="inlineStr">
        <is>
          <t>K010-902101743</t>
        </is>
      </c>
      <c r="E439" t="inlineStr">
        <is>
          <t>TAG-24-00242</t>
        </is>
      </c>
      <c r="F439" t="inlineStr">
        <is>
          <t>10-04-2024</t>
        </is>
      </c>
      <c r="G439" t="n">
        <v>8082</v>
      </c>
      <c r="I439">
        <f>G439</f>
        <v/>
      </c>
      <c r="K439">
        <f>I439-G439</f>
        <v/>
      </c>
      <c r="M439">
        <f>R439=E439</f>
        <v/>
      </c>
      <c r="N439">
        <f>AND(MONTH(F439)=MONTH(Q439), YEAR(F439)=YEAR(Q439))</f>
        <v/>
      </c>
      <c r="O439">
        <f>"L001-902303751"=S439</f>
        <v/>
      </c>
      <c r="P439">
        <f>G439-U439</f>
        <v/>
      </c>
      <c r="Q439" s="35" t="n">
        <v>45649</v>
      </c>
      <c r="R439" t="n">
        <v>83214</v>
      </c>
      <c r="S439" t="inlineStr">
        <is>
          <t>L001-104015799</t>
        </is>
      </c>
      <c r="T439" t="inlineStr">
        <is>
          <t>យូសេន ឡូជីស្ទីក (ខេមបូឌា) ខូ អិលធីឌី</t>
        </is>
      </c>
      <c r="U439" t="n">
        <v>83214</v>
      </c>
      <c r="V439" t="n">
        <v>0</v>
      </c>
    </row>
    <row r="440">
      <c r="A440" t="n">
        <v>439</v>
      </c>
      <c r="B440" t="inlineStr">
        <is>
          <t>Customs Clearance Fee and Trucking Fee</t>
        </is>
      </c>
      <c r="C440" t="inlineStr">
        <is>
          <t>ត្រាយអ៊ែងហ្គល ឡូជីស្ទីក (ខេមបូឌា) ឯ.ក</t>
        </is>
      </c>
      <c r="D440" t="inlineStr">
        <is>
          <t>K010-902101743</t>
        </is>
      </c>
      <c r="E440" t="inlineStr">
        <is>
          <t>TAG-24-00269</t>
        </is>
      </c>
      <c r="F440" t="inlineStr">
        <is>
          <t>22-04-2024</t>
        </is>
      </c>
      <c r="G440" t="n">
        <v>65024</v>
      </c>
      <c r="I440">
        <f>G440</f>
        <v/>
      </c>
      <c r="K440">
        <f>I440-G440</f>
        <v/>
      </c>
      <c r="M440">
        <f>R440=E440</f>
        <v/>
      </c>
      <c r="N440">
        <f>AND(MONTH(F440)=MONTH(Q440), YEAR(F440)=YEAR(Q440))</f>
        <v/>
      </c>
      <c r="O440">
        <f>"L001-902303751"=S440</f>
        <v/>
      </c>
      <c r="P440">
        <f>G440-U440</f>
        <v/>
      </c>
      <c r="Q440" s="35" t="n">
        <v>45649</v>
      </c>
      <c r="R440" t="n">
        <v>111354</v>
      </c>
      <c r="S440" t="inlineStr">
        <is>
          <t>L001-104015799</t>
        </is>
      </c>
      <c r="T440" t="inlineStr">
        <is>
          <t>យូសេន ឡូជីស្ទីក (ខេមបូឌា) ខូ អិលធីឌី</t>
        </is>
      </c>
      <c r="U440" t="n">
        <v>111354</v>
      </c>
      <c r="V440" t="n">
        <v>0</v>
      </c>
    </row>
    <row r="441">
      <c r="A441" t="n">
        <v>440</v>
      </c>
      <c r="B441" t="inlineStr">
        <is>
          <t>Lift-On Charge and Gate Fee Charage</t>
        </is>
      </c>
      <c r="C441" t="inlineStr">
        <is>
          <t>កំពង់ផែស្វយ័តភ្នំពេញ "ក.ស.ភ"</t>
        </is>
      </c>
      <c r="D441" t="inlineStr">
        <is>
          <t>L001-100044999</t>
        </is>
      </c>
      <c r="E441" t="inlineStr">
        <is>
          <t>INV20240422319</t>
        </is>
      </c>
      <c r="F441" t="inlineStr">
        <is>
          <t>22-04-2024</t>
        </is>
      </c>
      <c r="G441" t="n">
        <v>18694</v>
      </c>
      <c r="I441">
        <f>G441</f>
        <v/>
      </c>
      <c r="K441">
        <f>I441-G441</f>
        <v/>
      </c>
      <c r="M441">
        <f>R441=E441</f>
        <v/>
      </c>
      <c r="N441">
        <f>AND(MONTH(F441)=MONTH(Q441), YEAR(F441)=YEAR(Q441))</f>
        <v/>
      </c>
      <c r="O441">
        <f>"L001-902303751"=S441</f>
        <v/>
      </c>
      <c r="P441">
        <f>G441-U441</f>
        <v/>
      </c>
      <c r="Q441" s="35" t="n">
        <v>45631</v>
      </c>
      <c r="R441" t="n">
        <v>174859</v>
      </c>
      <c r="S441" t="inlineStr">
        <is>
          <t>L001-104015799</t>
        </is>
      </c>
      <c r="T441" t="inlineStr">
        <is>
          <t>យូសេន ឡូជីស្ទីក (ខេមបូឌា) ខូ អិលធីឌី</t>
        </is>
      </c>
      <c r="U441" t="n">
        <v>174859</v>
      </c>
      <c r="V441" t="n">
        <v>0</v>
      </c>
    </row>
    <row r="442">
      <c r="A442" t="n">
        <v>441</v>
      </c>
      <c r="B442" t="inlineStr">
        <is>
          <t>Customs Clearance Fee</t>
        </is>
      </c>
      <c r="C442" t="inlineStr">
        <is>
          <t>ត្រាយអ៊ែងហ្គល ឡូជីស្ទីក (ខេមបូឌា) ឯ.ក</t>
        </is>
      </c>
      <c r="D442" t="inlineStr">
        <is>
          <t>K010-902101743</t>
        </is>
      </c>
      <c r="E442" t="inlineStr">
        <is>
          <t>TAG-24-00282</t>
        </is>
      </c>
      <c r="F442" t="inlineStr">
        <is>
          <t>26-04-2024</t>
        </is>
      </c>
      <c r="G442" t="n">
        <v>8122</v>
      </c>
      <c r="I442">
        <f>G442</f>
        <v/>
      </c>
      <c r="K442">
        <f>I442-G442</f>
        <v/>
      </c>
      <c r="M442">
        <f>R442=E442</f>
        <v/>
      </c>
      <c r="N442">
        <f>AND(MONTH(F442)=MONTH(Q442), YEAR(F442)=YEAR(Q442))</f>
        <v/>
      </c>
      <c r="O442">
        <f>"L001-902303751"=S442</f>
        <v/>
      </c>
      <c r="P442">
        <f>G442-U442</f>
        <v/>
      </c>
      <c r="Q442" s="35" t="n">
        <v>45639</v>
      </c>
      <c r="R442" t="n">
        <v>9248</v>
      </c>
      <c r="S442" t="inlineStr">
        <is>
          <t>L001-100098134</t>
        </is>
      </c>
      <c r="T442" t="inlineStr">
        <is>
          <t>បុងកាហ្វេ (ខេមបូឌា)</t>
        </is>
      </c>
      <c r="U442" t="n">
        <v>9248</v>
      </c>
      <c r="V442" t="n">
        <v>0</v>
      </c>
    </row>
    <row r="443">
      <c r="A443" t="n">
        <v>442</v>
      </c>
      <c r="B443" t="inlineStr">
        <is>
          <t>THC, EMF, 3 PARTY TRUCKING, CIC, R/O, DOC FEE and HANDLING FEE</t>
        </is>
      </c>
      <c r="C443" t="inlineStr">
        <is>
          <t>ខេអិលអិន ហ្វ្រេត (ខេមបូឌា) ឯ.ក</t>
        </is>
      </c>
      <c r="D443" t="inlineStr">
        <is>
          <t>L001-100074669</t>
        </is>
      </c>
      <c r="E443" t="inlineStr">
        <is>
          <t>IVO06123</t>
        </is>
      </c>
      <c r="F443" t="inlineStr">
        <is>
          <t>25-04-2024</t>
        </is>
      </c>
      <c r="G443" t="n">
        <v>86072</v>
      </c>
      <c r="I443">
        <f>G443</f>
        <v/>
      </c>
      <c r="K443">
        <f>I443-G443</f>
        <v/>
      </c>
      <c r="M443">
        <f>R443=E443</f>
        <v/>
      </c>
      <c r="N443">
        <f>AND(MONTH(F443)=MONTH(Q443), YEAR(F443)=YEAR(Q443))</f>
        <v/>
      </c>
      <c r="O443">
        <f>"L001-902303751"=S443</f>
        <v/>
      </c>
      <c r="P443">
        <f>G443-U443</f>
        <v/>
      </c>
      <c r="Q443" s="35" t="n">
        <v>45656</v>
      </c>
      <c r="R443" t="n">
        <v>83297</v>
      </c>
      <c r="S443" t="inlineStr">
        <is>
          <t>L001-104015799</t>
        </is>
      </c>
      <c r="T443" t="inlineStr">
        <is>
          <t>យូសេន ឡូជីស្ទីក (ខេមបូឌា) ខូ អិលធីឌី</t>
        </is>
      </c>
      <c r="U443" t="n">
        <v>83297</v>
      </c>
      <c r="V443" t="n">
        <v>0</v>
      </c>
    </row>
    <row r="444">
      <c r="A444" t="n">
        <v>443</v>
      </c>
      <c r="B444" t="inlineStr">
        <is>
          <t>Customs Clearance Fee and Trucking Fee</t>
        </is>
      </c>
      <c r="C444" t="inlineStr">
        <is>
          <t>ត្រាយអ៊ែងហ្គល ឡូជីស្ទីក (ខេមបូឌា) ឯ.ក</t>
        </is>
      </c>
      <c r="D444" t="inlineStr">
        <is>
          <t>K010-902101743</t>
        </is>
      </c>
      <c r="E444" t="inlineStr">
        <is>
          <t>TAG-24-00274</t>
        </is>
      </c>
      <c r="F444" t="inlineStr">
        <is>
          <t>24-04-2024</t>
        </is>
      </c>
      <c r="G444" t="n">
        <v>28427</v>
      </c>
      <c r="I444">
        <f>G444</f>
        <v/>
      </c>
      <c r="K444">
        <f>I444-G444</f>
        <v/>
      </c>
      <c r="M444">
        <f>R444=E444</f>
        <v/>
      </c>
      <c r="N444">
        <f>AND(MONTH(F444)=MONTH(Q444), YEAR(F444)=YEAR(Q444))</f>
        <v/>
      </c>
      <c r="O444">
        <f>"L001-902303751"=S444</f>
        <v/>
      </c>
      <c r="P444">
        <f>G444-U444</f>
        <v/>
      </c>
      <c r="Q444" s="35" t="n">
        <v>45643</v>
      </c>
      <c r="R444" t="n">
        <v>2190355</v>
      </c>
      <c r="S444" t="inlineStr">
        <is>
          <t>K009-901605081</t>
        </is>
      </c>
      <c r="T444" t="inlineStr">
        <is>
          <t>ទ្រូ ខមភែនៀន ឡូជីស្ទីក (ខេមបូឌា)</t>
        </is>
      </c>
      <c r="U444" t="n">
        <v>2190355</v>
      </c>
      <c r="V444" t="n">
        <v>0</v>
      </c>
    </row>
    <row r="445">
      <c r="A445" t="n">
        <v>444</v>
      </c>
      <c r="B445" t="inlineStr">
        <is>
          <t>Cargo Terminal</t>
        </is>
      </c>
      <c r="C445" t="inlineStr">
        <is>
          <t>សូស៊ីយេតេ កុងសេស្យូនែរ ដឺ ឡាអេរ៉ូព័រ</t>
        </is>
      </c>
      <c r="D445" t="inlineStr">
        <is>
          <t>L001-100047300</t>
        </is>
      </c>
      <c r="E445" t="inlineStr">
        <is>
          <t>2400-028583</t>
        </is>
      </c>
      <c r="F445" t="inlineStr">
        <is>
          <t>24-04-2024</t>
        </is>
      </c>
      <c r="G445" t="n">
        <v>1624</v>
      </c>
      <c r="I445">
        <f>G445</f>
        <v/>
      </c>
      <c r="K445">
        <f>I445-G445</f>
        <v/>
      </c>
      <c r="M445">
        <f>R445=E445</f>
        <v/>
      </c>
      <c r="N445">
        <f>AND(MONTH(F445)=MONTH(Q445), YEAR(F445)=YEAR(Q445))</f>
        <v/>
      </c>
      <c r="O445">
        <f>"L001-902303751"=S445</f>
        <v/>
      </c>
      <c r="P445">
        <f>G445-U445</f>
        <v/>
      </c>
      <c r="Q445" s="35" t="n">
        <v>45649</v>
      </c>
      <c r="R445" t="n">
        <v>2190900</v>
      </c>
      <c r="S445" t="inlineStr">
        <is>
          <t>K009-901605081</t>
        </is>
      </c>
      <c r="T445" t="inlineStr">
        <is>
          <t>ទ្រូ ខមភែនៀន ឡូជីស្ទីក (ខេមបូឌា)</t>
        </is>
      </c>
      <c r="U445" t="n">
        <v>2190900</v>
      </c>
      <c r="V445" t="n">
        <v>0</v>
      </c>
    </row>
    <row r="446">
      <c r="A446" t="n">
        <v>445</v>
      </c>
      <c r="B446" t="inlineStr">
        <is>
          <t>Docs Fee and Handling Fee</t>
        </is>
      </c>
      <c r="C446" t="inlineStr">
        <is>
          <t>អិមអាយ ឡូជីកស៍ (ខេមបូឌា)</t>
        </is>
      </c>
      <c r="D446" t="inlineStr">
        <is>
          <t>K009-107021862</t>
        </is>
      </c>
      <c r="E446" t="inlineStr">
        <is>
          <t>MII202404-005</t>
        </is>
      </c>
      <c r="F446" t="inlineStr">
        <is>
          <t>24-04-2024</t>
        </is>
      </c>
      <c r="G446" t="n">
        <v>24378</v>
      </c>
      <c r="I446">
        <f>G446</f>
        <v/>
      </c>
      <c r="K446">
        <f>I446-G446</f>
        <v/>
      </c>
      <c r="M446">
        <f>R446=E446</f>
        <v/>
      </c>
      <c r="N446">
        <f>AND(MONTH(F446)=MONTH(Q446), YEAR(F446)=YEAR(Q446))</f>
        <v/>
      </c>
      <c r="O446">
        <f>"L001-902303751"=S446</f>
        <v/>
      </c>
      <c r="P446">
        <f>G446-U446</f>
        <v/>
      </c>
      <c r="Q446" s="35" t="n">
        <v>45649</v>
      </c>
      <c r="R446" t="n">
        <v>83214</v>
      </c>
      <c r="S446" t="inlineStr">
        <is>
          <t>L001-107041723</t>
        </is>
      </c>
      <c r="T446" t="inlineStr">
        <is>
          <t>ឌីប៊ី សេនឃើរ (ខេមបូឌា) លីមីធីត</t>
        </is>
      </c>
      <c r="U446" t="n">
        <v>83214</v>
      </c>
      <c r="V446" t="n">
        <v>0</v>
      </c>
    </row>
    <row r="447">
      <c r="A447" t="n">
        <v>446</v>
      </c>
      <c r="B447" t="inlineStr">
        <is>
          <t>Customs Clearance Fee and Trucking Fee</t>
        </is>
      </c>
      <c r="C447" t="inlineStr">
        <is>
          <t>ត្រាយអ៊ែងហ្គល ឡូជីស្ទីក (ខេមបូឌា) ឯ.ក</t>
        </is>
      </c>
      <c r="D447" t="inlineStr">
        <is>
          <t>K010-902101743</t>
        </is>
      </c>
      <c r="E447" t="inlineStr">
        <is>
          <t>TAG-24-00278</t>
        </is>
      </c>
      <c r="F447" t="inlineStr">
        <is>
          <t>25-04-2024</t>
        </is>
      </c>
      <c r="G447" t="n">
        <v>28420</v>
      </c>
      <c r="I447">
        <f>G447</f>
        <v/>
      </c>
      <c r="K447">
        <f>I447-G447</f>
        <v/>
      </c>
      <c r="M447">
        <f>R447=E447</f>
        <v/>
      </c>
      <c r="N447">
        <f>AND(MONTH(F447)=MONTH(Q447), YEAR(F447)=YEAR(Q447))</f>
        <v/>
      </c>
      <c r="O447">
        <f>"L001-902303751"=S447</f>
        <v/>
      </c>
      <c r="P447">
        <f>G447-U447</f>
        <v/>
      </c>
      <c r="Q447" s="35" t="n">
        <v>45631</v>
      </c>
      <c r="R447" t="n">
        <v>83400</v>
      </c>
      <c r="S447" t="inlineStr">
        <is>
          <t>K009-901605081</t>
        </is>
      </c>
      <c r="T447" t="inlineStr">
        <is>
          <t>ទ្រូ ខមភែនៀន ឡូជីស្ទីក (ខេមបូឌា)</t>
        </is>
      </c>
      <c r="U447" t="n">
        <v>83400</v>
      </c>
      <c r="V447" t="n">
        <v>0</v>
      </c>
    </row>
    <row r="448">
      <c r="A448" t="n">
        <v>447</v>
      </c>
      <c r="B448" t="inlineStr">
        <is>
          <t>Cargo Terminal</t>
        </is>
      </c>
      <c r="C448" t="inlineStr">
        <is>
          <t>សូស៊ីយេតេ កុងសេស្យូនែរ ដឺ ឡាអេរ៉ូព័រ</t>
        </is>
      </c>
      <c r="D448" t="inlineStr">
        <is>
          <t>L001-100047300</t>
        </is>
      </c>
      <c r="E448" t="inlineStr">
        <is>
          <t>2400-028876</t>
        </is>
      </c>
      <c r="F448" t="inlineStr">
        <is>
          <t>25-04-2024</t>
        </is>
      </c>
      <c r="G448" t="n">
        <v>4481</v>
      </c>
      <c r="I448">
        <f>G448</f>
        <v/>
      </c>
      <c r="K448">
        <f>I448-G448</f>
        <v/>
      </c>
      <c r="M448">
        <f>R448=E448</f>
        <v/>
      </c>
      <c r="N448">
        <f>AND(MONTH(F448)=MONTH(Q448), YEAR(F448)=YEAR(Q448))</f>
        <v/>
      </c>
      <c r="O448">
        <f>"L001-902303751"=S448</f>
        <v/>
      </c>
      <c r="P448">
        <f>G448-U448</f>
        <v/>
      </c>
      <c r="Q448" s="35" t="n">
        <v>45652</v>
      </c>
      <c r="R448" t="n">
        <v>13661</v>
      </c>
      <c r="S448" t="inlineStr">
        <is>
          <t>L001-106004107</t>
        </is>
      </c>
      <c r="T448" t="inlineStr">
        <is>
          <t>ត្រេនម៉ារីន ឡូជីស្ទីក (ខេមបូឌា)</t>
        </is>
      </c>
      <c r="U448" t="n">
        <v>13661</v>
      </c>
      <c r="V448" t="n">
        <v>0</v>
      </c>
    </row>
    <row r="449">
      <c r="A449" t="n">
        <v>448</v>
      </c>
      <c r="B449" t="inlineStr">
        <is>
          <t>Airway bill fee and Handling Agency fee</t>
        </is>
      </c>
      <c r="C449" t="inlineStr">
        <is>
          <t>ត្រេន ស្តារ ហ្រេ្វត</t>
        </is>
      </c>
      <c r="D449" t="inlineStr">
        <is>
          <t>L001-100011888</t>
        </is>
      </c>
      <c r="E449" t="inlineStr">
        <is>
          <t>PPTI24-04397</t>
        </is>
      </c>
      <c r="F449" t="inlineStr">
        <is>
          <t>23-04-2024</t>
        </is>
      </c>
      <c r="G449" t="n">
        <v>34527</v>
      </c>
      <c r="I449">
        <f>G449</f>
        <v/>
      </c>
      <c r="K449">
        <f>I449-G449</f>
        <v/>
      </c>
      <c r="M449">
        <f>R449=E449</f>
        <v/>
      </c>
      <c r="N449">
        <f>AND(MONTH(F449)=MONTH(Q449), YEAR(F449)=YEAR(Q449))</f>
        <v/>
      </c>
      <c r="O449">
        <f>"L001-902303751"=S449</f>
        <v/>
      </c>
      <c r="P449">
        <f>G449-U449</f>
        <v/>
      </c>
      <c r="Q449" s="35" t="n">
        <v>45635</v>
      </c>
      <c r="R449" t="n">
        <v>174772</v>
      </c>
      <c r="S449" t="inlineStr">
        <is>
          <t>L001-104015799</t>
        </is>
      </c>
      <c r="T449" t="inlineStr">
        <is>
          <t>យូសេន ឡូជីស្ទីក (ខេមបូឌា) ខូ អិលធីឌី</t>
        </is>
      </c>
      <c r="U449" t="n">
        <v>174772</v>
      </c>
      <c r="V449" t="n">
        <v>0</v>
      </c>
    </row>
    <row r="450">
      <c r="A450" t="n">
        <v>449</v>
      </c>
      <c r="B450" t="inlineStr">
        <is>
          <t>Customs Clearance Fee and Trucking Fee</t>
        </is>
      </c>
      <c r="C450" t="inlineStr">
        <is>
          <t>ត្រាយអ៊ែងហ្គល ឡូជីស្ទីក (ខេមបូឌា) ឯ.ក</t>
        </is>
      </c>
      <c r="D450" t="inlineStr">
        <is>
          <t>K010-902101743</t>
        </is>
      </c>
      <c r="E450" t="inlineStr">
        <is>
          <t>TAG-24-00279</t>
        </is>
      </c>
      <c r="F450" t="inlineStr">
        <is>
          <t>25-04-2024</t>
        </is>
      </c>
      <c r="G450" t="n">
        <v>28420</v>
      </c>
      <c r="I450">
        <f>G450</f>
        <v/>
      </c>
      <c r="K450">
        <f>I450-G450</f>
        <v/>
      </c>
      <c r="M450">
        <f>R450=E450</f>
        <v/>
      </c>
      <c r="N450">
        <f>AND(MONTH(F450)=MONTH(Q450), YEAR(F450)=YEAR(Q450))</f>
        <v/>
      </c>
      <c r="O450">
        <f>"L001-902303751"=S450</f>
        <v/>
      </c>
      <c r="P450">
        <f>G450-U450</f>
        <v/>
      </c>
      <c r="Q450" s="35" t="n">
        <v>45631</v>
      </c>
      <c r="R450" t="n">
        <v>83400</v>
      </c>
      <c r="S450" t="inlineStr">
        <is>
          <t>L001-104015799</t>
        </is>
      </c>
      <c r="T450" t="inlineStr">
        <is>
          <t>យូសេន ឡូជីស្ទីក (ខេមបូឌា) ខូ អិលធីឌី</t>
        </is>
      </c>
      <c r="U450" t="n">
        <v>83400</v>
      </c>
      <c r="V450" t="n">
        <v>0</v>
      </c>
    </row>
    <row r="451">
      <c r="A451" t="n">
        <v>450</v>
      </c>
      <c r="B451" t="inlineStr">
        <is>
          <t>Cargo Terminal</t>
        </is>
      </c>
      <c r="C451" t="inlineStr">
        <is>
          <t>សូស៊ីយេតេ កុងសេស្យូនែរ ដឺ ឡាអេរ៉ូព័រ</t>
        </is>
      </c>
      <c r="D451" t="inlineStr">
        <is>
          <t>L001-100047300</t>
        </is>
      </c>
      <c r="E451" t="inlineStr">
        <is>
          <t>2400-028989</t>
        </is>
      </c>
      <c r="F451" t="inlineStr">
        <is>
          <t>25-04-2024</t>
        </is>
      </c>
      <c r="G451" t="n">
        <v>2403</v>
      </c>
      <c r="I451">
        <f>G451</f>
        <v/>
      </c>
      <c r="K451">
        <f>I451-G451</f>
        <v/>
      </c>
      <c r="M451">
        <f>R451=E451</f>
        <v/>
      </c>
      <c r="N451">
        <f>AND(MONTH(F451)=MONTH(Q451), YEAR(F451)=YEAR(Q451))</f>
        <v/>
      </c>
      <c r="O451">
        <f>"L001-902303751"=S451</f>
        <v/>
      </c>
      <c r="P451">
        <f>G451-U451</f>
        <v/>
      </c>
      <c r="Q451" s="35" t="n">
        <v>45639</v>
      </c>
      <c r="R451" t="n">
        <v>128672</v>
      </c>
      <c r="S451" t="inlineStr">
        <is>
          <t>L001-100098134</t>
        </is>
      </c>
      <c r="T451" t="inlineStr">
        <is>
          <t>បុងកាហ្វេ (ខេមបូឌា)</t>
        </is>
      </c>
      <c r="U451" t="n">
        <v>128672</v>
      </c>
      <c r="V451" t="n">
        <v>0</v>
      </c>
    </row>
    <row r="452">
      <c r="A452" t="n">
        <v>451</v>
      </c>
      <c r="B452" t="inlineStr">
        <is>
          <t>Customs Clearance Fee and Trucking Fee</t>
        </is>
      </c>
      <c r="C452" t="inlineStr">
        <is>
          <t>ត្រាយអ៊ែងហ្គល ឡូជីស្ទីក (ខេមបូឌា) ឯ.ក</t>
        </is>
      </c>
      <c r="D452" t="inlineStr">
        <is>
          <t>K010-902101743</t>
        </is>
      </c>
      <c r="E452" t="inlineStr">
        <is>
          <t>TAG-24-00276</t>
        </is>
      </c>
      <c r="F452" t="inlineStr">
        <is>
          <t>25-04-2024</t>
        </is>
      </c>
      <c r="G452" t="n">
        <v>32480</v>
      </c>
      <c r="I452">
        <f>G452</f>
        <v/>
      </c>
      <c r="K452">
        <f>I452-G452</f>
        <v/>
      </c>
      <c r="M452">
        <f>R452=E452</f>
        <v/>
      </c>
      <c r="N452">
        <f>AND(MONTH(F452)=MONTH(Q452), YEAR(F452)=YEAR(Q452))</f>
        <v/>
      </c>
      <c r="O452">
        <f>"L001-902303751"=S452</f>
        <v/>
      </c>
      <c r="P452">
        <f>G452-U452</f>
        <v/>
      </c>
      <c r="Q452" s="35" t="n">
        <v>45635</v>
      </c>
      <c r="R452" t="n">
        <v>185242</v>
      </c>
      <c r="S452" t="inlineStr">
        <is>
          <t>K009-901605081</t>
        </is>
      </c>
      <c r="T452" t="inlineStr">
        <is>
          <t>ទ្រូ ខមភែនៀន ឡូជីស្ទីក (ខេមបូឌា)</t>
        </is>
      </c>
      <c r="U452" t="n">
        <v>185242</v>
      </c>
      <c r="V452" t="n">
        <v>0</v>
      </c>
    </row>
    <row r="453">
      <c r="A453" t="n">
        <v>452</v>
      </c>
      <c r="B453" t="inlineStr">
        <is>
          <t>Customs Clearance Fee and Trucking Fee</t>
        </is>
      </c>
      <c r="C453" t="inlineStr">
        <is>
          <t>ត្រាយអ៊ែងហ្គល ឡូជីស្ទីក (ខេមបូឌា) ឯ.ក</t>
        </is>
      </c>
      <c r="D453" t="inlineStr">
        <is>
          <t>K010-902101743</t>
        </is>
      </c>
      <c r="E453" t="inlineStr">
        <is>
          <t>TAG-24-00277</t>
        </is>
      </c>
      <c r="F453" t="inlineStr">
        <is>
          <t>25-04-2024</t>
        </is>
      </c>
      <c r="G453" t="n">
        <v>28420</v>
      </c>
      <c r="I453">
        <f>G453</f>
        <v/>
      </c>
      <c r="K453">
        <f>I453-G453</f>
        <v/>
      </c>
      <c r="M453">
        <f>R453=E453</f>
        <v/>
      </c>
      <c r="N453">
        <f>AND(MONTH(F453)=MONTH(Q453), YEAR(F453)=YEAR(Q453))</f>
        <v/>
      </c>
      <c r="O453">
        <f>"L001-902303751"=S453</f>
        <v/>
      </c>
      <c r="P453">
        <f>G453-U453</f>
        <v/>
      </c>
      <c r="Q453" s="35" t="n">
        <v>45642</v>
      </c>
      <c r="R453" t="n">
        <v>111326</v>
      </c>
      <c r="S453" t="inlineStr">
        <is>
          <t>L001-104015799</t>
        </is>
      </c>
      <c r="T453" t="inlineStr">
        <is>
          <t>យូសេន ឡូជីស្ទីក (ខេមបូឌា) ខូ អិលធីឌី</t>
        </is>
      </c>
      <c r="U453" t="n">
        <v>111326</v>
      </c>
      <c r="V453" t="n">
        <v>0</v>
      </c>
    </row>
    <row r="454">
      <c r="A454" t="n">
        <v>453</v>
      </c>
      <c r="B454" t="inlineStr">
        <is>
          <t>Cargo Terminal</t>
        </is>
      </c>
      <c r="C454" t="inlineStr">
        <is>
          <t>សូស៊ីយេតេ កុងសេស្យូនែរ ដឺ ឡាអេរ៉ូព័រ</t>
        </is>
      </c>
      <c r="D454" t="inlineStr">
        <is>
          <t>L001-100047300</t>
        </is>
      </c>
      <c r="E454" t="inlineStr">
        <is>
          <t>2400-028988</t>
        </is>
      </c>
      <c r="F454" t="inlineStr">
        <is>
          <t>25-04-2024</t>
        </is>
      </c>
      <c r="G454" t="n">
        <v>24068</v>
      </c>
      <c r="I454">
        <f>G454</f>
        <v/>
      </c>
      <c r="K454">
        <f>I454-G454</f>
        <v/>
      </c>
      <c r="M454">
        <f>R454=E454</f>
        <v/>
      </c>
      <c r="N454">
        <f>AND(MONTH(F454)=MONTH(Q454), YEAR(F454)=YEAR(Q454))</f>
        <v/>
      </c>
      <c r="O454">
        <f>"L001-902303751"=S454</f>
        <v/>
      </c>
      <c r="P454">
        <f>G454-U454</f>
        <v/>
      </c>
      <c r="Q454" s="35" t="n">
        <v>45635</v>
      </c>
      <c r="R454" t="n">
        <v>83359</v>
      </c>
      <c r="S454" t="inlineStr">
        <is>
          <t>L001-104015799</t>
        </is>
      </c>
      <c r="T454" t="inlineStr">
        <is>
          <t>យូសេន ឡូជីស្ទីក (ខេមបូឌា) ខូ អិលធីឌី</t>
        </is>
      </c>
      <c r="U454" t="n">
        <v>83359</v>
      </c>
      <c r="V454" t="n">
        <v>0</v>
      </c>
    </row>
    <row r="455">
      <c r="A455" t="n">
        <v>454</v>
      </c>
      <c r="B455" t="inlineStr">
        <is>
          <t>Document Fee and Agency Fee</t>
        </is>
      </c>
      <c r="C455" t="inlineStr">
        <is>
          <t>អ៊ីហ្វាវ ឡូជីស</t>
        </is>
      </c>
      <c r="D455" t="inlineStr">
        <is>
          <t>K009-100186262</t>
        </is>
      </c>
      <c r="E455" t="inlineStr">
        <is>
          <t>EFAW2024-059</t>
        </is>
      </c>
      <c r="F455" t="inlineStr">
        <is>
          <t>25-04-2024</t>
        </is>
      </c>
      <c r="G455" t="n">
        <v>24360</v>
      </c>
      <c r="I455">
        <f>G455</f>
        <v/>
      </c>
      <c r="K455">
        <f>I455-G455</f>
        <v/>
      </c>
      <c r="M455">
        <f>R455=E455</f>
        <v/>
      </c>
      <c r="N455">
        <f>AND(MONTH(F455)=MONTH(Q455), YEAR(F455)=YEAR(Q455))</f>
        <v/>
      </c>
      <c r="O455">
        <f>"L001-902303751"=S455</f>
        <v/>
      </c>
      <c r="P455">
        <f>G455-U455</f>
        <v/>
      </c>
      <c r="Q455" s="35" t="n">
        <v>45649</v>
      </c>
      <c r="R455" t="n">
        <v>335670</v>
      </c>
      <c r="S455" t="inlineStr">
        <is>
          <t>K002-901900264</t>
        </is>
      </c>
      <c r="T455" t="inlineStr">
        <is>
          <t>ហេកធ័រ ត្រេនស្ព័រថេសិន (ខេមបូឌា) ឯ.ក</t>
        </is>
      </c>
      <c r="U455" t="n">
        <v>335670</v>
      </c>
      <c r="V455" t="n">
        <v>0</v>
      </c>
    </row>
    <row r="456">
      <c r="A456" t="n">
        <v>455</v>
      </c>
      <c r="B456" t="inlineStr">
        <is>
          <t>Customs Clearance Fee</t>
        </is>
      </c>
      <c r="C456" t="inlineStr">
        <is>
          <t>ត្រាយអ៊ែងហ្គល ឡូជីស្ទីក (ខេមបូឌា) ឯ.ក</t>
        </is>
      </c>
      <c r="D456" t="inlineStr">
        <is>
          <t>K010-902101743</t>
        </is>
      </c>
      <c r="E456" t="inlineStr">
        <is>
          <t>TAG-24-00290</t>
        </is>
      </c>
      <c r="F456" t="inlineStr">
        <is>
          <t>29-04-2024</t>
        </is>
      </c>
      <c r="G456" t="n">
        <v>8124</v>
      </c>
      <c r="I456">
        <f>G456</f>
        <v/>
      </c>
      <c r="K456">
        <f>I456-G456</f>
        <v/>
      </c>
      <c r="M456">
        <f>R456=E456</f>
        <v/>
      </c>
      <c r="N456">
        <f>AND(MONTH(F456)=MONTH(Q456), YEAR(F456)=YEAR(Q456))</f>
        <v/>
      </c>
      <c r="O456">
        <f>"L001-902303751"=S456</f>
        <v/>
      </c>
      <c r="P456">
        <f>G456-U456</f>
        <v/>
      </c>
      <c r="Q456" s="35" t="n">
        <v>45296</v>
      </c>
      <c r="R456" t="n">
        <v>18418</v>
      </c>
      <c r="S456" t="inlineStr">
        <is>
          <t>L001-100078885</t>
        </is>
      </c>
      <c r="T456" t="inlineStr">
        <is>
          <t>អង្គរ ដាតា ខមម្ញូនីខេសិន គ្រុប (អេ ឌី​ ស៊ី)</t>
        </is>
      </c>
      <c r="U456" t="n">
        <v>18418</v>
      </c>
      <c r="V456" t="n">
        <v>0</v>
      </c>
    </row>
    <row r="457">
      <c r="A457" t="n">
        <v>456</v>
      </c>
      <c r="B457" t="inlineStr">
        <is>
          <t>THC, Doc Fee and Container Imbalance</t>
        </is>
      </c>
      <c r="C457" t="inlineStr">
        <is>
          <t>សាខាក្រុមហ៊ុន ជីម៉ាឌីប ស៊ីបភីង ខមភេនី លីមីធីត</t>
        </is>
      </c>
      <c r="D457" t="inlineStr">
        <is>
          <t>L001-901704777</t>
        </is>
      </c>
      <c r="E457" t="inlineStr">
        <is>
          <t>24-01256</t>
        </is>
      </c>
      <c r="F457" t="inlineStr">
        <is>
          <t>17-04-2024</t>
        </is>
      </c>
      <c r="G457" t="n">
        <v>95034</v>
      </c>
      <c r="I457">
        <f>G457</f>
        <v/>
      </c>
      <c r="K457">
        <f>I457-G457</f>
        <v/>
      </c>
      <c r="M457">
        <f>R457=E457</f>
        <v/>
      </c>
      <c r="N457">
        <f>AND(MONTH(F457)=MONTH(Q457), YEAR(F457)=YEAR(Q457))</f>
        <v/>
      </c>
      <c r="O457">
        <f>"L001-902303751"=S457</f>
        <v/>
      </c>
      <c r="P457">
        <f>G457-U457</f>
        <v/>
      </c>
      <c r="Q457" s="35" t="n">
        <v>45296</v>
      </c>
      <c r="R457" t="n">
        <v>36837</v>
      </c>
      <c r="S457" t="inlineStr">
        <is>
          <t>L001-100078885</t>
        </is>
      </c>
      <c r="T457" t="inlineStr">
        <is>
          <t>អង្គរ ដាតា ខមម្ញូនីខេសិន គ្រុប (អេ ឌី​ ស៊ី)</t>
        </is>
      </c>
      <c r="U457" t="n">
        <v>36837</v>
      </c>
      <c r="V457" t="n">
        <v>0</v>
      </c>
    </row>
    <row r="458">
      <c r="A458" t="n">
        <v>457</v>
      </c>
      <c r="B458" t="inlineStr">
        <is>
          <t>Doc Fee and Agency Fee</t>
        </is>
      </c>
      <c r="C458" t="inlineStr">
        <is>
          <t>អ៊ែតវ៉ានស៍ គ្លរី ឡូជីស្ទីក (ខេមបូឌា) (អេ ជី អិល)</t>
        </is>
      </c>
      <c r="D458" t="inlineStr">
        <is>
          <t>K005-100059945</t>
        </is>
      </c>
      <c r="E458" t="inlineStr">
        <is>
          <t>AGL2400576</t>
        </is>
      </c>
      <c r="F458" t="inlineStr">
        <is>
          <t>22-04-2024</t>
        </is>
      </c>
      <c r="G458" t="n">
        <v>44704</v>
      </c>
      <c r="I458">
        <f>G458</f>
        <v/>
      </c>
      <c r="K458">
        <f>I458-G458</f>
        <v/>
      </c>
      <c r="M458">
        <f>R458=E458</f>
        <v/>
      </c>
      <c r="N458">
        <f>AND(MONTH(F458)=MONTH(Q458), YEAR(F458)=YEAR(Q458))</f>
        <v/>
      </c>
      <c r="O458">
        <f>"L001-902303751"=S458</f>
        <v/>
      </c>
      <c r="P458">
        <f>G458-U458</f>
        <v/>
      </c>
      <c r="Q458" s="35" t="n">
        <v>45296</v>
      </c>
      <c r="R458" t="n">
        <v>36837</v>
      </c>
      <c r="S458" t="inlineStr">
        <is>
          <t>L001-100129250</t>
        </is>
      </c>
      <c r="T458" t="inlineStr">
        <is>
          <t>អេស.អាយ គ្រុប</t>
        </is>
      </c>
      <c r="U458" t="n">
        <v>36837</v>
      </c>
      <c r="V458" t="n">
        <v>0</v>
      </c>
    </row>
    <row r="459">
      <c r="A459" t="n">
        <v>458</v>
      </c>
      <c r="B459" t="inlineStr">
        <is>
          <t>Customs Clearance Fee and Trucking Fee</t>
        </is>
      </c>
      <c r="C459" t="inlineStr">
        <is>
          <t>ត្រាយអ៊ែងហ្គល ឡូជីស្ទីក (ខេមបូឌា) ឯ.ក</t>
        </is>
      </c>
      <c r="D459" t="inlineStr">
        <is>
          <t>K010-902101743</t>
        </is>
      </c>
      <c r="E459" t="inlineStr">
        <is>
          <t>TAG-24-00260</t>
        </is>
      </c>
      <c r="F459" t="inlineStr">
        <is>
          <t>19-04-2024</t>
        </is>
      </c>
      <c r="G459" t="n">
        <v>28441</v>
      </c>
      <c r="I459">
        <f>G459</f>
        <v/>
      </c>
      <c r="K459">
        <f>I459-G459</f>
        <v/>
      </c>
      <c r="M459">
        <f>R459=E459</f>
        <v/>
      </c>
      <c r="N459">
        <f>AND(MONTH(F459)=MONTH(Q459), YEAR(F459)=YEAR(Q459))</f>
        <v/>
      </c>
      <c r="O459">
        <f>"L001-902303751"=S459</f>
        <v/>
      </c>
      <c r="P459">
        <f>G459-U459</f>
        <v/>
      </c>
      <c r="Q459" s="35" t="n">
        <v>45296</v>
      </c>
      <c r="R459" t="n">
        <v>490520</v>
      </c>
      <c r="S459" t="inlineStr">
        <is>
          <t>L001-100078885</t>
        </is>
      </c>
      <c r="T459" t="inlineStr">
        <is>
          <t>អង្គរ ដាតា ខមម្ញូនីខេសិន គ្រុប (អេ ឌី​ ស៊ី)</t>
        </is>
      </c>
      <c r="U459" t="n">
        <v>490520</v>
      </c>
      <c r="V459" t="n">
        <v>0</v>
      </c>
    </row>
    <row r="460">
      <c r="A460" t="n">
        <v>459</v>
      </c>
      <c r="B460" t="inlineStr">
        <is>
          <t>Cargo Terminal</t>
        </is>
      </c>
      <c r="C460" t="inlineStr">
        <is>
          <t>សូស៊ីយេតេ កុងសេស្យូនែរ ដឺ ឡាអេរ៉ូព័រ</t>
        </is>
      </c>
      <c r="D460" t="inlineStr">
        <is>
          <t>L001-100047300</t>
        </is>
      </c>
      <c r="E460" t="inlineStr">
        <is>
          <t>2400-027470</t>
        </is>
      </c>
      <c r="F460" t="inlineStr">
        <is>
          <t>19-04-2024</t>
        </is>
      </c>
      <c r="G460" t="n">
        <v>21032</v>
      </c>
      <c r="I460">
        <f>G460</f>
        <v/>
      </c>
      <c r="K460">
        <f>I460-G460</f>
        <v/>
      </c>
      <c r="M460">
        <f>R460=E460</f>
        <v/>
      </c>
      <c r="N460">
        <f>AND(MONTH(F460)=MONTH(Q460), YEAR(F460)=YEAR(Q460))</f>
        <v/>
      </c>
      <c r="O460">
        <f>"L001-902303751"=S460</f>
        <v/>
      </c>
      <c r="P460">
        <f>G460-U460</f>
        <v/>
      </c>
      <c r="Q460" s="35" t="n">
        <v>45322</v>
      </c>
      <c r="R460" t="n">
        <v>14567197</v>
      </c>
      <c r="S460" t="inlineStr">
        <is>
          <t>L001-100047149</t>
        </is>
      </c>
      <c r="T460" t="inlineStr">
        <is>
          <t>ធនាគារ អេស៊ីលីដា ភីអិលស៊ី</t>
        </is>
      </c>
      <c r="U460" t="n">
        <v>14567197</v>
      </c>
      <c r="V460" t="n">
        <v>0</v>
      </c>
    </row>
    <row r="461">
      <c r="A461" t="n">
        <v>460</v>
      </c>
      <c r="B461" t="inlineStr">
        <is>
          <t>Document Fee and Agency Fee</t>
        </is>
      </c>
      <c r="C461" t="inlineStr">
        <is>
          <t>អ៊ីហ្វាវ ឡូជីស</t>
        </is>
      </c>
      <c r="D461" t="inlineStr">
        <is>
          <t>K009-100186262</t>
        </is>
      </c>
      <c r="E461" t="inlineStr">
        <is>
          <t>EFAW2024-056</t>
        </is>
      </c>
      <c r="F461" t="inlineStr">
        <is>
          <t>17-04-2024</t>
        </is>
      </c>
      <c r="G461" t="n">
        <v>24264</v>
      </c>
      <c r="I461">
        <f>G461</f>
        <v/>
      </c>
      <c r="K461">
        <f>I461-G461</f>
        <v/>
      </c>
      <c r="M461">
        <f>R461=E461</f>
        <v/>
      </c>
      <c r="N461">
        <f>AND(MONTH(F461)=MONTH(Q461), YEAR(F461)=YEAR(Q461))</f>
        <v/>
      </c>
      <c r="O461">
        <f>"L001-902303751"=S461</f>
        <v/>
      </c>
      <c r="P461">
        <f>G461-U461</f>
        <v/>
      </c>
      <c r="Q461" s="35" t="n">
        <v>45296</v>
      </c>
      <c r="R461" t="n">
        <v>18418</v>
      </c>
      <c r="S461" t="inlineStr">
        <is>
          <t>L001-100078885</t>
        </is>
      </c>
      <c r="T461" t="inlineStr">
        <is>
          <t>អង្គរ ដាតា ខមម្ញូនីខេសិន គ្រុប (អេ ឌី​ ស៊ី)</t>
        </is>
      </c>
      <c r="U461" t="n">
        <v>18418</v>
      </c>
      <c r="V461" t="n">
        <v>0</v>
      </c>
    </row>
    <row r="462">
      <c r="A462" t="n">
        <v>461</v>
      </c>
      <c r="B462" t="inlineStr">
        <is>
          <t>Customs Clearance Fee and Trucking Fee</t>
        </is>
      </c>
      <c r="C462" t="inlineStr">
        <is>
          <t>ត្រាយអ៊ែងហ្គល ឡូជីស្ទីក (ខេមបូឌា) ឯ.ក</t>
        </is>
      </c>
      <c r="D462" t="inlineStr">
        <is>
          <t>K010-902101743</t>
        </is>
      </c>
      <c r="E462" t="inlineStr">
        <is>
          <t>TAG-24-00280</t>
        </is>
      </c>
      <c r="F462" t="inlineStr">
        <is>
          <t>25-04-2024</t>
        </is>
      </c>
      <c r="G462" t="n">
        <v>51676</v>
      </c>
      <c r="I462">
        <f>G462</f>
        <v/>
      </c>
      <c r="K462">
        <f>I462-G462</f>
        <v/>
      </c>
      <c r="M462">
        <f>R462=E462</f>
        <v/>
      </c>
      <c r="N462">
        <f>AND(MONTH(F462)=MONTH(Q462), YEAR(F462)=YEAR(Q462))</f>
        <v/>
      </c>
      <c r="O462">
        <f>"L001-902303751"=S462</f>
        <v/>
      </c>
      <c r="P462">
        <f>G462-U462</f>
        <v/>
      </c>
      <c r="Q462" s="35" t="n">
        <v>45329</v>
      </c>
      <c r="R462" t="n">
        <v>537249</v>
      </c>
      <c r="S462" t="inlineStr">
        <is>
          <t>L001-100078885</t>
        </is>
      </c>
      <c r="T462" t="inlineStr">
        <is>
          <t>អង្គរ ដាតា ខមម្ញូនីខេសិន គ្រុប (អេ ឌី​ ស៊ី)</t>
        </is>
      </c>
      <c r="U462" t="n">
        <v>537249</v>
      </c>
      <c r="V462" t="n">
        <v>0</v>
      </c>
    </row>
    <row r="463">
      <c r="A463" t="n">
        <v>462</v>
      </c>
      <c r="B463" t="inlineStr">
        <is>
          <t>Charge from warehouse</t>
        </is>
      </c>
      <c r="C463" t="inlineStr">
        <is>
          <t>កំពង់ផែស្វយ័តក្រុងព្រះសីហនុ</t>
        </is>
      </c>
      <c r="D463" t="inlineStr">
        <is>
          <t>L001-100044638</t>
        </is>
      </c>
      <c r="E463" t="inlineStr">
        <is>
          <t>078019</t>
        </is>
      </c>
      <c r="F463" t="inlineStr">
        <is>
          <t>27-04-2024</t>
        </is>
      </c>
      <c r="G463" t="n">
        <v>3109</v>
      </c>
      <c r="I463">
        <f>G463</f>
        <v/>
      </c>
      <c r="K463">
        <f>I463-G463</f>
        <v/>
      </c>
      <c r="M463">
        <f>R463=E463</f>
        <v/>
      </c>
      <c r="N463">
        <f>AND(MONTH(F463)=MONTH(Q463), YEAR(F463)=YEAR(Q463))</f>
        <v/>
      </c>
      <c r="O463">
        <f>"L001-902303751"=S463</f>
        <v/>
      </c>
      <c r="P463">
        <f>G463-U463</f>
        <v/>
      </c>
      <c r="Q463" s="35" t="n">
        <v>45324</v>
      </c>
      <c r="R463" t="n">
        <v>18387</v>
      </c>
      <c r="S463" t="inlineStr">
        <is>
          <t>L001-100078885</t>
        </is>
      </c>
      <c r="T463" t="inlineStr">
        <is>
          <t>អង្គរ ដាតា ខមម្ញូនីខេសិន គ្រុប (អេ ឌី​ ស៊ី)</t>
        </is>
      </c>
      <c r="U463" t="n">
        <v>18387</v>
      </c>
      <c r="V463" t="n">
        <v>0</v>
      </c>
    </row>
    <row r="464">
      <c r="A464" t="n">
        <v>463</v>
      </c>
      <c r="B464" t="inlineStr">
        <is>
          <t>Terminal Handling Charge, Container Freight Station, Scanning Fee, Container Imbalance Charge, Agency Fee, Delivery Order, Document Fee and Admin Fee</t>
        </is>
      </c>
      <c r="C464" t="inlineStr">
        <is>
          <t>អឹឡាយអិន ហ្វ័រវើឌីង (ខេមបូឌា) ឯ.ក</t>
        </is>
      </c>
      <c r="D464" t="inlineStr">
        <is>
          <t>K005-901902888</t>
        </is>
      </c>
      <c r="E464" t="inlineStr">
        <is>
          <t>PPTI24-0245</t>
        </is>
      </c>
      <c r="F464" t="inlineStr">
        <is>
          <t>22-04-2024</t>
        </is>
      </c>
      <c r="G464" t="n">
        <v>142144</v>
      </c>
      <c r="I464">
        <f>G464</f>
        <v/>
      </c>
      <c r="K464">
        <f>I464-G464</f>
        <v/>
      </c>
      <c r="M464">
        <f>R464=E464</f>
        <v/>
      </c>
      <c r="N464">
        <f>AND(MONTH(F464)=MONTH(Q464), YEAR(F464)=YEAR(Q464))</f>
        <v/>
      </c>
      <c r="O464">
        <f>"L001-902303751"=S464</f>
        <v/>
      </c>
      <c r="P464">
        <f>G464-U464</f>
        <v/>
      </c>
      <c r="Q464" s="35" t="n">
        <v>45313</v>
      </c>
      <c r="R464" t="inlineStr"/>
      <c r="S464" t="inlineStr">
        <is>
          <t>L001-100045340</t>
        </is>
      </c>
      <c r="T464" t="inlineStr">
        <is>
          <t xml:space="preserve">ស៊ីវ៉ា អ៊ែរ អ៊ែន អូសៀន (ខេមបូឌា) ឯ.ក </t>
        </is>
      </c>
      <c r="U464" t="n">
        <v>0</v>
      </c>
      <c r="V464" t="n">
        <v>0</v>
      </c>
    </row>
    <row r="465">
      <c r="A465" t="n">
        <v>464</v>
      </c>
      <c r="B465" t="inlineStr">
        <is>
          <t>Customs Clearance Fee and Trucking Fee</t>
        </is>
      </c>
      <c r="C465" t="inlineStr">
        <is>
          <t>ត្រាយអ៊ែងហ្គល ឡូជីស្ទីក (ខេមបូឌា) ឯ.ក</t>
        </is>
      </c>
      <c r="D465" t="inlineStr">
        <is>
          <t>K010-902101743</t>
        </is>
      </c>
      <c r="E465" t="inlineStr">
        <is>
          <t>TAG-24-00281</t>
        </is>
      </c>
      <c r="F465" t="inlineStr">
        <is>
          <t>26-04-2024</t>
        </is>
      </c>
      <c r="G465" t="n">
        <v>32480</v>
      </c>
      <c r="I465">
        <f>G465</f>
        <v/>
      </c>
      <c r="K465">
        <f>I465-G465</f>
        <v/>
      </c>
      <c r="M465">
        <f>R465=E465</f>
        <v/>
      </c>
      <c r="N465">
        <f>AND(MONTH(F465)=MONTH(Q465), YEAR(F465)=YEAR(Q465))</f>
        <v/>
      </c>
      <c r="O465">
        <f>"L001-902303751"=S465</f>
        <v/>
      </c>
      <c r="P465">
        <f>G465-U465</f>
        <v/>
      </c>
      <c r="Q465" s="35" t="n">
        <v>45320</v>
      </c>
      <c r="R465" t="inlineStr"/>
      <c r="S465" t="inlineStr">
        <is>
          <t>L001-107032791</t>
        </is>
      </c>
      <c r="T465" t="inlineStr">
        <is>
          <t>នីបផន អិចប្រេស (ខេមបូឌា) ខូ អិលធីឌី</t>
        </is>
      </c>
      <c r="U465" t="n">
        <v>0</v>
      </c>
      <c r="V465" t="n">
        <v>0</v>
      </c>
    </row>
    <row r="466">
      <c r="A466" t="n">
        <v>465</v>
      </c>
      <c r="B466" t="inlineStr">
        <is>
          <t>Charge from warehouse</t>
        </is>
      </c>
      <c r="C466" t="inlineStr">
        <is>
          <t>កំពង់ផែស្វយ័តក្រុងព្រះសីហនុ</t>
        </is>
      </c>
      <c r="D466" t="inlineStr">
        <is>
          <t>L001-100044638</t>
        </is>
      </c>
      <c r="E466" t="inlineStr">
        <is>
          <t>078018</t>
        </is>
      </c>
      <c r="F466" t="inlineStr">
        <is>
          <t>27-04-2024</t>
        </is>
      </c>
      <c r="G466" t="n">
        <v>620</v>
      </c>
      <c r="I466">
        <f>G466</f>
        <v/>
      </c>
      <c r="K466">
        <f>I466-G466</f>
        <v/>
      </c>
      <c r="M466">
        <f>R466=E466</f>
        <v/>
      </c>
      <c r="N466">
        <f>AND(MONTH(F466)=MONTH(Q466), YEAR(F466)=YEAR(Q466))</f>
        <v/>
      </c>
      <c r="O466">
        <f>"L001-902303751"=S466</f>
        <v/>
      </c>
      <c r="P466">
        <f>G466-U466</f>
        <v/>
      </c>
      <c r="Q466" s="35" t="n">
        <v>45320</v>
      </c>
      <c r="R466" t="inlineStr"/>
      <c r="S466" t="inlineStr">
        <is>
          <t>K003-901635943</t>
        </is>
      </c>
      <c r="T466" t="inlineStr">
        <is>
          <t>អ៊ីឃ្យូឡាញ វើលវ៉ាយដ៍ ឡូជីស្ទីក</t>
        </is>
      </c>
      <c r="U466" t="n">
        <v>0</v>
      </c>
      <c r="V466" t="n">
        <v>0</v>
      </c>
    </row>
    <row r="467">
      <c r="A467" t="n">
        <v>466</v>
      </c>
      <c r="B467" t="inlineStr">
        <is>
          <t>THC FEE, DOC FEE, CFS FEE, SCANNER FEE, D/O FEE, AGENCY FEE, LSS CHARGE</t>
        </is>
      </c>
      <c r="C467" t="inlineStr">
        <is>
          <t>ខាហ្គោផត (ខេមបូឌា)</t>
        </is>
      </c>
      <c r="D467" t="inlineStr">
        <is>
          <t>K005-100099521</t>
        </is>
      </c>
      <c r="E467" t="inlineStr">
        <is>
          <t>24-0852</t>
        </is>
      </c>
      <c r="F467" t="inlineStr">
        <is>
          <t>16-04-2024</t>
        </is>
      </c>
      <c r="G467" t="n">
        <v>50513</v>
      </c>
      <c r="I467">
        <f>G467</f>
        <v/>
      </c>
      <c r="K467">
        <f>I467-G467</f>
        <v/>
      </c>
      <c r="M467">
        <f>R467=E467</f>
        <v/>
      </c>
      <c r="N467">
        <f>AND(MONTH(F467)=MONTH(Q467), YEAR(F467)=YEAR(Q467))</f>
        <v/>
      </c>
      <c r="O467">
        <f>"L001-902303751"=S467</f>
        <v/>
      </c>
      <c r="P467">
        <f>G467-U467</f>
        <v/>
      </c>
      <c r="Q467" s="35" t="n">
        <v>45300</v>
      </c>
      <c r="R467" t="n">
        <v>81940</v>
      </c>
      <c r="S467" t="inlineStr">
        <is>
          <t>K005-100059945</t>
        </is>
      </c>
      <c r="T467" t="inlineStr">
        <is>
          <t>អ៊ែតវ៉ានស៍ គ្លរី ឡូជីស្ទីក (ខេមបូឌា) (អេ ជី អិល)</t>
        </is>
      </c>
      <c r="U467" t="n">
        <v>81940</v>
      </c>
      <c r="V467" t="n">
        <v>0</v>
      </c>
    </row>
    <row r="468">
      <c r="A468" t="n">
        <v>467</v>
      </c>
      <c r="B468" t="inlineStr">
        <is>
          <t>Customs Clearance Fee</t>
        </is>
      </c>
      <c r="C468" t="inlineStr">
        <is>
          <t>ត្រាយអ៊ែងហ្គល ឡូជីស្ទីក (ខេមបូឌា) ឯ.ក</t>
        </is>
      </c>
      <c r="D468" t="inlineStr">
        <is>
          <t>K010-902101743</t>
        </is>
      </c>
      <c r="E468" t="inlineStr">
        <is>
          <t>TAG-24-00262</t>
        </is>
      </c>
      <c r="F468" t="inlineStr">
        <is>
          <t>19-04-2024</t>
        </is>
      </c>
      <c r="G468" t="n">
        <v>8126</v>
      </c>
      <c r="I468">
        <f>G468</f>
        <v/>
      </c>
      <c r="K468">
        <f>I468-G468</f>
        <v/>
      </c>
      <c r="M468">
        <f>R468=E468</f>
        <v/>
      </c>
      <c r="N468">
        <f>AND(MONTH(F468)=MONTH(Q468), YEAR(F468)=YEAR(Q468))</f>
        <v/>
      </c>
      <c r="O468">
        <f>"L001-902303751"=S468</f>
        <v/>
      </c>
      <c r="P468">
        <f>G468-U468</f>
        <v/>
      </c>
      <c r="Q468" s="35" t="n">
        <v>45310</v>
      </c>
      <c r="R468" t="n">
        <v>81520</v>
      </c>
      <c r="S468" t="inlineStr">
        <is>
          <t>K003-901635943</t>
        </is>
      </c>
      <c r="T468" t="inlineStr">
        <is>
          <t>អ៊ីឃ្យូឡាញ វើលវ៉ាយដ៍ ឡូជីស្ទីក</t>
        </is>
      </c>
      <c r="U468" t="n">
        <v>81520</v>
      </c>
      <c r="V468" t="n">
        <v>0</v>
      </c>
    </row>
    <row r="469">
      <c r="A469" t="n">
        <v>468</v>
      </c>
      <c r="B469" t="inlineStr">
        <is>
          <t>Customs Clearance Fee and Trucking Fee</t>
        </is>
      </c>
      <c r="C469" t="inlineStr">
        <is>
          <t>ត្រាយអ៊ែងហ្គល ឡូជីស្ទីក (ខេមបូឌា) ឯ.ក</t>
        </is>
      </c>
      <c r="D469" t="inlineStr">
        <is>
          <t>K010-902101743</t>
        </is>
      </c>
      <c r="E469" t="inlineStr">
        <is>
          <t>TAG-24-00268</t>
        </is>
      </c>
      <c r="F469" t="inlineStr">
        <is>
          <t>22-04-2024</t>
        </is>
      </c>
      <c r="G469" t="n">
        <v>69088</v>
      </c>
      <c r="I469">
        <f>G469</f>
        <v/>
      </c>
      <c r="K469">
        <f>I469-G469</f>
        <v/>
      </c>
      <c r="M469">
        <f>R469=E469</f>
        <v/>
      </c>
      <c r="N469">
        <f>AND(MONTH(F469)=MONTH(Q469), YEAR(F469)=YEAR(Q469))</f>
        <v/>
      </c>
      <c r="O469">
        <f>"L001-902303751"=S469</f>
        <v/>
      </c>
      <c r="P469">
        <f>G469-U469</f>
        <v/>
      </c>
      <c r="Q469" s="35" t="n">
        <v>45293</v>
      </c>
      <c r="R469" t="n">
        <v>81620</v>
      </c>
      <c r="S469" t="inlineStr">
        <is>
          <t>K005-901902888</t>
        </is>
      </c>
      <c r="T469" t="inlineStr">
        <is>
          <t>អឹឡាយអិន ហ្វ័រវើឌីង (ខេមបូឌា) ឯ.ក</t>
        </is>
      </c>
      <c r="U469" t="n">
        <v>81620</v>
      </c>
      <c r="V469" t="n">
        <v>0</v>
      </c>
    </row>
    <row r="470">
      <c r="A470" t="n">
        <v>469</v>
      </c>
      <c r="B470" t="inlineStr">
        <is>
          <t>Import Shipment Expense</t>
        </is>
      </c>
      <c r="C470" t="inlineStr">
        <is>
          <t>ខេអិលអិន ហ្វ្រេត (ខេមបូឌា) ឯ.ក</t>
        </is>
      </c>
      <c r="D470" t="inlineStr">
        <is>
          <t>L001-100074669</t>
        </is>
      </c>
      <c r="E470" t="inlineStr">
        <is>
          <t>IVO06121</t>
        </is>
      </c>
      <c r="F470" t="inlineStr">
        <is>
          <t>25-04-2024</t>
        </is>
      </c>
      <c r="G470" t="n">
        <v>117954</v>
      </c>
      <c r="I470">
        <f>G470</f>
        <v/>
      </c>
      <c r="K470">
        <f>I470-G470</f>
        <v/>
      </c>
      <c r="M470">
        <f>R470=E470</f>
        <v/>
      </c>
      <c r="N470">
        <f>AND(MONTH(F470)=MONTH(Q470), YEAR(F470)=YEAR(Q470))</f>
        <v/>
      </c>
      <c r="O470">
        <f>"L001-902303751"=S470</f>
        <v/>
      </c>
      <c r="P470">
        <f>G470-U470</f>
        <v/>
      </c>
      <c r="Q470" s="35" t="n">
        <v>45293</v>
      </c>
      <c r="R470" t="inlineStr"/>
      <c r="S470" t="inlineStr">
        <is>
          <t>L001-100045995</t>
        </is>
      </c>
      <c r="T470" t="inlineStr">
        <is>
          <t>ឌីអេចអិល ឡូជីស្ទីក (ខេមបូឌា)</t>
        </is>
      </c>
      <c r="U470" t="n">
        <v>0</v>
      </c>
      <c r="V470" t="n">
        <v>0</v>
      </c>
    </row>
    <row r="471">
      <c r="A471" t="n">
        <v>470</v>
      </c>
      <c r="B471" t="inlineStr">
        <is>
          <t>Customs Clearance Fee</t>
        </is>
      </c>
      <c r="C471" t="inlineStr">
        <is>
          <t>ត្រាយអ៊ែងហ្គល ឡូជីស្ទីក (ខេមបូឌា) ឯ.ក</t>
        </is>
      </c>
      <c r="D471" t="inlineStr">
        <is>
          <t>K010-902101743</t>
        </is>
      </c>
      <c r="E471" t="inlineStr">
        <is>
          <t>TAG-24-00273</t>
        </is>
      </c>
      <c r="F471" t="inlineStr">
        <is>
          <t>23-04-2024</t>
        </is>
      </c>
      <c r="G471" t="n">
        <v>28434</v>
      </c>
      <c r="I471">
        <f>G471</f>
        <v/>
      </c>
      <c r="K471">
        <f>I471-G471</f>
        <v/>
      </c>
      <c r="M471">
        <f>R471=E471</f>
        <v/>
      </c>
      <c r="N471">
        <f>AND(MONTH(F471)=MONTH(Q471), YEAR(F471)=YEAR(Q471))</f>
        <v/>
      </c>
      <c r="O471">
        <f>"L001-902303751"=S471</f>
        <v/>
      </c>
      <c r="P471">
        <f>G471-U471</f>
        <v/>
      </c>
      <c r="Q471" s="35" t="n">
        <v>45316</v>
      </c>
      <c r="R471" t="n">
        <v>81580</v>
      </c>
      <c r="S471" t="inlineStr">
        <is>
          <t>K003-901635943</t>
        </is>
      </c>
      <c r="T471" t="inlineStr">
        <is>
          <t>អ៊ីឃ្យូឡាញ វើលវ៉ាយដ៍ ឡូជីស្ទីក</t>
        </is>
      </c>
      <c r="U471" t="n">
        <v>81580</v>
      </c>
      <c r="V471" t="n">
        <v>0</v>
      </c>
    </row>
    <row r="472">
      <c r="A472" t="n">
        <v>471</v>
      </c>
      <c r="B472" t="inlineStr">
        <is>
          <t>Cargo Terminal</t>
        </is>
      </c>
      <c r="C472" t="inlineStr">
        <is>
          <t>សូស៊ីយេតេ កុងសេស្យូនែរ ដឺ ឡាអេរ៉ូព័រ</t>
        </is>
      </c>
      <c r="D472" t="inlineStr">
        <is>
          <t>L001-100047300</t>
        </is>
      </c>
      <c r="E472" t="inlineStr">
        <is>
          <t>2400-028404</t>
        </is>
      </c>
      <c r="F472" t="inlineStr">
        <is>
          <t>23-04-2024</t>
        </is>
      </c>
      <c r="G472" t="n">
        <v>5883</v>
      </c>
      <c r="I472">
        <f>G472</f>
        <v/>
      </c>
      <c r="K472">
        <f>I472-G472</f>
        <v/>
      </c>
      <c r="M472">
        <f>R472=E472</f>
        <v/>
      </c>
      <c r="N472">
        <f>AND(MONTH(F472)=MONTH(Q472), YEAR(F472)=YEAR(Q472))</f>
        <v/>
      </c>
      <c r="O472">
        <f>"L001-902303751"=S472</f>
        <v/>
      </c>
      <c r="P472">
        <f>G472-U472</f>
        <v/>
      </c>
      <c r="Q472" s="35" t="n">
        <v>45294</v>
      </c>
      <c r="R472" t="n">
        <v>81640</v>
      </c>
      <c r="S472" t="inlineStr">
        <is>
          <t>K002-901800477</t>
        </is>
      </c>
      <c r="T472" t="inlineStr">
        <is>
          <t>អាយធីអាយ អ៊ិនធើណេសិនណល ត្រេនស័្ពរថេសិន (ខេមបូឌា) ឯ.ក</t>
        </is>
      </c>
      <c r="U472" t="n">
        <v>81640</v>
      </c>
      <c r="V472" t="n">
        <v>0</v>
      </c>
    </row>
    <row r="473">
      <c r="A473" t="n">
        <v>472</v>
      </c>
      <c r="B473" t="inlineStr">
        <is>
          <t>Machine and accessory</t>
        </is>
      </c>
      <c r="C473" t="inlineStr">
        <is>
          <t>ក្លាក ហ៊ូ ឯ.ក</t>
        </is>
      </c>
      <c r="D473" t="inlineStr">
        <is>
          <t>K007-901639199</t>
        </is>
      </c>
      <c r="E473" t="inlineStr">
        <is>
          <t>IN1065</t>
        </is>
      </c>
      <c r="F473" t="inlineStr">
        <is>
          <t>31-05-2024</t>
        </is>
      </c>
      <c r="G473" t="n">
        <v>1044329</v>
      </c>
      <c r="I473">
        <f>G473</f>
        <v/>
      </c>
      <c r="K473">
        <f>I473-G473</f>
        <v/>
      </c>
      <c r="M473">
        <f>R473=E473</f>
        <v/>
      </c>
      <c r="N473">
        <f>AND(MONTH(F473)=MONTH(Q473), YEAR(F473)=YEAR(Q473))</f>
        <v/>
      </c>
      <c r="O473">
        <f>"L001-902303751"=S473</f>
        <v/>
      </c>
      <c r="P473">
        <f>G473-U473</f>
        <v/>
      </c>
      <c r="Q473" s="35" t="n">
        <v>45303</v>
      </c>
      <c r="R473" t="n">
        <v>110268</v>
      </c>
      <c r="S473" t="inlineStr">
        <is>
          <t>L001-107032791</t>
        </is>
      </c>
      <c r="T473" t="inlineStr">
        <is>
          <t>នីបផន អិចប្រេស (ខេមបូឌា) ខូ អិលធីឌី</t>
        </is>
      </c>
      <c r="U473" t="n">
        <v>110268</v>
      </c>
      <c r="V473" t="n">
        <v>0</v>
      </c>
    </row>
    <row r="474">
      <c r="A474" t="n">
        <v>473</v>
      </c>
      <c r="B474" t="inlineStr">
        <is>
          <t>Stationery</t>
        </is>
      </c>
      <c r="C474" t="inlineStr">
        <is>
          <t>ស៊ី &amp; ជី ត្រេឌីង ឯ.ក</t>
        </is>
      </c>
      <c r="D474" t="inlineStr">
        <is>
          <t>K010-902205065</t>
        </is>
      </c>
      <c r="E474" t="inlineStr">
        <is>
          <t>2024-0039</t>
        </is>
      </c>
      <c r="F474" t="inlineStr">
        <is>
          <t>20-05-2024</t>
        </is>
      </c>
      <c r="G474" t="n">
        <v>727398</v>
      </c>
      <c r="I474">
        <f>G474</f>
        <v/>
      </c>
      <c r="K474">
        <f>I474-G474</f>
        <v/>
      </c>
      <c r="M474">
        <f>R474=E474</f>
        <v/>
      </c>
      <c r="N474">
        <f>AND(MONTH(F474)=MONTH(Q474), YEAR(F474)=YEAR(Q474))</f>
        <v/>
      </c>
      <c r="O474">
        <f>"L001-902303751"=S474</f>
        <v/>
      </c>
      <c r="P474">
        <f>G474-U474</f>
        <v/>
      </c>
      <c r="Q474" s="35" t="n">
        <v>45310</v>
      </c>
      <c r="R474" t="inlineStr"/>
      <c r="S474" t="inlineStr">
        <is>
          <t>K003-901635943</t>
        </is>
      </c>
      <c r="T474" t="inlineStr">
        <is>
          <t>អ៊ីឃ្យូឡាញ វើលវ៉ាយដ៍ ឡូជីស្ទីក</t>
        </is>
      </c>
      <c r="U474" t="n">
        <v>0</v>
      </c>
      <c r="V474" t="n">
        <v>0</v>
      </c>
    </row>
    <row r="475">
      <c r="A475" t="n">
        <v>474</v>
      </c>
      <c r="B475" t="inlineStr">
        <is>
          <t>Thread</t>
        </is>
      </c>
      <c r="C475" t="inlineStr">
        <is>
          <t>គ្លូប៊ល សុីលីន ហ្គាមុិន អេកសេសឺរី ឯ.ក</t>
        </is>
      </c>
      <c r="D475" t="inlineStr">
        <is>
          <t>L001-902200857</t>
        </is>
      </c>
      <c r="E475" t="inlineStr">
        <is>
          <t>000343</t>
        </is>
      </c>
      <c r="F475" t="inlineStr">
        <is>
          <t>28-05-2024</t>
        </is>
      </c>
      <c r="G475" t="n">
        <v>212316</v>
      </c>
      <c r="I475">
        <f>G475</f>
        <v/>
      </c>
      <c r="K475">
        <f>I475-G475</f>
        <v/>
      </c>
      <c r="M475">
        <f>R475=E475</f>
        <v/>
      </c>
      <c r="N475">
        <f>AND(MONTH(F475)=MONTH(Q475), YEAR(F475)=YEAR(Q475))</f>
        <v/>
      </c>
      <c r="O475">
        <f>"L001-902303751"=S475</f>
        <v/>
      </c>
      <c r="P475">
        <f>G475-U475</f>
        <v/>
      </c>
      <c r="Q475" s="35" t="n">
        <v>45307</v>
      </c>
      <c r="R475" t="inlineStr"/>
      <c r="S475" t="inlineStr">
        <is>
          <t>K003-901635943</t>
        </is>
      </c>
      <c r="T475" t="inlineStr">
        <is>
          <t>អ៊ីឃ្យូឡាញ វើលវ៉ាយដ៍ ឡូជីស្ទីក</t>
        </is>
      </c>
      <c r="U475" t="n">
        <v>0</v>
      </c>
      <c r="V475" t="n">
        <v>0</v>
      </c>
    </row>
    <row r="476">
      <c r="A476" t="n">
        <v>475</v>
      </c>
      <c r="B476" t="inlineStr">
        <is>
          <t>Monthly Security for May 2024</t>
        </is>
      </c>
      <c r="C476" t="inlineStr">
        <is>
          <t>អិល.ប៊ី.អិល.អេច ស៊ីឃ្យូរឹធី ឯ.ក</t>
        </is>
      </c>
      <c r="D476" t="inlineStr">
        <is>
          <t>K010-902202247</t>
        </is>
      </c>
      <c r="E476" t="inlineStr">
        <is>
          <t>L.B.L.H00019</t>
        </is>
      </c>
      <c r="F476" t="inlineStr">
        <is>
          <t>25-05-2024</t>
        </is>
      </c>
      <c r="G476" t="n">
        <v>509875</v>
      </c>
      <c r="I476">
        <f>G476</f>
        <v/>
      </c>
      <c r="K476">
        <f>I476-G476</f>
        <v/>
      </c>
      <c r="M476">
        <f>R476=E476</f>
        <v/>
      </c>
      <c r="N476">
        <f>AND(MONTH(F476)=MONTH(Q476), YEAR(F476)=YEAR(Q476))</f>
        <v/>
      </c>
      <c r="O476">
        <f>"L001-902303751"=S476</f>
        <v/>
      </c>
      <c r="P476">
        <f>G476-U476</f>
        <v/>
      </c>
      <c r="Q476" s="35" t="n">
        <v>45307</v>
      </c>
      <c r="R476" t="inlineStr"/>
      <c r="S476" t="inlineStr">
        <is>
          <t>L001-100045995</t>
        </is>
      </c>
      <c r="T476" t="inlineStr">
        <is>
          <t>ឌីអេចអិល ឡូជីស្ទីក (ខេមបូឌា)</t>
        </is>
      </c>
      <c r="U476" t="n">
        <v>0</v>
      </c>
      <c r="V476" t="n">
        <v>0</v>
      </c>
    </row>
    <row r="477">
      <c r="A477" t="n">
        <v>476</v>
      </c>
      <c r="B477" t="inlineStr">
        <is>
          <t>Shipment Expense</t>
        </is>
      </c>
      <c r="C477" t="inlineStr">
        <is>
          <t>អ៊ិចស្ពែឌីធ័រ ខេមបូឌា អិលធីឌី</t>
        </is>
      </c>
      <c r="D477" t="inlineStr">
        <is>
          <t>L001-100045898</t>
        </is>
      </c>
      <c r="E477" t="inlineStr">
        <is>
          <t>TI-0274918</t>
        </is>
      </c>
      <c r="F477" t="inlineStr">
        <is>
          <t>27-05-2024</t>
        </is>
      </c>
      <c r="G477" t="n">
        <v>22446</v>
      </c>
      <c r="I477">
        <f>G477</f>
        <v/>
      </c>
      <c r="K477">
        <f>I477-G477</f>
        <v/>
      </c>
      <c r="M477">
        <f>R477=E477</f>
        <v/>
      </c>
      <c r="N477">
        <f>AND(MONTH(F477)=MONTH(Q477), YEAR(F477)=YEAR(Q477))</f>
        <v/>
      </c>
      <c r="O477">
        <f>"L001-902303751"=S477</f>
        <v/>
      </c>
      <c r="P477">
        <f>G477-U477</f>
        <v/>
      </c>
      <c r="Q477" s="35" t="n">
        <v>45307</v>
      </c>
      <c r="R477" t="n">
        <v>110241</v>
      </c>
      <c r="S477" t="inlineStr">
        <is>
          <t>L001-100045995</t>
        </is>
      </c>
      <c r="T477" t="inlineStr">
        <is>
          <t>ឌីអេចអិល ឡូជីស្ទីក (ខេមបូឌា)</t>
        </is>
      </c>
      <c r="U477" t="n">
        <v>110241</v>
      </c>
      <c r="V477" t="n">
        <v>0</v>
      </c>
    </row>
    <row r="478">
      <c r="A478" t="n">
        <v>477</v>
      </c>
      <c r="B478" t="inlineStr">
        <is>
          <t>Shipment Expense</t>
        </is>
      </c>
      <c r="C478" t="inlineStr">
        <is>
          <t>អ៊ិចស្ពែឌីធ័រ ខេមបូឌា អិលធីឌី</t>
        </is>
      </c>
      <c r="D478" t="inlineStr">
        <is>
          <t>L001-100045898</t>
        </is>
      </c>
      <c r="E478" t="inlineStr">
        <is>
          <t>TI-0275538</t>
        </is>
      </c>
      <c r="F478" t="inlineStr">
        <is>
          <t>30-05-2024</t>
        </is>
      </c>
      <c r="G478" t="n">
        <v>107444</v>
      </c>
      <c r="I478">
        <f>G478</f>
        <v/>
      </c>
      <c r="K478">
        <f>I478-G478</f>
        <v/>
      </c>
      <c r="M478">
        <f>R478=E478</f>
        <v/>
      </c>
      <c r="N478">
        <f>AND(MONTH(F478)=MONTH(Q478), YEAR(F478)=YEAR(Q478))</f>
        <v/>
      </c>
      <c r="O478">
        <f>"L001-902303751"=S478</f>
        <v/>
      </c>
      <c r="P478">
        <f>G478-U478</f>
        <v/>
      </c>
      <c r="Q478" s="35" t="n">
        <v>45307</v>
      </c>
      <c r="R478" t="n">
        <v>110241</v>
      </c>
      <c r="S478" t="inlineStr">
        <is>
          <t>L001-100045995</t>
        </is>
      </c>
      <c r="T478" t="inlineStr">
        <is>
          <t>ឌីអេចអិល ឡូជីស្ទីក (ខេមបូឌា)</t>
        </is>
      </c>
      <c r="U478" t="n">
        <v>110241</v>
      </c>
      <c r="V478" t="n">
        <v>0</v>
      </c>
    </row>
    <row r="479">
      <c r="A479" t="n">
        <v>478</v>
      </c>
      <c r="B479" t="inlineStr">
        <is>
          <t>Shipment Expense</t>
        </is>
      </c>
      <c r="C479" t="inlineStr">
        <is>
          <t>អ៊ិចស្ពែឌីធ័រ ខេមបូឌា អិលធីឌី</t>
        </is>
      </c>
      <c r="D479" t="inlineStr">
        <is>
          <t>L001-100045898</t>
        </is>
      </c>
      <c r="E479" t="inlineStr">
        <is>
          <t>TI-0275540</t>
        </is>
      </c>
      <c r="F479" t="inlineStr">
        <is>
          <t>30-05-2024</t>
        </is>
      </c>
      <c r="G479" t="n">
        <v>131371</v>
      </c>
      <c r="I479">
        <f>G479</f>
        <v/>
      </c>
      <c r="K479">
        <f>I479-G479</f>
        <v/>
      </c>
      <c r="M479">
        <f>R479=E479</f>
        <v/>
      </c>
      <c r="N479">
        <f>AND(MONTH(F479)=MONTH(Q479), YEAR(F479)=YEAR(Q479))</f>
        <v/>
      </c>
      <c r="O479">
        <f>"L001-902303751"=S479</f>
        <v/>
      </c>
      <c r="P479">
        <f>G479-U479</f>
        <v/>
      </c>
      <c r="Q479" s="35" t="n">
        <v>45310</v>
      </c>
      <c r="R479" t="inlineStr"/>
      <c r="S479" t="inlineStr">
        <is>
          <t>K005-100059945</t>
        </is>
      </c>
      <c r="T479" t="inlineStr">
        <is>
          <t>អ៊ែតវ៉ានស៍ គ្លរី ឡូជីស្ទីក (ខេមបូឌា) (អេ ជី អិល)</t>
        </is>
      </c>
      <c r="U479" t="n">
        <v>0</v>
      </c>
      <c r="V479" t="n">
        <v>0</v>
      </c>
    </row>
    <row r="480">
      <c r="A480" t="n">
        <v>479</v>
      </c>
      <c r="B480" t="inlineStr">
        <is>
          <t>Shipment Expense</t>
        </is>
      </c>
      <c r="C480" t="inlineStr">
        <is>
          <t>អ៊ិចស្ពែឌីធ័រ ខេមបូឌា អិលធីឌី</t>
        </is>
      </c>
      <c r="D480" t="inlineStr">
        <is>
          <t>L001-100045898</t>
        </is>
      </c>
      <c r="E480" t="inlineStr">
        <is>
          <t>TI-0275541</t>
        </is>
      </c>
      <c r="F480" t="inlineStr">
        <is>
          <t>30-05-2024</t>
        </is>
      </c>
      <c r="G480" t="n">
        <v>134725</v>
      </c>
      <c r="I480">
        <f>G480</f>
        <v/>
      </c>
      <c r="K480">
        <f>I480-G480</f>
        <v/>
      </c>
      <c r="M480">
        <f>R480=E480</f>
        <v/>
      </c>
      <c r="N480">
        <f>AND(MONTH(F480)=MONTH(Q480), YEAR(F480)=YEAR(Q480))</f>
        <v/>
      </c>
      <c r="O480">
        <f>"L001-902303751"=S480</f>
        <v/>
      </c>
      <c r="P480">
        <f>G480-U480</f>
        <v/>
      </c>
      <c r="Q480" s="35" t="n">
        <v>45294</v>
      </c>
      <c r="R480" t="n">
        <v>200018</v>
      </c>
      <c r="S480" t="inlineStr">
        <is>
          <t>K002-901800477</t>
        </is>
      </c>
      <c r="T480" t="inlineStr">
        <is>
          <t>អាយធីអាយ អ៊ិនធើណេសិនណល ត្រេនស័្ពរថេសិន (ខេមបូឌា) ឯ.ក</t>
        </is>
      </c>
      <c r="U480" t="n">
        <v>200018</v>
      </c>
      <c r="V480" t="n">
        <v>0</v>
      </c>
    </row>
    <row r="481">
      <c r="A481" t="n">
        <v>480</v>
      </c>
      <c r="B481" t="inlineStr">
        <is>
          <t>Shipment Expense</t>
        </is>
      </c>
      <c r="C481" t="inlineStr">
        <is>
          <t>អ៊ិចស្ពែឌីធ័រ ខេមបូឌា អិលធីឌី</t>
        </is>
      </c>
      <c r="D481" t="inlineStr">
        <is>
          <t>L001-100045898</t>
        </is>
      </c>
      <c r="E481" t="inlineStr">
        <is>
          <t>TI-0275152</t>
        </is>
      </c>
      <c r="F481" t="inlineStr">
        <is>
          <t>29-05-2024</t>
        </is>
      </c>
      <c r="G481" t="n">
        <v>211514</v>
      </c>
      <c r="I481">
        <f>G481</f>
        <v/>
      </c>
      <c r="K481">
        <f>I481-G481</f>
        <v/>
      </c>
      <c r="M481">
        <f>R481=E481</f>
        <v/>
      </c>
      <c r="N481">
        <f>AND(MONTH(F481)=MONTH(Q481), YEAR(F481)=YEAR(Q481))</f>
        <v/>
      </c>
      <c r="O481">
        <f>"L001-902303751"=S481</f>
        <v/>
      </c>
      <c r="P481">
        <f>G481-U481</f>
        <v/>
      </c>
      <c r="Q481" s="35" t="n">
        <v>45293</v>
      </c>
      <c r="R481" t="n">
        <v>81620</v>
      </c>
      <c r="S481" t="inlineStr">
        <is>
          <t>L001-100045995</t>
        </is>
      </c>
      <c r="T481" t="inlineStr">
        <is>
          <t>ឌីអេចអិល ឡូជីស្ទីក (ខេមបូឌា)</t>
        </is>
      </c>
      <c r="U481" t="n">
        <v>81620</v>
      </c>
      <c r="V481" t="n">
        <v>0</v>
      </c>
    </row>
    <row r="482">
      <c r="A482" t="n">
        <v>481</v>
      </c>
      <c r="B482" t="inlineStr">
        <is>
          <t>Shipment Expense</t>
        </is>
      </c>
      <c r="C482" t="inlineStr">
        <is>
          <t>អ៊ិចស្ពែឌីធ័រ ខេមបូឌា អិលធីឌី</t>
        </is>
      </c>
      <c r="D482" t="inlineStr">
        <is>
          <t>L001-100045898</t>
        </is>
      </c>
      <c r="E482" t="inlineStr">
        <is>
          <t>TI-0275534</t>
        </is>
      </c>
      <c r="F482" t="inlineStr">
        <is>
          <t>30-05-2024</t>
        </is>
      </c>
      <c r="G482" t="n">
        <v>92434</v>
      </c>
      <c r="I482">
        <f>G482</f>
        <v/>
      </c>
      <c r="K482">
        <f>I482-G482</f>
        <v/>
      </c>
      <c r="M482">
        <f>R482=E482</f>
        <v/>
      </c>
      <c r="N482">
        <f>AND(MONTH(F482)=MONTH(Q482), YEAR(F482)=YEAR(Q482))</f>
        <v/>
      </c>
      <c r="O482">
        <f>"L001-902303751"=S482</f>
        <v/>
      </c>
      <c r="P482">
        <f>G482-U482</f>
        <v/>
      </c>
      <c r="Q482" s="35" t="n">
        <v>45320</v>
      </c>
      <c r="R482" t="inlineStr"/>
      <c r="S482" t="inlineStr">
        <is>
          <t>K005-100150195</t>
        </is>
      </c>
      <c r="T482" t="inlineStr">
        <is>
          <t>អេស អ វី ស៊ី ហ្វ្រេត សឺវីស (ខេមបូឌា) ខូ អិលធីឌី</t>
        </is>
      </c>
      <c r="U482" t="n">
        <v>0</v>
      </c>
      <c r="V482" t="n">
        <v>0</v>
      </c>
    </row>
    <row r="483">
      <c r="A483" t="n">
        <v>482</v>
      </c>
      <c r="B483" t="inlineStr">
        <is>
          <t>Documentation Origin, Handling Charges Origin, PLACI Fee and HAWB Transmission Fee</t>
        </is>
      </c>
      <c r="C483" t="inlineStr">
        <is>
          <t>ឌីប៊ី សេនឃើរ (ខេមបូឌា) លីមីធីត</t>
        </is>
      </c>
      <c r="D483" t="inlineStr">
        <is>
          <t>L001-107041723</t>
        </is>
      </c>
      <c r="E483" t="inlineStr">
        <is>
          <t>2400004450</t>
        </is>
      </c>
      <c r="F483" t="inlineStr">
        <is>
          <t>31-05-2024</t>
        </is>
      </c>
      <c r="G483" t="n">
        <v>50344</v>
      </c>
      <c r="I483">
        <f>G483</f>
        <v/>
      </c>
      <c r="K483">
        <f>I483-G483</f>
        <v/>
      </c>
      <c r="M483">
        <f>R483=E483</f>
        <v/>
      </c>
      <c r="N483">
        <f>AND(MONTH(F483)=MONTH(Q483), YEAR(F483)=YEAR(Q483))</f>
        <v/>
      </c>
      <c r="O483">
        <f>"L001-902303751"=S483</f>
        <v/>
      </c>
      <c r="P483">
        <f>G483-U483</f>
        <v/>
      </c>
      <c r="Q483" s="35" t="n">
        <v>45294</v>
      </c>
      <c r="R483" t="n">
        <v>200018</v>
      </c>
      <c r="S483" t="inlineStr">
        <is>
          <t>K002-901800477</t>
        </is>
      </c>
      <c r="T483" t="inlineStr">
        <is>
          <t>អាយធីអាយ អ៊ិនធើណេសិនណល ត្រេនស័្ពរថេសិន (ខេមបូឌា) ឯ.ក</t>
        </is>
      </c>
      <c r="U483" t="n">
        <v>200018</v>
      </c>
      <c r="V483" t="n">
        <v>0</v>
      </c>
    </row>
    <row r="484">
      <c r="A484" t="n">
        <v>483</v>
      </c>
      <c r="B484" t="inlineStr">
        <is>
          <t>Shipment Expense</t>
        </is>
      </c>
      <c r="C484" t="inlineStr">
        <is>
          <t>អ៊ិចស្ពែឌីធ័រ ខេមបូឌា អិលធីឌី</t>
        </is>
      </c>
      <c r="D484" t="inlineStr">
        <is>
          <t>L001-100045898</t>
        </is>
      </c>
      <c r="E484" t="inlineStr">
        <is>
          <t>TI-0275547</t>
        </is>
      </c>
      <c r="F484" t="inlineStr">
        <is>
          <t>30-05-2024</t>
        </is>
      </c>
      <c r="G484" t="n">
        <v>47035</v>
      </c>
      <c r="I484">
        <f>G484</f>
        <v/>
      </c>
      <c r="K484">
        <f>I484-G484</f>
        <v/>
      </c>
      <c r="M484">
        <f>R484=E484</f>
        <v/>
      </c>
      <c r="N484">
        <f>AND(MONTH(F484)=MONTH(Q484), YEAR(F484)=YEAR(Q484))</f>
        <v/>
      </c>
      <c r="O484">
        <f>"L001-902303751"=S484</f>
        <v/>
      </c>
      <c r="P484">
        <f>G484-U484</f>
        <v/>
      </c>
      <c r="Q484" s="35" t="n">
        <v>45294</v>
      </c>
      <c r="R484" t="n">
        <v>81640</v>
      </c>
      <c r="S484" t="inlineStr">
        <is>
          <t>L001-107032791</t>
        </is>
      </c>
      <c r="T484" t="inlineStr">
        <is>
          <t>នីបផន អិចប្រេស (ខេមបូឌា) ខូ អិលធីឌី</t>
        </is>
      </c>
      <c r="U484" t="n">
        <v>81640</v>
      </c>
      <c r="V484" t="n">
        <v>0</v>
      </c>
    </row>
    <row r="485">
      <c r="A485" t="n">
        <v>484</v>
      </c>
      <c r="B485" t="inlineStr">
        <is>
          <t>Gate Fee Charges</t>
        </is>
      </c>
      <c r="C485" t="inlineStr">
        <is>
          <t>កំពង់ផែស្វយ័តភ្នំពេញ "ក.ស.ភ"</t>
        </is>
      </c>
      <c r="D485" t="inlineStr">
        <is>
          <t>L001-100044999</t>
        </is>
      </c>
      <c r="E485" t="inlineStr">
        <is>
          <t>INV20240524309</t>
        </is>
      </c>
      <c r="F485" t="inlineStr">
        <is>
          <t>02-05-2024</t>
        </is>
      </c>
      <c r="G485" t="n">
        <v>813</v>
      </c>
      <c r="I485">
        <f>G485</f>
        <v/>
      </c>
      <c r="K485">
        <f>I485-G485</f>
        <v/>
      </c>
      <c r="M485">
        <f>R485=E485</f>
        <v/>
      </c>
      <c r="N485">
        <f>AND(MONTH(F485)=MONTH(Q485), YEAR(F485)=YEAR(Q485))</f>
        <v/>
      </c>
      <c r="O485">
        <f>"L001-902303751"=S485</f>
        <v/>
      </c>
      <c r="P485">
        <f>G485-U485</f>
        <v/>
      </c>
      <c r="Q485" s="35" t="n">
        <v>45294</v>
      </c>
      <c r="R485" t="n">
        <v>289822</v>
      </c>
      <c r="S485" t="inlineStr">
        <is>
          <t>L001-901500191</t>
        </is>
      </c>
      <c r="T485" t="inlineStr">
        <is>
          <t>អ.អិន.វ៉ាយ ត្រេនស្ព័ត</t>
        </is>
      </c>
      <c r="U485" t="n">
        <v>289822</v>
      </c>
      <c r="V485" t="n">
        <v>0</v>
      </c>
    </row>
    <row r="486">
      <c r="A486" t="n">
        <v>485</v>
      </c>
      <c r="B486" t="inlineStr">
        <is>
          <t>Spare Part</t>
        </is>
      </c>
      <c r="C486" t="inlineStr">
        <is>
          <t>ហ៊ីង អាង ស៊ូ ម៉ាស៊ីន</t>
        </is>
      </c>
      <c r="D486" t="inlineStr">
        <is>
          <t>K010-108009556</t>
        </is>
      </c>
      <c r="E486" t="inlineStr">
        <is>
          <t>XA20240026</t>
        </is>
      </c>
      <c r="F486" t="inlineStr">
        <is>
          <t>13-05-2024</t>
        </is>
      </c>
      <c r="G486" t="n">
        <v>782784</v>
      </c>
      <c r="I486">
        <f>G486</f>
        <v/>
      </c>
      <c r="K486">
        <f>I486-G486</f>
        <v/>
      </c>
      <c r="M486">
        <f>R486=E486</f>
        <v/>
      </c>
      <c r="N486">
        <f>AND(MONTH(F486)=MONTH(Q486), YEAR(F486)=YEAR(Q486))</f>
        <v/>
      </c>
      <c r="O486">
        <f>"L001-902303751"=S486</f>
        <v/>
      </c>
      <c r="P486">
        <f>G486-U486</f>
        <v/>
      </c>
      <c r="Q486" s="35" t="n">
        <v>45300</v>
      </c>
      <c r="R486" t="inlineStr"/>
      <c r="S486" t="inlineStr">
        <is>
          <t>K003-901635943</t>
        </is>
      </c>
      <c r="T486" t="inlineStr">
        <is>
          <t>អ៊ីឃ្យូឡាញ វើលវ៉ាយដ៍ ឡូជីស្ទីក</t>
        </is>
      </c>
      <c r="U486" t="n">
        <v>0</v>
      </c>
      <c r="V486" t="n">
        <v>0</v>
      </c>
    </row>
    <row r="487">
      <c r="A487" t="n">
        <v>486</v>
      </c>
      <c r="B487" t="inlineStr">
        <is>
          <t>Monthly Security for May 2024</t>
        </is>
      </c>
      <c r="C487" t="inlineStr">
        <is>
          <t>អិល.ប៊ី.អិល.អេច ស៊ីឃ្យូរឹធី ឯ.ក</t>
        </is>
      </c>
      <c r="D487" t="inlineStr">
        <is>
          <t>K010-902202247</t>
        </is>
      </c>
      <c r="E487" t="inlineStr">
        <is>
          <t>L.B.L.H00005</t>
        </is>
      </c>
      <c r="F487" t="inlineStr">
        <is>
          <t>25-05-2024</t>
        </is>
      </c>
      <c r="G487" t="n">
        <v>1395018</v>
      </c>
      <c r="I487">
        <f>G487</f>
        <v/>
      </c>
      <c r="K487">
        <f>I487-G487</f>
        <v/>
      </c>
      <c r="M487">
        <f>R487=E487</f>
        <v/>
      </c>
      <c r="N487">
        <f>AND(MONTH(F487)=MONTH(Q487), YEAR(F487)=YEAR(Q487))</f>
        <v/>
      </c>
      <c r="O487">
        <f>"L001-902303751"=S487</f>
        <v/>
      </c>
      <c r="P487">
        <f>G487-U487</f>
        <v/>
      </c>
      <c r="Q487" s="35" t="n">
        <v>45307</v>
      </c>
      <c r="R487" t="inlineStr"/>
      <c r="S487" t="inlineStr">
        <is>
          <t>L001-100182259</t>
        </is>
      </c>
      <c r="T487" t="inlineStr">
        <is>
          <t>សាខាក្រុមហ៊ុន ប៊ី ឡូជីស្ទីក ខបភើរេសិន (ខេមបូឌា)</t>
        </is>
      </c>
      <c r="U487" t="n">
        <v>0</v>
      </c>
      <c r="V487" t="n">
        <v>0</v>
      </c>
    </row>
    <row r="488">
      <c r="A488" t="n">
        <v>487</v>
      </c>
      <c r="B488" t="inlineStr">
        <is>
          <t>Trucking, Customs Clearance, Extra Trucking and Truck Fuel Surcharge</t>
        </is>
      </c>
      <c r="C488" t="inlineStr">
        <is>
          <t>អេស អ វី ស៊ី ហ្វ្រេត សឺវីស (ខេមបូឌា) ខូ អិលធីឌី</t>
        </is>
      </c>
      <c r="D488" t="inlineStr">
        <is>
          <t>K005-100150195</t>
        </is>
      </c>
      <c r="E488" t="inlineStr">
        <is>
          <t>SRVI2402258</t>
        </is>
      </c>
      <c r="F488" t="inlineStr">
        <is>
          <t>02-05-2024</t>
        </is>
      </c>
      <c r="G488" t="n">
        <v>176871</v>
      </c>
      <c r="I488">
        <f>G488</f>
        <v/>
      </c>
      <c r="K488">
        <f>I488-G488</f>
        <v/>
      </c>
      <c r="M488">
        <f>R488=E488</f>
        <v/>
      </c>
      <c r="N488">
        <f>AND(MONTH(F488)=MONTH(Q488), YEAR(F488)=YEAR(Q488))</f>
        <v/>
      </c>
      <c r="O488">
        <f>"L001-902303751"=S488</f>
        <v/>
      </c>
      <c r="P488">
        <f>G488-U488</f>
        <v/>
      </c>
      <c r="Q488" s="35" t="n">
        <v>45303</v>
      </c>
      <c r="R488" t="inlineStr"/>
      <c r="S488" t="inlineStr">
        <is>
          <t>K005-100059945</t>
        </is>
      </c>
      <c r="T488" t="inlineStr">
        <is>
          <t>អ៊ែតវ៉ានស៍ គ្លរី ឡូជីស្ទីក (ខេមបូឌា) (អេ ជី អិល)</t>
        </is>
      </c>
      <c r="U488" t="n">
        <v>0</v>
      </c>
      <c r="V488" t="n">
        <v>0</v>
      </c>
    </row>
    <row r="489">
      <c r="A489" t="n">
        <v>488</v>
      </c>
      <c r="B489" t="inlineStr">
        <is>
          <t>Air Compressor, KDNRA 75-LED and Air Conditioner</t>
        </is>
      </c>
      <c r="C489" t="inlineStr">
        <is>
          <t>ស្មាត សាញ ហ្គាម៉ិន (ខេមបូឌា) ឯ.ក</t>
        </is>
      </c>
      <c r="D489" t="inlineStr">
        <is>
          <t>L001-902105025</t>
        </is>
      </c>
      <c r="E489" t="inlineStr">
        <is>
          <t>SSG-20240003</t>
        </is>
      </c>
      <c r="F489" t="inlineStr">
        <is>
          <t>23-05-2024</t>
        </is>
      </c>
      <c r="G489" t="n">
        <v>10516348</v>
      </c>
      <c r="I489">
        <f>G489</f>
        <v/>
      </c>
      <c r="K489">
        <f>I489-G489</f>
        <v/>
      </c>
      <c r="M489">
        <f>R489=E489</f>
        <v/>
      </c>
      <c r="N489">
        <f>AND(MONTH(F489)=MONTH(Q489), YEAR(F489)=YEAR(Q489))</f>
        <v/>
      </c>
      <c r="O489">
        <f>"L001-902303751"=S489</f>
        <v/>
      </c>
      <c r="P489">
        <f>G489-U489</f>
        <v/>
      </c>
      <c r="Q489" s="35" t="n">
        <v>45307</v>
      </c>
      <c r="R489" t="inlineStr"/>
      <c r="S489" t="inlineStr">
        <is>
          <t>L001-100045995</t>
        </is>
      </c>
      <c r="T489" t="inlineStr">
        <is>
          <t>ឌីអេចអិល ឡូជីស្ទីក (ខេមបូឌា)</t>
        </is>
      </c>
      <c r="U489" t="n">
        <v>0</v>
      </c>
      <c r="V489" t="n">
        <v>0</v>
      </c>
    </row>
    <row r="490">
      <c r="A490" t="n">
        <v>489</v>
      </c>
      <c r="B490" t="inlineStr">
        <is>
          <t>Machine &amp; Computer</t>
        </is>
      </c>
      <c r="C490" t="inlineStr">
        <is>
          <t>ខ្វាន់ទុម ហ្គាមេន ឯ.ក</t>
        </is>
      </c>
      <c r="D490" t="inlineStr">
        <is>
          <t>L001-100181244</t>
        </is>
      </c>
      <c r="E490" t="inlineStr">
        <is>
          <t>CBK-202400015</t>
        </is>
      </c>
      <c r="F490" t="inlineStr">
        <is>
          <t>23-05-2024</t>
        </is>
      </c>
      <c r="G490" t="n">
        <v>47895210</v>
      </c>
      <c r="I490">
        <f>G490</f>
        <v/>
      </c>
      <c r="K490">
        <f>I490-G490</f>
        <v/>
      </c>
      <c r="M490">
        <f>R490=E490</f>
        <v/>
      </c>
      <c r="N490">
        <f>AND(MONTH(F490)=MONTH(Q490), YEAR(F490)=YEAR(Q490))</f>
        <v/>
      </c>
      <c r="O490">
        <f>"L001-902303751"=S490</f>
        <v/>
      </c>
      <c r="P490">
        <f>G490-U490</f>
        <v/>
      </c>
      <c r="Q490" s="35" t="n">
        <v>45294</v>
      </c>
      <c r="R490" t="n">
        <v>351052</v>
      </c>
      <c r="S490" t="inlineStr">
        <is>
          <t>L001-100011888</t>
        </is>
      </c>
      <c r="T490" t="inlineStr">
        <is>
          <t>ត្រេន ស្តារ ហ្រេ្វត</t>
        </is>
      </c>
      <c r="U490" t="n">
        <v>351052</v>
      </c>
      <c r="V490" t="n">
        <v>0</v>
      </c>
    </row>
    <row r="491">
      <c r="A491" t="n">
        <v>490</v>
      </c>
      <c r="B491" t="inlineStr">
        <is>
          <t>Cargo Terminal</t>
        </is>
      </c>
      <c r="C491" t="inlineStr">
        <is>
          <t>សូស៊ីយេតេ កុងសេស្យូនែរ ដឺ ឡាអេរ៉ូព័រ</t>
        </is>
      </c>
      <c r="D491" t="inlineStr">
        <is>
          <t>L001-100047300</t>
        </is>
      </c>
      <c r="E491" t="inlineStr">
        <is>
          <t>2400-039417</t>
        </is>
      </c>
      <c r="F491" t="inlineStr">
        <is>
          <t>28-05-2024</t>
        </is>
      </c>
      <c r="G491" t="n">
        <v>23388</v>
      </c>
      <c r="I491">
        <f>G491</f>
        <v/>
      </c>
      <c r="K491">
        <f>I491-G491</f>
        <v/>
      </c>
      <c r="M491">
        <f>R491=E491</f>
        <v/>
      </c>
      <c r="N491">
        <f>AND(MONTH(F491)=MONTH(Q491), YEAR(F491)=YEAR(Q491))</f>
        <v/>
      </c>
      <c r="O491">
        <f>"L001-902303751"=S491</f>
        <v/>
      </c>
      <c r="P491">
        <f>G491-U491</f>
        <v/>
      </c>
      <c r="Q491" s="35" t="n">
        <v>45320</v>
      </c>
      <c r="R491" t="n">
        <v>81620</v>
      </c>
      <c r="S491" t="inlineStr">
        <is>
          <t>L001-901500191</t>
        </is>
      </c>
      <c r="T491" t="inlineStr">
        <is>
          <t>អ.អិន.វ៉ាយ ត្រេនស្ព័ត</t>
        </is>
      </c>
      <c r="U491" t="n">
        <v>81620</v>
      </c>
      <c r="V491" t="n">
        <v>0</v>
      </c>
    </row>
    <row r="492">
      <c r="A492" t="n">
        <v>491</v>
      </c>
      <c r="B492" t="inlineStr">
        <is>
          <t>Customs Clearance Fee</t>
        </is>
      </c>
      <c r="C492" t="inlineStr">
        <is>
          <t>ត្រាយអ៊ែងហ្គល ឡូជីស្ទីក (ខេមបូឌា) ឯ.ក</t>
        </is>
      </c>
      <c r="D492" t="inlineStr">
        <is>
          <t>K010-902101743</t>
        </is>
      </c>
      <c r="E492" t="inlineStr">
        <is>
          <t>TAG-24-00381</t>
        </is>
      </c>
      <c r="F492" t="inlineStr">
        <is>
          <t>31-05-2024</t>
        </is>
      </c>
      <c r="G492" t="n">
        <v>8186</v>
      </c>
      <c r="I492">
        <f>G492</f>
        <v/>
      </c>
      <c r="K492">
        <f>I492-G492</f>
        <v/>
      </c>
      <c r="M492">
        <f>R492=E492</f>
        <v/>
      </c>
      <c r="N492">
        <f>AND(MONTH(F492)=MONTH(Q492), YEAR(F492)=YEAR(Q492))</f>
        <v/>
      </c>
      <c r="O492">
        <f>"L001-902303751"=S492</f>
        <v/>
      </c>
      <c r="P492">
        <f>G492-U492</f>
        <v/>
      </c>
      <c r="Q492" s="35" t="n">
        <v>45294</v>
      </c>
      <c r="R492" t="inlineStr"/>
      <c r="S492" t="inlineStr">
        <is>
          <t>K002-901800477</t>
        </is>
      </c>
      <c r="T492" t="inlineStr">
        <is>
          <t>អាយធីអាយ អ៊ិនធើណេសិនណល ត្រេនស័្ពរថេសិន (ខេមបូឌា) ឯ.ក</t>
        </is>
      </c>
      <c r="U492" t="n">
        <v>0</v>
      </c>
      <c r="V492" t="n">
        <v>0</v>
      </c>
    </row>
    <row r="493">
      <c r="A493" t="n">
        <v>492</v>
      </c>
      <c r="B493" t="inlineStr">
        <is>
          <t>Cargo Terminal</t>
        </is>
      </c>
      <c r="C493" t="inlineStr">
        <is>
          <t>សូស៊ីយេតេ កុងសេស្យូនែរ ដឺ ឡាអេរ៉ូព័រ</t>
        </is>
      </c>
      <c r="D493" t="inlineStr">
        <is>
          <t>L001-100047300</t>
        </is>
      </c>
      <c r="E493" t="inlineStr">
        <is>
          <t>2400-040101</t>
        </is>
      </c>
      <c r="F493" t="inlineStr">
        <is>
          <t>30-05-2024</t>
        </is>
      </c>
      <c r="G493" t="n">
        <v>1439</v>
      </c>
      <c r="I493">
        <f>G493</f>
        <v/>
      </c>
      <c r="K493">
        <f>I493-G493</f>
        <v/>
      </c>
      <c r="M493">
        <f>R493=E493</f>
        <v/>
      </c>
      <c r="N493">
        <f>AND(MONTH(F493)=MONTH(Q493), YEAR(F493)=YEAR(Q493))</f>
        <v/>
      </c>
      <c r="O493">
        <f>"L001-902303751"=S493</f>
        <v/>
      </c>
      <c r="P493">
        <f>G493-U493</f>
        <v/>
      </c>
      <c r="Q493" s="35" t="n">
        <v>45294</v>
      </c>
      <c r="R493" t="inlineStr"/>
      <c r="S493" t="inlineStr">
        <is>
          <t>L001-100011888</t>
        </is>
      </c>
      <c r="T493" t="inlineStr">
        <is>
          <t>ត្រេន ស្តារ ហ្រេ្វត</t>
        </is>
      </c>
      <c r="U493" t="n">
        <v>0</v>
      </c>
      <c r="V493" t="n">
        <v>0</v>
      </c>
    </row>
    <row r="494">
      <c r="A494" t="n">
        <v>493</v>
      </c>
      <c r="B494" t="inlineStr">
        <is>
          <t>Customs Clearance Fee</t>
        </is>
      </c>
      <c r="C494" t="inlineStr">
        <is>
          <t>ត្រាយអ៊ែងហ្គល ឡូជីស្ទីក (ខេមបូឌា) ឯ.ក</t>
        </is>
      </c>
      <c r="D494" t="inlineStr">
        <is>
          <t>K010-902101743</t>
        </is>
      </c>
      <c r="E494" t="inlineStr">
        <is>
          <t>TAG-24-00378</t>
        </is>
      </c>
      <c r="F494" t="inlineStr">
        <is>
          <t>31-05-2024</t>
        </is>
      </c>
      <c r="G494" t="n">
        <v>8186</v>
      </c>
      <c r="I494">
        <f>G494</f>
        <v/>
      </c>
      <c r="K494">
        <f>I494-G494</f>
        <v/>
      </c>
      <c r="M494">
        <f>R494=E494</f>
        <v/>
      </c>
      <c r="N494">
        <f>AND(MONTH(F494)=MONTH(Q494), YEAR(F494)=YEAR(Q494))</f>
        <v/>
      </c>
      <c r="O494">
        <f>"L001-902303751"=S494</f>
        <v/>
      </c>
      <c r="P494">
        <f>G494-U494</f>
        <v/>
      </c>
      <c r="Q494" s="35" t="n">
        <v>45294</v>
      </c>
      <c r="R494" t="n">
        <v>81640</v>
      </c>
      <c r="S494" t="inlineStr">
        <is>
          <t>L001-103007369</t>
        </is>
      </c>
      <c r="T494" t="inlineStr">
        <is>
          <t>អូរៀនថល ឡូជីស្ទីក &amp; ឌីស្ទ្រីប៊្យូសិន (ខេមបូឌា)</t>
        </is>
      </c>
      <c r="U494" t="n">
        <v>81640</v>
      </c>
      <c r="V494" t="n">
        <v>0</v>
      </c>
    </row>
    <row r="495">
      <c r="A495" t="n">
        <v>494</v>
      </c>
      <c r="B495" t="inlineStr">
        <is>
          <t>Cargo Terminal</t>
        </is>
      </c>
      <c r="C495" t="inlineStr">
        <is>
          <t>សូស៊ីយេតេ កុងសេស្យូនែរ ដឺ ឡាអេរ៉ូព័រ</t>
        </is>
      </c>
      <c r="D495" t="inlineStr">
        <is>
          <t>L001-100047300</t>
        </is>
      </c>
      <c r="E495" t="inlineStr">
        <is>
          <t>2400-040096</t>
        </is>
      </c>
      <c r="F495" t="inlineStr">
        <is>
          <t>30-05-2024</t>
        </is>
      </c>
      <c r="G495" t="n">
        <v>1569</v>
      </c>
      <c r="I495">
        <f>G495</f>
        <v/>
      </c>
      <c r="K495">
        <f>I495-G495</f>
        <v/>
      </c>
      <c r="M495">
        <f>R495=E495</f>
        <v/>
      </c>
      <c r="N495">
        <f>AND(MONTH(F495)=MONTH(Q495), YEAR(F495)=YEAR(Q495))</f>
        <v/>
      </c>
      <c r="O495">
        <f>"L001-902303751"=S495</f>
        <v/>
      </c>
      <c r="P495">
        <f>G495-U495</f>
        <v/>
      </c>
      <c r="Q495" s="35" t="n">
        <v>45293</v>
      </c>
      <c r="R495" t="inlineStr"/>
      <c r="S495" t="inlineStr">
        <is>
          <t>L001-100074669</t>
        </is>
      </c>
      <c r="T495" t="inlineStr">
        <is>
          <t>ខេអិលអិន ហ្វ្រេត (ខេមបូឌា) ឯ.ក</t>
        </is>
      </c>
      <c r="U495" t="n">
        <v>0</v>
      </c>
      <c r="V495" t="n">
        <v>0</v>
      </c>
    </row>
    <row r="496">
      <c r="A496" t="n">
        <v>495</v>
      </c>
      <c r="B496" t="inlineStr">
        <is>
          <t>Customs Clearance Fee</t>
        </is>
      </c>
      <c r="C496" t="inlineStr">
        <is>
          <t>ត្រាយអ៊ែងហ្គល ឡូជីស្ទីក (ខេមបូឌា) ឯ.ក</t>
        </is>
      </c>
      <c r="D496" t="inlineStr">
        <is>
          <t>K010-902101743</t>
        </is>
      </c>
      <c r="E496" t="inlineStr">
        <is>
          <t>TAG-24-00377</t>
        </is>
      </c>
      <c r="F496" t="inlineStr">
        <is>
          <t>31-05-2024</t>
        </is>
      </c>
      <c r="G496" t="n">
        <v>8186</v>
      </c>
      <c r="I496">
        <f>G496</f>
        <v/>
      </c>
      <c r="K496">
        <f>I496-G496</f>
        <v/>
      </c>
      <c r="M496">
        <f>R496=E496</f>
        <v/>
      </c>
      <c r="N496">
        <f>AND(MONTH(F496)=MONTH(Q496), YEAR(F496)=YEAR(Q496))</f>
        <v/>
      </c>
      <c r="O496">
        <f>"L001-902303751"=S496</f>
        <v/>
      </c>
      <c r="P496">
        <f>G496-U496</f>
        <v/>
      </c>
      <c r="Q496" s="35" t="n">
        <v>45294</v>
      </c>
      <c r="R496" t="inlineStr"/>
      <c r="S496" t="inlineStr">
        <is>
          <t>K002-901800477</t>
        </is>
      </c>
      <c r="T496" t="inlineStr">
        <is>
          <t>អាយធីអាយ អ៊ិនធើណេសិនណល ត្រេនស័្ពរថេសិន (ខេមបូឌា) ឯ.ក</t>
        </is>
      </c>
      <c r="U496" t="n">
        <v>0</v>
      </c>
      <c r="V496" t="n">
        <v>0</v>
      </c>
    </row>
    <row r="497">
      <c r="A497" t="n">
        <v>496</v>
      </c>
      <c r="B497" t="inlineStr">
        <is>
          <t>Customs Clearance Fee</t>
        </is>
      </c>
      <c r="C497" t="inlineStr">
        <is>
          <t>ត្រាយអ៊ែងហ្គល ឡូជីស្ទីក (ខេមបូឌា) ឯ.ក</t>
        </is>
      </c>
      <c r="D497" t="inlineStr">
        <is>
          <t>K010-902101743</t>
        </is>
      </c>
      <c r="E497" t="inlineStr">
        <is>
          <t>TAG-24-00374</t>
        </is>
      </c>
      <c r="F497" t="inlineStr">
        <is>
          <t>31-05-2024</t>
        </is>
      </c>
      <c r="G497" t="n">
        <v>8186</v>
      </c>
      <c r="I497">
        <f>G497</f>
        <v/>
      </c>
      <c r="K497">
        <f>I497-G497</f>
        <v/>
      </c>
      <c r="M497">
        <f>R497=E497</f>
        <v/>
      </c>
      <c r="N497">
        <f>AND(MONTH(F497)=MONTH(Q497), YEAR(F497)=YEAR(Q497))</f>
        <v/>
      </c>
      <c r="O497">
        <f>"L001-902303751"=S497</f>
        <v/>
      </c>
      <c r="P497">
        <f>G497-U497</f>
        <v/>
      </c>
      <c r="Q497" s="35" t="n">
        <v>45300</v>
      </c>
      <c r="R497" t="inlineStr"/>
      <c r="S497" t="inlineStr">
        <is>
          <t>K005-100059945</t>
        </is>
      </c>
      <c r="T497" t="inlineStr">
        <is>
          <t>អ៊ែតវ៉ានស៍ គ្លរី ឡូជីស្ទីក (ខេមបូឌា) (អេ ជី អិល)</t>
        </is>
      </c>
      <c r="U497" t="n">
        <v>0</v>
      </c>
      <c r="V497" t="n">
        <v>0</v>
      </c>
    </row>
    <row r="498">
      <c r="A498" t="n">
        <v>497</v>
      </c>
      <c r="B498" t="inlineStr">
        <is>
          <t>Cargo Terminal</t>
        </is>
      </c>
      <c r="C498" t="inlineStr">
        <is>
          <t>សូស៊ីយេតេ កុងសេស្យូនែរ ដឺ ឡាអេរ៉ូព័រ</t>
        </is>
      </c>
      <c r="D498" t="inlineStr">
        <is>
          <t>L001-100047300</t>
        </is>
      </c>
      <c r="E498" t="inlineStr">
        <is>
          <t>2400-038261</t>
        </is>
      </c>
      <c r="F498" t="inlineStr">
        <is>
          <t>24-05-2024</t>
        </is>
      </c>
      <c r="G498" t="n">
        <v>816</v>
      </c>
      <c r="I498">
        <f>G498</f>
        <v/>
      </c>
      <c r="K498">
        <f>I498-G498</f>
        <v/>
      </c>
      <c r="M498">
        <f>R498=E498</f>
        <v/>
      </c>
      <c r="N498">
        <f>AND(MONTH(F498)=MONTH(Q498), YEAR(F498)=YEAR(Q498))</f>
        <v/>
      </c>
      <c r="O498">
        <f>"L001-902303751"=S498</f>
        <v/>
      </c>
      <c r="P498">
        <f>G498-U498</f>
        <v/>
      </c>
      <c r="Q498" s="35" t="n">
        <v>45304</v>
      </c>
      <c r="R498" t="n">
        <v>2959266</v>
      </c>
      <c r="S498" t="inlineStr">
        <is>
          <t>K004-105012505</t>
        </is>
      </c>
      <c r="T498" t="inlineStr">
        <is>
          <t>អេស៊ាន ហ្វ្រេត (ខេមបូឌា)</t>
        </is>
      </c>
      <c r="U498" t="n">
        <v>2959266</v>
      </c>
      <c r="V498" t="n">
        <v>0</v>
      </c>
    </row>
    <row r="499">
      <c r="A499" t="n">
        <v>498</v>
      </c>
      <c r="B499" t="inlineStr">
        <is>
          <t>Customs Clearance Fee</t>
        </is>
      </c>
      <c r="C499" t="inlineStr">
        <is>
          <t>ត្រាយអ៊ែងហ្គល ឡូជីស្ទីក (ខេមបូឌា) ឯ.ក</t>
        </is>
      </c>
      <c r="D499" t="inlineStr">
        <is>
          <t>K010-902101743</t>
        </is>
      </c>
      <c r="E499" t="inlineStr">
        <is>
          <t>TAG-24-00373</t>
        </is>
      </c>
      <c r="F499" t="inlineStr">
        <is>
          <t>31-05-2024</t>
        </is>
      </c>
      <c r="G499" t="n">
        <v>8186</v>
      </c>
      <c r="I499">
        <f>G499</f>
        <v/>
      </c>
      <c r="K499">
        <f>I499-G499</f>
        <v/>
      </c>
      <c r="M499">
        <f>R499=E499</f>
        <v/>
      </c>
      <c r="N499">
        <f>AND(MONTH(F499)=MONTH(Q499), YEAR(F499)=YEAR(Q499))</f>
        <v/>
      </c>
      <c r="O499">
        <f>"L001-902303751"=S499</f>
        <v/>
      </c>
      <c r="P499">
        <f>G499-U499</f>
        <v/>
      </c>
      <c r="Q499" s="35" t="n">
        <v>45303</v>
      </c>
      <c r="R499" t="n">
        <v>110268</v>
      </c>
      <c r="S499" t="inlineStr">
        <is>
          <t>K005-100059945</t>
        </is>
      </c>
      <c r="T499" t="inlineStr">
        <is>
          <t>អ៊ែតវ៉ានស៍ គ្លរី ឡូជីស្ទីក (ខេមបូឌា) (អេ ជី អិល)</t>
        </is>
      </c>
      <c r="U499" t="n">
        <v>110268</v>
      </c>
      <c r="V499" t="n">
        <v>0</v>
      </c>
    </row>
    <row r="500">
      <c r="A500" t="n">
        <v>499</v>
      </c>
      <c r="B500" t="inlineStr">
        <is>
          <t>Cargo Terminal</t>
        </is>
      </c>
      <c r="C500" t="inlineStr">
        <is>
          <t>សូស៊ីយេតេ កុងសេស្យូនែរ ដឺ ឡាអេរ៉ូព័រ</t>
        </is>
      </c>
      <c r="D500" t="inlineStr">
        <is>
          <t>L001-100047300</t>
        </is>
      </c>
      <c r="E500" t="inlineStr">
        <is>
          <t>2400-038612</t>
        </is>
      </c>
      <c r="F500" t="inlineStr">
        <is>
          <t>25-05-2024</t>
        </is>
      </c>
      <c r="G500" t="n">
        <v>6560</v>
      </c>
      <c r="I500">
        <f>G500</f>
        <v/>
      </c>
      <c r="K500">
        <f>I500-G500</f>
        <v/>
      </c>
      <c r="M500">
        <f>R500=E500</f>
        <v/>
      </c>
      <c r="N500">
        <f>AND(MONTH(F500)=MONTH(Q500), YEAR(F500)=YEAR(Q500))</f>
        <v/>
      </c>
      <c r="O500">
        <f>"L001-902303751"=S500</f>
        <v/>
      </c>
      <c r="P500">
        <f>G500-U500</f>
        <v/>
      </c>
      <c r="Q500" s="35" t="n">
        <v>45292</v>
      </c>
      <c r="R500" t="n">
        <v>110295</v>
      </c>
      <c r="S500" t="inlineStr">
        <is>
          <t>L001-107000385</t>
        </is>
      </c>
      <c r="T500" t="inlineStr">
        <is>
          <t>អិចស្ពោលាំងកា ហ្រ្វេត (ខេមបូឌា) លីមីធីត</t>
        </is>
      </c>
      <c r="U500" t="n">
        <v>110295</v>
      </c>
      <c r="V500" t="n">
        <v>0</v>
      </c>
    </row>
    <row r="501">
      <c r="A501" t="n">
        <v>500</v>
      </c>
      <c r="B501" t="inlineStr">
        <is>
          <t>Customs Clearance Fee</t>
        </is>
      </c>
      <c r="C501" t="inlineStr">
        <is>
          <t>ត្រាយអ៊ែងហ្គល ឡូជីស្ទីក (ខេមបូឌា) ឯ.ក</t>
        </is>
      </c>
      <c r="D501" t="inlineStr">
        <is>
          <t>K010-902101743</t>
        </is>
      </c>
      <c r="E501" t="inlineStr">
        <is>
          <t>TAG-24-00372</t>
        </is>
      </c>
      <c r="F501" t="inlineStr">
        <is>
          <t>31-05-2024</t>
        </is>
      </c>
      <c r="G501" t="n">
        <v>8186</v>
      </c>
      <c r="I501">
        <f>G501</f>
        <v/>
      </c>
      <c r="K501">
        <f>I501-G501</f>
        <v/>
      </c>
      <c r="M501">
        <f>R501=E501</f>
        <v/>
      </c>
      <c r="N501">
        <f>AND(MONTH(F501)=MONTH(Q501), YEAR(F501)=YEAR(Q501))</f>
        <v/>
      </c>
      <c r="O501">
        <f>"L001-902303751"=S501</f>
        <v/>
      </c>
      <c r="P501">
        <f>G501-U501</f>
        <v/>
      </c>
      <c r="Q501" s="35" t="n">
        <v>45294</v>
      </c>
      <c r="R501" t="inlineStr"/>
      <c r="S501" t="inlineStr">
        <is>
          <t>L001-103007369</t>
        </is>
      </c>
      <c r="T501" t="inlineStr">
        <is>
          <t>អូរៀនថល ឡូជីស្ទីក &amp; ឌីស្ទ្រីប៊្យូសិន (ខេមបូឌា)</t>
        </is>
      </c>
      <c r="U501" t="n">
        <v>0</v>
      </c>
      <c r="V501" t="n">
        <v>0</v>
      </c>
    </row>
    <row r="502">
      <c r="A502" t="n">
        <v>501</v>
      </c>
      <c r="B502" t="inlineStr">
        <is>
          <t>Cargo Terminal</t>
        </is>
      </c>
      <c r="C502" t="inlineStr">
        <is>
          <t>សូស៊ីយេតេ កុងសេស្យូនែរ ដឺ ឡាអេរ៉ូព័រ</t>
        </is>
      </c>
      <c r="D502" t="inlineStr">
        <is>
          <t>L001-100047300</t>
        </is>
      </c>
      <c r="E502" t="inlineStr">
        <is>
          <t>2400-038611</t>
        </is>
      </c>
      <c r="F502" t="inlineStr">
        <is>
          <t>25-05-2024</t>
        </is>
      </c>
      <c r="G502" t="n">
        <v>849</v>
      </c>
      <c r="I502">
        <f>G502</f>
        <v/>
      </c>
      <c r="K502">
        <f>I502-G502</f>
        <v/>
      </c>
      <c r="M502">
        <f>R502=E502</f>
        <v/>
      </c>
      <c r="N502">
        <f>AND(MONTH(F502)=MONTH(Q502), YEAR(F502)=YEAR(Q502))</f>
        <v/>
      </c>
      <c r="O502">
        <f>"L001-902303751"=S502</f>
        <v/>
      </c>
      <c r="P502">
        <f>G502-U502</f>
        <v/>
      </c>
      <c r="Q502" s="35" t="n">
        <v>45294</v>
      </c>
      <c r="R502" t="n">
        <v>81640</v>
      </c>
      <c r="S502" t="inlineStr">
        <is>
          <t>L001-103007369</t>
        </is>
      </c>
      <c r="T502" t="inlineStr">
        <is>
          <t>អូរៀនថល ឡូជីស្ទីក &amp; ឌីស្ទ្រីប៊្យូសិន (ខេមបូឌា)</t>
        </is>
      </c>
      <c r="U502" t="n">
        <v>81640</v>
      </c>
      <c r="V502" t="n">
        <v>0</v>
      </c>
    </row>
    <row r="503">
      <c r="A503" t="n">
        <v>502</v>
      </c>
      <c r="B503" t="inlineStr">
        <is>
          <t>Customs Clearance Fee</t>
        </is>
      </c>
      <c r="C503" t="inlineStr">
        <is>
          <t>ត្រាយអ៊ែងហ្គល ឡូជីស្ទីក (ខេមបូឌា) ឯ.ក</t>
        </is>
      </c>
      <c r="D503" t="inlineStr">
        <is>
          <t>K010-902101743</t>
        </is>
      </c>
      <c r="E503" t="inlineStr">
        <is>
          <t>TAG-24-00371</t>
        </is>
      </c>
      <c r="F503" t="inlineStr">
        <is>
          <t>31-05-2024</t>
        </is>
      </c>
      <c r="G503" t="n">
        <v>8186</v>
      </c>
      <c r="I503">
        <f>G503</f>
        <v/>
      </c>
      <c r="K503">
        <f>I503-G503</f>
        <v/>
      </c>
      <c r="M503">
        <f>R503=E503</f>
        <v/>
      </c>
      <c r="N503">
        <f>AND(MONTH(F503)=MONTH(Q503), YEAR(F503)=YEAR(Q503))</f>
        <v/>
      </c>
      <c r="O503">
        <f>"L001-902303751"=S503</f>
        <v/>
      </c>
      <c r="P503">
        <f>G503-U503</f>
        <v/>
      </c>
      <c r="Q503" s="35" t="n">
        <v>45294</v>
      </c>
      <c r="R503" t="n">
        <v>110214</v>
      </c>
      <c r="S503" t="inlineStr">
        <is>
          <t>K002-901800477</t>
        </is>
      </c>
      <c r="T503" t="inlineStr">
        <is>
          <t>អាយធីអាយ អ៊ិនធើណេសិនណល ត្រេនស័្ពរថេសិន (ខេមបូឌា) ឯ.ក</t>
        </is>
      </c>
      <c r="U503" t="n">
        <v>110214</v>
      </c>
      <c r="V503" t="n">
        <v>0</v>
      </c>
    </row>
    <row r="504">
      <c r="A504" t="n">
        <v>503</v>
      </c>
      <c r="B504" t="inlineStr">
        <is>
          <t>Cargo Terminal</t>
        </is>
      </c>
      <c r="C504" t="inlineStr">
        <is>
          <t>សូស៊ីយេតេ កុងសេស្យូនែរ ដឺ ឡាអេរ៉ូព័រ</t>
        </is>
      </c>
      <c r="D504" t="inlineStr">
        <is>
          <t>L001-100047300</t>
        </is>
      </c>
      <c r="E504" t="inlineStr">
        <is>
          <t>2400-037703</t>
        </is>
      </c>
      <c r="F504" t="inlineStr">
        <is>
          <t>23-05-2024</t>
        </is>
      </c>
      <c r="G504" t="n">
        <v>1861</v>
      </c>
      <c r="I504">
        <f>G504</f>
        <v/>
      </c>
      <c r="K504">
        <f>I504-G504</f>
        <v/>
      </c>
      <c r="M504">
        <f>R504=E504</f>
        <v/>
      </c>
      <c r="N504">
        <f>AND(MONTH(F504)=MONTH(Q504), YEAR(F504)=YEAR(Q504))</f>
        <v/>
      </c>
      <c r="O504">
        <f>"L001-902303751"=S504</f>
        <v/>
      </c>
      <c r="P504">
        <f>G504-U504</f>
        <v/>
      </c>
      <c r="Q504" s="35" t="n">
        <v>45300</v>
      </c>
      <c r="R504" t="n">
        <v>110619</v>
      </c>
      <c r="S504" t="inlineStr">
        <is>
          <t>L001-107032791</t>
        </is>
      </c>
      <c r="T504" t="inlineStr">
        <is>
          <t>នីបផន អិចប្រេស (ខេមបូឌា) ខូ អិលធីឌី</t>
        </is>
      </c>
      <c r="U504" t="n">
        <v>110619</v>
      </c>
      <c r="V504" t="n">
        <v>0</v>
      </c>
    </row>
    <row r="505">
      <c r="A505" t="n">
        <v>504</v>
      </c>
      <c r="B505" t="inlineStr">
        <is>
          <t>Customs Clearance Fee</t>
        </is>
      </c>
      <c r="C505" t="inlineStr">
        <is>
          <t>ត្រាយអ៊ែងហ្គល ឡូជីស្ទីក (ខេមបូឌា) ឯ.ក</t>
        </is>
      </c>
      <c r="D505" t="inlineStr">
        <is>
          <t>K010-902101743</t>
        </is>
      </c>
      <c r="E505" t="inlineStr">
        <is>
          <t>TAG-24-00360</t>
        </is>
      </c>
      <c r="F505" t="inlineStr">
        <is>
          <t>23-05-2024</t>
        </is>
      </c>
      <c r="G505" t="n">
        <v>8154</v>
      </c>
      <c r="I505">
        <f>G505</f>
        <v/>
      </c>
      <c r="K505">
        <f>I505-G505</f>
        <v/>
      </c>
      <c r="M505">
        <f>R505=E505</f>
        <v/>
      </c>
      <c r="N505">
        <f>AND(MONTH(F505)=MONTH(Q505), YEAR(F505)=YEAR(Q505))</f>
        <v/>
      </c>
      <c r="O505">
        <f>"L001-902303751"=S505</f>
        <v/>
      </c>
      <c r="P505">
        <f>G505-U505</f>
        <v/>
      </c>
      <c r="Q505" s="35" t="n">
        <v>45294</v>
      </c>
      <c r="R505" t="inlineStr"/>
      <c r="S505" t="inlineStr">
        <is>
          <t>K002-901800477</t>
        </is>
      </c>
      <c r="T505" t="inlineStr">
        <is>
          <t>អាយធីអាយ អ៊ិនធើណេសិនណល ត្រេនស័្ពរថេសិន (ខេមបូឌា) ឯ.ក</t>
        </is>
      </c>
      <c r="U505" t="n">
        <v>0</v>
      </c>
      <c r="V505" t="n">
        <v>0</v>
      </c>
    </row>
    <row r="506">
      <c r="A506" t="n">
        <v>505</v>
      </c>
      <c r="B506" t="inlineStr">
        <is>
          <t>Cargo Terminal</t>
        </is>
      </c>
      <c r="C506" t="inlineStr">
        <is>
          <t>សូស៊ីយេតេ កុងសេស្យូនែរ ដឺ ឡាអេរ៉ូព័រ</t>
        </is>
      </c>
      <c r="D506" t="inlineStr">
        <is>
          <t>L001-100047300</t>
        </is>
      </c>
      <c r="E506" t="inlineStr">
        <is>
          <t>2400-036840</t>
        </is>
      </c>
      <c r="F506" t="inlineStr">
        <is>
          <t>20-05-2024</t>
        </is>
      </c>
      <c r="G506" t="n">
        <v>16015</v>
      </c>
      <c r="I506">
        <f>G506</f>
        <v/>
      </c>
      <c r="K506">
        <f>I506-G506</f>
        <v/>
      </c>
      <c r="M506">
        <f>R506=E506</f>
        <v/>
      </c>
      <c r="N506">
        <f>AND(MONTH(F506)=MONTH(Q506), YEAR(F506)=YEAR(Q506))</f>
        <v/>
      </c>
      <c r="O506">
        <f>"L001-902303751"=S506</f>
        <v/>
      </c>
      <c r="P506">
        <f>G506-U506</f>
        <v/>
      </c>
      <c r="Q506" s="35" t="n">
        <v>45294</v>
      </c>
      <c r="R506" t="n">
        <v>81640</v>
      </c>
      <c r="S506" t="inlineStr">
        <is>
          <t>K005-901501155</t>
        </is>
      </c>
      <c r="T506" t="inlineStr">
        <is>
          <t>ផេនដា គ្លូប៊ល ឡូជីស្ទីក (ខេមបូឌា)</t>
        </is>
      </c>
      <c r="U506" t="n">
        <v>81640</v>
      </c>
      <c r="V506" t="n">
        <v>0</v>
      </c>
    </row>
    <row r="507">
      <c r="A507" t="n">
        <v>506</v>
      </c>
      <c r="B507" t="inlineStr">
        <is>
          <t>Customs Clearance Fee</t>
        </is>
      </c>
      <c r="C507" t="inlineStr">
        <is>
          <t>ត្រាយអ៊ែងហ្គល ឡូជីស្ទីក (ខេមបូឌា) ឯ.ក</t>
        </is>
      </c>
      <c r="D507" t="inlineStr">
        <is>
          <t>K010-902101743</t>
        </is>
      </c>
      <c r="E507" t="inlineStr">
        <is>
          <t>TAG-24-00354</t>
        </is>
      </c>
      <c r="F507" t="inlineStr">
        <is>
          <t>20-05-2024</t>
        </is>
      </c>
      <c r="G507" t="n">
        <v>8154</v>
      </c>
      <c r="I507">
        <f>G507</f>
        <v/>
      </c>
      <c r="K507">
        <f>I507-G507</f>
        <v/>
      </c>
      <c r="M507">
        <f>R507=E507</f>
        <v/>
      </c>
      <c r="N507">
        <f>AND(MONTH(F507)=MONTH(Q507), YEAR(F507)=YEAR(Q507))</f>
        <v/>
      </c>
      <c r="O507">
        <f>"L001-902303751"=S507</f>
        <v/>
      </c>
      <c r="P507">
        <f>G507-U507</f>
        <v/>
      </c>
      <c r="Q507" s="35" t="n">
        <v>45320</v>
      </c>
      <c r="R507" t="n">
        <v>171402</v>
      </c>
      <c r="S507" t="inlineStr">
        <is>
          <t>K005-100150195</t>
        </is>
      </c>
      <c r="T507" t="inlineStr">
        <is>
          <t>អេស អ វី ស៊ី ហ្វ្រេត សឺវីស (ខេមបូឌា) ខូ អិលធីឌី</t>
        </is>
      </c>
      <c r="U507" t="n">
        <v>171402</v>
      </c>
      <c r="V507" t="n">
        <v>0</v>
      </c>
    </row>
    <row r="508">
      <c r="A508" t="n">
        <v>507</v>
      </c>
      <c r="B508" t="inlineStr">
        <is>
          <t>Customs Clearance Fee</t>
        </is>
      </c>
      <c r="C508" t="inlineStr">
        <is>
          <t>ត្រាយអ៊ែងហ្គល ឡូជីស្ទីក (ខេមបូឌា) ឯ.ក</t>
        </is>
      </c>
      <c r="D508" t="inlineStr">
        <is>
          <t>K010-902101743</t>
        </is>
      </c>
      <c r="E508" t="inlineStr">
        <is>
          <t>TAG-24-00351</t>
        </is>
      </c>
      <c r="F508" t="inlineStr">
        <is>
          <t>20-05-2024</t>
        </is>
      </c>
      <c r="G508" t="n">
        <v>8154</v>
      </c>
      <c r="I508">
        <f>G508</f>
        <v/>
      </c>
      <c r="K508">
        <f>I508-G508</f>
        <v/>
      </c>
      <c r="M508">
        <f>R508=E508</f>
        <v/>
      </c>
      <c r="N508">
        <f>AND(MONTH(F508)=MONTH(Q508), YEAR(F508)=YEAR(Q508))</f>
        <v/>
      </c>
      <c r="O508">
        <f>"L001-902303751"=S508</f>
        <v/>
      </c>
      <c r="P508">
        <f>G508-U508</f>
        <v/>
      </c>
      <c r="Q508" s="35" t="n">
        <v>45300</v>
      </c>
      <c r="R508" t="n">
        <v>298262</v>
      </c>
      <c r="S508" t="inlineStr">
        <is>
          <t>L001-100045340</t>
        </is>
      </c>
      <c r="T508" t="inlineStr">
        <is>
          <t xml:space="preserve">ស៊ីវ៉ា អ៊ែរ អ៊ែន អូសៀន (ខេមបូឌា) ឯ.ក </t>
        </is>
      </c>
      <c r="U508" t="n">
        <v>298262</v>
      </c>
      <c r="V508" t="n">
        <v>0</v>
      </c>
    </row>
    <row r="509">
      <c r="A509" t="n">
        <v>508</v>
      </c>
      <c r="B509" t="inlineStr">
        <is>
          <t>Customs Clearance Fee</t>
        </is>
      </c>
      <c r="C509" t="inlineStr">
        <is>
          <t>ត្រាយអ៊ែងហ្គល ឡូជីស្ទីក (ខេមបូឌា) ឯ.ក</t>
        </is>
      </c>
      <c r="D509" t="inlineStr">
        <is>
          <t>K010-902101743</t>
        </is>
      </c>
      <c r="E509" t="inlineStr">
        <is>
          <t>TAG-24-00342</t>
        </is>
      </c>
      <c r="F509" t="inlineStr">
        <is>
          <t>17-05-2024</t>
        </is>
      </c>
      <c r="G509" t="n">
        <v>8156</v>
      </c>
      <c r="I509">
        <f>G509</f>
        <v/>
      </c>
      <c r="K509">
        <f>I509-G509</f>
        <v/>
      </c>
      <c r="M509">
        <f>R509=E509</f>
        <v/>
      </c>
      <c r="N509">
        <f>AND(MONTH(F509)=MONTH(Q509), YEAR(F509)=YEAR(Q509))</f>
        <v/>
      </c>
      <c r="O509">
        <f>"L001-902303751"=S509</f>
        <v/>
      </c>
      <c r="P509">
        <f>G509-U509</f>
        <v/>
      </c>
      <c r="Q509" s="35" t="n">
        <v>45310</v>
      </c>
      <c r="R509" t="n">
        <v>81520</v>
      </c>
      <c r="S509" t="inlineStr">
        <is>
          <t>K009-902002784</t>
        </is>
      </c>
      <c r="T509" t="inlineStr">
        <is>
          <t>ខាហ្គោលីង អ៊ិនធើណេសិនណល ឯ.ក</t>
        </is>
      </c>
      <c r="U509" t="n">
        <v>81520</v>
      </c>
      <c r="V509" t="n">
        <v>0</v>
      </c>
    </row>
    <row r="510">
      <c r="A510" t="n">
        <v>509</v>
      </c>
      <c r="B510" t="inlineStr">
        <is>
          <t>Cargo Terminal</t>
        </is>
      </c>
      <c r="C510" t="inlineStr">
        <is>
          <t>សូស៊ីយេតេ កុងសេស្យូនែរ ដឺ ឡាអេរ៉ូព័រ</t>
        </is>
      </c>
      <c r="D510" t="inlineStr">
        <is>
          <t>L001-100047300</t>
        </is>
      </c>
      <c r="E510" t="inlineStr">
        <is>
          <t>2400-036121</t>
        </is>
      </c>
      <c r="F510" t="inlineStr">
        <is>
          <t>18-05-2024</t>
        </is>
      </c>
      <c r="G510" t="n">
        <v>5939</v>
      </c>
      <c r="I510">
        <f>G510</f>
        <v/>
      </c>
      <c r="K510">
        <f>I510-G510</f>
        <v/>
      </c>
      <c r="M510">
        <f>R510=E510</f>
        <v/>
      </c>
      <c r="N510">
        <f>AND(MONTH(F510)=MONTH(Q510), YEAR(F510)=YEAR(Q510))</f>
        <v/>
      </c>
      <c r="O510">
        <f>"L001-902303751"=S510</f>
        <v/>
      </c>
      <c r="P510">
        <f>G510-U510</f>
        <v/>
      </c>
      <c r="Q510" s="35" t="n">
        <v>45307</v>
      </c>
      <c r="R510" t="n">
        <v>110241</v>
      </c>
      <c r="S510" t="inlineStr">
        <is>
          <t>L001-100045995</t>
        </is>
      </c>
      <c r="T510" t="inlineStr">
        <is>
          <t>ឌីអេចអិល ឡូជីស្ទីក (ខេមបូឌា)</t>
        </is>
      </c>
      <c r="U510" t="n">
        <v>110241</v>
      </c>
      <c r="V510" t="n">
        <v>0</v>
      </c>
    </row>
    <row r="511">
      <c r="A511" t="n">
        <v>510</v>
      </c>
      <c r="B511" t="inlineStr">
        <is>
          <t>Customs Clearance Fee</t>
        </is>
      </c>
      <c r="C511" t="inlineStr">
        <is>
          <t>ត្រាយអ៊ែងហ្គល ឡូជីស្ទីក (ខេមបូឌា) ឯ.ក</t>
        </is>
      </c>
      <c r="D511" t="inlineStr">
        <is>
          <t>K010-902101743</t>
        </is>
      </c>
      <c r="E511" t="inlineStr">
        <is>
          <t>TAG-24-00341</t>
        </is>
      </c>
      <c r="F511" t="inlineStr">
        <is>
          <t>17-05-2024</t>
        </is>
      </c>
      <c r="G511" t="n">
        <v>8156</v>
      </c>
      <c r="I511">
        <f>G511</f>
        <v/>
      </c>
      <c r="K511">
        <f>I511-G511</f>
        <v/>
      </c>
      <c r="M511">
        <f>R511=E511</f>
        <v/>
      </c>
      <c r="N511">
        <f>AND(MONTH(F511)=MONTH(Q511), YEAR(F511)=YEAR(Q511))</f>
        <v/>
      </c>
      <c r="O511">
        <f>"L001-902303751"=S511</f>
        <v/>
      </c>
      <c r="P511">
        <f>G511-U511</f>
        <v/>
      </c>
      <c r="Q511" s="35" t="n">
        <v>45313</v>
      </c>
      <c r="R511" t="inlineStr"/>
      <c r="S511" t="inlineStr">
        <is>
          <t>L001-100074669</t>
        </is>
      </c>
      <c r="T511" t="inlineStr">
        <is>
          <t>ខេអិលអិន ហ្វ្រេត (ខេមបូឌា) ឯ.ក</t>
        </is>
      </c>
      <c r="U511" t="n">
        <v>0</v>
      </c>
      <c r="V511" t="n">
        <v>0</v>
      </c>
    </row>
    <row r="512">
      <c r="A512" t="n">
        <v>511</v>
      </c>
      <c r="B512" t="inlineStr">
        <is>
          <t>Customs Clearance Fee</t>
        </is>
      </c>
      <c r="C512" t="inlineStr">
        <is>
          <t>ត្រាយអ៊ែងហ្គល ឡូជីស្ទីក (ខេមបូឌា) ឯ.ក</t>
        </is>
      </c>
      <c r="D512" t="inlineStr">
        <is>
          <t>K010-902101743</t>
        </is>
      </c>
      <c r="E512" t="inlineStr">
        <is>
          <t>TAG-24-00340</t>
        </is>
      </c>
      <c r="F512" t="inlineStr">
        <is>
          <t>17-05-2024</t>
        </is>
      </c>
      <c r="G512" t="n">
        <v>8156</v>
      </c>
      <c r="I512">
        <f>G512</f>
        <v/>
      </c>
      <c r="K512">
        <f>I512-G512</f>
        <v/>
      </c>
      <c r="M512">
        <f>R512=E512</f>
        <v/>
      </c>
      <c r="N512">
        <f>AND(MONTH(F512)=MONTH(Q512), YEAR(F512)=YEAR(Q512))</f>
        <v/>
      </c>
      <c r="O512">
        <f>"L001-902303751"=S512</f>
        <v/>
      </c>
      <c r="P512">
        <f>G512-U512</f>
        <v/>
      </c>
      <c r="Q512" s="35" t="n">
        <v>45320</v>
      </c>
      <c r="R512" t="n">
        <v>204866</v>
      </c>
      <c r="S512" t="inlineStr">
        <is>
          <t>L001-100074669</t>
        </is>
      </c>
      <c r="T512" t="inlineStr">
        <is>
          <t>ខេអិលអិន ហ្វ្រេត (ខេមបូឌា) ឯ.ក</t>
        </is>
      </c>
      <c r="U512" t="n">
        <v>204866</v>
      </c>
      <c r="V512" t="n">
        <v>0</v>
      </c>
    </row>
    <row r="513">
      <c r="A513" t="n">
        <v>512</v>
      </c>
      <c r="B513" t="inlineStr">
        <is>
          <t>Cargo Terminal</t>
        </is>
      </c>
      <c r="C513" t="inlineStr">
        <is>
          <t>សូស៊ីយេតេ កុងសេស្យូនែរ ដឺ ឡាអេរ៉ូព័រ</t>
        </is>
      </c>
      <c r="D513" t="inlineStr">
        <is>
          <t>L001-100047300</t>
        </is>
      </c>
      <c r="E513" t="inlineStr">
        <is>
          <t>2400-034272</t>
        </is>
      </c>
      <c r="F513" t="inlineStr">
        <is>
          <t>11-05-2024</t>
        </is>
      </c>
      <c r="G513" t="n">
        <v>20380</v>
      </c>
      <c r="I513">
        <f>G513</f>
        <v/>
      </c>
      <c r="K513">
        <f>I513-G513</f>
        <v/>
      </c>
      <c r="M513">
        <f>R513=E513</f>
        <v/>
      </c>
      <c r="N513">
        <f>AND(MONTH(F513)=MONTH(Q513), YEAR(F513)=YEAR(Q513))</f>
        <v/>
      </c>
      <c r="O513">
        <f>"L001-902303751"=S513</f>
        <v/>
      </c>
      <c r="P513">
        <f>G513-U513</f>
        <v/>
      </c>
      <c r="Q513" s="35" t="n">
        <v>45320</v>
      </c>
      <c r="R513" t="inlineStr"/>
      <c r="S513" t="inlineStr">
        <is>
          <t>L001-100074669</t>
        </is>
      </c>
      <c r="T513" t="inlineStr">
        <is>
          <t>ខេអិលអិន ហ្វ្រេត (ខេមបូឌា) ឯ.ក</t>
        </is>
      </c>
      <c r="U513" t="n">
        <v>0</v>
      </c>
      <c r="V513" t="n">
        <v>0</v>
      </c>
    </row>
    <row r="514">
      <c r="A514" t="n">
        <v>513</v>
      </c>
      <c r="B514" t="inlineStr">
        <is>
          <t>Customs Clearance Fee</t>
        </is>
      </c>
      <c r="C514" t="inlineStr">
        <is>
          <t>ត្រាយអ៊ែងហ្គល ឡូជីស្ទីក (ខេមបូឌា) ឯ.ក</t>
        </is>
      </c>
      <c r="D514" t="inlineStr">
        <is>
          <t>K010-902101743</t>
        </is>
      </c>
      <c r="E514" t="inlineStr">
        <is>
          <t>TAG-24-00326</t>
        </is>
      </c>
      <c r="F514" t="inlineStr">
        <is>
          <t>13-05-2024</t>
        </is>
      </c>
      <c r="G514" t="n">
        <v>8154</v>
      </c>
      <c r="I514">
        <f>G514</f>
        <v/>
      </c>
      <c r="K514">
        <f>I514-G514</f>
        <v/>
      </c>
      <c r="M514">
        <f>R514=E514</f>
        <v/>
      </c>
      <c r="N514">
        <f>AND(MONTH(F514)=MONTH(Q514), YEAR(F514)=YEAR(Q514))</f>
        <v/>
      </c>
      <c r="O514">
        <f>"L001-902303751"=S514</f>
        <v/>
      </c>
      <c r="P514">
        <f>G514-U514</f>
        <v/>
      </c>
      <c r="Q514" s="35" t="n">
        <v>45294</v>
      </c>
      <c r="R514" t="n">
        <v>81640</v>
      </c>
      <c r="S514" t="inlineStr">
        <is>
          <t>K002-901800477</t>
        </is>
      </c>
      <c r="T514" t="inlineStr">
        <is>
          <t>អាយធីអាយ អ៊ិនធើណេសិនណល ត្រេនស័្ពរថេសិន (ខេមបូឌា) ឯ.ក</t>
        </is>
      </c>
      <c r="U514" t="n">
        <v>81640</v>
      </c>
      <c r="V514" t="n">
        <v>0</v>
      </c>
    </row>
    <row r="515">
      <c r="A515" t="n">
        <v>514</v>
      </c>
      <c r="B515" t="inlineStr">
        <is>
          <t>Customs Clearance Fee</t>
        </is>
      </c>
      <c r="C515" t="inlineStr">
        <is>
          <t>ត្រាយអ៊ែងហ្គល ឡូជីស្ទីក (ខេមបូឌា) ឯ.ក</t>
        </is>
      </c>
      <c r="D515" t="inlineStr">
        <is>
          <t>K010-902101743</t>
        </is>
      </c>
      <c r="E515" t="inlineStr">
        <is>
          <t>TAG-24-00324</t>
        </is>
      </c>
      <c r="F515" t="inlineStr">
        <is>
          <t>13-05-2024</t>
        </is>
      </c>
      <c r="G515" t="n">
        <v>8154</v>
      </c>
      <c r="I515">
        <f>G515</f>
        <v/>
      </c>
      <c r="K515">
        <f>I515-G515</f>
        <v/>
      </c>
      <c r="M515">
        <f>R515=E515</f>
        <v/>
      </c>
      <c r="N515">
        <f>AND(MONTH(F515)=MONTH(Q515), YEAR(F515)=YEAR(Q515))</f>
        <v/>
      </c>
      <c r="O515">
        <f>"L001-902303751"=S515</f>
        <v/>
      </c>
      <c r="P515">
        <f>G515-U515</f>
        <v/>
      </c>
      <c r="Q515" s="35" t="n">
        <v>45300</v>
      </c>
      <c r="R515" t="inlineStr"/>
      <c r="S515" t="inlineStr">
        <is>
          <t>L001-100045340</t>
        </is>
      </c>
      <c r="T515" t="inlineStr">
        <is>
          <t xml:space="preserve">ស៊ីវ៉ា អ៊ែរ អ៊ែន អូសៀន (ខេមបូឌា) ឯ.ក </t>
        </is>
      </c>
      <c r="U515" t="n">
        <v>0</v>
      </c>
      <c r="V515" t="n">
        <v>0</v>
      </c>
    </row>
    <row r="516">
      <c r="A516" t="n">
        <v>515</v>
      </c>
      <c r="B516" t="inlineStr">
        <is>
          <t>Customs Clearance Fee</t>
        </is>
      </c>
      <c r="C516" t="inlineStr">
        <is>
          <t>ត្រាយអ៊ែងហ្គល ឡូជីស្ទីក (ខេមបូឌា) ឯ.ក</t>
        </is>
      </c>
      <c r="D516" t="inlineStr">
        <is>
          <t>K010-902101743</t>
        </is>
      </c>
      <c r="E516" t="inlineStr">
        <is>
          <t>TAG-24-00322</t>
        </is>
      </c>
      <c r="F516" t="inlineStr">
        <is>
          <t>10-05-2024</t>
        </is>
      </c>
      <c r="G516" t="n">
        <v>8152</v>
      </c>
      <c r="I516">
        <f>G516</f>
        <v/>
      </c>
      <c r="K516">
        <f>I516-G516</f>
        <v/>
      </c>
      <c r="M516">
        <f>R516=E516</f>
        <v/>
      </c>
      <c r="N516">
        <f>AND(MONTH(F516)=MONTH(Q516), YEAR(F516)=YEAR(Q516))</f>
        <v/>
      </c>
      <c r="O516">
        <f>"L001-902303751"=S516</f>
        <v/>
      </c>
      <c r="P516">
        <f>G516-U516</f>
        <v/>
      </c>
      <c r="Q516" s="35" t="n">
        <v>45296</v>
      </c>
      <c r="R516" t="inlineStr"/>
      <c r="S516" t="inlineStr">
        <is>
          <t>K003-901635943</t>
        </is>
      </c>
      <c r="T516" t="inlineStr">
        <is>
          <t>អ៊ីឃ្យូឡាញ វើលវ៉ាយដ៍ ឡូជីស្ទីក</t>
        </is>
      </c>
      <c r="U516" t="n">
        <v>0</v>
      </c>
      <c r="V516" t="n">
        <v>0</v>
      </c>
    </row>
    <row r="517">
      <c r="A517" t="n">
        <v>516</v>
      </c>
      <c r="B517" t="inlineStr">
        <is>
          <t>Cargo Terminal</t>
        </is>
      </c>
      <c r="C517" t="inlineStr">
        <is>
          <t>សូស៊ីយេតេ កុងសេស្យូនែរ ដឺ ឡាអេរ៉ូព័រ</t>
        </is>
      </c>
      <c r="D517" t="inlineStr">
        <is>
          <t>L001-100047300</t>
        </is>
      </c>
      <c r="E517" t="inlineStr">
        <is>
          <t>2400-034069</t>
        </is>
      </c>
      <c r="F517" t="inlineStr">
        <is>
          <t>11-05-2024</t>
        </is>
      </c>
      <c r="G517" t="n">
        <v>1434</v>
      </c>
      <c r="I517">
        <f>G517</f>
        <v/>
      </c>
      <c r="K517">
        <f>I517-G517</f>
        <v/>
      </c>
      <c r="M517">
        <f>R517=E517</f>
        <v/>
      </c>
      <c r="N517">
        <f>AND(MONTH(F517)=MONTH(Q517), YEAR(F517)=YEAR(Q517))</f>
        <v/>
      </c>
      <c r="O517">
        <f>"L001-902303751"=S517</f>
        <v/>
      </c>
      <c r="P517">
        <f>G517-U517</f>
        <v/>
      </c>
      <c r="Q517" s="35" t="n">
        <v>45307</v>
      </c>
      <c r="R517" t="n">
        <v>81660</v>
      </c>
      <c r="S517" t="inlineStr">
        <is>
          <t>L001-100182259</t>
        </is>
      </c>
      <c r="T517" t="inlineStr">
        <is>
          <t>សាខាក្រុមហ៊ុន ប៊ី ឡូជីស្ទីក ខបភើរេសិន (ខេមបូឌា)</t>
        </is>
      </c>
      <c r="U517" t="n">
        <v>81660</v>
      </c>
      <c r="V517" t="n">
        <v>0</v>
      </c>
    </row>
    <row r="518">
      <c r="A518" t="n">
        <v>517</v>
      </c>
      <c r="B518" t="inlineStr">
        <is>
          <t>Lift-Off</t>
        </is>
      </c>
      <c r="C518" t="inlineStr">
        <is>
          <t>កំពង់ផែស្វយ័តក្រុងព្រះសីហនុ</t>
        </is>
      </c>
      <c r="D518" t="inlineStr">
        <is>
          <t>L001-100044638</t>
        </is>
      </c>
      <c r="E518" t="inlineStr">
        <is>
          <t>097803</t>
        </is>
      </c>
      <c r="F518" t="inlineStr">
        <is>
          <t>24-05-2024</t>
        </is>
      </c>
      <c r="G518" t="n">
        <v>6934</v>
      </c>
      <c r="I518">
        <f>G518</f>
        <v/>
      </c>
      <c r="K518">
        <f>I518-G518</f>
        <v/>
      </c>
      <c r="M518">
        <f>R518=E518</f>
        <v/>
      </c>
      <c r="N518">
        <f>AND(MONTH(F518)=MONTH(Q518), YEAR(F518)=YEAR(Q518))</f>
        <v/>
      </c>
      <c r="O518">
        <f>"L001-902303751"=S518</f>
        <v/>
      </c>
      <c r="P518">
        <f>G518-U518</f>
        <v/>
      </c>
      <c r="Q518" s="35" t="n">
        <v>45303</v>
      </c>
      <c r="R518" t="inlineStr"/>
      <c r="S518" t="inlineStr">
        <is>
          <t>L001-100074669</t>
        </is>
      </c>
      <c r="T518" t="inlineStr">
        <is>
          <t>ខេអិលអិន ហ្វ្រេត (ខេមបូឌា) ឯ.ក</t>
        </is>
      </c>
      <c r="U518" t="n">
        <v>0</v>
      </c>
      <c r="V518" t="n">
        <v>0</v>
      </c>
    </row>
    <row r="519">
      <c r="A519" t="n">
        <v>518</v>
      </c>
      <c r="B519" t="inlineStr">
        <is>
          <t>Trucking, Customs Clearance, Extra Trucking and Truck Fuel Surcharge</t>
        </is>
      </c>
      <c r="C519" t="inlineStr">
        <is>
          <t>អេស អ វី ស៊ី ហ្វ្រេត សឺវីស (ខេមបូឌា) ខូ អិលធីឌី</t>
        </is>
      </c>
      <c r="D519" t="inlineStr">
        <is>
          <t>K005-100150195</t>
        </is>
      </c>
      <c r="E519" t="inlineStr">
        <is>
          <t>SRVI2402760</t>
        </is>
      </c>
      <c r="F519" t="inlineStr">
        <is>
          <t>30-05-2024</t>
        </is>
      </c>
      <c r="G519" t="n">
        <v>171780</v>
      </c>
      <c r="I519">
        <f>G519</f>
        <v/>
      </c>
      <c r="K519">
        <f>I519-G519</f>
        <v/>
      </c>
      <c r="M519">
        <f>R519=E519</f>
        <v/>
      </c>
      <c r="N519">
        <f>AND(MONTH(F519)=MONTH(Q519), YEAR(F519)=YEAR(Q519))</f>
        <v/>
      </c>
      <c r="O519">
        <f>"L001-902303751"=S519</f>
        <v/>
      </c>
      <c r="P519">
        <f>G519-U519</f>
        <v/>
      </c>
      <c r="Q519" s="35" t="n">
        <v>45313</v>
      </c>
      <c r="R519" t="n">
        <v>110052</v>
      </c>
      <c r="S519" t="inlineStr">
        <is>
          <t>L001-107032791</t>
        </is>
      </c>
      <c r="T519" t="inlineStr">
        <is>
          <t>នីបផន អិចប្រេស (ខេមបូឌា) ខូ អិលធីឌី</t>
        </is>
      </c>
      <c r="U519" t="n">
        <v>110052</v>
      </c>
      <c r="V519" t="n">
        <v>0</v>
      </c>
    </row>
    <row r="520">
      <c r="A520" t="n">
        <v>519</v>
      </c>
      <c r="B520" t="inlineStr">
        <is>
          <t>Lift-Off</t>
        </is>
      </c>
      <c r="C520" t="inlineStr">
        <is>
          <t>កំពង់ផែស្វយ័តក្រុងព្រះសីហនុ</t>
        </is>
      </c>
      <c r="D520" t="inlineStr">
        <is>
          <t>L001-100044638</t>
        </is>
      </c>
      <c r="E520" t="inlineStr">
        <is>
          <t>097809</t>
        </is>
      </c>
      <c r="F520" t="inlineStr">
        <is>
          <t>24-05-2024</t>
        </is>
      </c>
      <c r="G520" t="n">
        <v>15500</v>
      </c>
      <c r="I520">
        <f>G520</f>
        <v/>
      </c>
      <c r="K520">
        <f>I520-G520</f>
        <v/>
      </c>
      <c r="M520">
        <f>R520=E520</f>
        <v/>
      </c>
      <c r="N520">
        <f>AND(MONTH(F520)=MONTH(Q520), YEAR(F520)=YEAR(Q520))</f>
        <v/>
      </c>
      <c r="O520">
        <f>"L001-902303751"=S520</f>
        <v/>
      </c>
      <c r="P520">
        <f>G520-U520</f>
        <v/>
      </c>
      <c r="Q520" s="35" t="n">
        <v>45307</v>
      </c>
      <c r="R520" t="n">
        <v>110241</v>
      </c>
      <c r="S520" t="inlineStr">
        <is>
          <t>L001-100045995</t>
        </is>
      </c>
      <c r="T520" t="inlineStr">
        <is>
          <t>ឌីអេចអិល ឡូជីស្ទីក (ខេមបូឌា)</t>
        </is>
      </c>
      <c r="U520" t="n">
        <v>110241</v>
      </c>
      <c r="V520" t="n">
        <v>0</v>
      </c>
    </row>
    <row r="521">
      <c r="A521" t="n">
        <v>520</v>
      </c>
      <c r="B521" t="inlineStr">
        <is>
          <t>Trucking, Customs Clearance, Extra Trucking and Truck Fuel Surcharge</t>
        </is>
      </c>
      <c r="C521" t="inlineStr">
        <is>
          <t>អេស អ វី ស៊ី ហ្វ្រេត សឺវីស (ខេមបូឌា) ខូ អិលធីឌី</t>
        </is>
      </c>
      <c r="D521" t="inlineStr">
        <is>
          <t>K005-100150195</t>
        </is>
      </c>
      <c r="E521" t="inlineStr">
        <is>
          <t>SRVI2402759</t>
        </is>
      </c>
      <c r="F521" t="inlineStr">
        <is>
          <t>30-05-2024</t>
        </is>
      </c>
      <c r="G521" t="n">
        <v>163600</v>
      </c>
      <c r="I521">
        <f>G521</f>
        <v/>
      </c>
      <c r="K521">
        <f>I521-G521</f>
        <v/>
      </c>
      <c r="M521">
        <f>R521=E521</f>
        <v/>
      </c>
      <c r="N521">
        <f>AND(MONTH(F521)=MONTH(Q521), YEAR(F521)=YEAR(Q521))</f>
        <v/>
      </c>
      <c r="O521">
        <f>"L001-902303751"=S521</f>
        <v/>
      </c>
      <c r="P521">
        <f>G521-U521</f>
        <v/>
      </c>
      <c r="Q521" s="35" t="n">
        <v>45292</v>
      </c>
      <c r="R521" t="inlineStr"/>
      <c r="S521" t="inlineStr">
        <is>
          <t>L001-107000385</t>
        </is>
      </c>
      <c r="T521" t="inlineStr">
        <is>
          <t>អិចស្ពោលាំងកា ហ្រ្វេត (ខេមបូឌា) លីមីធីត</t>
        </is>
      </c>
      <c r="U521" t="n">
        <v>0</v>
      </c>
      <c r="V521" t="n">
        <v>0</v>
      </c>
    </row>
    <row r="522">
      <c r="A522" t="n">
        <v>521</v>
      </c>
      <c r="B522" t="inlineStr">
        <is>
          <t>Customs Clearance Fee and Trucking Fee</t>
        </is>
      </c>
      <c r="C522" t="inlineStr">
        <is>
          <t>ត្រាយអ៊ែងហ្គល ឡូជីស្ទីក (ខេមបូឌា) ឯ.ក</t>
        </is>
      </c>
      <c r="D522" t="inlineStr">
        <is>
          <t>K010-902101743</t>
        </is>
      </c>
      <c r="E522" t="inlineStr">
        <is>
          <t>TAG-24-00328</t>
        </is>
      </c>
      <c r="F522" t="inlineStr">
        <is>
          <t>15-05-2024</t>
        </is>
      </c>
      <c r="G522" t="n">
        <v>61463</v>
      </c>
      <c r="I522">
        <f>G522</f>
        <v/>
      </c>
      <c r="K522">
        <f>I522-G522</f>
        <v/>
      </c>
      <c r="M522">
        <f>R522=E522</f>
        <v/>
      </c>
      <c r="N522">
        <f>AND(MONTH(F522)=MONTH(Q522), YEAR(F522)=YEAR(Q522))</f>
        <v/>
      </c>
      <c r="O522">
        <f>"L001-902303751"=S522</f>
        <v/>
      </c>
      <c r="P522">
        <f>G522-U522</f>
        <v/>
      </c>
      <c r="Q522" s="35" t="n">
        <v>45313</v>
      </c>
      <c r="R522" t="n">
        <v>96194</v>
      </c>
      <c r="S522" t="inlineStr">
        <is>
          <t>L001-100045340</t>
        </is>
      </c>
      <c r="T522" t="inlineStr">
        <is>
          <t xml:space="preserve">ស៊ីវ៉ា អ៊ែរ អ៊ែន អូសៀន (ខេមបូឌា) ឯ.ក </t>
        </is>
      </c>
      <c r="U522" t="n">
        <v>96194</v>
      </c>
      <c r="V522" t="n">
        <v>0</v>
      </c>
    </row>
    <row r="523">
      <c r="A523" t="n">
        <v>522</v>
      </c>
      <c r="B523" t="inlineStr">
        <is>
          <t>Charge from warehouse</t>
        </is>
      </c>
      <c r="C523" t="inlineStr">
        <is>
          <t>កំពង់ផែស្វយ័តក្រុងព្រះសីហនុ</t>
        </is>
      </c>
      <c r="D523" t="inlineStr">
        <is>
          <t>L001-100044638</t>
        </is>
      </c>
      <c r="E523" t="inlineStr">
        <is>
          <t>090982</t>
        </is>
      </c>
      <c r="F523" t="inlineStr">
        <is>
          <t>15-05-2024</t>
        </is>
      </c>
      <c r="G523" t="n">
        <v>1873</v>
      </c>
      <c r="I523">
        <f>G523</f>
        <v/>
      </c>
      <c r="K523">
        <f>I523-G523</f>
        <v/>
      </c>
      <c r="M523">
        <f>R523=E523</f>
        <v/>
      </c>
      <c r="N523">
        <f>AND(MONTH(F523)=MONTH(Q523), YEAR(F523)=YEAR(Q523))</f>
        <v/>
      </c>
      <c r="O523">
        <f>"L001-902303751"=S523</f>
        <v/>
      </c>
      <c r="P523">
        <f>G523-U523</f>
        <v/>
      </c>
      <c r="Q523" s="35" t="n">
        <v>45320</v>
      </c>
      <c r="R523" t="n">
        <v>110187</v>
      </c>
      <c r="S523" t="inlineStr">
        <is>
          <t>L001-107032791</t>
        </is>
      </c>
      <c r="T523" t="inlineStr">
        <is>
          <t>នីបផន អិចប្រេស (ខេមបូឌា) ខូ អិលធីឌី</t>
        </is>
      </c>
      <c r="U523" t="n">
        <v>110187</v>
      </c>
      <c r="V523" t="n">
        <v>0</v>
      </c>
    </row>
    <row r="524">
      <c r="A524" t="n">
        <v>523</v>
      </c>
      <c r="B524" t="inlineStr">
        <is>
          <t>Import Shipment Expense</t>
        </is>
      </c>
      <c r="C524" t="inlineStr">
        <is>
          <t>ត្រាយអ៊ែងហ្គល ឡូជីស្ទីក (ខេមបូឌា) ឯ.ក</t>
        </is>
      </c>
      <c r="D524" t="inlineStr">
        <is>
          <t>K010-902101743</t>
        </is>
      </c>
      <c r="E524" t="inlineStr">
        <is>
          <t>TAG-24-00319</t>
        </is>
      </c>
      <c r="F524" t="inlineStr">
        <is>
          <t>09-05-2024</t>
        </is>
      </c>
      <c r="G524" t="n">
        <v>151953</v>
      </c>
      <c r="I524">
        <f>G524</f>
        <v/>
      </c>
      <c r="K524">
        <f>I524-G524</f>
        <v/>
      </c>
      <c r="M524">
        <f>R524=E524</f>
        <v/>
      </c>
      <c r="N524">
        <f>AND(MONTH(F524)=MONTH(Q524), YEAR(F524)=YEAR(Q524))</f>
        <v/>
      </c>
      <c r="O524">
        <f>"L001-902303751"=S524</f>
        <v/>
      </c>
      <c r="P524">
        <f>G524-U524</f>
        <v/>
      </c>
      <c r="Q524" s="35" t="n">
        <v>45294</v>
      </c>
      <c r="R524" t="inlineStr"/>
      <c r="S524" t="inlineStr">
        <is>
          <t>K009-901605081</t>
        </is>
      </c>
      <c r="T524" t="inlineStr">
        <is>
          <t>ទ្រូ ខមភែនៀន ឡូជីស្ទីក (ខេមបូឌា)</t>
        </is>
      </c>
      <c r="U524" t="n">
        <v>0</v>
      </c>
      <c r="V524" t="n">
        <v>0</v>
      </c>
    </row>
    <row r="525">
      <c r="A525" t="n">
        <v>524</v>
      </c>
      <c r="B525" t="inlineStr">
        <is>
          <t>Customs Clearance Fee and Trucking Fee</t>
        </is>
      </c>
      <c r="C525" t="inlineStr">
        <is>
          <t>ត្រាយអ៊ែងហ្គល ឡូជីស្ទីក (ខេមបូឌា) ឯ.ក</t>
        </is>
      </c>
      <c r="D525" t="inlineStr">
        <is>
          <t>K010-902101743</t>
        </is>
      </c>
      <c r="E525" t="inlineStr">
        <is>
          <t>TAG-24-00348</t>
        </is>
      </c>
      <c r="F525" t="inlineStr">
        <is>
          <t>20-05-2024</t>
        </is>
      </c>
      <c r="G525" t="n">
        <v>32616</v>
      </c>
      <c r="I525">
        <f>G525</f>
        <v/>
      </c>
      <c r="K525">
        <f>I525-G525</f>
        <v/>
      </c>
      <c r="M525">
        <f>R525=E525</f>
        <v/>
      </c>
      <c r="N525">
        <f>AND(MONTH(F525)=MONTH(Q525), YEAR(F525)=YEAR(Q525))</f>
        <v/>
      </c>
      <c r="O525">
        <f>"L001-902303751"=S525</f>
        <v/>
      </c>
      <c r="P525">
        <f>G525-U525</f>
        <v/>
      </c>
      <c r="Q525" s="35" t="n">
        <v>45307</v>
      </c>
      <c r="R525" t="inlineStr"/>
      <c r="S525" t="inlineStr">
        <is>
          <t>L001-100045995</t>
        </is>
      </c>
      <c r="T525" t="inlineStr">
        <is>
          <t>ឌីអេចអិល ឡូជីស្ទីក (ខេមបូឌា)</t>
        </is>
      </c>
      <c r="U525" t="n">
        <v>0</v>
      </c>
      <c r="V525" t="n">
        <v>0</v>
      </c>
    </row>
    <row r="526">
      <c r="A526" t="n">
        <v>525</v>
      </c>
      <c r="B526" t="inlineStr">
        <is>
          <t>Charge from warehouse</t>
        </is>
      </c>
      <c r="C526" t="inlineStr">
        <is>
          <t>កំពង់ផែស្វយ័តក្រុងព្រះសីហនុ</t>
        </is>
      </c>
      <c r="D526" t="inlineStr">
        <is>
          <t>L001-100044638</t>
        </is>
      </c>
      <c r="E526" t="inlineStr">
        <is>
          <t>092540</t>
        </is>
      </c>
      <c r="F526" t="inlineStr">
        <is>
          <t>17-05-2024</t>
        </is>
      </c>
      <c r="G526" t="n">
        <v>623</v>
      </c>
      <c r="I526">
        <f>G526</f>
        <v/>
      </c>
      <c r="K526">
        <f>I526-G526</f>
        <v/>
      </c>
      <c r="M526">
        <f>R526=E526</f>
        <v/>
      </c>
      <c r="N526">
        <f>AND(MONTH(F526)=MONTH(Q526), YEAR(F526)=YEAR(Q526))</f>
        <v/>
      </c>
      <c r="O526">
        <f>"L001-902303751"=S526</f>
        <v/>
      </c>
      <c r="P526">
        <f>G526-U526</f>
        <v/>
      </c>
      <c r="Q526" s="35" t="n">
        <v>45307</v>
      </c>
      <c r="R526" t="n">
        <v>110241</v>
      </c>
      <c r="S526" t="inlineStr">
        <is>
          <t>L001-100045995</t>
        </is>
      </c>
      <c r="T526" t="inlineStr">
        <is>
          <t>ឌីអេចអិល ឡូជីស្ទីក (ខេមបូឌា)</t>
        </is>
      </c>
      <c r="U526" t="n">
        <v>110241</v>
      </c>
      <c r="V526" t="n">
        <v>0</v>
      </c>
    </row>
    <row r="527">
      <c r="A527" t="n">
        <v>526</v>
      </c>
      <c r="B527" t="inlineStr">
        <is>
          <t>Import Shipment Expense</t>
        </is>
      </c>
      <c r="C527" t="inlineStr">
        <is>
          <t>ខាហ្គោផត (ខេមបូឌា)</t>
        </is>
      </c>
      <c r="D527" t="inlineStr">
        <is>
          <t>K005-100099521</t>
        </is>
      </c>
      <c r="E527" t="inlineStr">
        <is>
          <t>24-1064</t>
        </is>
      </c>
      <c r="F527" t="inlineStr">
        <is>
          <t>07-05-2024</t>
        </is>
      </c>
      <c r="G527" t="n">
        <v>56561</v>
      </c>
      <c r="I527">
        <f>G527</f>
        <v/>
      </c>
      <c r="K527">
        <f>I527-G527</f>
        <v/>
      </c>
      <c r="M527">
        <f>R527=E527</f>
        <v/>
      </c>
      <c r="N527">
        <f>AND(MONTH(F527)=MONTH(Q527), YEAR(F527)=YEAR(Q527))</f>
        <v/>
      </c>
      <c r="O527">
        <f>"L001-902303751"=S527</f>
        <v/>
      </c>
      <c r="P527">
        <f>G527-U527</f>
        <v/>
      </c>
      <c r="Q527" s="35" t="n">
        <v>45310</v>
      </c>
      <c r="R527" t="n">
        <v>110052</v>
      </c>
      <c r="S527" t="inlineStr">
        <is>
          <t>K005-100059945</t>
        </is>
      </c>
      <c r="T527" t="inlineStr">
        <is>
          <t>អ៊ែតវ៉ានស៍ គ្លរី ឡូជីស្ទីក (ខេមបូឌា) (អេ ជី អិល)</t>
        </is>
      </c>
      <c r="U527" t="n">
        <v>110052</v>
      </c>
      <c r="V527" t="n">
        <v>0</v>
      </c>
    </row>
    <row r="528">
      <c r="A528" t="n">
        <v>527</v>
      </c>
      <c r="B528" t="inlineStr">
        <is>
          <t>Customs Clearance Fee and Trucking Fee</t>
        </is>
      </c>
      <c r="C528" t="inlineStr">
        <is>
          <t>ត្រាយអ៊ែងហ្គល ឡូជីស្ទីក (ខេមបូឌា) ឯ.ក</t>
        </is>
      </c>
      <c r="D528" t="inlineStr">
        <is>
          <t>K010-902101743</t>
        </is>
      </c>
      <c r="E528" t="inlineStr">
        <is>
          <t>TAG-24-00316</t>
        </is>
      </c>
      <c r="F528" t="inlineStr">
        <is>
          <t>08-05-2024</t>
        </is>
      </c>
      <c r="G528" t="n">
        <v>28525</v>
      </c>
      <c r="I528">
        <f>G528</f>
        <v/>
      </c>
      <c r="K528">
        <f>I528-G528</f>
        <v/>
      </c>
      <c r="M528">
        <f>R528=E528</f>
        <v/>
      </c>
      <c r="N528">
        <f>AND(MONTH(F528)=MONTH(Q528), YEAR(F528)=YEAR(Q528))</f>
        <v/>
      </c>
      <c r="O528">
        <f>"L001-902303751"=S528</f>
        <v/>
      </c>
      <c r="P528">
        <f>G528-U528</f>
        <v/>
      </c>
      <c r="Q528" s="35" t="n">
        <v>45309</v>
      </c>
      <c r="R528" t="n">
        <v>18275</v>
      </c>
      <c r="S528" t="inlineStr">
        <is>
          <t>K003-901635943</t>
        </is>
      </c>
      <c r="T528" t="inlineStr">
        <is>
          <t>អ៊ីឃ្យូឡាញ វើលវ៉ាយដ៍ ឡូជីស្ទីក</t>
        </is>
      </c>
      <c r="U528" t="n">
        <v>18275</v>
      </c>
      <c r="V528" t="n">
        <v>0</v>
      </c>
    </row>
    <row r="529">
      <c r="A529" t="n">
        <v>528</v>
      </c>
      <c r="B529" t="inlineStr">
        <is>
          <t>Cargo Terminal</t>
        </is>
      </c>
      <c r="C529" t="inlineStr">
        <is>
          <t>សូស៊ីយេតេ កុងសេស្យូនែរ ដឺ ឡាអេរ៉ូព័រ</t>
        </is>
      </c>
      <c r="D529" t="inlineStr">
        <is>
          <t>L001-100047300</t>
        </is>
      </c>
      <c r="E529" t="inlineStr">
        <is>
          <t>2400-032744</t>
        </is>
      </c>
      <c r="F529" t="inlineStr">
        <is>
          <t>07-05-2024</t>
        </is>
      </c>
      <c r="G529" t="n">
        <v>5964</v>
      </c>
      <c r="I529">
        <f>G529</f>
        <v/>
      </c>
      <c r="K529">
        <f>I529-G529</f>
        <v/>
      </c>
      <c r="M529">
        <f>R529=E529</f>
        <v/>
      </c>
      <c r="N529">
        <f>AND(MONTH(F529)=MONTH(Q529), YEAR(F529)=YEAR(Q529))</f>
        <v/>
      </c>
      <c r="O529">
        <f>"L001-902303751"=S529</f>
        <v/>
      </c>
      <c r="P529">
        <f>G529-U529</f>
        <v/>
      </c>
      <c r="Q529" s="35" t="n">
        <v>45293</v>
      </c>
      <c r="R529" t="n">
        <v>110187</v>
      </c>
      <c r="S529" t="inlineStr">
        <is>
          <t>L001-107032791</t>
        </is>
      </c>
      <c r="T529" t="inlineStr">
        <is>
          <t>នីបផន អិចប្រេស (ខេមបូឌា) ខូ អិលធីឌី</t>
        </is>
      </c>
      <c r="U529" t="n">
        <v>110187</v>
      </c>
      <c r="V529" t="n">
        <v>0</v>
      </c>
    </row>
    <row r="530">
      <c r="A530" t="n">
        <v>529</v>
      </c>
      <c r="B530" t="inlineStr">
        <is>
          <t>Doc Fee and Agency Fee</t>
        </is>
      </c>
      <c r="C530" t="inlineStr">
        <is>
          <t>អ៊ែតវ៉ានស៍ គ្លរី ឡូជីស្ទីក (ខេមបូឌា) (អេ ជី អិល)</t>
        </is>
      </c>
      <c r="D530" t="inlineStr">
        <is>
          <t>K005-100059945</t>
        </is>
      </c>
      <c r="E530" t="inlineStr">
        <is>
          <t>AGL2400668</t>
        </is>
      </c>
      <c r="F530" t="inlineStr">
        <is>
          <t>06-05-2024</t>
        </is>
      </c>
      <c r="G530" t="n">
        <v>44814</v>
      </c>
      <c r="I530">
        <f>G530</f>
        <v/>
      </c>
      <c r="K530">
        <f>I530-G530</f>
        <v/>
      </c>
      <c r="M530">
        <f>R530=E530</f>
        <v/>
      </c>
      <c r="N530">
        <f>AND(MONTH(F530)=MONTH(Q530), YEAR(F530)=YEAR(Q530))</f>
        <v/>
      </c>
      <c r="O530">
        <f>"L001-902303751"=S530</f>
        <v/>
      </c>
      <c r="P530">
        <f>G530-U530</f>
        <v/>
      </c>
      <c r="Q530" s="35" t="n">
        <v>45320</v>
      </c>
      <c r="R530" t="n">
        <v>81620</v>
      </c>
      <c r="S530" t="inlineStr">
        <is>
          <t>L001-107032791</t>
        </is>
      </c>
      <c r="T530" t="inlineStr">
        <is>
          <t>នីបផន អិចប្រេស (ខេមបូឌា) ខូ អិលធីឌី</t>
        </is>
      </c>
      <c r="U530" t="n">
        <v>81620</v>
      </c>
      <c r="V530" t="n">
        <v>0</v>
      </c>
    </row>
    <row r="531">
      <c r="A531" t="n">
        <v>530</v>
      </c>
      <c r="B531" t="inlineStr">
        <is>
          <t>Customs Clearance Fee</t>
        </is>
      </c>
      <c r="C531" t="inlineStr">
        <is>
          <t>ត្រាយអ៊ែងហ្គល ឡូជីស្ទីក (ខេមបូឌា) ឯ.ក</t>
        </is>
      </c>
      <c r="D531" t="inlineStr">
        <is>
          <t>K010-902101743</t>
        </is>
      </c>
      <c r="E531" t="inlineStr">
        <is>
          <t>TAG-24-00317</t>
        </is>
      </c>
      <c r="F531" t="inlineStr">
        <is>
          <t>08-05-2024</t>
        </is>
      </c>
      <c r="G531" t="n">
        <v>8150</v>
      </c>
      <c r="I531">
        <f>G531</f>
        <v/>
      </c>
      <c r="K531">
        <f>I531-G531</f>
        <v/>
      </c>
      <c r="M531">
        <f>R531=E531</f>
        <v/>
      </c>
      <c r="N531">
        <f>AND(MONTH(F531)=MONTH(Q531), YEAR(F531)=YEAR(Q531))</f>
        <v/>
      </c>
      <c r="O531">
        <f>"L001-902303751"=S531</f>
        <v/>
      </c>
      <c r="P531">
        <f>G531-U531</f>
        <v/>
      </c>
      <c r="Q531" s="35" t="n">
        <v>45320</v>
      </c>
      <c r="R531" t="inlineStr"/>
      <c r="S531" t="inlineStr">
        <is>
          <t>L001-901500191</t>
        </is>
      </c>
      <c r="T531" t="inlineStr">
        <is>
          <t>អ.អិន.វ៉ាយ ត្រេនស្ព័ត</t>
        </is>
      </c>
      <c r="U531" t="n">
        <v>0</v>
      </c>
      <c r="V531" t="n">
        <v>0</v>
      </c>
    </row>
    <row r="532">
      <c r="A532" t="n">
        <v>531</v>
      </c>
      <c r="B532" t="inlineStr">
        <is>
          <t>Customs Clearance Fee and Trucking Fee</t>
        </is>
      </c>
      <c r="C532" t="inlineStr">
        <is>
          <t>ត្រាយអ៊ែងហ្គល ឡូជីស្ទីក (ខេមបូឌា) ឯ.ក</t>
        </is>
      </c>
      <c r="D532" t="inlineStr">
        <is>
          <t>K010-902101743</t>
        </is>
      </c>
      <c r="E532" t="inlineStr">
        <is>
          <t>TAG-24-00327</t>
        </is>
      </c>
      <c r="F532" t="inlineStr">
        <is>
          <t>15-05-2024</t>
        </is>
      </c>
      <c r="G532" t="n">
        <v>28553</v>
      </c>
      <c r="I532">
        <f>G532</f>
        <v/>
      </c>
      <c r="K532">
        <f>I532-G532</f>
        <v/>
      </c>
      <c r="M532">
        <f>R532=E532</f>
        <v/>
      </c>
      <c r="N532">
        <f>AND(MONTH(F532)=MONTH(Q532), YEAR(F532)=YEAR(Q532))</f>
        <v/>
      </c>
      <c r="O532">
        <f>"L001-902303751"=S532</f>
        <v/>
      </c>
      <c r="P532">
        <f>G532-U532</f>
        <v/>
      </c>
      <c r="Q532" s="35" t="n">
        <v>45320</v>
      </c>
      <c r="R532" t="n">
        <v>112636</v>
      </c>
      <c r="S532" t="inlineStr">
        <is>
          <t>K003-901635943</t>
        </is>
      </c>
      <c r="T532" t="inlineStr">
        <is>
          <t>អ៊ីឃ្យូឡាញ វើលវ៉ាយដ៍ ឡូជីស្ទីក</t>
        </is>
      </c>
      <c r="U532" t="n">
        <v>112636</v>
      </c>
      <c r="V532" t="n">
        <v>0</v>
      </c>
    </row>
    <row r="533">
      <c r="A533" t="n">
        <v>532</v>
      </c>
      <c r="B533" t="inlineStr">
        <is>
          <t>Warehouse Fee</t>
        </is>
      </c>
      <c r="C533" t="inlineStr">
        <is>
          <t>ហាន​ &amp; ជុន ត្រេនស្ព័ត ខូ អិលធីឌី</t>
        </is>
      </c>
      <c r="D533" t="inlineStr">
        <is>
          <t>L001-104016647</t>
        </is>
      </c>
      <c r="E533" t="inlineStr">
        <is>
          <t>HJ24-1341</t>
        </is>
      </c>
      <c r="F533" t="inlineStr">
        <is>
          <t>10-05-2024</t>
        </is>
      </c>
      <c r="G533" t="n">
        <v>6685</v>
      </c>
      <c r="I533">
        <f>G533</f>
        <v/>
      </c>
      <c r="K533">
        <f>I533-G533</f>
        <v/>
      </c>
      <c r="M533">
        <f>R533=E533</f>
        <v/>
      </c>
      <c r="N533">
        <f>AND(MONTH(F533)=MONTH(Q533), YEAR(F533)=YEAR(Q533))</f>
        <v/>
      </c>
      <c r="O533">
        <f>"L001-902303751"=S533</f>
        <v/>
      </c>
      <c r="P533">
        <f>G533-U533</f>
        <v/>
      </c>
      <c r="Q533" s="35" t="n">
        <v>45294</v>
      </c>
      <c r="R533" t="inlineStr"/>
      <c r="S533" t="inlineStr">
        <is>
          <t>K002-901800477</t>
        </is>
      </c>
      <c r="T533" t="inlineStr">
        <is>
          <t>អាយធីអាយ អ៊ិនធើណេសិនណល ត្រេនស័្ពរថេសិន (ខេមបូឌា) ឯ.ក</t>
        </is>
      </c>
      <c r="U533" t="n">
        <v>0</v>
      </c>
      <c r="V533" t="n">
        <v>0</v>
      </c>
    </row>
    <row r="534">
      <c r="A534" t="n">
        <v>533</v>
      </c>
      <c r="B534" t="inlineStr">
        <is>
          <t>Storage Charge</t>
        </is>
      </c>
      <c r="C534" t="inlineStr">
        <is>
          <t>ហាន​ &amp; ជុន ត្រេនស្ព័ត ខូ អិលធីឌី</t>
        </is>
      </c>
      <c r="D534" t="inlineStr">
        <is>
          <t>L001-104016647</t>
        </is>
      </c>
      <c r="E534" t="inlineStr">
        <is>
          <t>HJ24-1472</t>
        </is>
      </c>
      <c r="F534" t="inlineStr">
        <is>
          <t>10-05-2024</t>
        </is>
      </c>
      <c r="G534" t="n">
        <v>2509</v>
      </c>
      <c r="I534">
        <f>G534</f>
        <v/>
      </c>
      <c r="K534">
        <f>I534-G534</f>
        <v/>
      </c>
      <c r="M534">
        <f>R534=E534</f>
        <v/>
      </c>
      <c r="N534">
        <f>AND(MONTH(F534)=MONTH(Q534), YEAR(F534)=YEAR(Q534))</f>
        <v/>
      </c>
      <c r="O534">
        <f>"L001-902303751"=S534</f>
        <v/>
      </c>
      <c r="P534">
        <f>G534-U534</f>
        <v/>
      </c>
      <c r="Q534" s="35" t="n">
        <v>45294</v>
      </c>
      <c r="R534" t="inlineStr"/>
      <c r="S534" t="inlineStr">
        <is>
          <t>L001-107032791</t>
        </is>
      </c>
      <c r="T534" t="inlineStr">
        <is>
          <t>នីបផន អិចប្រេស (ខេមបូឌា) ខូ អិលធីឌី</t>
        </is>
      </c>
      <c r="U534" t="n">
        <v>0</v>
      </c>
      <c r="V534" t="n">
        <v>0</v>
      </c>
    </row>
    <row r="535">
      <c r="A535" t="n">
        <v>534</v>
      </c>
      <c r="B535" t="inlineStr">
        <is>
          <t>Import Shipment Expense</t>
        </is>
      </c>
      <c r="C535" t="inlineStr">
        <is>
          <t>អូរៀនថល ឡូជីស្ទីក &amp; ឌីស្ទ្រីប៊្យូសិន (ខេមបូឌា)</t>
        </is>
      </c>
      <c r="D535" t="inlineStr">
        <is>
          <t>L001-103007369</t>
        </is>
      </c>
      <c r="E535" t="inlineStr">
        <is>
          <t>24-4351</t>
        </is>
      </c>
      <c r="F535" t="inlineStr">
        <is>
          <t>07-05-2024</t>
        </is>
      </c>
      <c r="G535" t="n">
        <v>74069</v>
      </c>
      <c r="I535">
        <f>G535</f>
        <v/>
      </c>
      <c r="K535">
        <f>I535-G535</f>
        <v/>
      </c>
      <c r="M535">
        <f>R535=E535</f>
        <v/>
      </c>
      <c r="N535">
        <f>AND(MONTH(F535)=MONTH(Q535), YEAR(F535)=YEAR(Q535))</f>
        <v/>
      </c>
      <c r="O535">
        <f>"L001-902303751"=S535</f>
        <v/>
      </c>
      <c r="P535">
        <f>G535-U535</f>
        <v/>
      </c>
      <c r="Q535" s="35" t="n">
        <v>45303</v>
      </c>
      <c r="R535" t="inlineStr"/>
      <c r="S535" t="inlineStr">
        <is>
          <t>L001-107032791</t>
        </is>
      </c>
      <c r="T535" t="inlineStr">
        <is>
          <t>នីបផន អិចប្រេស (ខេមបូឌា) ខូ អិលធីឌី</t>
        </is>
      </c>
      <c r="U535" t="n">
        <v>0</v>
      </c>
      <c r="V535" t="n">
        <v>0</v>
      </c>
    </row>
    <row r="536">
      <c r="A536" t="n">
        <v>535</v>
      </c>
      <c r="B536" t="inlineStr">
        <is>
          <t>Customs Clearance Fee and Trucking Fee</t>
        </is>
      </c>
      <c r="C536" t="inlineStr">
        <is>
          <t>ត្រាយអ៊ែងហ្គល ឡូជីស្ទីក (ខេមបូឌា) ឯ.ក</t>
        </is>
      </c>
      <c r="D536" t="inlineStr">
        <is>
          <t>K010-902101743</t>
        </is>
      </c>
      <c r="E536" t="inlineStr">
        <is>
          <t>TAG-24-00335</t>
        </is>
      </c>
      <c r="F536" t="inlineStr">
        <is>
          <t>15-05-2024</t>
        </is>
      </c>
      <c r="G536" t="n">
        <v>69343</v>
      </c>
      <c r="I536">
        <f>G536</f>
        <v/>
      </c>
      <c r="K536">
        <f>I536-G536</f>
        <v/>
      </c>
      <c r="M536">
        <f>R536=E536</f>
        <v/>
      </c>
      <c r="N536">
        <f>AND(MONTH(F536)=MONTH(Q536), YEAR(F536)=YEAR(Q536))</f>
        <v/>
      </c>
      <c r="O536">
        <f>"L001-902303751"=S536</f>
        <v/>
      </c>
      <c r="P536">
        <f>G536-U536</f>
        <v/>
      </c>
      <c r="Q536" s="35" t="n">
        <v>45307</v>
      </c>
      <c r="R536" t="inlineStr"/>
      <c r="S536" t="inlineStr">
        <is>
          <t>L001-100045995</t>
        </is>
      </c>
      <c r="T536" t="inlineStr">
        <is>
          <t>ឌីអេចអិល ឡូជីស្ទីក (ខេមបូឌា)</t>
        </is>
      </c>
      <c r="U536" t="n">
        <v>0</v>
      </c>
      <c r="V536" t="n">
        <v>0</v>
      </c>
    </row>
    <row r="537">
      <c r="A537" t="n">
        <v>536</v>
      </c>
      <c r="B537" t="inlineStr">
        <is>
          <t>Lift-On &amp; Lift-Off</t>
        </is>
      </c>
      <c r="C537" t="inlineStr">
        <is>
          <t>កំពង់ផែស្វយ័តក្រុងព្រះសីហនុ</t>
        </is>
      </c>
      <c r="D537" t="inlineStr">
        <is>
          <t>L001-100044638</t>
        </is>
      </c>
      <c r="E537" t="inlineStr">
        <is>
          <t>090820</t>
        </is>
      </c>
      <c r="F537" t="inlineStr">
        <is>
          <t>15-05-2024</t>
        </is>
      </c>
      <c r="G537" t="n">
        <v>23250</v>
      </c>
      <c r="I537">
        <f>G537</f>
        <v/>
      </c>
      <c r="K537">
        <f>I537-G537</f>
        <v/>
      </c>
      <c r="M537">
        <f>R537=E537</f>
        <v/>
      </c>
      <c r="N537">
        <f>AND(MONTH(F537)=MONTH(Q537), YEAR(F537)=YEAR(Q537))</f>
        <v/>
      </c>
      <c r="O537">
        <f>"L001-902303751"=S537</f>
        <v/>
      </c>
      <c r="P537">
        <f>G537-U537</f>
        <v/>
      </c>
      <c r="Q537" s="35" t="n">
        <v>45307</v>
      </c>
      <c r="R537" t="n">
        <v>297242</v>
      </c>
      <c r="S537" t="inlineStr">
        <is>
          <t>L001-100074669</t>
        </is>
      </c>
      <c r="T537" t="inlineStr">
        <is>
          <t>ខេអិលអិន ហ្វ្រេត (ខេមបូឌា) ឯ.ក</t>
        </is>
      </c>
      <c r="U537" t="n">
        <v>297242</v>
      </c>
      <c r="V537" t="n">
        <v>0</v>
      </c>
    </row>
    <row r="538">
      <c r="A538" t="n">
        <v>537</v>
      </c>
      <c r="B538" t="inlineStr">
        <is>
          <t>Import Shipment Expense</t>
        </is>
      </c>
      <c r="C538" t="inlineStr">
        <is>
          <t>ខេអិលអិន ហ្វ្រេត (ខេមបូឌា) ឯ.ក</t>
        </is>
      </c>
      <c r="D538" t="inlineStr">
        <is>
          <t>L001-100074669</t>
        </is>
      </c>
      <c r="E538" t="inlineStr">
        <is>
          <t>IVO07569</t>
        </is>
      </c>
      <c r="F538" t="inlineStr">
        <is>
          <t>23-05-2024</t>
        </is>
      </c>
      <c r="G538" t="n">
        <v>84401</v>
      </c>
      <c r="I538">
        <f>G538</f>
        <v/>
      </c>
      <c r="K538">
        <f>I538-G538</f>
        <v/>
      </c>
      <c r="M538">
        <f>R538=E538</f>
        <v/>
      </c>
      <c r="N538">
        <f>AND(MONTH(F538)=MONTH(Q538), YEAR(F538)=YEAR(Q538))</f>
        <v/>
      </c>
      <c r="O538">
        <f>"L001-902303751"=S538</f>
        <v/>
      </c>
      <c r="P538">
        <f>G538-U538</f>
        <v/>
      </c>
      <c r="Q538" s="35" t="n">
        <v>45292</v>
      </c>
      <c r="R538" t="inlineStr"/>
      <c r="S538" t="inlineStr">
        <is>
          <t>L001-901500191</t>
        </is>
      </c>
      <c r="T538" t="inlineStr">
        <is>
          <t>អ.អិន.វ៉ាយ ត្រេនស្ព័ត</t>
        </is>
      </c>
      <c r="U538" t="n">
        <v>0</v>
      </c>
      <c r="V538" t="n">
        <v>0</v>
      </c>
    </row>
    <row r="539">
      <c r="A539" t="n">
        <v>538</v>
      </c>
      <c r="B539" t="inlineStr">
        <is>
          <t>Customs Clearance Fee and Trucking Fee</t>
        </is>
      </c>
      <c r="C539" t="inlineStr">
        <is>
          <t>ត្រាយអ៊ែងហ្គល ឡូជីស្ទីក (ខេមបូឌា) ឯ.ក</t>
        </is>
      </c>
      <c r="D539" t="inlineStr">
        <is>
          <t>K010-902101743</t>
        </is>
      </c>
      <c r="E539" t="inlineStr">
        <is>
          <t>TAG-24-00320</t>
        </is>
      </c>
      <c r="F539" t="inlineStr">
        <is>
          <t>10-05-2024</t>
        </is>
      </c>
      <c r="G539" t="n">
        <v>28532</v>
      </c>
      <c r="I539">
        <f>G539</f>
        <v/>
      </c>
      <c r="K539">
        <f>I539-G539</f>
        <v/>
      </c>
      <c r="M539">
        <f>R539=E539</f>
        <v/>
      </c>
      <c r="N539">
        <f>AND(MONTH(F539)=MONTH(Q539), YEAR(F539)=YEAR(Q539))</f>
        <v/>
      </c>
      <c r="O539">
        <f>"L001-902303751"=S539</f>
        <v/>
      </c>
      <c r="P539">
        <f>G539-U539</f>
        <v/>
      </c>
      <c r="Q539" s="35" t="n">
        <v>45292</v>
      </c>
      <c r="R539" t="n">
        <v>110295</v>
      </c>
      <c r="S539" t="inlineStr">
        <is>
          <t>L001-901500191</t>
        </is>
      </c>
      <c r="T539" t="inlineStr">
        <is>
          <t>អ.អិន.វ៉ាយ ត្រេនស្ព័ត</t>
        </is>
      </c>
      <c r="U539" t="n">
        <v>110295</v>
      </c>
      <c r="V539" t="n">
        <v>0</v>
      </c>
    </row>
    <row r="540">
      <c r="A540" t="n">
        <v>539</v>
      </c>
      <c r="B540" t="inlineStr">
        <is>
          <t>Cargo Terminal</t>
        </is>
      </c>
      <c r="C540" t="inlineStr">
        <is>
          <t>សូស៊ីយេតេ កុងសេស្យូនែរ ដឺ ឡាអេរ៉ូព័រ</t>
        </is>
      </c>
      <c r="D540" t="inlineStr">
        <is>
          <t>L001-100047300</t>
        </is>
      </c>
      <c r="E540" t="inlineStr">
        <is>
          <t>2400-033682</t>
        </is>
      </c>
      <c r="F540" t="inlineStr">
        <is>
          <t>10-05-2024</t>
        </is>
      </c>
      <c r="G540" t="n">
        <v>13466</v>
      </c>
      <c r="I540">
        <f>G540</f>
        <v/>
      </c>
      <c r="K540">
        <f>I540-G540</f>
        <v/>
      </c>
      <c r="M540">
        <f>R540=E540</f>
        <v/>
      </c>
      <c r="N540">
        <f>AND(MONTH(F540)=MONTH(Q540), YEAR(F540)=YEAR(Q540))</f>
        <v/>
      </c>
      <c r="O540">
        <f>"L001-902303751"=S540</f>
        <v/>
      </c>
      <c r="P540">
        <f>G540-U540</f>
        <v/>
      </c>
      <c r="Q540" s="35" t="n">
        <v>45294</v>
      </c>
      <c r="R540" t="n">
        <v>200018</v>
      </c>
      <c r="S540" t="inlineStr">
        <is>
          <t>L001-103007369</t>
        </is>
      </c>
      <c r="T540" t="inlineStr">
        <is>
          <t>អូរៀនថល ឡូជីស្ទីក &amp; ឌីស្ទ្រីប៊្យូសិន (ខេមបូឌា)</t>
        </is>
      </c>
      <c r="U540" t="n">
        <v>200018</v>
      </c>
      <c r="V540" t="n">
        <v>0</v>
      </c>
    </row>
    <row r="541">
      <c r="A541" t="n">
        <v>540</v>
      </c>
      <c r="B541" t="inlineStr">
        <is>
          <t>Document Fee and Agency Fee</t>
        </is>
      </c>
      <c r="C541" t="inlineStr">
        <is>
          <t>អ៊ីហ្វាវ ឡូជីស</t>
        </is>
      </c>
      <c r="D541" t="inlineStr">
        <is>
          <t>K009-100186262</t>
        </is>
      </c>
      <c r="E541" t="inlineStr">
        <is>
          <t>EFAW2024-071</t>
        </is>
      </c>
      <c r="F541" t="inlineStr">
        <is>
          <t>08-05-2024</t>
        </is>
      </c>
      <c r="G541" t="n">
        <v>24450</v>
      </c>
      <c r="I541">
        <f>G541</f>
        <v/>
      </c>
      <c r="K541">
        <f>I541-G541</f>
        <v/>
      </c>
      <c r="M541">
        <f>R541=E541</f>
        <v/>
      </c>
      <c r="N541">
        <f>AND(MONTH(F541)=MONTH(Q541), YEAR(F541)=YEAR(Q541))</f>
        <v/>
      </c>
      <c r="O541">
        <f>"L001-902303751"=S541</f>
        <v/>
      </c>
      <c r="P541">
        <f>G541-U541</f>
        <v/>
      </c>
      <c r="Q541" s="35" t="n">
        <v>45293</v>
      </c>
      <c r="R541" t="inlineStr"/>
      <c r="S541" t="inlineStr">
        <is>
          <t>K005-901902888</t>
        </is>
      </c>
      <c r="T541" t="inlineStr">
        <is>
          <t>អឹឡាយអិន ហ្វ័រវើឌីង (ខេមបូឌា) ឯ.ក</t>
        </is>
      </c>
      <c r="U541" t="n">
        <v>0</v>
      </c>
      <c r="V541" t="n">
        <v>0</v>
      </c>
    </row>
    <row r="542">
      <c r="A542" t="n">
        <v>541</v>
      </c>
      <c r="B542" t="inlineStr">
        <is>
          <t>Customs Clearance Fee and Trucking Fee</t>
        </is>
      </c>
      <c r="C542" t="inlineStr">
        <is>
          <t>ត្រាយអ៊ែងហ្គល ឡូជីស្ទីក (ខេមបូឌា) ឯ.ក</t>
        </is>
      </c>
      <c r="D542" t="inlineStr">
        <is>
          <t>K010-902101743</t>
        </is>
      </c>
      <c r="E542" t="inlineStr">
        <is>
          <t>TAG-24-00321</t>
        </is>
      </c>
      <c r="F542" t="inlineStr">
        <is>
          <t>10-05-2024</t>
        </is>
      </c>
      <c r="G542" t="n">
        <v>28532</v>
      </c>
      <c r="I542">
        <f>G542</f>
        <v/>
      </c>
      <c r="K542">
        <f>I542-G542</f>
        <v/>
      </c>
      <c r="M542">
        <f>R542=E542</f>
        <v/>
      </c>
      <c r="N542">
        <f>AND(MONTH(F542)=MONTH(Q542), YEAR(F542)=YEAR(Q542))</f>
        <v/>
      </c>
      <c r="O542">
        <f>"L001-902303751"=S542</f>
        <v/>
      </c>
      <c r="P542">
        <f>G542-U542</f>
        <v/>
      </c>
      <c r="Q542" s="35" t="n">
        <v>45293</v>
      </c>
      <c r="R542" t="n">
        <v>389327</v>
      </c>
      <c r="S542" t="inlineStr">
        <is>
          <t>L001-100074669</t>
        </is>
      </c>
      <c r="T542" t="inlineStr">
        <is>
          <t>ខេអិលអិន ហ្វ្រេត (ខេមបូឌា) ឯ.ក</t>
        </is>
      </c>
      <c r="U542" t="n">
        <v>389327</v>
      </c>
      <c r="V542" t="n">
        <v>0</v>
      </c>
    </row>
    <row r="543">
      <c r="A543" t="n">
        <v>542</v>
      </c>
      <c r="B543" t="inlineStr">
        <is>
          <t>Cargo Terminal</t>
        </is>
      </c>
      <c r="C543" t="inlineStr">
        <is>
          <t>សូស៊ីយេតេ កុងសេស្យូនែរ ដឺ ឡាអេរ៉ូព័រ</t>
        </is>
      </c>
      <c r="D543" t="inlineStr">
        <is>
          <t>L001-100047300</t>
        </is>
      </c>
      <c r="E543" t="inlineStr">
        <is>
          <t>2400-033683</t>
        </is>
      </c>
      <c r="F543" t="inlineStr">
        <is>
          <t>10-05-2024</t>
        </is>
      </c>
      <c r="G543" t="n">
        <v>10990</v>
      </c>
      <c r="I543">
        <f>G543</f>
        <v/>
      </c>
      <c r="K543">
        <f>I543-G543</f>
        <v/>
      </c>
      <c r="M543">
        <f>R543=E543</f>
        <v/>
      </c>
      <c r="N543">
        <f>AND(MONTH(F543)=MONTH(Q543), YEAR(F543)=YEAR(Q543))</f>
        <v/>
      </c>
      <c r="O543">
        <f>"L001-902303751"=S543</f>
        <v/>
      </c>
      <c r="P543">
        <f>G543-U543</f>
        <v/>
      </c>
      <c r="Q543" s="35" t="n">
        <v>45316</v>
      </c>
      <c r="R543" t="inlineStr"/>
      <c r="S543" t="inlineStr">
        <is>
          <t>K003-901635943</t>
        </is>
      </c>
      <c r="T543" t="inlineStr">
        <is>
          <t>អ៊ីឃ្យូឡាញ វើលវ៉ាយដ៍ ឡូជីស្ទីក</t>
        </is>
      </c>
      <c r="U543" t="n">
        <v>0</v>
      </c>
      <c r="V543" t="n">
        <v>0</v>
      </c>
    </row>
    <row r="544">
      <c r="A544" t="n">
        <v>543</v>
      </c>
      <c r="B544" t="inlineStr">
        <is>
          <t>Cargo Terminal</t>
        </is>
      </c>
      <c r="C544" t="inlineStr">
        <is>
          <t>សូស៊ីយេតេ កុងសេស្យូនែរ ដឺ ឡាអេរ៉ូព័រ</t>
        </is>
      </c>
      <c r="D544" t="inlineStr">
        <is>
          <t>L001-100047300</t>
        </is>
      </c>
      <c r="E544" t="inlineStr">
        <is>
          <t>2400-031228</t>
        </is>
      </c>
      <c r="F544" t="inlineStr">
        <is>
          <t>02-05-2024</t>
        </is>
      </c>
      <c r="G544" t="n">
        <v>6439</v>
      </c>
      <c r="I544">
        <f>G544</f>
        <v/>
      </c>
      <c r="K544">
        <f>I544-G544</f>
        <v/>
      </c>
      <c r="M544">
        <f>R544=E544</f>
        <v/>
      </c>
      <c r="N544">
        <f>AND(MONTH(F544)=MONTH(Q544), YEAR(F544)=YEAR(Q544))</f>
        <v/>
      </c>
      <c r="O544">
        <f>"L001-902303751"=S544</f>
        <v/>
      </c>
      <c r="P544">
        <f>G544-U544</f>
        <v/>
      </c>
      <c r="Q544" s="35" t="n">
        <v>45294</v>
      </c>
      <c r="R544" t="inlineStr"/>
      <c r="S544" t="inlineStr">
        <is>
          <t>K002-901800477</t>
        </is>
      </c>
      <c r="T544" t="inlineStr">
        <is>
          <t>អាយធីអាយ អ៊ិនធើណេសិនណល ត្រេនស័្ពរថេសិន (ខេមបូឌា) ឯ.ក</t>
        </is>
      </c>
      <c r="U544" t="n">
        <v>0</v>
      </c>
      <c r="V544" t="n">
        <v>0</v>
      </c>
    </row>
    <row r="545">
      <c r="A545" t="n">
        <v>544</v>
      </c>
      <c r="B545" t="inlineStr">
        <is>
          <t>Customs Clearance Fee and Trucking Fee</t>
        </is>
      </c>
      <c r="C545" t="inlineStr">
        <is>
          <t>ត្រាយអ៊ែងហ្គល ឡូជីស្ទីក (ខេមបូឌា) ឯ.ក</t>
        </is>
      </c>
      <c r="D545" t="inlineStr">
        <is>
          <t>K010-902101743</t>
        </is>
      </c>
      <c r="E545" t="inlineStr">
        <is>
          <t>TAG-24-00303</t>
        </is>
      </c>
      <c r="F545" t="inlineStr">
        <is>
          <t>02-05-2024</t>
        </is>
      </c>
      <c r="G545" t="n">
        <v>28462</v>
      </c>
      <c r="I545">
        <f>G545</f>
        <v/>
      </c>
      <c r="K545">
        <f>I545-G545</f>
        <v/>
      </c>
      <c r="M545">
        <f>R545=E545</f>
        <v/>
      </c>
      <c r="N545">
        <f>AND(MONTH(F545)=MONTH(Q545), YEAR(F545)=YEAR(Q545))</f>
        <v/>
      </c>
      <c r="O545">
        <f>"L001-902303751"=S545</f>
        <v/>
      </c>
      <c r="P545">
        <f>G545-U545</f>
        <v/>
      </c>
      <c r="Q545" s="35" t="n">
        <v>45300</v>
      </c>
      <c r="R545" t="n">
        <v>84398</v>
      </c>
      <c r="S545" t="inlineStr">
        <is>
          <t>K003-901635943</t>
        </is>
      </c>
      <c r="T545" t="inlineStr">
        <is>
          <t>អ៊ីឃ្យូឡាញ វើលវ៉ាយដ៍ ឡូជីស្ទីក</t>
        </is>
      </c>
      <c r="U545" t="n">
        <v>84398</v>
      </c>
      <c r="V545" t="n">
        <v>0</v>
      </c>
    </row>
    <row r="546">
      <c r="A546" t="n">
        <v>545</v>
      </c>
      <c r="B546" t="inlineStr">
        <is>
          <t>Import Shipment Expense</t>
        </is>
      </c>
      <c r="C546" t="inlineStr">
        <is>
          <t>ខេអិលអិន ហ្វ្រេត (ខេមបូឌា) ឯ.ក</t>
        </is>
      </c>
      <c r="D546" t="inlineStr">
        <is>
          <t>L001-100074669</t>
        </is>
      </c>
      <c r="E546" t="inlineStr">
        <is>
          <t>IVO07565</t>
        </is>
      </c>
      <c r="F546" t="inlineStr">
        <is>
          <t>21-05-2024</t>
        </is>
      </c>
      <c r="G546" t="n">
        <v>113800</v>
      </c>
      <c r="I546">
        <f>G546</f>
        <v/>
      </c>
      <c r="K546">
        <f>I546-G546</f>
        <v/>
      </c>
      <c r="M546">
        <f>R546=E546</f>
        <v/>
      </c>
      <c r="N546">
        <f>AND(MONTH(F546)=MONTH(Q546), YEAR(F546)=YEAR(Q546))</f>
        <v/>
      </c>
      <c r="O546">
        <f>"L001-902303751"=S546</f>
        <v/>
      </c>
      <c r="P546">
        <f>G546-U546</f>
        <v/>
      </c>
      <c r="Q546" s="35" t="n">
        <v>45300</v>
      </c>
      <c r="R546" t="inlineStr"/>
      <c r="S546" t="inlineStr">
        <is>
          <t>L001-107032791</t>
        </is>
      </c>
      <c r="T546" t="inlineStr">
        <is>
          <t>នីបផន អិចប្រេស (ខេមបូឌា) ខូ អិលធីឌី</t>
        </is>
      </c>
      <c r="U546" t="n">
        <v>0</v>
      </c>
      <c r="V546" t="n">
        <v>0</v>
      </c>
    </row>
    <row r="547">
      <c r="A547" t="n">
        <v>546</v>
      </c>
      <c r="B547" t="inlineStr">
        <is>
          <t>Customs Clearance Fee and Trucking Fee</t>
        </is>
      </c>
      <c r="C547" t="inlineStr">
        <is>
          <t>ត្រាយអ៊ែងហ្គល ឡូជីស្ទីក (ខេមបូឌា) ឯ.ក</t>
        </is>
      </c>
      <c r="D547" t="inlineStr">
        <is>
          <t>K010-902101743</t>
        </is>
      </c>
      <c r="E547" t="inlineStr">
        <is>
          <t>TAG-24-00312</t>
        </is>
      </c>
      <c r="F547" t="inlineStr">
        <is>
          <t>08-05-2024</t>
        </is>
      </c>
      <c r="G547" t="n">
        <v>28525</v>
      </c>
      <c r="I547">
        <f>G547</f>
        <v/>
      </c>
      <c r="K547">
        <f>I547-G547</f>
        <v/>
      </c>
      <c r="M547">
        <f>R547=E547</f>
        <v/>
      </c>
      <c r="N547">
        <f>AND(MONTH(F547)=MONTH(Q547), YEAR(F547)=YEAR(Q547))</f>
        <v/>
      </c>
      <c r="O547">
        <f>"L001-902303751"=S547</f>
        <v/>
      </c>
      <c r="P547">
        <f>G547-U547</f>
        <v/>
      </c>
      <c r="Q547" s="35" t="n">
        <v>45307</v>
      </c>
      <c r="R547" t="n">
        <v>84110</v>
      </c>
      <c r="S547" t="inlineStr">
        <is>
          <t>K003-901635943</t>
        </is>
      </c>
      <c r="T547" t="inlineStr">
        <is>
          <t>អ៊ីឃ្យូឡាញ វើលវ៉ាយដ៍ ឡូជីស្ទីក</t>
        </is>
      </c>
      <c r="U547" t="n">
        <v>84110</v>
      </c>
      <c r="V547" t="n">
        <v>0</v>
      </c>
    </row>
    <row r="548">
      <c r="A548" t="n">
        <v>547</v>
      </c>
      <c r="B548" t="inlineStr">
        <is>
          <t>Warehouse Fee, Transit Fee and Storage Fee</t>
        </is>
      </c>
      <c r="C548" t="inlineStr">
        <is>
          <t>អាយធីអាយ អ៊ិនធើណេសិនណល ត្រេនស័្ពរថេសិន (ខេមបូឌា) ឯ.ក</t>
        </is>
      </c>
      <c r="D548" t="inlineStr">
        <is>
          <t>K002-901800477</t>
        </is>
      </c>
      <c r="E548" t="inlineStr">
        <is>
          <t>CAM242085</t>
        </is>
      </c>
      <c r="F548" t="inlineStr">
        <is>
          <t>09-05-2024</t>
        </is>
      </c>
      <c r="G548" t="n">
        <v>20306</v>
      </c>
      <c r="I548">
        <f>G548</f>
        <v/>
      </c>
      <c r="K548">
        <f>I548-G548</f>
        <v/>
      </c>
      <c r="M548">
        <f>R548=E548</f>
        <v/>
      </c>
      <c r="N548">
        <f>AND(MONTH(F548)=MONTH(Q548), YEAR(F548)=YEAR(Q548))</f>
        <v/>
      </c>
      <c r="O548">
        <f>"L001-902303751"=S548</f>
        <v/>
      </c>
      <c r="P548">
        <f>G548-U548</f>
        <v/>
      </c>
      <c r="Q548" s="35" t="n">
        <v>45320</v>
      </c>
      <c r="R548" t="n">
        <v>112636</v>
      </c>
      <c r="S548" t="inlineStr">
        <is>
          <t>K005-901805913</t>
        </is>
      </c>
      <c r="T548" t="inlineStr">
        <is>
          <t>ស្តារ ខង់ខដ (ខេមបូឌា) ឯ.ក</t>
        </is>
      </c>
      <c r="U548" t="n">
        <v>112636</v>
      </c>
      <c r="V548" t="n">
        <v>0</v>
      </c>
    </row>
    <row r="549">
      <c r="A549" t="n">
        <v>548</v>
      </c>
      <c r="B549" t="inlineStr">
        <is>
          <t>Customs Clearance Fee and Trucking Fee</t>
        </is>
      </c>
      <c r="C549" t="inlineStr">
        <is>
          <t>ត្រាយអ៊ែងហ្គល ឡូជីស្ទីក (ខេមបូឌា) ឯ.ក</t>
        </is>
      </c>
      <c r="D549" t="inlineStr">
        <is>
          <t>K010-902101743</t>
        </is>
      </c>
      <c r="E549" t="inlineStr">
        <is>
          <t>TAG-24-00311</t>
        </is>
      </c>
      <c r="F549" t="inlineStr">
        <is>
          <t>08-05-2024</t>
        </is>
      </c>
      <c r="G549" t="n">
        <v>28525</v>
      </c>
      <c r="I549">
        <f>G549</f>
        <v/>
      </c>
      <c r="K549">
        <f>I549-G549</f>
        <v/>
      </c>
      <c r="M549">
        <f>R549=E549</f>
        <v/>
      </c>
      <c r="N549">
        <f>AND(MONTH(F549)=MONTH(Q549), YEAR(F549)=YEAR(Q549))</f>
        <v/>
      </c>
      <c r="O549">
        <f>"L001-902303751"=S549</f>
        <v/>
      </c>
      <c r="P549">
        <f>G549-U549</f>
        <v/>
      </c>
      <c r="Q549" s="35" t="n">
        <v>45320</v>
      </c>
      <c r="R549" t="n">
        <v>110187</v>
      </c>
      <c r="S549" t="inlineStr">
        <is>
          <t>L001-107041723</t>
        </is>
      </c>
      <c r="T549" t="inlineStr">
        <is>
          <t>ឌីប៊ី សេនឃើរ (ខេមបូឌា) លីមីធីត</t>
        </is>
      </c>
      <c r="U549" t="n">
        <v>110187</v>
      </c>
      <c r="V549" t="n">
        <v>0</v>
      </c>
    </row>
    <row r="550">
      <c r="A550" t="n">
        <v>549</v>
      </c>
      <c r="B550" t="inlineStr">
        <is>
          <t>Customs Clearance Fee</t>
        </is>
      </c>
      <c r="C550" t="inlineStr">
        <is>
          <t>ត្រាយអ៊ែងហ្គល ឡូជីស្ទីក (ខេមបូឌា) ឯ.ក</t>
        </is>
      </c>
      <c r="D550" t="inlineStr">
        <is>
          <t>K010-902101743</t>
        </is>
      </c>
      <c r="E550" t="inlineStr">
        <is>
          <t>TAG-24-00315</t>
        </is>
      </c>
      <c r="F550" t="inlineStr">
        <is>
          <t>08-05-2024</t>
        </is>
      </c>
      <c r="G550" t="n">
        <v>8150</v>
      </c>
      <c r="I550">
        <f>G550</f>
        <v/>
      </c>
      <c r="K550">
        <f>I550-G550</f>
        <v/>
      </c>
      <c r="M550">
        <f>R550=E550</f>
        <v/>
      </c>
      <c r="N550">
        <f>AND(MONTH(F550)=MONTH(Q550), YEAR(F550)=YEAR(Q550))</f>
        <v/>
      </c>
      <c r="O550">
        <f>"L001-902303751"=S550</f>
        <v/>
      </c>
      <c r="P550">
        <f>G550-U550</f>
        <v/>
      </c>
      <c r="Q550" s="35" t="n">
        <v>45293</v>
      </c>
      <c r="R550" t="inlineStr"/>
      <c r="S550" t="inlineStr">
        <is>
          <t>K003-901635943</t>
        </is>
      </c>
      <c r="T550" t="inlineStr">
        <is>
          <t>អ៊ីឃ្យូឡាញ វើលវ៉ាយដ៍ ឡូជីស្ទីក</t>
        </is>
      </c>
      <c r="U550" t="n">
        <v>0</v>
      </c>
      <c r="V550" t="n">
        <v>0</v>
      </c>
    </row>
    <row r="551">
      <c r="A551" t="n">
        <v>550</v>
      </c>
      <c r="B551" t="inlineStr">
        <is>
          <t>Warehouse Fee, Transit Fee and Storage Fee</t>
        </is>
      </c>
      <c r="C551" t="inlineStr">
        <is>
          <t>អាយធីអាយ អ៊ិនធើណេសិនណល ត្រេនស័្ពរថេសិន (ខេមបូឌា) ឯ.ក</t>
        </is>
      </c>
      <c r="D551" t="inlineStr">
        <is>
          <t>K002-901800477</t>
        </is>
      </c>
      <c r="E551" t="inlineStr">
        <is>
          <t>CAM242063</t>
        </is>
      </c>
      <c r="F551" t="inlineStr">
        <is>
          <t>07-05-2024</t>
        </is>
      </c>
      <c r="G551" t="n">
        <v>10310</v>
      </c>
      <c r="I551">
        <f>G551</f>
        <v/>
      </c>
      <c r="K551">
        <f>I551-G551</f>
        <v/>
      </c>
      <c r="M551">
        <f>R551=E551</f>
        <v/>
      </c>
      <c r="N551">
        <f>AND(MONTH(F551)=MONTH(Q551), YEAR(F551)=YEAR(Q551))</f>
        <v/>
      </c>
      <c r="O551">
        <f>"L001-902303751"=S551</f>
        <v/>
      </c>
      <c r="P551">
        <f>G551-U551</f>
        <v/>
      </c>
      <c r="Q551" s="35" t="n">
        <v>45294</v>
      </c>
      <c r="R551" t="n">
        <v>755170</v>
      </c>
      <c r="S551" t="inlineStr">
        <is>
          <t>K009-901605081</t>
        </is>
      </c>
      <c r="T551" t="inlineStr">
        <is>
          <t>ទ្រូ ខមភែនៀន ឡូជីស្ទីក (ខេមបូឌា)</t>
        </is>
      </c>
      <c r="U551" t="n">
        <v>755170</v>
      </c>
      <c r="V551" t="n">
        <v>0</v>
      </c>
    </row>
    <row r="552">
      <c r="A552" t="n">
        <v>551</v>
      </c>
      <c r="B552" t="inlineStr">
        <is>
          <t>Customs Clearance Fee and Trucking Fee</t>
        </is>
      </c>
      <c r="C552" t="inlineStr">
        <is>
          <t>ត្រាយអ៊ែងហ្គល ឡូជីស្ទីក (ខេមបូឌា) ឯ.ក</t>
        </is>
      </c>
      <c r="D552" t="inlineStr">
        <is>
          <t>K010-902101743</t>
        </is>
      </c>
      <c r="E552" t="inlineStr">
        <is>
          <t>TAG-24-00304</t>
        </is>
      </c>
      <c r="F552" t="inlineStr">
        <is>
          <t>02-05-2024</t>
        </is>
      </c>
      <c r="G552" t="n">
        <v>32528</v>
      </c>
      <c r="I552">
        <f>G552</f>
        <v/>
      </c>
      <c r="K552">
        <f>I552-G552</f>
        <v/>
      </c>
      <c r="M552">
        <f>R552=E552</f>
        <v/>
      </c>
      <c r="N552">
        <f>AND(MONTH(F552)=MONTH(Q552), YEAR(F552)=YEAR(Q552))</f>
        <v/>
      </c>
      <c r="O552">
        <f>"L001-902303751"=S552</f>
        <v/>
      </c>
      <c r="P552">
        <f>G552-U552</f>
        <v/>
      </c>
      <c r="Q552" s="35" t="n">
        <v>45296</v>
      </c>
      <c r="R552" t="n">
        <v>102325</v>
      </c>
      <c r="S552" t="inlineStr">
        <is>
          <t>K003-901635943</t>
        </is>
      </c>
      <c r="T552" t="inlineStr">
        <is>
          <t>អ៊ីឃ្យូឡាញ វើលវ៉ាយដ៍ ឡូជីស្ទីក</t>
        </is>
      </c>
      <c r="U552" t="n">
        <v>102325</v>
      </c>
      <c r="V552" t="n">
        <v>0</v>
      </c>
    </row>
    <row r="553">
      <c r="A553" t="n">
        <v>552</v>
      </c>
      <c r="B553" t="inlineStr">
        <is>
          <t>Storage Charge</t>
        </is>
      </c>
      <c r="C553" t="inlineStr">
        <is>
          <t>ហាន​ &amp; ជុន ត្រេនស្ព័ត ខូ អិលធីឌី</t>
        </is>
      </c>
      <c r="D553" t="inlineStr">
        <is>
          <t>L001-104016647</t>
        </is>
      </c>
      <c r="E553" t="inlineStr">
        <is>
          <t>HJ24-1312</t>
        </is>
      </c>
      <c r="F553" t="inlineStr">
        <is>
          <t>02-05-2024</t>
        </is>
      </c>
      <c r="G553" t="n">
        <v>4051</v>
      </c>
      <c r="I553">
        <f>G553</f>
        <v/>
      </c>
      <c r="K553">
        <f>I553-G553</f>
        <v/>
      </c>
      <c r="M553">
        <f>R553=E553</f>
        <v/>
      </c>
      <c r="N553">
        <f>AND(MONTH(F553)=MONTH(Q553), YEAR(F553)=YEAR(Q553))</f>
        <v/>
      </c>
      <c r="O553">
        <f>"L001-902303751"=S553</f>
        <v/>
      </c>
      <c r="P553">
        <f>G553-U553</f>
        <v/>
      </c>
      <c r="Q553" s="35" t="n">
        <v>45307</v>
      </c>
      <c r="R553" t="inlineStr"/>
      <c r="S553" t="inlineStr">
        <is>
          <t>L001-100045995</t>
        </is>
      </c>
      <c r="T553" t="inlineStr">
        <is>
          <t>ឌីអេចអិល ឡូជីស្ទីក (ខេមបូឌា)</t>
        </is>
      </c>
      <c r="U553" t="n">
        <v>0</v>
      </c>
      <c r="V553" t="n">
        <v>0</v>
      </c>
    </row>
    <row r="554">
      <c r="A554" t="n">
        <v>553</v>
      </c>
      <c r="B554" t="inlineStr">
        <is>
          <t>Warehouse Fee</t>
        </is>
      </c>
      <c r="C554" t="inlineStr">
        <is>
          <t>ហាន​ &amp; ជុន ត្រេនស្ព័ត ខូ អិលធីឌី</t>
        </is>
      </c>
      <c r="D554" t="inlineStr">
        <is>
          <t>L001-104016647</t>
        </is>
      </c>
      <c r="E554" t="inlineStr">
        <is>
          <t>HJ24-1309</t>
        </is>
      </c>
      <c r="F554" t="inlineStr">
        <is>
          <t>02-05-2024</t>
        </is>
      </c>
      <c r="G554" t="n">
        <v>13499</v>
      </c>
      <c r="I554">
        <f>G554</f>
        <v/>
      </c>
      <c r="K554">
        <f>I554-G554</f>
        <v/>
      </c>
      <c r="M554">
        <f>R554=E554</f>
        <v/>
      </c>
      <c r="N554">
        <f>AND(MONTH(F554)=MONTH(Q554), YEAR(F554)=YEAR(Q554))</f>
        <v/>
      </c>
      <c r="O554">
        <f>"L001-902303751"=S554</f>
        <v/>
      </c>
      <c r="P554">
        <f>G554-U554</f>
        <v/>
      </c>
      <c r="Q554" s="35" t="n">
        <v>45294</v>
      </c>
      <c r="R554" t="inlineStr"/>
      <c r="S554" t="inlineStr">
        <is>
          <t>L001-901500191</t>
        </is>
      </c>
      <c r="T554" t="inlineStr">
        <is>
          <t>អ.អិន.វ៉ាយ ត្រេនស្ព័ត</t>
        </is>
      </c>
      <c r="U554" t="n">
        <v>0</v>
      </c>
      <c r="V554" t="n">
        <v>0</v>
      </c>
    </row>
    <row r="555">
      <c r="A555" t="n">
        <v>554</v>
      </c>
      <c r="B555" t="inlineStr">
        <is>
          <t>Customs Clearance Fee and Trucking Fee</t>
        </is>
      </c>
      <c r="C555" t="inlineStr">
        <is>
          <t>ត្រាយអ៊ែងហ្គល ឡូជីស្ទីក (ខេមបូឌា) ឯ.ក</t>
        </is>
      </c>
      <c r="D555" t="inlineStr">
        <is>
          <t>K010-902101743</t>
        </is>
      </c>
      <c r="E555" t="inlineStr">
        <is>
          <t>TAG-24-00352</t>
        </is>
      </c>
      <c r="F555" t="inlineStr">
        <is>
          <t>20-05-2024</t>
        </is>
      </c>
      <c r="G555" t="n">
        <v>35525</v>
      </c>
      <c r="I555">
        <f>G555</f>
        <v/>
      </c>
      <c r="K555">
        <f>I555-G555</f>
        <v/>
      </c>
      <c r="M555">
        <f>R555=E555</f>
        <v/>
      </c>
      <c r="N555">
        <f>AND(MONTH(F555)=MONTH(Q555), YEAR(F555)=YEAR(Q555))</f>
        <v/>
      </c>
      <c r="O555">
        <f>"L001-902303751"=S555</f>
        <v/>
      </c>
      <c r="P555">
        <f>G555-U555</f>
        <v/>
      </c>
      <c r="Q555" s="35" t="n">
        <v>45294</v>
      </c>
      <c r="R555" t="inlineStr"/>
      <c r="S555" t="inlineStr">
        <is>
          <t>K005-901501155</t>
        </is>
      </c>
      <c r="T555" t="inlineStr">
        <is>
          <t>ផេនដា គ្លូប៊ល ឡូជីស្ទីក (ខេមបូឌា)</t>
        </is>
      </c>
      <c r="U555" t="n">
        <v>0</v>
      </c>
      <c r="V555" t="n">
        <v>0</v>
      </c>
    </row>
    <row r="556">
      <c r="A556" t="n">
        <v>555</v>
      </c>
      <c r="B556" t="inlineStr">
        <is>
          <t>Charge from warehouse and Storage Charges</t>
        </is>
      </c>
      <c r="C556" t="inlineStr">
        <is>
          <t>កំពង់ផែស្វយ័តក្រុងព្រះសីហនុ</t>
        </is>
      </c>
      <c r="D556" t="inlineStr">
        <is>
          <t>L001-100044638</t>
        </is>
      </c>
      <c r="E556" t="inlineStr">
        <is>
          <t>09578</t>
        </is>
      </c>
      <c r="F556" t="inlineStr">
        <is>
          <t>20-05-2024</t>
        </is>
      </c>
      <c r="G556" t="n">
        <v>2483</v>
      </c>
      <c r="I556">
        <f>G556</f>
        <v/>
      </c>
      <c r="K556">
        <f>I556-G556</f>
        <v/>
      </c>
      <c r="M556">
        <f>R556=E556</f>
        <v/>
      </c>
      <c r="N556">
        <f>AND(MONTH(F556)=MONTH(Q556), YEAR(F556)=YEAR(Q556))</f>
        <v/>
      </c>
      <c r="O556">
        <f>"L001-902303751"=S556</f>
        <v/>
      </c>
      <c r="P556">
        <f>G556-U556</f>
        <v/>
      </c>
      <c r="Q556" s="35" t="n">
        <v>45294</v>
      </c>
      <c r="R556" t="inlineStr"/>
      <c r="S556" t="inlineStr">
        <is>
          <t>L001-103007369</t>
        </is>
      </c>
      <c r="T556" t="inlineStr">
        <is>
          <t>អូរៀនថល ឡូជីស្ទីក &amp; ឌីស្ទ្រីប៊្យូសិន (ខេមបូឌា)</t>
        </is>
      </c>
      <c r="U556" t="n">
        <v>0</v>
      </c>
      <c r="V556" t="n">
        <v>0</v>
      </c>
    </row>
    <row r="557">
      <c r="A557" t="n">
        <v>556</v>
      </c>
      <c r="B557" t="inlineStr">
        <is>
          <t>Import Shipment Expense</t>
        </is>
      </c>
      <c r="C557" t="inlineStr">
        <is>
          <t>ខាហ្គោផត (ខេមបូឌា)</t>
        </is>
      </c>
      <c r="D557" t="inlineStr">
        <is>
          <t>K005-100099521</t>
        </is>
      </c>
      <c r="E557" t="inlineStr">
        <is>
          <t>24-1014</t>
        </is>
      </c>
      <c r="F557" t="inlineStr">
        <is>
          <t>02-05-2024</t>
        </is>
      </c>
      <c r="G557" t="n">
        <v>84126</v>
      </c>
      <c r="I557">
        <f>G557</f>
        <v/>
      </c>
      <c r="K557">
        <f>I557-G557</f>
        <v/>
      </c>
      <c r="M557">
        <f>R557=E557</f>
        <v/>
      </c>
      <c r="N557">
        <f>AND(MONTH(F557)=MONTH(Q557), YEAR(F557)=YEAR(Q557))</f>
        <v/>
      </c>
      <c r="O557">
        <f>"L001-902303751"=S557</f>
        <v/>
      </c>
      <c r="P557">
        <f>G557-U557</f>
        <v/>
      </c>
      <c r="Q557" s="35" t="n">
        <v>45293</v>
      </c>
      <c r="R557" t="inlineStr"/>
      <c r="S557" t="inlineStr">
        <is>
          <t>L001-107032791</t>
        </is>
      </c>
      <c r="T557" t="inlineStr">
        <is>
          <t>នីបផន អិចប្រេស (ខេមបូឌា) ខូ អិលធីឌី</t>
        </is>
      </c>
      <c r="U557" t="n">
        <v>0</v>
      </c>
      <c r="V557" t="n">
        <v>0</v>
      </c>
    </row>
    <row r="558">
      <c r="A558" t="n">
        <v>557</v>
      </c>
      <c r="B558" t="inlineStr">
        <is>
          <t>Customs Clearance Fee</t>
        </is>
      </c>
      <c r="C558" t="inlineStr">
        <is>
          <t>ត្រាយអ៊ែងហ្គល ឡូជីស្ទីក (ខេមបូឌា) ឯ.ក</t>
        </is>
      </c>
      <c r="D558" t="inlineStr">
        <is>
          <t>K010-902101743</t>
        </is>
      </c>
      <c r="E558" t="inlineStr">
        <is>
          <t>TAG-24-00301</t>
        </is>
      </c>
      <c r="F558" t="inlineStr">
        <is>
          <t>02-05-2024</t>
        </is>
      </c>
      <c r="G558" t="n">
        <v>8132</v>
      </c>
      <c r="I558">
        <f>G558</f>
        <v/>
      </c>
      <c r="K558">
        <f>I558-G558</f>
        <v/>
      </c>
      <c r="M558">
        <f>R558=E558</f>
        <v/>
      </c>
      <c r="N558">
        <f>AND(MONTH(F558)=MONTH(Q558), YEAR(F558)=YEAR(Q558))</f>
        <v/>
      </c>
      <c r="O558">
        <f>"L001-902303751"=S558</f>
        <v/>
      </c>
      <c r="P558">
        <f>G558-U558</f>
        <v/>
      </c>
      <c r="Q558" s="35" t="n">
        <v>45313</v>
      </c>
      <c r="R558" t="n">
        <v>83966</v>
      </c>
      <c r="S558" t="inlineStr">
        <is>
          <t>L001-100074669</t>
        </is>
      </c>
      <c r="T558" t="inlineStr">
        <is>
          <t>ខេអិលអិន ហ្វ្រេត (ខេមបូឌា) ឯ.ក</t>
        </is>
      </c>
      <c r="U558" t="n">
        <v>83966</v>
      </c>
      <c r="V558" t="n">
        <v>0</v>
      </c>
    </row>
    <row r="559">
      <c r="A559" t="n">
        <v>558</v>
      </c>
      <c r="B559" t="inlineStr">
        <is>
          <t>Cargo Terminal</t>
        </is>
      </c>
      <c r="C559" t="inlineStr">
        <is>
          <t>សូស៊ីយេតេ កុងសេស្យូនែរ ដឺ ឡាអេរ៉ូព័រ</t>
        </is>
      </c>
      <c r="D559" t="inlineStr">
        <is>
          <t>L001-100047300</t>
        </is>
      </c>
      <c r="E559" t="inlineStr">
        <is>
          <t>2400-034196</t>
        </is>
      </c>
      <c r="F559" t="inlineStr">
        <is>
          <t>11-05-2024</t>
        </is>
      </c>
      <c r="G559" t="n">
        <v>3327</v>
      </c>
      <c r="I559">
        <f>G559</f>
        <v/>
      </c>
      <c r="K559">
        <f>I559-G559</f>
        <v/>
      </c>
      <c r="M559">
        <f>R559=E559</f>
        <v/>
      </c>
      <c r="N559">
        <f>AND(MONTH(F559)=MONTH(Q559), YEAR(F559)=YEAR(Q559))</f>
        <v/>
      </c>
      <c r="O559">
        <f>"L001-902303751"=S559</f>
        <v/>
      </c>
      <c r="P559">
        <f>G559-U559</f>
        <v/>
      </c>
      <c r="Q559" s="35" t="n">
        <v>45320</v>
      </c>
      <c r="R559" t="inlineStr"/>
      <c r="S559" t="inlineStr">
        <is>
          <t>K005-901805913</t>
        </is>
      </c>
      <c r="T559" t="inlineStr">
        <is>
          <t>ស្តារ ខង់ខដ (ខេមបូឌា) ឯ.ក</t>
        </is>
      </c>
      <c r="U559" t="n">
        <v>0</v>
      </c>
      <c r="V559" t="n">
        <v>0</v>
      </c>
    </row>
    <row r="560">
      <c r="A560" t="n">
        <v>559</v>
      </c>
      <c r="B560" t="inlineStr">
        <is>
          <t>Laco QC Inspection Fee in April 2024</t>
        </is>
      </c>
      <c r="C560" t="inlineStr">
        <is>
          <t>តេនតាក់ (ខេមបូឌា) អ៊ិនស្ពេកសិន</t>
        </is>
      </c>
      <c r="D560" t="inlineStr">
        <is>
          <t>K009-901638542</t>
        </is>
      </c>
      <c r="E560" t="inlineStr">
        <is>
          <t>TI2024-0061</t>
        </is>
      </c>
      <c r="F560" t="inlineStr">
        <is>
          <t>06-05-2024</t>
        </is>
      </c>
      <c r="G560" t="n">
        <v>1074990</v>
      </c>
      <c r="I560">
        <f>G560</f>
        <v/>
      </c>
      <c r="K560">
        <f>I560-G560</f>
        <v/>
      </c>
      <c r="M560">
        <f>R560=E560</f>
        <v/>
      </c>
      <c r="N560">
        <f>AND(MONTH(F560)=MONTH(Q560), YEAR(F560)=YEAR(Q560))</f>
        <v/>
      </c>
      <c r="O560">
        <f>"L001-902303751"=S560</f>
        <v/>
      </c>
      <c r="P560">
        <f>G560-U560</f>
        <v/>
      </c>
      <c r="Q560" s="35" t="n">
        <v>45320</v>
      </c>
      <c r="R560" t="inlineStr"/>
      <c r="S560" t="inlineStr">
        <is>
          <t>L001-107041723</t>
        </is>
      </c>
      <c r="T560" t="inlineStr">
        <is>
          <t>ឌីប៊ី សេនឃើរ (ខេមបូឌា) លីមីធីត</t>
        </is>
      </c>
      <c r="U560" t="n">
        <v>0</v>
      </c>
      <c r="V560" t="n">
        <v>0</v>
      </c>
    </row>
    <row r="561">
      <c r="A561" t="n">
        <v>560</v>
      </c>
      <c r="B561" t="inlineStr">
        <is>
          <t>Internet Expense</t>
        </is>
      </c>
      <c r="C561" t="inlineStr">
        <is>
          <t>អេស.អាយ គ្រុប</t>
        </is>
      </c>
      <c r="D561" t="inlineStr">
        <is>
          <t>L001-100129250</t>
        </is>
      </c>
      <c r="E561" t="inlineStr">
        <is>
          <t>2405-1007-00011</t>
        </is>
      </c>
      <c r="F561" t="inlineStr">
        <is>
          <t>08-05-2024</t>
        </is>
      </c>
      <c r="G561" t="n">
        <v>1140262</v>
      </c>
      <c r="I561">
        <f>G561</f>
        <v/>
      </c>
      <c r="K561">
        <f>I561-G561</f>
        <v/>
      </c>
      <c r="M561">
        <f>R561=E561</f>
        <v/>
      </c>
      <c r="N561">
        <f>AND(MONTH(F561)=MONTH(Q561), YEAR(F561)=YEAR(Q561))</f>
        <v/>
      </c>
      <c r="O561">
        <f>"L001-902303751"=S561</f>
        <v/>
      </c>
      <c r="P561">
        <f>G561-U561</f>
        <v/>
      </c>
      <c r="Q561" s="35" t="n">
        <v>45300</v>
      </c>
      <c r="R561" t="inlineStr"/>
      <c r="S561" t="inlineStr">
        <is>
          <t>L001-107032791</t>
        </is>
      </c>
      <c r="T561" t="inlineStr">
        <is>
          <t>នីបផន អិចប្រេស (ខេមបូឌា) ខូ អិលធីឌី</t>
        </is>
      </c>
      <c r="U561" t="n">
        <v>0</v>
      </c>
      <c r="V561" t="n">
        <v>0</v>
      </c>
    </row>
    <row r="562">
      <c r="A562" t="n">
        <v>561</v>
      </c>
      <c r="B562" t="inlineStr">
        <is>
          <t>Customs Clearance Fee and Trucking Fee</t>
        </is>
      </c>
      <c r="C562" t="inlineStr">
        <is>
          <t>ត្រាយអ៊ែងហ្គល ឡូជីស្ទីក (ខេមបូឌា) ឯ.ក</t>
        </is>
      </c>
      <c r="D562" t="inlineStr">
        <is>
          <t>K010-902101743</t>
        </is>
      </c>
      <c r="E562" t="inlineStr">
        <is>
          <t>TAG-24-00323</t>
        </is>
      </c>
      <c r="F562" t="inlineStr">
        <is>
          <t>13-05-2024</t>
        </is>
      </c>
      <c r="G562" t="n">
        <v>28539</v>
      </c>
      <c r="I562">
        <f>G562</f>
        <v/>
      </c>
      <c r="K562">
        <f>I562-G562</f>
        <v/>
      </c>
      <c r="M562">
        <f>R562=E562</f>
        <v/>
      </c>
      <c r="N562">
        <f>AND(MONTH(F562)=MONTH(Q562), YEAR(F562)=YEAR(Q562))</f>
        <v/>
      </c>
      <c r="O562">
        <f>"L001-902303751"=S562</f>
        <v/>
      </c>
      <c r="P562">
        <f>G562-U562</f>
        <v/>
      </c>
      <c r="Q562" s="35" t="n">
        <v>45300</v>
      </c>
      <c r="R562" t="n">
        <v>200753</v>
      </c>
      <c r="S562" t="inlineStr">
        <is>
          <t>L001-107032791</t>
        </is>
      </c>
      <c r="T562" t="inlineStr">
        <is>
          <t>នីបផន អិចប្រេស (ខេមបូឌា) ខូ អិលធីឌី</t>
        </is>
      </c>
      <c r="U562" t="n">
        <v>200753</v>
      </c>
      <c r="V562" t="n">
        <v>0</v>
      </c>
    </row>
    <row r="563">
      <c r="A563" t="n">
        <v>562</v>
      </c>
      <c r="B563" t="inlineStr">
        <is>
          <t>Doc Fee and Agency Fee</t>
        </is>
      </c>
      <c r="C563" t="inlineStr">
        <is>
          <t>អ៊ែតវ៉ានស៍ គ្លរី ឡូជីស្ទីក (ខេមបូឌា) (អេ ជី អិល)</t>
        </is>
      </c>
      <c r="D563" t="inlineStr">
        <is>
          <t>K005-100059945</t>
        </is>
      </c>
      <c r="E563" t="inlineStr">
        <is>
          <t>AGL2400687</t>
        </is>
      </c>
      <c r="F563" t="inlineStr">
        <is>
          <t>09-05-2024</t>
        </is>
      </c>
      <c r="G563" t="n">
        <v>44836</v>
      </c>
      <c r="I563">
        <f>G563</f>
        <v/>
      </c>
      <c r="K563">
        <f>I563-G563</f>
        <v/>
      </c>
      <c r="M563">
        <f>R563=E563</f>
        <v/>
      </c>
      <c r="N563">
        <f>AND(MONTH(F563)=MONTH(Q563), YEAR(F563)=YEAR(Q563))</f>
        <v/>
      </c>
      <c r="O563">
        <f>"L001-902303751"=S563</f>
        <v/>
      </c>
      <c r="P563">
        <f>G563-U563</f>
        <v/>
      </c>
      <c r="Q563" s="35" t="n">
        <v>45313</v>
      </c>
      <c r="R563" t="inlineStr"/>
      <c r="S563" t="inlineStr">
        <is>
          <t>L001-107032791</t>
        </is>
      </c>
      <c r="T563" t="inlineStr">
        <is>
          <t>នីបផន អិចប្រេស (ខេមបូឌា) ខូ អិលធីឌី</t>
        </is>
      </c>
      <c r="U563" t="n">
        <v>0</v>
      </c>
      <c r="V563" t="n">
        <v>0</v>
      </c>
    </row>
    <row r="564">
      <c r="A564" t="n">
        <v>563</v>
      </c>
      <c r="B564" t="inlineStr">
        <is>
          <t>Shipment Expense</t>
        </is>
      </c>
      <c r="C564" t="inlineStr">
        <is>
          <t>អ៊ិចស្ពែឌីធ័រ ខេមបូឌា អិលធីឌី</t>
        </is>
      </c>
      <c r="D564" t="inlineStr">
        <is>
          <t>L001-100045898</t>
        </is>
      </c>
      <c r="E564" t="inlineStr">
        <is>
          <t>TI-0274064</t>
        </is>
      </c>
      <c r="F564" t="inlineStr">
        <is>
          <t>15-05-2024</t>
        </is>
      </c>
      <c r="G564" t="n">
        <v>223121</v>
      </c>
      <c r="I564">
        <f>G564</f>
        <v/>
      </c>
      <c r="K564">
        <f>I564-G564</f>
        <v/>
      </c>
      <c r="M564">
        <f>R564=E564</f>
        <v/>
      </c>
      <c r="N564">
        <f>AND(MONTH(F564)=MONTH(Q564), YEAR(F564)=YEAR(Q564))</f>
        <v/>
      </c>
      <c r="O564">
        <f>"L001-902303751"=S564</f>
        <v/>
      </c>
      <c r="P564">
        <f>G564-U564</f>
        <v/>
      </c>
      <c r="Q564" s="35" t="n">
        <v>45307</v>
      </c>
      <c r="R564" t="inlineStr"/>
      <c r="S564" t="inlineStr">
        <is>
          <t>L001-100045995</t>
        </is>
      </c>
      <c r="T564" t="inlineStr">
        <is>
          <t>ឌីអេចអិល ឡូជីស្ទីក (ខេមបូឌា)</t>
        </is>
      </c>
      <c r="U564" t="n">
        <v>0</v>
      </c>
      <c r="V564" t="n">
        <v>0</v>
      </c>
    </row>
    <row r="565">
      <c r="A565" t="n">
        <v>564</v>
      </c>
      <c r="B565" t="inlineStr">
        <is>
          <t>Monthly Charge of Photo Copies Rental from 06/04/2024-06/05/2024</t>
        </is>
      </c>
      <c r="C565" t="inlineStr">
        <is>
          <t>វី.អាយ.អេស ខភៀ ឯ.ក</t>
        </is>
      </c>
      <c r="D565" t="inlineStr">
        <is>
          <t>K007-901705195</t>
        </is>
      </c>
      <c r="E565" t="inlineStr">
        <is>
          <t>RNT240526</t>
        </is>
      </c>
      <c r="F565" t="inlineStr">
        <is>
          <t>06-05-2024</t>
        </is>
      </c>
      <c r="G565" t="n">
        <v>57036</v>
      </c>
      <c r="I565">
        <f>G565</f>
        <v/>
      </c>
      <c r="K565">
        <f>I565-G565</f>
        <v/>
      </c>
      <c r="M565">
        <f>R565=E565</f>
        <v/>
      </c>
      <c r="N565">
        <f>AND(MONTH(F565)=MONTH(Q565), YEAR(F565)=YEAR(Q565))</f>
        <v/>
      </c>
      <c r="O565">
        <f>"L001-902303751"=S565</f>
        <v/>
      </c>
      <c r="P565">
        <f>G565-U565</f>
        <v/>
      </c>
      <c r="Q565" s="35" t="n">
        <v>45307</v>
      </c>
      <c r="R565" t="inlineStr"/>
      <c r="S565" t="inlineStr">
        <is>
          <t>L001-100074669</t>
        </is>
      </c>
      <c r="T565" t="inlineStr">
        <is>
          <t>ខេអិលអិន ហ្វ្រេត (ខេមបូឌា) ឯ.ក</t>
        </is>
      </c>
      <c r="U565" t="n">
        <v>0</v>
      </c>
      <c r="V565" t="n">
        <v>0</v>
      </c>
    </row>
    <row r="566">
      <c r="A566" t="n">
        <v>565</v>
      </c>
      <c r="B566" t="inlineStr">
        <is>
          <t>Thread</t>
        </is>
      </c>
      <c r="C566" t="inlineStr">
        <is>
          <t>គ្លូប៊ល សុីលីន ហ្គាមុិន អេកសេសឺរី ឯ.ក</t>
        </is>
      </c>
      <c r="D566" t="inlineStr">
        <is>
          <t>L001-902200857</t>
        </is>
      </c>
      <c r="E566" t="inlineStr">
        <is>
          <t>000342</t>
        </is>
      </c>
      <c r="F566" t="inlineStr">
        <is>
          <t>28-05-2024</t>
        </is>
      </c>
      <c r="G566" t="n">
        <v>107616</v>
      </c>
      <c r="I566">
        <f>G566</f>
        <v/>
      </c>
      <c r="K566">
        <f>I566-G566</f>
        <v/>
      </c>
      <c r="M566">
        <f>R566=E566</f>
        <v/>
      </c>
      <c r="N566">
        <f>AND(MONTH(F566)=MONTH(Q566), YEAR(F566)=YEAR(Q566))</f>
        <v/>
      </c>
      <c r="O566">
        <f>"L001-902303751"=S566</f>
        <v/>
      </c>
      <c r="P566">
        <f>G566-U566</f>
        <v/>
      </c>
      <c r="Q566" s="35" t="n">
        <v>45320</v>
      </c>
      <c r="R566" t="inlineStr"/>
      <c r="S566" t="inlineStr">
        <is>
          <t>L001-107032791</t>
        </is>
      </c>
      <c r="T566" t="inlineStr">
        <is>
          <t>នីបផន អិចប្រេស (ខេមបូឌា) ខូ អិលធីឌី</t>
        </is>
      </c>
      <c r="U566" t="n">
        <v>0</v>
      </c>
      <c r="V566" t="n">
        <v>0</v>
      </c>
    </row>
    <row r="567">
      <c r="A567" t="n">
        <v>566</v>
      </c>
      <c r="B567" t="inlineStr">
        <is>
          <t>Printing Fee</t>
        </is>
      </c>
      <c r="C567" t="inlineStr">
        <is>
          <t>ហ្វ៊ុលម៉ី អេកសេសីរី ឯ.ក</t>
        </is>
      </c>
      <c r="D567" t="inlineStr">
        <is>
          <t>K010-901902807</t>
        </is>
      </c>
      <c r="E567" t="inlineStr">
        <is>
          <t>24/0037</t>
        </is>
      </c>
      <c r="F567" t="inlineStr">
        <is>
          <t>10-05-2024</t>
        </is>
      </c>
      <c r="G567" t="n">
        <v>193232</v>
      </c>
      <c r="I567">
        <f>G567</f>
        <v/>
      </c>
      <c r="K567">
        <f>I567-G567</f>
        <v/>
      </c>
      <c r="M567">
        <f>R567=E567</f>
        <v/>
      </c>
      <c r="N567">
        <f>AND(MONTH(F567)=MONTH(Q567), YEAR(F567)=YEAR(Q567))</f>
        <v/>
      </c>
      <c r="O567">
        <f>"L001-902303751"=S567</f>
        <v/>
      </c>
      <c r="P567">
        <f>G567-U567</f>
        <v/>
      </c>
      <c r="Q567" s="35" t="n">
        <v>45307</v>
      </c>
      <c r="R567" t="n">
        <v>110241</v>
      </c>
      <c r="S567" t="inlineStr">
        <is>
          <t>L001-100045995</t>
        </is>
      </c>
      <c r="T567" t="inlineStr">
        <is>
          <t>ឌីអេចអិល ឡូជីស្ទីក (ខេមបូឌា)</t>
        </is>
      </c>
      <c r="U567" t="n">
        <v>110241</v>
      </c>
      <c r="V567" t="n">
        <v>0</v>
      </c>
    </row>
    <row r="568">
      <c r="A568" t="n">
        <v>567</v>
      </c>
      <c r="B568" t="inlineStr">
        <is>
          <t>Printing Fee</t>
        </is>
      </c>
      <c r="C568" t="inlineStr">
        <is>
          <t>ហ្វ៊ុលម៉ី អេកសេសីរី ឯ.ក</t>
        </is>
      </c>
      <c r="D568" t="inlineStr">
        <is>
          <t>K010-901902807</t>
        </is>
      </c>
      <c r="E568" t="inlineStr">
        <is>
          <t>24/0039</t>
        </is>
      </c>
      <c r="F568" t="inlineStr">
        <is>
          <t>16-05-2024</t>
        </is>
      </c>
      <c r="G568" t="n">
        <v>256862</v>
      </c>
      <c r="I568">
        <f>G568</f>
        <v/>
      </c>
      <c r="K568">
        <f>I568-G568</f>
        <v/>
      </c>
      <c r="M568">
        <f>R568=E568</f>
        <v/>
      </c>
      <c r="N568">
        <f>AND(MONTH(F568)=MONTH(Q568), YEAR(F568)=YEAR(Q568))</f>
        <v/>
      </c>
      <c r="O568">
        <f>"L001-902303751"=S568</f>
        <v/>
      </c>
      <c r="P568">
        <f>G568-U568</f>
        <v/>
      </c>
      <c r="Q568" s="35" t="n">
        <v>45303</v>
      </c>
      <c r="R568" t="n">
        <v>110268</v>
      </c>
      <c r="S568" t="inlineStr">
        <is>
          <t>L001-100074669</t>
        </is>
      </c>
      <c r="T568" t="inlineStr">
        <is>
          <t>ខេអិលអិន ហ្វ្រេត (ខេមបូឌា) ឯ.ក</t>
        </is>
      </c>
      <c r="U568" t="n">
        <v>110268</v>
      </c>
      <c r="V568" t="n">
        <v>0</v>
      </c>
    </row>
    <row r="569">
      <c r="A569" t="n">
        <v>568</v>
      </c>
      <c r="B569" t="inlineStr">
        <is>
          <t>Printing Fee</t>
        </is>
      </c>
      <c r="C569" t="inlineStr">
        <is>
          <t>ហ្វ៊ុលម៉ី អេកសេសីរី ឯ.ក</t>
        </is>
      </c>
      <c r="D569" t="inlineStr">
        <is>
          <t>K010-901902807</t>
        </is>
      </c>
      <c r="E569" t="inlineStr">
        <is>
          <t>24/0042</t>
        </is>
      </c>
      <c r="F569" t="inlineStr">
        <is>
          <t>30-05-2024</t>
        </is>
      </c>
      <c r="G569" t="n">
        <v>19353</v>
      </c>
      <c r="I569">
        <f>G569</f>
        <v/>
      </c>
      <c r="K569">
        <f>I569-G569</f>
        <v/>
      </c>
      <c r="M569">
        <f>R569=E569</f>
        <v/>
      </c>
      <c r="N569">
        <f>AND(MONTH(F569)=MONTH(Q569), YEAR(F569)=YEAR(Q569))</f>
        <v/>
      </c>
      <c r="O569">
        <f>"L001-902303751"=S569</f>
        <v/>
      </c>
      <c r="P569">
        <f>G569-U569</f>
        <v/>
      </c>
      <c r="Q569" s="35" t="n">
        <v>45310</v>
      </c>
      <c r="R569" t="inlineStr"/>
      <c r="S569" t="inlineStr">
        <is>
          <t>K009-902002784</t>
        </is>
      </c>
      <c r="T569" t="inlineStr">
        <is>
          <t>ខាហ្គោលីង អ៊ិនធើណេសិនណល ឯ.ក</t>
        </is>
      </c>
      <c r="U569" t="n">
        <v>0</v>
      </c>
      <c r="V569" t="n">
        <v>0</v>
      </c>
    </row>
    <row r="570">
      <c r="A570" t="n">
        <v>569</v>
      </c>
      <c r="B570" t="inlineStr">
        <is>
          <t>Printing Fee</t>
        </is>
      </c>
      <c r="C570" t="inlineStr">
        <is>
          <t>ហ្វ៊ុលម៉ី អេកសេសីរី ឯ.ក</t>
        </is>
      </c>
      <c r="D570" t="inlineStr">
        <is>
          <t>K010-901902807</t>
        </is>
      </c>
      <c r="E570" t="inlineStr">
        <is>
          <t>24/0043</t>
        </is>
      </c>
      <c r="F570" t="inlineStr">
        <is>
          <t>30-05-2024</t>
        </is>
      </c>
      <c r="G570" t="n">
        <v>38959</v>
      </c>
      <c r="I570">
        <f>G570</f>
        <v/>
      </c>
      <c r="K570">
        <f>I570-G570</f>
        <v/>
      </c>
      <c r="M570">
        <f>R570=E570</f>
        <v/>
      </c>
      <c r="N570">
        <f>AND(MONTH(F570)=MONTH(Q570), YEAR(F570)=YEAR(Q570))</f>
        <v/>
      </c>
      <c r="O570">
        <f>"L001-902303751"=S570</f>
        <v/>
      </c>
      <c r="P570">
        <f>G570-U570</f>
        <v/>
      </c>
      <c r="Q570" s="35" t="n">
        <v>45294</v>
      </c>
      <c r="R570" t="inlineStr"/>
      <c r="S570" t="inlineStr">
        <is>
          <t>L001-103007369</t>
        </is>
      </c>
      <c r="T570" t="inlineStr">
        <is>
          <t>អូរៀនថល ឡូជីស្ទីក &amp; ឌីស្ទ្រីប៊្យូសិន (ខេមបូឌា)</t>
        </is>
      </c>
      <c r="U570" t="n">
        <v>0</v>
      </c>
      <c r="V570" t="n">
        <v>0</v>
      </c>
    </row>
    <row r="571">
      <c r="A571" t="n">
        <v>570</v>
      </c>
      <c r="B571" t="inlineStr">
        <is>
          <t>Shipment Expense</t>
        </is>
      </c>
      <c r="C571" t="inlineStr">
        <is>
          <t>ឆាយ ដា ឡូយីស្ទីក</t>
        </is>
      </c>
      <c r="D571" t="inlineStr">
        <is>
          <t>L001-100063098</t>
        </is>
      </c>
      <c r="E571" t="inlineStr">
        <is>
          <t>2405007094</t>
        </is>
      </c>
      <c r="F571" t="inlineStr">
        <is>
          <t>28-05-2024</t>
        </is>
      </c>
      <c r="G571" t="n">
        <v>181285</v>
      </c>
      <c r="I571">
        <f>G571</f>
        <v/>
      </c>
      <c r="K571">
        <f>I571-G571</f>
        <v/>
      </c>
      <c r="M571">
        <f>R571=E571</f>
        <v/>
      </c>
      <c r="N571">
        <f>AND(MONTH(F571)=MONTH(Q571), YEAR(F571)=YEAR(Q571))</f>
        <v/>
      </c>
      <c r="O571">
        <f>"L001-902303751"=S571</f>
        <v/>
      </c>
      <c r="P571">
        <f>G571-U571</f>
        <v/>
      </c>
      <c r="Q571" s="35" t="n">
        <v>45293</v>
      </c>
      <c r="R571" t="n">
        <v>112636</v>
      </c>
      <c r="S571" t="inlineStr">
        <is>
          <t>K003-901635943</t>
        </is>
      </c>
      <c r="T571" t="inlineStr">
        <is>
          <t>អ៊ីឃ្យូឡាញ វើលវ៉ាយដ៍ ឡូជីស្ទីក</t>
        </is>
      </c>
      <c r="U571" t="n">
        <v>112636</v>
      </c>
      <c r="V571" t="n">
        <v>0</v>
      </c>
    </row>
    <row r="572">
      <c r="A572" t="n">
        <v>571</v>
      </c>
      <c r="B572" t="inlineStr">
        <is>
          <t>Documentation Origin, Handling Charges Origin, PLACI Fee and HAWB Transmission Fee</t>
        </is>
      </c>
      <c r="C572" t="inlineStr">
        <is>
          <t>ឌីប៊ី សេនឃើរ (ខេមបូឌា) លីមីធីត</t>
        </is>
      </c>
      <c r="D572" t="inlineStr">
        <is>
          <t>L001-107041723</t>
        </is>
      </c>
      <c r="E572" t="inlineStr">
        <is>
          <t>2400004250</t>
        </is>
      </c>
      <c r="F572" t="inlineStr">
        <is>
          <t>27-05-2024</t>
        </is>
      </c>
      <c r="G572" t="n">
        <v>60399</v>
      </c>
      <c r="I572">
        <f>G572</f>
        <v/>
      </c>
      <c r="K572">
        <f>I572-G572</f>
        <v/>
      </c>
      <c r="M572">
        <f>R572=E572</f>
        <v/>
      </c>
      <c r="N572">
        <f>AND(MONTH(F572)=MONTH(Q572), YEAR(F572)=YEAR(Q572))</f>
        <v/>
      </c>
      <c r="O572">
        <f>"L001-902303751"=S572</f>
        <v/>
      </c>
      <c r="P572">
        <f>G572-U572</f>
        <v/>
      </c>
      <c r="Q572" s="35" t="n">
        <v>45339</v>
      </c>
      <c r="R572" t="n">
        <v>229886</v>
      </c>
      <c r="S572" t="inlineStr">
        <is>
          <t>K004-105012505</t>
        </is>
      </c>
      <c r="T572" t="inlineStr">
        <is>
          <t>អេស៊ាន ហ្វ្រេត (ខេមបូឌា)</t>
        </is>
      </c>
      <c r="U572" t="n">
        <v>229886</v>
      </c>
      <c r="V572" t="n">
        <v>0</v>
      </c>
    </row>
    <row r="573">
      <c r="A573" t="n">
        <v>572</v>
      </c>
      <c r="B573" t="inlineStr">
        <is>
          <t>Shipment Expense</t>
        </is>
      </c>
      <c r="C573" t="inlineStr">
        <is>
          <t>អ៊ិចស្ពែឌីធ័រ ខេមបូឌា អិលធីឌី</t>
        </is>
      </c>
      <c r="D573" t="inlineStr">
        <is>
          <t>L001-100045898</t>
        </is>
      </c>
      <c r="E573" t="inlineStr">
        <is>
          <t>TI-0274063</t>
        </is>
      </c>
      <c r="F573" t="inlineStr">
        <is>
          <t>15-05-2024</t>
        </is>
      </c>
      <c r="G573" t="n">
        <v>92185</v>
      </c>
      <c r="I573">
        <f>G573</f>
        <v/>
      </c>
      <c r="K573">
        <f>I573-G573</f>
        <v/>
      </c>
      <c r="M573">
        <f>R573=E573</f>
        <v/>
      </c>
      <c r="N573">
        <f>AND(MONTH(F573)=MONTH(Q573), YEAR(F573)=YEAR(Q573))</f>
        <v/>
      </c>
      <c r="O573">
        <f>"L001-902303751"=S573</f>
        <v/>
      </c>
      <c r="P573">
        <f>G573-U573</f>
        <v/>
      </c>
      <c r="Q573" s="35" t="n">
        <v>45342</v>
      </c>
      <c r="R573" t="inlineStr"/>
      <c r="S573" t="inlineStr">
        <is>
          <t>L001-107032791</t>
        </is>
      </c>
      <c r="T573" t="inlineStr">
        <is>
          <t>នីបផន អិចប្រេស (ខេមបូឌា) ខូ អិលធីឌី</t>
        </is>
      </c>
      <c r="U573" t="n">
        <v>0</v>
      </c>
      <c r="V573" t="n">
        <v>0</v>
      </c>
    </row>
    <row r="574">
      <c r="A574" t="n">
        <v>573</v>
      </c>
      <c r="B574" t="inlineStr">
        <is>
          <t>Documentation Origin, Handling Charges Origin, PLACI Fee and HAWB Transmission Fee</t>
        </is>
      </c>
      <c r="C574" t="inlineStr">
        <is>
          <t>ឌីប៊ី សេនឃើរ (ខេមបូឌា) លីមីធីត</t>
        </is>
      </c>
      <c r="D574" t="inlineStr">
        <is>
          <t>L001-107041723</t>
        </is>
      </c>
      <c r="E574" t="inlineStr">
        <is>
          <t>2400004041</t>
        </is>
      </c>
      <c r="F574" t="inlineStr">
        <is>
          <t>20-05-2024</t>
        </is>
      </c>
      <c r="G574" t="n">
        <v>50147</v>
      </c>
      <c r="I574">
        <f>G574</f>
        <v/>
      </c>
      <c r="K574">
        <f>I574-G574</f>
        <v/>
      </c>
      <c r="M574">
        <f>R574=E574</f>
        <v/>
      </c>
      <c r="N574">
        <f>AND(MONTH(F574)=MONTH(Q574), YEAR(F574)=YEAR(Q574))</f>
        <v/>
      </c>
      <c r="O574">
        <f>"L001-902303751"=S574</f>
        <v/>
      </c>
      <c r="P574">
        <f>G574-U574</f>
        <v/>
      </c>
      <c r="Q574" s="35" t="n">
        <v>45348</v>
      </c>
      <c r="R574" t="inlineStr"/>
      <c r="S574" t="inlineStr">
        <is>
          <t>L001-107032791</t>
        </is>
      </c>
      <c r="T574" t="inlineStr">
        <is>
          <t>នីបផន អិចប្រេស (ខេមបូឌា) ខូ អិលធីឌី</t>
        </is>
      </c>
      <c r="U574" t="n">
        <v>0</v>
      </c>
      <c r="V574" t="n">
        <v>0</v>
      </c>
    </row>
    <row r="575">
      <c r="A575" t="n">
        <v>574</v>
      </c>
      <c r="B575" t="inlineStr">
        <is>
          <t>Export Custom Clearance</t>
        </is>
      </c>
      <c r="C575" t="inlineStr">
        <is>
          <t>អ៊ីឃ្យូឡាញ វើលវ៉ាយដ៍ ឡូជីស្ទីក</t>
        </is>
      </c>
      <c r="D575" t="inlineStr">
        <is>
          <t>K003-901635943</t>
        </is>
      </c>
      <c r="E575" t="inlineStr">
        <is>
          <t>PPTI24/002496</t>
        </is>
      </c>
      <c r="F575" t="inlineStr">
        <is>
          <t>20-05-2024</t>
        </is>
      </c>
      <c r="G575" t="n">
        <v>65232</v>
      </c>
      <c r="I575">
        <f>G575</f>
        <v/>
      </c>
      <c r="K575">
        <f>I575-G575</f>
        <v/>
      </c>
      <c r="M575">
        <f>R575=E575</f>
        <v/>
      </c>
      <c r="N575">
        <f>AND(MONTH(F575)=MONTH(Q575), YEAR(F575)=YEAR(Q575))</f>
        <v/>
      </c>
      <c r="O575">
        <f>"L001-902303751"=S575</f>
        <v/>
      </c>
      <c r="P575">
        <f>G575-U575</f>
        <v/>
      </c>
      <c r="Q575" s="35" t="n">
        <v>45342</v>
      </c>
      <c r="R575" t="n">
        <v>83986</v>
      </c>
      <c r="S575" t="inlineStr">
        <is>
          <t>K005-901805913</t>
        </is>
      </c>
      <c r="T575" t="inlineStr">
        <is>
          <t>ស្តារ ខង់ខដ (ខេមបូឌា) ឯ.ក</t>
        </is>
      </c>
      <c r="U575" t="n">
        <v>83986</v>
      </c>
      <c r="V575" t="n">
        <v>0</v>
      </c>
    </row>
    <row r="576">
      <c r="A576" t="n">
        <v>575</v>
      </c>
      <c r="B576" t="inlineStr">
        <is>
          <t>Non Woven Interlining</t>
        </is>
      </c>
      <c r="C576" t="inlineStr">
        <is>
          <t>ដេលី ហ្គាមេន អេកសេសឺរី</t>
        </is>
      </c>
      <c r="D576" t="inlineStr">
        <is>
          <t>L001-108012794</t>
        </is>
      </c>
      <c r="E576" t="inlineStr">
        <is>
          <t>00208</t>
        </is>
      </c>
      <c r="F576" t="inlineStr">
        <is>
          <t>31-05-2024</t>
        </is>
      </c>
      <c r="G576" t="n">
        <v>985594</v>
      </c>
      <c r="I576">
        <f>G576</f>
        <v/>
      </c>
      <c r="K576">
        <f>I576-G576</f>
        <v/>
      </c>
      <c r="M576">
        <f>R576=E576</f>
        <v/>
      </c>
      <c r="N576">
        <f>AND(MONTH(F576)=MONTH(Q576), YEAR(F576)=YEAR(Q576))</f>
        <v/>
      </c>
      <c r="O576">
        <f>"L001-902303751"=S576</f>
        <v/>
      </c>
      <c r="P576">
        <f>G576-U576</f>
        <v/>
      </c>
      <c r="Q576" s="35" t="n">
        <v>45332</v>
      </c>
      <c r="R576" t="inlineStr"/>
      <c r="S576" t="inlineStr">
        <is>
          <t>K005-100059945</t>
        </is>
      </c>
      <c r="T576" t="inlineStr">
        <is>
          <t>អ៊ែតវ៉ានស៍ គ្លរី ឡូជីស្ទីក (ខេមបូឌា) (អេ ជី អិល)</t>
        </is>
      </c>
      <c r="U576" t="n">
        <v>0</v>
      </c>
      <c r="V576" t="n">
        <v>0</v>
      </c>
    </row>
    <row r="577">
      <c r="A577" t="n">
        <v>576</v>
      </c>
      <c r="B577" t="inlineStr">
        <is>
          <t>Monthly Tax Service for April 2024</t>
        </is>
      </c>
      <c r="C577" t="inlineStr">
        <is>
          <t>ខេឌី ខនសាល់ធេន ឯ.ក</t>
        </is>
      </c>
      <c r="D577" t="inlineStr">
        <is>
          <t>K005-901704277</t>
        </is>
      </c>
      <c r="E577" t="inlineStr">
        <is>
          <t>20240000601</t>
        </is>
      </c>
      <c r="F577" t="inlineStr">
        <is>
          <t>09-05-2024</t>
        </is>
      </c>
      <c r="G577" t="n">
        <v>101900</v>
      </c>
      <c r="I577">
        <f>G577</f>
        <v/>
      </c>
      <c r="K577">
        <f>I577-G577</f>
        <v/>
      </c>
      <c r="M577">
        <f>R577=E577</f>
        <v/>
      </c>
      <c r="N577">
        <f>AND(MONTH(F577)=MONTH(Q577), YEAR(F577)=YEAR(Q577))</f>
        <v/>
      </c>
      <c r="O577">
        <f>"L001-902303751"=S577</f>
        <v/>
      </c>
      <c r="P577">
        <f>G577-U577</f>
        <v/>
      </c>
      <c r="Q577" s="35" t="n">
        <v>45327</v>
      </c>
      <c r="R577" t="inlineStr"/>
      <c r="S577" t="inlineStr">
        <is>
          <t>L001-107041723</t>
        </is>
      </c>
      <c r="T577" t="inlineStr">
        <is>
          <t>ឌីប៊ី សេនឃើរ (ខេមបូឌា) លីមីធីត</t>
        </is>
      </c>
      <c r="U577" t="n">
        <v>0</v>
      </c>
      <c r="V577" t="n">
        <v>0</v>
      </c>
    </row>
    <row r="578">
      <c r="A578" t="n">
        <v>577</v>
      </c>
      <c r="B578" t="inlineStr">
        <is>
          <t>Service Fee</t>
        </is>
      </c>
      <c r="C578" t="inlineStr">
        <is>
          <t>ប្យួរ៉ូ វេរីតាស (ខេមបូឌា) លីមីធីត</t>
        </is>
      </c>
      <c r="D578" t="inlineStr">
        <is>
          <t>L001-107024462</t>
        </is>
      </c>
      <c r="E578" t="inlineStr">
        <is>
          <t>59017464</t>
        </is>
      </c>
      <c r="F578" t="inlineStr">
        <is>
          <t>03-05-2024</t>
        </is>
      </c>
      <c r="G578" t="n">
        <v>132851</v>
      </c>
      <c r="I578">
        <f>G578</f>
        <v/>
      </c>
      <c r="K578">
        <f>I578-G578</f>
        <v/>
      </c>
      <c r="M578">
        <f>R578=E578</f>
        <v/>
      </c>
      <c r="N578">
        <f>AND(MONTH(F578)=MONTH(Q578), YEAR(F578)=YEAR(Q578))</f>
        <v/>
      </c>
      <c r="O578">
        <f>"L001-902303751"=S578</f>
        <v/>
      </c>
      <c r="P578">
        <f>G578-U578</f>
        <v/>
      </c>
      <c r="Q578" s="35" t="n">
        <v>45348</v>
      </c>
      <c r="R578" t="inlineStr"/>
      <c r="S578" t="inlineStr">
        <is>
          <t>K002-901800477</t>
        </is>
      </c>
      <c r="T578" t="inlineStr">
        <is>
          <t>អាយធីអាយ អ៊ិនធើណេសិនណល ត្រេនស័្ពរថេសិន (ខេមបូឌា) ឯ.ក</t>
        </is>
      </c>
      <c r="U578" t="n">
        <v>0</v>
      </c>
      <c r="V578" t="n">
        <v>0</v>
      </c>
    </row>
    <row r="579">
      <c r="A579" t="n">
        <v>578</v>
      </c>
      <c r="B579" t="inlineStr">
        <is>
          <t>Monthly Charge of Photo Copies Rental from 06/04/2024-06/05/2024</t>
        </is>
      </c>
      <c r="C579" t="inlineStr">
        <is>
          <t>វី.អាយ.អេស ខភៀ ឯ.ក</t>
        </is>
      </c>
      <c r="D579" t="inlineStr">
        <is>
          <t>K007-901705195</t>
        </is>
      </c>
      <c r="E579" t="inlineStr">
        <is>
          <t>RNT240524</t>
        </is>
      </c>
      <c r="F579" t="inlineStr">
        <is>
          <t>06-05-2024</t>
        </is>
      </c>
      <c r="G579" t="n">
        <v>26481</v>
      </c>
      <c r="I579">
        <f>G579</f>
        <v/>
      </c>
      <c r="K579">
        <f>I579-G579</f>
        <v/>
      </c>
      <c r="M579">
        <f>R579=E579</f>
        <v/>
      </c>
      <c r="N579">
        <f>AND(MONTH(F579)=MONTH(Q579), YEAR(F579)=YEAR(Q579))</f>
        <v/>
      </c>
      <c r="O579">
        <f>"L001-902303751"=S579</f>
        <v/>
      </c>
      <c r="P579">
        <f>G579-U579</f>
        <v/>
      </c>
      <c r="Q579" s="35" t="n">
        <v>45348</v>
      </c>
      <c r="R579" t="n">
        <v>81500</v>
      </c>
      <c r="S579" t="inlineStr">
        <is>
          <t>K002-901800477</t>
        </is>
      </c>
      <c r="T579" t="inlineStr">
        <is>
          <t>អាយធីអាយ អ៊ិនធើណេសិនណល ត្រេនស័្ពរថេសិន (ខេមបូឌា) ឯ.ក</t>
        </is>
      </c>
      <c r="U579" t="n">
        <v>81500</v>
      </c>
      <c r="V579" t="n">
        <v>0</v>
      </c>
    </row>
    <row r="580">
      <c r="A580" t="n">
        <v>579</v>
      </c>
      <c r="B580" t="inlineStr">
        <is>
          <t>Monthly Charge of Photo Copies Rental from 06/04/2024-06/05/2024</t>
        </is>
      </c>
      <c r="C580" t="inlineStr">
        <is>
          <t>វី.អាយ.អេស ខភៀ ឯ.ក</t>
        </is>
      </c>
      <c r="D580" t="inlineStr">
        <is>
          <t>K007-901705195</t>
        </is>
      </c>
      <c r="E580" t="inlineStr">
        <is>
          <t>RNT240525</t>
        </is>
      </c>
      <c r="F580" t="inlineStr">
        <is>
          <t>06-05-2024</t>
        </is>
      </c>
      <c r="G580" t="n">
        <v>28518</v>
      </c>
      <c r="I580">
        <f>G580</f>
        <v/>
      </c>
      <c r="K580">
        <f>I580-G580</f>
        <v/>
      </c>
      <c r="M580">
        <f>R580=E580</f>
        <v/>
      </c>
      <c r="N580">
        <f>AND(MONTH(F580)=MONTH(Q580), YEAR(F580)=YEAR(Q580))</f>
        <v/>
      </c>
      <c r="O580">
        <f>"L001-902303751"=S580</f>
        <v/>
      </c>
      <c r="P580">
        <f>G580-U580</f>
        <v/>
      </c>
      <c r="Q580" s="35" t="n">
        <v>45342</v>
      </c>
      <c r="R580" t="inlineStr"/>
      <c r="S580" t="inlineStr">
        <is>
          <t>L001-100045995</t>
        </is>
      </c>
      <c r="T580" t="inlineStr">
        <is>
          <t>ឌីអេចអិល ឡូជីស្ទីក (ខេមបូឌា)</t>
        </is>
      </c>
      <c r="U580" t="n">
        <v>0</v>
      </c>
      <c r="V580" t="n">
        <v>0</v>
      </c>
    </row>
    <row r="581">
      <c r="A581" t="n">
        <v>580</v>
      </c>
      <c r="B581" t="inlineStr">
        <is>
          <t>Monthly Charge of Photo Copies Rental from 06/04/2024-06/05/2024</t>
        </is>
      </c>
      <c r="C581" t="inlineStr">
        <is>
          <t>វី.អាយ.អេស ខភៀ ឯ.ក</t>
        </is>
      </c>
      <c r="D581" t="inlineStr">
        <is>
          <t>K007-901705195</t>
        </is>
      </c>
      <c r="E581" t="inlineStr">
        <is>
          <t>RNT240527</t>
        </is>
      </c>
      <c r="F581" t="inlineStr">
        <is>
          <t>06-05-2024</t>
        </is>
      </c>
      <c r="G581" t="n">
        <v>28518</v>
      </c>
      <c r="I581">
        <f>G581</f>
        <v/>
      </c>
      <c r="K581">
        <f>I581-G581</f>
        <v/>
      </c>
      <c r="M581">
        <f>R581=E581</f>
        <v/>
      </c>
      <c r="N581">
        <f>AND(MONTH(F581)=MONTH(Q581), YEAR(F581)=YEAR(Q581))</f>
        <v/>
      </c>
      <c r="O581">
        <f>"L001-902303751"=S581</f>
        <v/>
      </c>
      <c r="P581">
        <f>G581-U581</f>
        <v/>
      </c>
      <c r="Q581" s="35" t="n">
        <v>45332</v>
      </c>
      <c r="R581" t="inlineStr"/>
      <c r="S581" t="inlineStr">
        <is>
          <t>K005-100059945</t>
        </is>
      </c>
      <c r="T581" t="inlineStr">
        <is>
          <t>អ៊ែតវ៉ានស៍ គ្លរី ឡូជីស្ទីក (ខេមបូឌា) (អេ ជី អិល)</t>
        </is>
      </c>
      <c r="U581" t="n">
        <v>0</v>
      </c>
      <c r="V581" t="n">
        <v>0</v>
      </c>
    </row>
    <row r="582">
      <c r="A582" t="n">
        <v>581</v>
      </c>
      <c r="B582" t="inlineStr">
        <is>
          <t>Customs Clearance Fee and Trucking Fee</t>
        </is>
      </c>
      <c r="C582" t="inlineStr">
        <is>
          <t>ត្រាយអ៊ែងហ្គល ឡូជីស្ទីក (ខេមបូឌា) ឯ.ក</t>
        </is>
      </c>
      <c r="D582" t="inlineStr">
        <is>
          <t>K010-902101743</t>
        </is>
      </c>
      <c r="E582" t="inlineStr">
        <is>
          <t>TAG-24-00332</t>
        </is>
      </c>
      <c r="F582" t="inlineStr">
        <is>
          <t>15-05-2024</t>
        </is>
      </c>
      <c r="G582" t="n">
        <v>28553</v>
      </c>
      <c r="I582">
        <f>G582</f>
        <v/>
      </c>
      <c r="K582">
        <f>I582-G582</f>
        <v/>
      </c>
      <c r="M582">
        <f>R582=E582</f>
        <v/>
      </c>
      <c r="N582">
        <f>AND(MONTH(F582)=MONTH(Q582), YEAR(F582)=YEAR(Q582))</f>
        <v/>
      </c>
      <c r="O582">
        <f>"L001-902303751"=S582</f>
        <v/>
      </c>
      <c r="P582">
        <f>G582-U582</f>
        <v/>
      </c>
      <c r="Q582" s="35" t="n">
        <v>45337</v>
      </c>
      <c r="R582" t="inlineStr"/>
      <c r="S582" t="inlineStr">
        <is>
          <t>L001-100011888</t>
        </is>
      </c>
      <c r="T582" t="inlineStr">
        <is>
          <t>ត្រេន ស្តារ ហ្រេ្វត</t>
        </is>
      </c>
      <c r="U582" t="n">
        <v>0</v>
      </c>
      <c r="V582" t="n">
        <v>0</v>
      </c>
    </row>
    <row r="583">
      <c r="A583" t="n">
        <v>582</v>
      </c>
      <c r="B583" t="inlineStr">
        <is>
          <t>Customs Clearance Fee and Trucking Fee</t>
        </is>
      </c>
      <c r="C583" t="inlineStr">
        <is>
          <t>ត្រាយអ៊ែងហ្គល ឡូជីស្ទីក (ខេមបូឌា) ឯ.ក</t>
        </is>
      </c>
      <c r="D583" t="inlineStr">
        <is>
          <t>K010-902101743</t>
        </is>
      </c>
      <c r="E583" t="inlineStr">
        <is>
          <t>TAG-24-00375</t>
        </is>
      </c>
      <c r="F583" t="inlineStr">
        <is>
          <t>31-05-2024</t>
        </is>
      </c>
      <c r="G583" t="n">
        <v>28651</v>
      </c>
      <c r="I583">
        <f>G583</f>
        <v/>
      </c>
      <c r="K583">
        <f>I583-G583</f>
        <v/>
      </c>
      <c r="M583">
        <f>R583=E583</f>
        <v/>
      </c>
      <c r="N583">
        <f>AND(MONTH(F583)=MONTH(Q583), YEAR(F583)=YEAR(Q583))</f>
        <v/>
      </c>
      <c r="O583">
        <f>"L001-902303751"=S583</f>
        <v/>
      </c>
      <c r="P583">
        <f>G583-U583</f>
        <v/>
      </c>
      <c r="Q583" s="35" t="n">
        <v>45327</v>
      </c>
      <c r="R583" t="inlineStr"/>
      <c r="S583" t="inlineStr">
        <is>
          <t>L001-107032791</t>
        </is>
      </c>
      <c r="T583" t="inlineStr">
        <is>
          <t>នីបផន អិចប្រេស (ខេមបូឌា) ខូ អិលធីឌី</t>
        </is>
      </c>
      <c r="U583" t="n">
        <v>0</v>
      </c>
      <c r="V583" t="n">
        <v>0</v>
      </c>
    </row>
    <row r="584">
      <c r="A584" t="n">
        <v>583</v>
      </c>
      <c r="B584" t="inlineStr">
        <is>
          <t>Customs Clearance Fee and Trucking Fee</t>
        </is>
      </c>
      <c r="C584" t="inlineStr">
        <is>
          <t>ត្រាយអ៊ែងហ្គល ឡូជីស្ទីក (ខេមបូឌា) ឯ.ក</t>
        </is>
      </c>
      <c r="D584" t="inlineStr">
        <is>
          <t>K010-902101743</t>
        </is>
      </c>
      <c r="E584" t="inlineStr">
        <is>
          <t>TAG-24-00339</t>
        </is>
      </c>
      <c r="F584" t="inlineStr">
        <is>
          <t>17-05-2024</t>
        </is>
      </c>
      <c r="G584" t="n">
        <v>28546</v>
      </c>
      <c r="I584">
        <f>G584</f>
        <v/>
      </c>
      <c r="K584">
        <f>I584-G584</f>
        <v/>
      </c>
      <c r="M584">
        <f>R584=E584</f>
        <v/>
      </c>
      <c r="N584">
        <f>AND(MONTH(F584)=MONTH(Q584), YEAR(F584)=YEAR(Q584))</f>
        <v/>
      </c>
      <c r="O584">
        <f>"L001-902303751"=S584</f>
        <v/>
      </c>
      <c r="P584">
        <f>G584-U584</f>
        <v/>
      </c>
      <c r="Q584" s="35" t="n">
        <v>45348</v>
      </c>
      <c r="R584" t="n">
        <v>176040</v>
      </c>
      <c r="S584" t="inlineStr">
        <is>
          <t>K005-901805913</t>
        </is>
      </c>
      <c r="T584" t="inlineStr">
        <is>
          <t>ស្តារ ខង់ខដ (ខេមបូឌា) ឯ.ក</t>
        </is>
      </c>
      <c r="U584" t="n">
        <v>176040</v>
      </c>
      <c r="V584" t="n">
        <v>0</v>
      </c>
    </row>
    <row r="585">
      <c r="A585" t="n">
        <v>584</v>
      </c>
      <c r="B585" t="inlineStr">
        <is>
          <t>Warehouse Fee</t>
        </is>
      </c>
      <c r="C585" t="inlineStr">
        <is>
          <t>ហាន​ &amp; ជុន ត្រេនស្ព័ត ខូ អិលធីឌី</t>
        </is>
      </c>
      <c r="D585" t="inlineStr">
        <is>
          <t>L001-104016647</t>
        </is>
      </c>
      <c r="E585" t="inlineStr">
        <is>
          <t>HJ24-1454</t>
        </is>
      </c>
      <c r="F585" t="inlineStr">
        <is>
          <t>16-05-2024</t>
        </is>
      </c>
      <c r="G585" t="n">
        <v>4077</v>
      </c>
      <c r="I585">
        <f>G585</f>
        <v/>
      </c>
      <c r="K585">
        <f>I585-G585</f>
        <v/>
      </c>
      <c r="M585">
        <f>R585=E585</f>
        <v/>
      </c>
      <c r="N585">
        <f>AND(MONTH(F585)=MONTH(Q585), YEAR(F585)=YEAR(Q585))</f>
        <v/>
      </c>
      <c r="O585">
        <f>"L001-902303751"=S585</f>
        <v/>
      </c>
      <c r="P585">
        <f>G585-U585</f>
        <v/>
      </c>
      <c r="Q585" s="35" t="n">
        <v>45348</v>
      </c>
      <c r="R585" t="n">
        <v>112470</v>
      </c>
      <c r="S585" t="inlineStr">
        <is>
          <t>L001-100044956</t>
        </is>
      </c>
      <c r="T585" t="inlineStr">
        <is>
          <t>ជី លីង អិចប្រេស ឡូជីស្ទីក (ខេមបូឌា) លីមីធីត</t>
        </is>
      </c>
      <c r="U585" t="n">
        <v>112470</v>
      </c>
      <c r="V585" t="n">
        <v>0</v>
      </c>
    </row>
    <row r="586">
      <c r="A586" t="n">
        <v>585</v>
      </c>
      <c r="B586" t="inlineStr">
        <is>
          <t>Import Shipment Expense</t>
        </is>
      </c>
      <c r="C586" t="inlineStr">
        <is>
          <t>អូរៀនថល ឡូជីស្ទីក &amp; ឌីស្ទ្រីប៊្យូសិន (ខេមបូឌា)</t>
        </is>
      </c>
      <c r="D586" t="inlineStr">
        <is>
          <t>L001-103007369</t>
        </is>
      </c>
      <c r="E586" t="inlineStr">
        <is>
          <t>24-4504</t>
        </is>
      </c>
      <c r="F586" t="inlineStr">
        <is>
          <t>13-05-2024</t>
        </is>
      </c>
      <c r="G586" t="n">
        <v>53001</v>
      </c>
      <c r="I586">
        <f>G586</f>
        <v/>
      </c>
      <c r="K586">
        <f>I586-G586</f>
        <v/>
      </c>
      <c r="M586">
        <f>R586=E586</f>
        <v/>
      </c>
      <c r="N586">
        <f>AND(MONTH(F586)=MONTH(Q586), YEAR(F586)=YEAR(Q586))</f>
        <v/>
      </c>
      <c r="O586">
        <f>"L001-902303751"=S586</f>
        <v/>
      </c>
      <c r="P586">
        <f>G586-U586</f>
        <v/>
      </c>
      <c r="Q586" s="35" t="n">
        <v>45342</v>
      </c>
      <c r="R586" t="n">
        <v>204665</v>
      </c>
      <c r="S586" t="inlineStr">
        <is>
          <t>L001-100044956</t>
        </is>
      </c>
      <c r="T586" t="inlineStr">
        <is>
          <t>ជី លីង អិចប្រេស ឡូជីស្ទីក (ខេមបូឌា) លីមីធីត</t>
        </is>
      </c>
      <c r="U586" t="n">
        <v>204665</v>
      </c>
      <c r="V586" t="n">
        <v>0</v>
      </c>
    </row>
    <row r="587">
      <c r="A587" t="n">
        <v>586</v>
      </c>
      <c r="B587" t="inlineStr">
        <is>
          <t>Customs Clearance Fee</t>
        </is>
      </c>
      <c r="C587" t="inlineStr">
        <is>
          <t>ត្រាយអ៊ែងហ្គល ឡូជីស្ទីក (ខេមបូឌា) ឯ.ក</t>
        </is>
      </c>
      <c r="D587" t="inlineStr">
        <is>
          <t>K010-902101743</t>
        </is>
      </c>
      <c r="E587" t="inlineStr">
        <is>
          <t>TAG-24-00350</t>
        </is>
      </c>
      <c r="F587" t="inlineStr">
        <is>
          <t>20-05-2024</t>
        </is>
      </c>
      <c r="G587" t="n">
        <v>8154</v>
      </c>
      <c r="I587">
        <f>G587</f>
        <v/>
      </c>
      <c r="K587">
        <f>I587-G587</f>
        <v/>
      </c>
      <c r="M587">
        <f>R587=E587</f>
        <v/>
      </c>
      <c r="N587">
        <f>AND(MONTH(F587)=MONTH(Q587), YEAR(F587)=YEAR(Q587))</f>
        <v/>
      </c>
      <c r="O587">
        <f>"L001-902303751"=S587</f>
        <v/>
      </c>
      <c r="P587">
        <f>G587-U587</f>
        <v/>
      </c>
      <c r="Q587" s="35" t="n">
        <v>45345</v>
      </c>
      <c r="R587" t="n">
        <v>110025</v>
      </c>
      <c r="S587" t="inlineStr">
        <is>
          <t>K005-100059945</t>
        </is>
      </c>
      <c r="T587" t="inlineStr">
        <is>
          <t>អ៊ែតវ៉ានស៍ គ្លរី ឡូជីស្ទីក (ខេមបូឌា) (អេ ជី អិល)</t>
        </is>
      </c>
      <c r="U587" t="n">
        <v>110025</v>
      </c>
      <c r="V587" t="n">
        <v>0</v>
      </c>
    </row>
    <row r="588">
      <c r="A588" t="n">
        <v>587</v>
      </c>
      <c r="B588" t="inlineStr">
        <is>
          <t>Lift-On &amp; Lift-Off</t>
        </is>
      </c>
      <c r="C588" t="inlineStr">
        <is>
          <t>កំពង់ផែស្វយ័តក្រុងព្រះសីហនុ</t>
        </is>
      </c>
      <c r="D588" t="inlineStr">
        <is>
          <t>L001-100044638</t>
        </is>
      </c>
      <c r="E588" t="inlineStr">
        <is>
          <t>093474</t>
        </is>
      </c>
      <c r="F588" t="inlineStr">
        <is>
          <t>18-05-2024</t>
        </is>
      </c>
      <c r="G588" t="n">
        <v>23245</v>
      </c>
      <c r="I588">
        <f>G588</f>
        <v/>
      </c>
      <c r="K588">
        <f>I588-G588</f>
        <v/>
      </c>
      <c r="M588">
        <f>R588=E588</f>
        <v/>
      </c>
      <c r="N588">
        <f>AND(MONTH(F588)=MONTH(Q588), YEAR(F588)=YEAR(Q588))</f>
        <v/>
      </c>
      <c r="O588">
        <f>"L001-902303751"=S588</f>
        <v/>
      </c>
      <c r="P588">
        <f>G588-U588</f>
        <v/>
      </c>
      <c r="Q588" s="35" t="n">
        <v>45334</v>
      </c>
      <c r="R588" t="n">
        <v>96241</v>
      </c>
      <c r="S588" t="inlineStr">
        <is>
          <t>L001-100045340</t>
        </is>
      </c>
      <c r="T588" t="inlineStr">
        <is>
          <t xml:space="preserve">ស៊ីវ៉ា អ៊ែរ អ៊ែន អូសៀន (ខេមបូឌា) ឯ.ក </t>
        </is>
      </c>
      <c r="U588" t="n">
        <v>96241</v>
      </c>
      <c r="V588" t="n">
        <v>0</v>
      </c>
    </row>
    <row r="589">
      <c r="A589" t="n">
        <v>588</v>
      </c>
      <c r="B589" t="inlineStr">
        <is>
          <t>Import Shipment Expense</t>
        </is>
      </c>
      <c r="C589" t="inlineStr">
        <is>
          <t>ខេអិលអិន ហ្វ្រេត (ខេមបូឌា) ឯ.ក</t>
        </is>
      </c>
      <c r="D589" t="inlineStr">
        <is>
          <t>L001-100074669</t>
        </is>
      </c>
      <c r="E589" t="inlineStr">
        <is>
          <t>IVO07572</t>
        </is>
      </c>
      <c r="F589" t="inlineStr">
        <is>
          <t>23-05-2024</t>
        </is>
      </c>
      <c r="G589" t="n">
        <v>104434</v>
      </c>
      <c r="I589">
        <f>G589</f>
        <v/>
      </c>
      <c r="K589">
        <f>I589-G589</f>
        <v/>
      </c>
      <c r="M589">
        <f>R589=E589</f>
        <v/>
      </c>
      <c r="N589">
        <f>AND(MONTH(F589)=MONTH(Q589), YEAR(F589)=YEAR(Q589))</f>
        <v/>
      </c>
      <c r="O589">
        <f>"L001-902303751"=S589</f>
        <v/>
      </c>
      <c r="P589">
        <f>G589-U589</f>
        <v/>
      </c>
      <c r="Q589" s="35" t="n">
        <v>45348</v>
      </c>
      <c r="R589" t="n">
        <v>83945</v>
      </c>
      <c r="S589" t="inlineStr">
        <is>
          <t>K003-901635943</t>
        </is>
      </c>
      <c r="T589" t="inlineStr">
        <is>
          <t>អ៊ីឃ្យូឡាញ វើលវ៉ាយដ៍ ឡូជីស្ទីក</t>
        </is>
      </c>
      <c r="U589" t="n">
        <v>83945</v>
      </c>
      <c r="V589" t="n">
        <v>0</v>
      </c>
    </row>
    <row r="590">
      <c r="A590" t="n">
        <v>589</v>
      </c>
      <c r="B590" t="inlineStr">
        <is>
          <t>Customs Clearance Fee and Trucking Fee</t>
        </is>
      </c>
      <c r="C590" t="inlineStr">
        <is>
          <t>ត្រាយអ៊ែងហ្គល ឡូជីស្ទីក (ខេមបូឌា) ឯ.ក</t>
        </is>
      </c>
      <c r="D590" t="inlineStr">
        <is>
          <t>K010-902101743</t>
        </is>
      </c>
      <c r="E590" t="inlineStr">
        <is>
          <t>TAG-24-00356</t>
        </is>
      </c>
      <c r="F590" t="inlineStr">
        <is>
          <t>21-05-2024</t>
        </is>
      </c>
      <c r="G590" t="n">
        <v>69309</v>
      </c>
      <c r="I590">
        <f>G590</f>
        <v/>
      </c>
      <c r="K590">
        <f>I590-G590</f>
        <v/>
      </c>
      <c r="M590">
        <f>R590=E590</f>
        <v/>
      </c>
      <c r="N590">
        <f>AND(MONTH(F590)=MONTH(Q590), YEAR(F590)=YEAR(Q590))</f>
        <v/>
      </c>
      <c r="O590">
        <f>"L001-902303751"=S590</f>
        <v/>
      </c>
      <c r="P590">
        <f>G590-U590</f>
        <v/>
      </c>
      <c r="Q590" s="35" t="n">
        <v>45339</v>
      </c>
      <c r="R590" t="n">
        <v>2743963</v>
      </c>
      <c r="S590" t="inlineStr">
        <is>
          <t>K004-105012505</t>
        </is>
      </c>
      <c r="T590" t="inlineStr">
        <is>
          <t>អេស៊ាន ហ្វ្រេត (ខេមបូឌា)</t>
        </is>
      </c>
      <c r="U590" t="n">
        <v>2743963</v>
      </c>
      <c r="V590" t="n">
        <v>0</v>
      </c>
    </row>
    <row r="591">
      <c r="A591" t="n">
        <v>590</v>
      </c>
      <c r="B591" t="inlineStr">
        <is>
          <t>Lift-On &amp; Gate Fee Charge</t>
        </is>
      </c>
      <c r="C591" t="inlineStr">
        <is>
          <t>កំពង់ផែស្វយ័តភ្នំពេញ "ក.ស.ភ"</t>
        </is>
      </c>
      <c r="D591" t="inlineStr">
        <is>
          <t>L001-100044999</t>
        </is>
      </c>
      <c r="E591" t="inlineStr">
        <is>
          <t>INV20240528878</t>
        </is>
      </c>
      <c r="F591" t="inlineStr">
        <is>
          <t>21-05-2024</t>
        </is>
      </c>
      <c r="G591" t="n">
        <v>28539</v>
      </c>
      <c r="I591">
        <f>G591</f>
        <v/>
      </c>
      <c r="K591">
        <f>I591-G591</f>
        <v/>
      </c>
      <c r="M591">
        <f>R591=E591</f>
        <v/>
      </c>
      <c r="N591">
        <f>AND(MONTH(F591)=MONTH(Q591), YEAR(F591)=YEAR(Q591))</f>
        <v/>
      </c>
      <c r="O591">
        <f>"L001-902303751"=S591</f>
        <v/>
      </c>
      <c r="P591">
        <f>G591-U591</f>
        <v/>
      </c>
      <c r="Q591" s="35" t="n">
        <v>45342</v>
      </c>
      <c r="R591" t="n">
        <v>81540</v>
      </c>
      <c r="S591" t="inlineStr">
        <is>
          <t>L001-100045995</t>
        </is>
      </c>
      <c r="T591" t="inlineStr">
        <is>
          <t>ឌីអេចអិល ឡូជីស្ទីក (ខេមបូឌា)</t>
        </is>
      </c>
      <c r="U591" t="n">
        <v>81540</v>
      </c>
      <c r="V591" t="n">
        <v>0</v>
      </c>
    </row>
    <row r="592">
      <c r="A592" t="n">
        <v>591</v>
      </c>
      <c r="B592" t="inlineStr">
        <is>
          <t>THC, CIC, EMF and Document Charge</t>
        </is>
      </c>
      <c r="C592" t="inlineStr">
        <is>
          <t>ហេកធ័រ ត្រេនស្ព័រថេសិន (ខេមបូឌា) ឯ.ក</t>
        </is>
      </c>
      <c r="D592" t="inlineStr">
        <is>
          <t>K002-901900264</t>
        </is>
      </c>
      <c r="E592" t="inlineStr">
        <is>
          <t>24001510</t>
        </is>
      </c>
      <c r="F592" t="inlineStr">
        <is>
          <t>17-05-2024</t>
        </is>
      </c>
      <c r="G592" t="n">
        <v>144769</v>
      </c>
      <c r="I592">
        <f>G592</f>
        <v/>
      </c>
      <c r="K592">
        <f>I592-G592</f>
        <v/>
      </c>
      <c r="M592">
        <f>R592=E592</f>
        <v/>
      </c>
      <c r="N592">
        <f>AND(MONTH(F592)=MONTH(Q592), YEAR(F592)=YEAR(Q592))</f>
        <v/>
      </c>
      <c r="O592">
        <f>"L001-902303751"=S592</f>
        <v/>
      </c>
      <c r="P592">
        <f>G592-U592</f>
        <v/>
      </c>
      <c r="Q592" s="35" t="n">
        <v>45327</v>
      </c>
      <c r="R592" t="inlineStr"/>
      <c r="S592" t="inlineStr">
        <is>
          <t>K003-901635943</t>
        </is>
      </c>
      <c r="T592" t="inlineStr">
        <is>
          <t>អ៊ីឃ្យូឡាញ វើលវ៉ាយដ៍ ឡូជីស្ទីក</t>
        </is>
      </c>
      <c r="U592" t="n">
        <v>0</v>
      </c>
      <c r="V592" t="n">
        <v>0</v>
      </c>
    </row>
    <row r="593">
      <c r="A593" t="n">
        <v>592</v>
      </c>
      <c r="B593" t="inlineStr">
        <is>
          <t>Customs Clearance Fee and Trucking Fee</t>
        </is>
      </c>
      <c r="C593" t="inlineStr">
        <is>
          <t>ត្រាយអ៊ែងហ្គល ឡូជីស្ទីក (ខេមបូឌា) ឯ.ក</t>
        </is>
      </c>
      <c r="D593" t="inlineStr">
        <is>
          <t>K010-902101743</t>
        </is>
      </c>
      <c r="E593" t="inlineStr">
        <is>
          <t>TAG-24-00358</t>
        </is>
      </c>
      <c r="F593" t="inlineStr">
        <is>
          <t>23-05-2024</t>
        </is>
      </c>
      <c r="G593" t="n">
        <v>28539</v>
      </c>
      <c r="I593">
        <f>G593</f>
        <v/>
      </c>
      <c r="K593">
        <f>I593-G593</f>
        <v/>
      </c>
      <c r="M593">
        <f>R593=E593</f>
        <v/>
      </c>
      <c r="N593">
        <f>AND(MONTH(F593)=MONTH(Q593), YEAR(F593)=YEAR(Q593))</f>
        <v/>
      </c>
      <c r="O593">
        <f>"L001-902303751"=S593</f>
        <v/>
      </c>
      <c r="P593">
        <f>G593-U593</f>
        <v/>
      </c>
      <c r="Q593" s="35" t="n">
        <v>45328</v>
      </c>
      <c r="R593" t="n">
        <v>124062</v>
      </c>
      <c r="S593" t="inlineStr">
        <is>
          <t>L001-103007369</t>
        </is>
      </c>
      <c r="T593" t="inlineStr">
        <is>
          <t>អូរៀនថល ឡូជីស្ទីក &amp; ឌីស្ទ្រីប៊្យូសិន (ខេមបូឌា)</t>
        </is>
      </c>
      <c r="U593" t="n">
        <v>124062</v>
      </c>
      <c r="V593" t="n">
        <v>0</v>
      </c>
    </row>
    <row r="594">
      <c r="A594" t="n">
        <v>593</v>
      </c>
      <c r="B594" t="inlineStr">
        <is>
          <t>Import Shipment Expense</t>
        </is>
      </c>
      <c r="C594" t="inlineStr">
        <is>
          <t>ភី.ដាប់បែលយូ. ស្កេនវែល ឡូជីស្ទីក (ខេមបូឌា)</t>
        </is>
      </c>
      <c r="D594" t="inlineStr">
        <is>
          <t>K002-107011379</t>
        </is>
      </c>
      <c r="E594" t="inlineStr">
        <is>
          <t>240500101</t>
        </is>
      </c>
      <c r="F594" t="inlineStr">
        <is>
          <t>20-05-2024</t>
        </is>
      </c>
      <c r="G594" t="n">
        <v>235504</v>
      </c>
      <c r="I594">
        <f>G594</f>
        <v/>
      </c>
      <c r="K594">
        <f>I594-G594</f>
        <v/>
      </c>
      <c r="M594">
        <f>R594=E594</f>
        <v/>
      </c>
      <c r="N594">
        <f>AND(MONTH(F594)=MONTH(Q594), YEAR(F594)=YEAR(Q594))</f>
        <v/>
      </c>
      <c r="O594">
        <f>"L001-902303751"=S594</f>
        <v/>
      </c>
      <c r="P594">
        <f>G594-U594</f>
        <v/>
      </c>
      <c r="Q594" s="35" t="n">
        <v>45327</v>
      </c>
      <c r="R594" t="n">
        <v>110268</v>
      </c>
      <c r="S594" t="inlineStr">
        <is>
          <t>K005-100150195</t>
        </is>
      </c>
      <c r="T594" t="inlineStr">
        <is>
          <t>អេស អ វី ស៊ី ហ្វ្រេត សឺវីស (ខេមបូឌា) ខូ អិលធីឌី</t>
        </is>
      </c>
      <c r="U594" t="n">
        <v>110268</v>
      </c>
      <c r="V594" t="n">
        <v>0</v>
      </c>
    </row>
    <row r="595">
      <c r="A595" t="n">
        <v>594</v>
      </c>
      <c r="B595" t="inlineStr">
        <is>
          <t>Customs Clearance Fee and Trucking Fee</t>
        </is>
      </c>
      <c r="C595" t="inlineStr">
        <is>
          <t>ត្រាយអ៊ែងហ្គល ឡូជីស្ទីក (ខេមបូឌា) ឯ.ក</t>
        </is>
      </c>
      <c r="D595" t="inlineStr">
        <is>
          <t>K010-902101743</t>
        </is>
      </c>
      <c r="E595" t="inlineStr">
        <is>
          <t>TAG-24-00355</t>
        </is>
      </c>
      <c r="F595" t="inlineStr">
        <is>
          <t>21-05-2024</t>
        </is>
      </c>
      <c r="G595" t="n">
        <v>28539</v>
      </c>
      <c r="I595">
        <f>G595</f>
        <v/>
      </c>
      <c r="K595">
        <f>I595-G595</f>
        <v/>
      </c>
      <c r="M595">
        <f>R595=E595</f>
        <v/>
      </c>
      <c r="N595">
        <f>AND(MONTH(F595)=MONTH(Q595), YEAR(F595)=YEAR(Q595))</f>
        <v/>
      </c>
      <c r="O595">
        <f>"L001-902303751"=S595</f>
        <v/>
      </c>
      <c r="P595">
        <f>G595-U595</f>
        <v/>
      </c>
      <c r="Q595" s="35" t="n">
        <v>45327</v>
      </c>
      <c r="R595" t="n">
        <v>110268</v>
      </c>
      <c r="S595" t="inlineStr">
        <is>
          <t>L001-107032791</t>
        </is>
      </c>
      <c r="T595" t="inlineStr">
        <is>
          <t>នីបផន អិចប្រេស (ខេមបូឌា) ខូ អិលធីឌី</t>
        </is>
      </c>
      <c r="U595" t="n">
        <v>110268</v>
      </c>
      <c r="V595" t="n">
        <v>0</v>
      </c>
    </row>
    <row r="596">
      <c r="A596" t="n">
        <v>595</v>
      </c>
      <c r="B596" t="inlineStr">
        <is>
          <t>Cargo Terminal</t>
        </is>
      </c>
      <c r="C596" t="inlineStr">
        <is>
          <t>សូស៊ីយេតេ កុងសេស្យូនែរ ដឺ ឡាអេរ៉ូព័រ</t>
        </is>
      </c>
      <c r="D596" t="inlineStr">
        <is>
          <t>L001-100047300</t>
        </is>
      </c>
      <c r="E596" t="inlineStr">
        <is>
          <t>2400-036946</t>
        </is>
      </c>
      <c r="F596" t="inlineStr">
        <is>
          <t>21-05-2024</t>
        </is>
      </c>
      <c r="G596" t="n">
        <v>1631</v>
      </c>
      <c r="I596">
        <f>G596</f>
        <v/>
      </c>
      <c r="K596">
        <f>I596-G596</f>
        <v/>
      </c>
      <c r="M596">
        <f>R596=E596</f>
        <v/>
      </c>
      <c r="N596">
        <f>AND(MONTH(F596)=MONTH(Q596), YEAR(F596)=YEAR(Q596))</f>
        <v/>
      </c>
      <c r="O596">
        <f>"L001-902303751"=S596</f>
        <v/>
      </c>
      <c r="P596">
        <f>G596-U596</f>
        <v/>
      </c>
      <c r="Q596" s="35" t="n">
        <v>45348</v>
      </c>
      <c r="R596" t="inlineStr"/>
      <c r="S596" t="inlineStr">
        <is>
          <t>K005-901805913</t>
        </is>
      </c>
      <c r="T596" t="inlineStr">
        <is>
          <t>ស្តារ ខង់ខដ (ខេមបូឌា) ឯ.ក</t>
        </is>
      </c>
      <c r="U596" t="n">
        <v>0</v>
      </c>
      <c r="V596" t="n">
        <v>0</v>
      </c>
    </row>
    <row r="597">
      <c r="A597" t="n">
        <v>596</v>
      </c>
      <c r="B597" t="inlineStr">
        <is>
          <t>Document Fee and Agency Fee</t>
        </is>
      </c>
      <c r="C597" t="inlineStr">
        <is>
          <t>ត្រាយអ៊ែងហ្គល ឡូជីស្ទីក (ខេមបូឌា) ឯ.ក</t>
        </is>
      </c>
      <c r="D597" t="inlineStr">
        <is>
          <t>K010-902101743</t>
        </is>
      </c>
      <c r="E597" t="inlineStr">
        <is>
          <t>TAG-24-00344</t>
        </is>
      </c>
      <c r="F597" t="inlineStr">
        <is>
          <t>20-05-2024</t>
        </is>
      </c>
      <c r="G597" t="n">
        <v>32616</v>
      </c>
      <c r="I597">
        <f>G597</f>
        <v/>
      </c>
      <c r="K597">
        <f>I597-G597</f>
        <v/>
      </c>
      <c r="M597">
        <f>R597=E597</f>
        <v/>
      </c>
      <c r="N597">
        <f>AND(MONTH(F597)=MONTH(Q597), YEAR(F597)=YEAR(Q597))</f>
        <v/>
      </c>
      <c r="O597">
        <f>"L001-902303751"=S597</f>
        <v/>
      </c>
      <c r="P597">
        <f>G597-U597</f>
        <v/>
      </c>
      <c r="Q597" s="35" t="n">
        <v>45348</v>
      </c>
      <c r="R597" t="inlineStr"/>
      <c r="S597" t="inlineStr">
        <is>
          <t>L001-100074669</t>
        </is>
      </c>
      <c r="T597" t="inlineStr">
        <is>
          <t>ខេអិលអិន ហ្វ្រេត (ខេមបូឌា) ឯ.ក</t>
        </is>
      </c>
      <c r="U597" t="n">
        <v>0</v>
      </c>
      <c r="V597" t="n">
        <v>0</v>
      </c>
    </row>
    <row r="598">
      <c r="A598" t="n">
        <v>597</v>
      </c>
      <c r="B598" t="inlineStr">
        <is>
          <t>Customs Clearance Fee and Trucking Fee</t>
        </is>
      </c>
      <c r="C598" t="inlineStr">
        <is>
          <t>ត្រាយអ៊ែងហ្គល ឡូជីស្ទីក (ខេមបូឌា) ឯ.ក</t>
        </is>
      </c>
      <c r="D598" t="inlineStr">
        <is>
          <t>K010-902101743</t>
        </is>
      </c>
      <c r="E598" t="inlineStr">
        <is>
          <t>TAG-24-00369</t>
        </is>
      </c>
      <c r="F598" t="inlineStr">
        <is>
          <t>27-05-2024</t>
        </is>
      </c>
      <c r="G598" t="n">
        <v>69377</v>
      </c>
      <c r="I598">
        <f>G598</f>
        <v/>
      </c>
      <c r="K598">
        <f>I598-G598</f>
        <v/>
      </c>
      <c r="M598">
        <f>R598=E598</f>
        <v/>
      </c>
      <c r="N598">
        <f>AND(MONTH(F598)=MONTH(Q598), YEAR(F598)=YEAR(Q598))</f>
        <v/>
      </c>
      <c r="O598">
        <f>"L001-902303751"=S598</f>
        <v/>
      </c>
      <c r="P598">
        <f>G598-U598</f>
        <v/>
      </c>
      <c r="Q598" s="35" t="n">
        <v>45345</v>
      </c>
      <c r="R598" t="inlineStr"/>
      <c r="S598" t="inlineStr">
        <is>
          <t>K005-100059945</t>
        </is>
      </c>
      <c r="T598" t="inlineStr">
        <is>
          <t>អ៊ែតវ៉ានស៍ គ្លរី ឡូជីស្ទីក (ខេមបូឌា) (អេ ជី អិល)</t>
        </is>
      </c>
      <c r="U598" t="n">
        <v>0</v>
      </c>
      <c r="V598" t="n">
        <v>0</v>
      </c>
    </row>
    <row r="599">
      <c r="A599" t="n">
        <v>598</v>
      </c>
      <c r="B599" t="inlineStr">
        <is>
          <t>Lift-On &amp; Lift-Off</t>
        </is>
      </c>
      <c r="C599" t="inlineStr">
        <is>
          <t>កំពង់ផែស្វយ័តក្រុងព្រះសីហនុ</t>
        </is>
      </c>
      <c r="D599" t="inlineStr">
        <is>
          <t>L001-100044638</t>
        </is>
      </c>
      <c r="E599" t="inlineStr">
        <is>
          <t>098591</t>
        </is>
      </c>
      <c r="F599" t="inlineStr">
        <is>
          <t>25-05-2024</t>
        </is>
      </c>
      <c r="G599" t="n">
        <v>23250</v>
      </c>
      <c r="I599">
        <f>G599</f>
        <v/>
      </c>
      <c r="K599">
        <f>I599-G599</f>
        <v/>
      </c>
      <c r="M599">
        <f>R599=E599</f>
        <v/>
      </c>
      <c r="N599">
        <f>AND(MONTH(F599)=MONTH(Q599), YEAR(F599)=YEAR(Q599))</f>
        <v/>
      </c>
      <c r="O599">
        <f>"L001-902303751"=S599</f>
        <v/>
      </c>
      <c r="P599">
        <f>G599-U599</f>
        <v/>
      </c>
      <c r="Q599" s="35" t="n">
        <v>45345</v>
      </c>
      <c r="R599" t="n">
        <v>110025</v>
      </c>
      <c r="S599" t="inlineStr">
        <is>
          <t>K005-100059945</t>
        </is>
      </c>
      <c r="T599" t="inlineStr">
        <is>
          <t>អ៊ែតវ៉ានស៍ គ្លរី ឡូជីស្ទីក (ខេមបូឌា) (អេ ជី អិល)</t>
        </is>
      </c>
      <c r="U599" t="n">
        <v>110025</v>
      </c>
      <c r="V599" t="n">
        <v>0</v>
      </c>
    </row>
    <row r="600">
      <c r="A600" t="n">
        <v>599</v>
      </c>
      <c r="B600" t="inlineStr">
        <is>
          <t>Import Shipment Expense</t>
        </is>
      </c>
      <c r="C600" t="inlineStr">
        <is>
          <t>ហ្វ្រេត ខនសិប (ខេមបូឌា)</t>
        </is>
      </c>
      <c r="D600" t="inlineStr">
        <is>
          <t>K009-901502482</t>
        </is>
      </c>
      <c r="E600" t="inlineStr">
        <is>
          <t>240503</t>
        </is>
      </c>
      <c r="F600" t="inlineStr">
        <is>
          <t>23-05-2024</t>
        </is>
      </c>
      <c r="G600" t="n">
        <v>212004</v>
      </c>
      <c r="I600">
        <f>G600</f>
        <v/>
      </c>
      <c r="K600">
        <f>I600-G600</f>
        <v/>
      </c>
      <c r="M600">
        <f>R600=E600</f>
        <v/>
      </c>
      <c r="N600">
        <f>AND(MONTH(F600)=MONTH(Q600), YEAR(F600)=YEAR(Q600))</f>
        <v/>
      </c>
      <c r="O600">
        <f>"L001-902303751"=S600</f>
        <v/>
      </c>
      <c r="P600">
        <f>G600-U600</f>
        <v/>
      </c>
      <c r="Q600" s="35" t="n">
        <v>45334</v>
      </c>
      <c r="R600" t="inlineStr"/>
      <c r="S600" t="inlineStr">
        <is>
          <t>L001-100045340</t>
        </is>
      </c>
      <c r="T600" t="inlineStr">
        <is>
          <t xml:space="preserve">ស៊ីវ៉ា អ៊ែរ អ៊ែន អូសៀន (ខេមបូឌា) ឯ.ក </t>
        </is>
      </c>
      <c r="U600" t="n">
        <v>0</v>
      </c>
      <c r="V600" t="n">
        <v>0</v>
      </c>
    </row>
    <row r="601">
      <c r="A601" t="n">
        <v>600</v>
      </c>
      <c r="B601" t="inlineStr">
        <is>
          <t>Customs Clearance Fee</t>
        </is>
      </c>
      <c r="C601" t="inlineStr">
        <is>
          <t>ត្រាយអ៊ែងហ្គល ឡូជីស្ទីក (ខេមបូឌា) ឯ.ក</t>
        </is>
      </c>
      <c r="D601" t="inlineStr">
        <is>
          <t>K010-902101743</t>
        </is>
      </c>
      <c r="E601" t="inlineStr">
        <is>
          <t>TAG-24-00362</t>
        </is>
      </c>
      <c r="F601" t="inlineStr">
        <is>
          <t>23-05-2024</t>
        </is>
      </c>
      <c r="G601" t="n">
        <v>8154</v>
      </c>
      <c r="I601">
        <f>G601</f>
        <v/>
      </c>
      <c r="K601">
        <f>I601-G601</f>
        <v/>
      </c>
      <c r="M601">
        <f>R601=E601</f>
        <v/>
      </c>
      <c r="N601">
        <f>AND(MONTH(F601)=MONTH(Q601), YEAR(F601)=YEAR(Q601))</f>
        <v/>
      </c>
      <c r="O601">
        <f>"L001-902303751"=S601</f>
        <v/>
      </c>
      <c r="P601">
        <f>G601-U601</f>
        <v/>
      </c>
      <c r="Q601" s="35" t="n">
        <v>45324</v>
      </c>
      <c r="R601" t="n">
        <v>230450</v>
      </c>
      <c r="S601" t="inlineStr">
        <is>
          <t>K004-105012505</t>
        </is>
      </c>
      <c r="T601" t="inlineStr">
        <is>
          <t>អេស៊ាន ហ្វ្រេត (ខេមបូឌា)</t>
        </is>
      </c>
      <c r="U601" t="n">
        <v>230450</v>
      </c>
      <c r="V601" t="n">
        <v>0</v>
      </c>
    </row>
    <row r="602">
      <c r="A602" t="n">
        <v>601</v>
      </c>
      <c r="B602" t="inlineStr">
        <is>
          <t>Customs Clearance Fee and Trucking Fee</t>
        </is>
      </c>
      <c r="C602" t="inlineStr">
        <is>
          <t>ត្រាយអ៊ែងហ្គល ឡូជីស្ទីក (ខេមបូឌា) ឯ.ក</t>
        </is>
      </c>
      <c r="D602" t="inlineStr">
        <is>
          <t>K010-902101743</t>
        </is>
      </c>
      <c r="E602" t="inlineStr">
        <is>
          <t>TAG-24-00370</t>
        </is>
      </c>
      <c r="F602" t="inlineStr">
        <is>
          <t>28-05-2024</t>
        </is>
      </c>
      <c r="G602" t="n">
        <v>65328</v>
      </c>
      <c r="I602">
        <f>G602</f>
        <v/>
      </c>
      <c r="K602">
        <f>I602-G602</f>
        <v/>
      </c>
      <c r="M602">
        <f>R602=E602</f>
        <v/>
      </c>
      <c r="N602">
        <f>AND(MONTH(F602)=MONTH(Q602), YEAR(F602)=YEAR(Q602))</f>
        <v/>
      </c>
      <c r="O602">
        <f>"L001-902303751"=S602</f>
        <v/>
      </c>
      <c r="P602">
        <f>G602-U602</f>
        <v/>
      </c>
      <c r="Q602" s="35" t="n">
        <v>45348</v>
      </c>
      <c r="R602" t="n">
        <v>110025</v>
      </c>
      <c r="S602" t="inlineStr">
        <is>
          <t>L001-107032791</t>
        </is>
      </c>
      <c r="T602" t="inlineStr">
        <is>
          <t>នីបផន អិចប្រេស (ខេមបូឌា) ខូ អិលធីឌី</t>
        </is>
      </c>
      <c r="U602" t="n">
        <v>110025</v>
      </c>
      <c r="V602" t="n">
        <v>0</v>
      </c>
    </row>
    <row r="603">
      <c r="A603" t="n">
        <v>602</v>
      </c>
      <c r="B603" t="inlineStr">
        <is>
          <t>Lift-On &amp; Gate Fee Charge</t>
        </is>
      </c>
      <c r="C603" t="inlineStr">
        <is>
          <t>កំពង់ផែស្វយ័តភ្នំពេញ "ក.ស.ភ"</t>
        </is>
      </c>
      <c r="D603" t="inlineStr">
        <is>
          <t>L001-100044999</t>
        </is>
      </c>
      <c r="E603" t="inlineStr">
        <is>
          <t>INV20240530958</t>
        </is>
      </c>
      <c r="F603" t="inlineStr">
        <is>
          <t>29-05-2024</t>
        </is>
      </c>
      <c r="G603" t="n">
        <v>18791</v>
      </c>
      <c r="I603">
        <f>G603</f>
        <v/>
      </c>
      <c r="K603">
        <f>I603-G603</f>
        <v/>
      </c>
      <c r="M603">
        <f>R603=E603</f>
        <v/>
      </c>
      <c r="N603">
        <f>AND(MONTH(F603)=MONTH(Q603), YEAR(F603)=YEAR(Q603))</f>
        <v/>
      </c>
      <c r="O603">
        <f>"L001-902303751"=S603</f>
        <v/>
      </c>
      <c r="P603">
        <f>G603-U603</f>
        <v/>
      </c>
      <c r="Q603" s="35" t="n">
        <v>45338</v>
      </c>
      <c r="R603" t="n">
        <v>81520</v>
      </c>
      <c r="S603" t="inlineStr">
        <is>
          <t>K003-901635943</t>
        </is>
      </c>
      <c r="T603" t="inlineStr">
        <is>
          <t>អ៊ីឃ្យូឡាញ វើលវ៉ាយដ៍ ឡូជីស្ទីក</t>
        </is>
      </c>
      <c r="U603" t="n">
        <v>81520</v>
      </c>
      <c r="V603" t="n">
        <v>0</v>
      </c>
    </row>
    <row r="604">
      <c r="A604" t="n">
        <v>603</v>
      </c>
      <c r="B604" t="inlineStr">
        <is>
          <t>THC, Doc Fee and Container Imbalance</t>
        </is>
      </c>
      <c r="C604" t="inlineStr">
        <is>
          <t>សាខាក្រុមហ៊ុន ជីម៉ាឌីប ស៊ីបភីង ខមភេនី លីមីធីត</t>
        </is>
      </c>
      <c r="D604" t="inlineStr">
        <is>
          <t>L001-901704777</t>
        </is>
      </c>
      <c r="E604" t="inlineStr">
        <is>
          <t>24-01689</t>
        </is>
      </c>
      <c r="F604" t="inlineStr">
        <is>
          <t>23-05-2024</t>
        </is>
      </c>
      <c r="G604" t="n">
        <v>95810</v>
      </c>
      <c r="I604">
        <f>G604</f>
        <v/>
      </c>
      <c r="K604">
        <f>I604-G604</f>
        <v/>
      </c>
      <c r="M604">
        <f>R604=E604</f>
        <v/>
      </c>
      <c r="N604">
        <f>AND(MONTH(F604)=MONTH(Q604), YEAR(F604)=YEAR(Q604))</f>
        <v/>
      </c>
      <c r="O604">
        <f>"L001-902303751"=S604</f>
        <v/>
      </c>
      <c r="P604">
        <f>G604-U604</f>
        <v/>
      </c>
      <c r="Q604" s="35" t="n">
        <v>45332</v>
      </c>
      <c r="R604" t="n">
        <v>110133</v>
      </c>
      <c r="S604" t="inlineStr">
        <is>
          <t>K005-100059945</t>
        </is>
      </c>
      <c r="T604" t="inlineStr">
        <is>
          <t>អ៊ែតវ៉ានស៍ គ្លរី ឡូជីស្ទីក (ខេមបូឌា) (អេ ជី អិល)</t>
        </is>
      </c>
      <c r="U604" t="n">
        <v>110133</v>
      </c>
      <c r="V604" t="n">
        <v>0</v>
      </c>
    </row>
    <row r="605">
      <c r="A605" t="n">
        <v>604</v>
      </c>
      <c r="B605" t="inlineStr">
        <is>
          <t>Customs Clearance Fee and Trucking Fee</t>
        </is>
      </c>
      <c r="C605" t="inlineStr">
        <is>
          <t>ត្រាយអ៊ែងហ្គល ឡូជីស្ទីក (ខេមបូឌា) ឯ.ក</t>
        </is>
      </c>
      <c r="D605" t="inlineStr">
        <is>
          <t>K010-902101743</t>
        </is>
      </c>
      <c r="E605" t="inlineStr">
        <is>
          <t>TAG-24-00376</t>
        </is>
      </c>
      <c r="F605" t="inlineStr">
        <is>
          <t>31-05-2024</t>
        </is>
      </c>
      <c r="G605" t="n">
        <v>69581</v>
      </c>
      <c r="I605">
        <f>G605</f>
        <v/>
      </c>
      <c r="K605">
        <f>I605-G605</f>
        <v/>
      </c>
      <c r="M605">
        <f>R605=E605</f>
        <v/>
      </c>
      <c r="N605">
        <f>AND(MONTH(F605)=MONTH(Q605), YEAR(F605)=YEAR(Q605))</f>
        <v/>
      </c>
      <c r="O605">
        <f>"L001-902303751"=S605</f>
        <v/>
      </c>
      <c r="P605">
        <f>G605-U605</f>
        <v/>
      </c>
      <c r="Q605" s="35" t="n">
        <v>45334</v>
      </c>
      <c r="R605" t="n">
        <v>313190</v>
      </c>
      <c r="S605" t="inlineStr">
        <is>
          <t>L001-100044956</t>
        </is>
      </c>
      <c r="T605" t="inlineStr">
        <is>
          <t>ជី លីង អិចប្រេស ឡូជីស្ទីក (ខេមបូឌា) លីមីធីត</t>
        </is>
      </c>
      <c r="U605" t="n">
        <v>313190</v>
      </c>
      <c r="V605" t="n">
        <v>0</v>
      </c>
    </row>
    <row r="606">
      <c r="A606" t="n">
        <v>605</v>
      </c>
      <c r="B606" t="inlineStr">
        <is>
          <t>Lift-On &amp; Gate Fee Charge</t>
        </is>
      </c>
      <c r="C606" t="inlineStr">
        <is>
          <t>កំពង់ផែស្វយ័តភ្នំពេញ "ក.ស.ភ"</t>
        </is>
      </c>
      <c r="D606" t="inlineStr">
        <is>
          <t>L001-100044999</t>
        </is>
      </c>
      <c r="E606" t="inlineStr">
        <is>
          <t>INV20240530959</t>
        </is>
      </c>
      <c r="F606" t="inlineStr">
        <is>
          <t>29-05-2024</t>
        </is>
      </c>
      <c r="G606" t="n">
        <v>28595</v>
      </c>
      <c r="I606">
        <f>G606</f>
        <v/>
      </c>
      <c r="K606">
        <f>I606-G606</f>
        <v/>
      </c>
      <c r="M606">
        <f>R606=E606</f>
        <v/>
      </c>
      <c r="N606">
        <f>AND(MONTH(F606)=MONTH(Q606), YEAR(F606)=YEAR(Q606))</f>
        <v/>
      </c>
      <c r="O606">
        <f>"L001-902303751"=S606</f>
        <v/>
      </c>
      <c r="P606">
        <f>G606-U606</f>
        <v/>
      </c>
      <c r="Q606" s="35" t="n">
        <v>45337</v>
      </c>
      <c r="R606" t="n">
        <v>194378</v>
      </c>
      <c r="S606" t="inlineStr">
        <is>
          <t>L001-100011888</t>
        </is>
      </c>
      <c r="T606" t="inlineStr">
        <is>
          <t>ត្រេន ស្តារ ហ្រេ្វត</t>
        </is>
      </c>
      <c r="U606" t="n">
        <v>194378</v>
      </c>
      <c r="V606" t="n">
        <v>0</v>
      </c>
    </row>
    <row r="607">
      <c r="A607" t="n">
        <v>606</v>
      </c>
      <c r="B607" t="inlineStr">
        <is>
          <t>Import Shipment Expense</t>
        </is>
      </c>
      <c r="C607" t="inlineStr">
        <is>
          <t>ត្រាយអ៊ែងហ្គល ឡូជីស្ទីក (ខេមបូឌា) ឯ.ក</t>
        </is>
      </c>
      <c r="D607" t="inlineStr">
        <is>
          <t>K010-902101743</t>
        </is>
      </c>
      <c r="E607" t="inlineStr">
        <is>
          <t>TAG-24-00345</t>
        </is>
      </c>
      <c r="F607" t="inlineStr">
        <is>
          <t>20-05-2024</t>
        </is>
      </c>
      <c r="G607" t="n">
        <v>84720</v>
      </c>
      <c r="I607">
        <f>G607</f>
        <v/>
      </c>
      <c r="K607">
        <f>I607-G607</f>
        <v/>
      </c>
      <c r="M607">
        <f>R607=E607</f>
        <v/>
      </c>
      <c r="N607">
        <f>AND(MONTH(F607)=MONTH(Q607), YEAR(F607)=YEAR(Q607))</f>
        <v/>
      </c>
      <c r="O607">
        <f>"L001-902303751"=S607</f>
        <v/>
      </c>
      <c r="P607">
        <f>G607-U607</f>
        <v/>
      </c>
      <c r="Q607" s="35" t="n">
        <v>45338</v>
      </c>
      <c r="R607" t="inlineStr"/>
      <c r="S607" t="inlineStr">
        <is>
          <t>K003-901635943</t>
        </is>
      </c>
      <c r="T607" t="inlineStr">
        <is>
          <t>អ៊ីឃ្យូឡាញ វើលវ៉ាយដ៍ ឡូជីស្ទីក</t>
        </is>
      </c>
      <c r="U607" t="n">
        <v>0</v>
      </c>
      <c r="V607" t="n">
        <v>0</v>
      </c>
    </row>
    <row r="608">
      <c r="A608" t="n">
        <v>607</v>
      </c>
      <c r="B608" t="inlineStr">
        <is>
          <t>Charge from warehouse and Storage Charges</t>
        </is>
      </c>
      <c r="C608" t="inlineStr">
        <is>
          <t>កំពង់ផែស្វយ័តក្រុងព្រះសីហនុ</t>
        </is>
      </c>
      <c r="D608" t="inlineStr">
        <is>
          <t>L001-100044638</t>
        </is>
      </c>
      <c r="E608" t="inlineStr">
        <is>
          <t>099487</t>
        </is>
      </c>
      <c r="F608" t="inlineStr">
        <is>
          <t>27-05-2024</t>
        </is>
      </c>
      <c r="G608" t="n">
        <v>1332</v>
      </c>
      <c r="I608">
        <f>G608</f>
        <v/>
      </c>
      <c r="K608">
        <f>I608-G608</f>
        <v/>
      </c>
      <c r="M608">
        <f>R608=E608</f>
        <v/>
      </c>
      <c r="N608">
        <f>AND(MONTH(F608)=MONTH(Q608), YEAR(F608)=YEAR(Q608))</f>
        <v/>
      </c>
      <c r="O608">
        <f>"L001-902303751"=S608</f>
        <v/>
      </c>
      <c r="P608">
        <f>G608-U608</f>
        <v/>
      </c>
      <c r="Q608" s="35" t="n">
        <v>45334</v>
      </c>
      <c r="R608" t="n">
        <v>96241</v>
      </c>
      <c r="S608" t="inlineStr">
        <is>
          <t>L001-100045340</t>
        </is>
      </c>
      <c r="T608" t="inlineStr">
        <is>
          <t xml:space="preserve">ស៊ីវ៉ា អ៊ែរ អ៊ែន អូសៀន (ខេមបូឌា) ឯ.ក </t>
        </is>
      </c>
      <c r="U608" t="n">
        <v>96241</v>
      </c>
      <c r="V608" t="n">
        <v>0</v>
      </c>
    </row>
    <row r="609">
      <c r="A609" t="n">
        <v>608</v>
      </c>
      <c r="B609" t="inlineStr">
        <is>
          <t>Customs Clearance Fee and Trucking Fee</t>
        </is>
      </c>
      <c r="C609" t="inlineStr">
        <is>
          <t>ត្រាយអ៊ែងហ្គល ឡូជីស្ទីក (ខេមបូឌា) ឯ.ក</t>
        </is>
      </c>
      <c r="D609" t="inlineStr">
        <is>
          <t>K010-902101743</t>
        </is>
      </c>
      <c r="E609" t="inlineStr">
        <is>
          <t>TAG-24-00368</t>
        </is>
      </c>
      <c r="F609" t="inlineStr">
        <is>
          <t>27-05-2024</t>
        </is>
      </c>
      <c r="G609" t="n">
        <v>32648</v>
      </c>
      <c r="I609">
        <f>G609</f>
        <v/>
      </c>
      <c r="K609">
        <f>I609-G609</f>
        <v/>
      </c>
      <c r="M609">
        <f>R609=E609</f>
        <v/>
      </c>
      <c r="N609">
        <f>AND(MONTH(F609)=MONTH(Q609), YEAR(F609)=YEAR(Q609))</f>
        <v/>
      </c>
      <c r="O609">
        <f>"L001-902303751"=S609</f>
        <v/>
      </c>
      <c r="P609">
        <f>G609-U609</f>
        <v/>
      </c>
      <c r="Q609" s="35" t="n">
        <v>45348</v>
      </c>
      <c r="R609" t="n">
        <v>101875</v>
      </c>
      <c r="S609" t="inlineStr">
        <is>
          <t>K003-901635943</t>
        </is>
      </c>
      <c r="T609" t="inlineStr">
        <is>
          <t>អ៊ីឃ្យូឡាញ វើលវ៉ាយដ៍ ឡូជីស្ទីក</t>
        </is>
      </c>
      <c r="U609" t="n">
        <v>101875</v>
      </c>
      <c r="V609" t="n">
        <v>0</v>
      </c>
    </row>
    <row r="610">
      <c r="A610" t="n">
        <v>609</v>
      </c>
      <c r="B610" t="inlineStr">
        <is>
          <t>Import Shipment Expense</t>
        </is>
      </c>
      <c r="C610" t="inlineStr">
        <is>
          <t>ផេនដា គ្លូប៊ល ឡូជីស្ទីក (ខេមបូឌា)</t>
        </is>
      </c>
      <c r="D610" t="inlineStr">
        <is>
          <t>K005-901501155</t>
        </is>
      </c>
      <c r="E610" t="inlineStr">
        <is>
          <t>PD240184</t>
        </is>
      </c>
      <c r="F610" t="inlineStr">
        <is>
          <t>20-05-2024</t>
        </is>
      </c>
      <c r="G610" t="n">
        <v>146513</v>
      </c>
      <c r="I610">
        <f>G610</f>
        <v/>
      </c>
      <c r="K610">
        <f>I610-G610</f>
        <v/>
      </c>
      <c r="M610">
        <f>R610=E610</f>
        <v/>
      </c>
      <c r="N610">
        <f>AND(MONTH(F610)=MONTH(Q610), YEAR(F610)=YEAR(Q610))</f>
        <v/>
      </c>
      <c r="O610">
        <f>"L001-902303751"=S610</f>
        <v/>
      </c>
      <c r="P610">
        <f>G610-U610</f>
        <v/>
      </c>
      <c r="Q610" s="35" t="n">
        <v>45348</v>
      </c>
      <c r="R610" t="inlineStr"/>
      <c r="S610" t="inlineStr">
        <is>
          <t>K003-901635943</t>
        </is>
      </c>
      <c r="T610" t="inlineStr">
        <is>
          <t>អ៊ីឃ្យូឡាញ វើលវ៉ាយដ៍ ឡូជីស្ទីក</t>
        </is>
      </c>
      <c r="U610" t="n">
        <v>0</v>
      </c>
      <c r="V610" t="n">
        <v>0</v>
      </c>
    </row>
    <row r="611">
      <c r="A611" t="n">
        <v>610</v>
      </c>
      <c r="B611" t="inlineStr">
        <is>
          <t>Cargo Terminal</t>
        </is>
      </c>
      <c r="C611" t="inlineStr">
        <is>
          <t>សូស៊ីយេតេ កុងសេស្យូនែរ ដឺ ឡាអេរ៉ូព័រ</t>
        </is>
      </c>
      <c r="D611" t="inlineStr">
        <is>
          <t>L001-100047300</t>
        </is>
      </c>
      <c r="E611" t="inlineStr">
        <is>
          <t>2400-035239</t>
        </is>
      </c>
      <c r="F611" t="inlineStr">
        <is>
          <t>15-05-2024</t>
        </is>
      </c>
      <c r="G611" t="n">
        <v>2707</v>
      </c>
      <c r="I611">
        <f>G611</f>
        <v/>
      </c>
      <c r="K611">
        <f>I611-G611</f>
        <v/>
      </c>
      <c r="M611">
        <f>R611=E611</f>
        <v/>
      </c>
      <c r="N611">
        <f>AND(MONTH(F611)=MONTH(Q611), YEAR(F611)=YEAR(Q611))</f>
        <v/>
      </c>
      <c r="O611">
        <f>"L001-902303751"=S611</f>
        <v/>
      </c>
      <c r="P611">
        <f>G611-U611</f>
        <v/>
      </c>
      <c r="Q611" s="35" t="n">
        <v>45339</v>
      </c>
      <c r="R611" t="n">
        <v>648084</v>
      </c>
      <c r="S611" t="inlineStr">
        <is>
          <t>K005-901501155</t>
        </is>
      </c>
      <c r="T611" t="inlineStr">
        <is>
          <t>ផេនដា គ្លូប៊ល ឡូជីស្ទីក (ខេមបូឌា)</t>
        </is>
      </c>
      <c r="U611" t="n">
        <v>648084</v>
      </c>
      <c r="V611" t="n">
        <v>0</v>
      </c>
    </row>
    <row r="612">
      <c r="A612" t="n">
        <v>611</v>
      </c>
      <c r="B612" t="inlineStr">
        <is>
          <t>Airway bill fee and Handling Agency fee</t>
        </is>
      </c>
      <c r="C612" t="inlineStr">
        <is>
          <t>ត្រេន ស្តារ ហ្រេ្វត</t>
        </is>
      </c>
      <c r="D612" t="inlineStr">
        <is>
          <t>L001-100011888</t>
        </is>
      </c>
      <c r="E612" t="inlineStr">
        <is>
          <t>PPTI24-05270</t>
        </is>
      </c>
      <c r="F612" t="inlineStr">
        <is>
          <t>13-05-2024</t>
        </is>
      </c>
      <c r="G612" t="n">
        <v>34655</v>
      </c>
      <c r="I612">
        <f>G612</f>
        <v/>
      </c>
      <c r="K612">
        <f>I612-G612</f>
        <v/>
      </c>
      <c r="M612">
        <f>R612=E612</f>
        <v/>
      </c>
      <c r="N612">
        <f>AND(MONTH(F612)=MONTH(Q612), YEAR(F612)=YEAR(Q612))</f>
        <v/>
      </c>
      <c r="O612">
        <f>"L001-902303751"=S612</f>
        <v/>
      </c>
      <c r="P612">
        <f>G612-U612</f>
        <v/>
      </c>
      <c r="Q612" s="35" t="n">
        <v>45334</v>
      </c>
      <c r="R612" t="n">
        <v>199822</v>
      </c>
      <c r="S612" t="inlineStr">
        <is>
          <t>K005-901501155</t>
        </is>
      </c>
      <c r="T612" t="inlineStr">
        <is>
          <t>ផេនដា គ្លូប៊ល ឡូជីស្ទីក (ខេមបូឌា)</t>
        </is>
      </c>
      <c r="U612" t="n">
        <v>199822</v>
      </c>
      <c r="V612" t="n">
        <v>0</v>
      </c>
    </row>
    <row r="613">
      <c r="A613" t="n">
        <v>612</v>
      </c>
      <c r="B613" t="inlineStr">
        <is>
          <t>Customs Clearance Fee and Trucking Fee</t>
        </is>
      </c>
      <c r="C613" t="inlineStr">
        <is>
          <t>ត្រាយអ៊ែងហ្គល ឡូជីស្ទីក (ខេមបូឌា) ឯ.ក</t>
        </is>
      </c>
      <c r="D613" t="inlineStr">
        <is>
          <t>K010-902101743</t>
        </is>
      </c>
      <c r="E613" t="inlineStr">
        <is>
          <t>TAG-24-00330</t>
        </is>
      </c>
      <c r="F613" t="inlineStr">
        <is>
          <t>15-05-2024</t>
        </is>
      </c>
      <c r="G613" t="n">
        <v>28553</v>
      </c>
      <c r="I613">
        <f>G613</f>
        <v/>
      </c>
      <c r="K613">
        <f>I613-G613</f>
        <v/>
      </c>
      <c r="M613">
        <f>R613=E613</f>
        <v/>
      </c>
      <c r="N613">
        <f>AND(MONTH(F613)=MONTH(Q613), YEAR(F613)=YEAR(Q613))</f>
        <v/>
      </c>
      <c r="O613">
        <f>"L001-902303751"=S613</f>
        <v/>
      </c>
      <c r="P613">
        <f>G613-U613</f>
        <v/>
      </c>
      <c r="Q613" s="35" t="n">
        <v>45332</v>
      </c>
      <c r="R613" t="n">
        <v>110133</v>
      </c>
      <c r="S613" t="inlineStr">
        <is>
          <t>K005-100059945</t>
        </is>
      </c>
      <c r="T613" t="inlineStr">
        <is>
          <t>អ៊ែតវ៉ានស៍ គ្លរី ឡូជីស្ទីក (ខេមបូឌា) (អេ ជី អិល)</t>
        </is>
      </c>
      <c r="U613" t="n">
        <v>110133</v>
      </c>
      <c r="V613" t="n">
        <v>0</v>
      </c>
    </row>
    <row r="614">
      <c r="A614" t="n">
        <v>613</v>
      </c>
      <c r="B614" t="inlineStr">
        <is>
          <t>Cargo Terminal</t>
        </is>
      </c>
      <c r="C614" t="inlineStr">
        <is>
          <t>សូស៊ីយេតេ កុងសេស្យូនែរ ដឺ ឡាអេរ៉ូព័រ</t>
        </is>
      </c>
      <c r="D614" t="inlineStr">
        <is>
          <t>L001-100047300</t>
        </is>
      </c>
      <c r="E614" t="inlineStr">
        <is>
          <t>2400-035325</t>
        </is>
      </c>
      <c r="F614" t="inlineStr">
        <is>
          <t>16-05-2024</t>
        </is>
      </c>
      <c r="G614" t="n">
        <v>8365</v>
      </c>
      <c r="I614">
        <f>G614</f>
        <v/>
      </c>
      <c r="K614">
        <f>I614-G614</f>
        <v/>
      </c>
      <c r="M614">
        <f>R614=E614</f>
        <v/>
      </c>
      <c r="N614">
        <f>AND(MONTH(F614)=MONTH(Q614), YEAR(F614)=YEAR(Q614))</f>
        <v/>
      </c>
      <c r="O614">
        <f>"L001-902303751"=S614</f>
        <v/>
      </c>
      <c r="P614">
        <f>G614-U614</f>
        <v/>
      </c>
      <c r="Q614" s="35" t="n">
        <v>45327</v>
      </c>
      <c r="R614" t="inlineStr"/>
      <c r="S614" t="inlineStr">
        <is>
          <t>K005-100150195</t>
        </is>
      </c>
      <c r="T614" t="inlineStr">
        <is>
          <t>អេស អ វី ស៊ី ហ្វ្រេត សឺវីស (ខេមបូឌា) ខូ អិលធីឌី</t>
        </is>
      </c>
      <c r="U614" t="n">
        <v>0</v>
      </c>
      <c r="V614" t="n">
        <v>0</v>
      </c>
    </row>
    <row r="615">
      <c r="A615" t="n">
        <v>614</v>
      </c>
      <c r="B615" t="inlineStr">
        <is>
          <t>Doc Fee and Agency Fee</t>
        </is>
      </c>
      <c r="C615" t="inlineStr">
        <is>
          <t>អ៊ែតវ៉ានស៍ គ្លរី ឡូជីស្ទីក (ខេមបូឌា) (អេ ជី អិល)</t>
        </is>
      </c>
      <c r="D615" t="inlineStr">
        <is>
          <t>K005-100059945</t>
        </is>
      </c>
      <c r="E615" t="inlineStr">
        <is>
          <t>AGL2400693</t>
        </is>
      </c>
      <c r="F615" t="inlineStr">
        <is>
          <t>10-05-2024</t>
        </is>
      </c>
      <c r="G615" t="n">
        <v>44836</v>
      </c>
      <c r="I615">
        <f>G615</f>
        <v/>
      </c>
      <c r="K615">
        <f>I615-G615</f>
        <v/>
      </c>
      <c r="M615">
        <f>R615=E615</f>
        <v/>
      </c>
      <c r="N615">
        <f>AND(MONTH(F615)=MONTH(Q615), YEAR(F615)=YEAR(Q615))</f>
        <v/>
      </c>
      <c r="O615">
        <f>"L001-902303751"=S615</f>
        <v/>
      </c>
      <c r="P615">
        <f>G615-U615</f>
        <v/>
      </c>
      <c r="Q615" s="35" t="n">
        <v>45348</v>
      </c>
      <c r="R615" t="inlineStr"/>
      <c r="S615" t="inlineStr">
        <is>
          <t>K003-901635943</t>
        </is>
      </c>
      <c r="T615" t="inlineStr">
        <is>
          <t>អ៊ីឃ្យូឡាញ វើលវ៉ាយដ៍ ឡូជីស្ទីក</t>
        </is>
      </c>
      <c r="U615" t="n">
        <v>0</v>
      </c>
      <c r="V615" t="n">
        <v>0</v>
      </c>
    </row>
    <row r="616">
      <c r="A616" t="n">
        <v>615</v>
      </c>
      <c r="B616" t="inlineStr">
        <is>
          <t>Customs Clearance Fee and Trucking Fee</t>
        </is>
      </c>
      <c r="C616" t="inlineStr">
        <is>
          <t>ត្រាយអ៊ែងហ្គល ឡូជីស្ទីក (ខេមបូឌា) ឯ.ក</t>
        </is>
      </c>
      <c r="D616" t="inlineStr">
        <is>
          <t>K010-902101743</t>
        </is>
      </c>
      <c r="E616" t="inlineStr">
        <is>
          <t>TAG-24-00334</t>
        </is>
      </c>
      <c r="F616" t="inlineStr">
        <is>
          <t>15-05-2024</t>
        </is>
      </c>
      <c r="G616" t="n">
        <v>65264</v>
      </c>
      <c r="I616">
        <f>G616</f>
        <v/>
      </c>
      <c r="K616">
        <f>I616-G616</f>
        <v/>
      </c>
      <c r="M616">
        <f>R616=E616</f>
        <v/>
      </c>
      <c r="N616">
        <f>AND(MONTH(F616)=MONTH(Q616), YEAR(F616)=YEAR(Q616))</f>
        <v/>
      </c>
      <c r="O616">
        <f>"L001-902303751"=S616</f>
        <v/>
      </c>
      <c r="P616">
        <f>G616-U616</f>
        <v/>
      </c>
      <c r="Q616" s="35" t="n">
        <v>45342</v>
      </c>
      <c r="R616" t="n">
        <v>110079</v>
      </c>
      <c r="S616" t="inlineStr">
        <is>
          <t>L001-107032791</t>
        </is>
      </c>
      <c r="T616" t="inlineStr">
        <is>
          <t>នីបផន អិចប្រេស (ខេមបូឌា) ខូ អិលធីឌី</t>
        </is>
      </c>
      <c r="U616" t="n">
        <v>110079</v>
      </c>
      <c r="V616" t="n">
        <v>0</v>
      </c>
    </row>
    <row r="617">
      <c r="A617" t="n">
        <v>616</v>
      </c>
      <c r="B617" t="inlineStr">
        <is>
          <t>Lift-On &amp; Gate Fee Charge</t>
        </is>
      </c>
      <c r="C617" t="inlineStr">
        <is>
          <t>កំពង់ផែស្វយ័តភ្នំពេញ "ក.ស.ភ"</t>
        </is>
      </c>
      <c r="D617" t="inlineStr">
        <is>
          <t>L001-100044999</t>
        </is>
      </c>
      <c r="E617" t="inlineStr">
        <is>
          <t>INV20240527192</t>
        </is>
      </c>
      <c r="F617" t="inlineStr">
        <is>
          <t>15-05-2024</t>
        </is>
      </c>
      <c r="G617" t="n">
        <v>18763</v>
      </c>
      <c r="I617">
        <f>G617</f>
        <v/>
      </c>
      <c r="K617">
        <f>I617-G617</f>
        <v/>
      </c>
      <c r="M617">
        <f>R617=E617</f>
        <v/>
      </c>
      <c r="N617">
        <f>AND(MONTH(F617)=MONTH(Q617), YEAR(F617)=YEAR(Q617))</f>
        <v/>
      </c>
      <c r="O617">
        <f>"L001-902303751"=S617</f>
        <v/>
      </c>
      <c r="P617">
        <f>G617-U617</f>
        <v/>
      </c>
      <c r="Q617" s="35" t="n">
        <v>45339</v>
      </c>
      <c r="R617" t="inlineStr"/>
      <c r="S617" t="inlineStr">
        <is>
          <t>K005-901501155</t>
        </is>
      </c>
      <c r="T617" t="inlineStr">
        <is>
          <t>ផេនដា គ្លូប៊ល ឡូជីស្ទីក (ខេមបូឌា)</t>
        </is>
      </c>
      <c r="U617" t="n">
        <v>0</v>
      </c>
      <c r="V617" t="n">
        <v>0</v>
      </c>
    </row>
    <row r="618">
      <c r="A618" t="n">
        <v>617</v>
      </c>
      <c r="B618" t="inlineStr">
        <is>
          <t>THC, CIC, EMF and Document Charge</t>
        </is>
      </c>
      <c r="C618" t="inlineStr">
        <is>
          <t>ហេកធ័រ ត្រេនស្ព័រថេសិន (ខេមបូឌា) ឯ.ក</t>
        </is>
      </c>
      <c r="D618" t="inlineStr">
        <is>
          <t>K002-901900264</t>
        </is>
      </c>
      <c r="E618" t="inlineStr">
        <is>
          <t>24001447</t>
        </is>
      </c>
      <c r="F618" t="inlineStr">
        <is>
          <t>10-05-2024</t>
        </is>
      </c>
      <c r="G618" t="n">
        <v>103938</v>
      </c>
      <c r="I618">
        <f>G618</f>
        <v/>
      </c>
      <c r="K618">
        <f>I618-G618</f>
        <v/>
      </c>
      <c r="M618">
        <f>R618=E618</f>
        <v/>
      </c>
      <c r="N618">
        <f>AND(MONTH(F618)=MONTH(Q618), YEAR(F618)=YEAR(Q618))</f>
        <v/>
      </c>
      <c r="O618">
        <f>"L001-902303751"=S618</f>
        <v/>
      </c>
      <c r="P618">
        <f>G618-U618</f>
        <v/>
      </c>
      <c r="Q618" s="35" t="n">
        <v>45342</v>
      </c>
      <c r="R618" t="inlineStr"/>
      <c r="S618" t="inlineStr">
        <is>
          <t>K005-901805913</t>
        </is>
      </c>
      <c r="T618" t="inlineStr">
        <is>
          <t>ស្តារ ខង់ខដ (ខេមបូឌា) ឯ.ក</t>
        </is>
      </c>
      <c r="U618" t="n">
        <v>0</v>
      </c>
      <c r="V618" t="n">
        <v>0</v>
      </c>
    </row>
    <row r="619">
      <c r="A619" t="n">
        <v>618</v>
      </c>
      <c r="B619" t="inlineStr">
        <is>
          <t>Customs Clearance Fee and Trucking Fee</t>
        </is>
      </c>
      <c r="C619" t="inlineStr">
        <is>
          <t>ត្រាយអ៊ែងហ្គល ឡូជីស្ទីក (ខេមបូឌា) ឯ.ក</t>
        </is>
      </c>
      <c r="D619" t="inlineStr">
        <is>
          <t>K010-902101743</t>
        </is>
      </c>
      <c r="E619" t="inlineStr">
        <is>
          <t>TAG-24-00363</t>
        </is>
      </c>
      <c r="F619" t="inlineStr">
        <is>
          <t>24-05-2024</t>
        </is>
      </c>
      <c r="G619" t="n">
        <v>28553</v>
      </c>
      <c r="I619">
        <f>G619</f>
        <v/>
      </c>
      <c r="K619">
        <f>I619-G619</f>
        <v/>
      </c>
      <c r="M619">
        <f>R619=E619</f>
        <v/>
      </c>
      <c r="N619">
        <f>AND(MONTH(F619)=MONTH(Q619), YEAR(F619)=YEAR(Q619))</f>
        <v/>
      </c>
      <c r="O619">
        <f>"L001-902303751"=S619</f>
        <v/>
      </c>
      <c r="P619">
        <f>G619-U619</f>
        <v/>
      </c>
      <c r="Q619" s="35" t="n">
        <v>45328</v>
      </c>
      <c r="R619" t="n">
        <v>2118039</v>
      </c>
      <c r="S619" t="inlineStr">
        <is>
          <t>K004-105012505</t>
        </is>
      </c>
      <c r="T619" t="inlineStr">
        <is>
          <t>អេស៊ាន ហ្វ្រេត (ខេមបូឌា)</t>
        </is>
      </c>
      <c r="U619" t="n">
        <v>2118039</v>
      </c>
      <c r="V619" t="n">
        <v>0</v>
      </c>
    </row>
    <row r="620">
      <c r="A620" t="n">
        <v>619</v>
      </c>
      <c r="B620" t="inlineStr">
        <is>
          <t>Warehouse Fee and Transit Fee</t>
        </is>
      </c>
      <c r="C620" t="inlineStr">
        <is>
          <t>អាយធីអាយ អ៊ិនធើណេសិនណល ត្រេនស័្ពរថេសិន (ខេមបូឌា) ឯ.ក</t>
        </is>
      </c>
      <c r="D620" t="inlineStr">
        <is>
          <t>K002-901800477</t>
        </is>
      </c>
      <c r="E620" t="inlineStr">
        <is>
          <t>CAM242357</t>
        </is>
      </c>
      <c r="F620" t="inlineStr">
        <is>
          <t>25-05-2024</t>
        </is>
      </c>
      <c r="G620" t="n">
        <v>28586</v>
      </c>
      <c r="I620">
        <f>G620</f>
        <v/>
      </c>
      <c r="K620">
        <f>I620-G620</f>
        <v/>
      </c>
      <c r="M620">
        <f>R620=E620</f>
        <v/>
      </c>
      <c r="N620">
        <f>AND(MONTH(F620)=MONTH(Q620), YEAR(F620)=YEAR(Q620))</f>
        <v/>
      </c>
      <c r="O620">
        <f>"L001-902303751"=S620</f>
        <v/>
      </c>
      <c r="P620">
        <f>G620-U620</f>
        <v/>
      </c>
      <c r="Q620" s="35" t="n">
        <v>45334</v>
      </c>
      <c r="R620" t="inlineStr"/>
      <c r="S620" t="inlineStr">
        <is>
          <t>K005-901501155</t>
        </is>
      </c>
      <c r="T620" t="inlineStr">
        <is>
          <t>ផេនដា គ្លូប៊ល ឡូជីស្ទីក (ខេមបូឌា)</t>
        </is>
      </c>
      <c r="U620" t="n">
        <v>0</v>
      </c>
      <c r="V620" t="n">
        <v>0</v>
      </c>
    </row>
    <row r="621">
      <c r="A621" t="n">
        <v>620</v>
      </c>
      <c r="B621" t="inlineStr">
        <is>
          <t>Customs Clearance Fee and Trucking Fee</t>
        </is>
      </c>
      <c r="C621" t="inlineStr">
        <is>
          <t>ត្រាយអ៊ែងហ្គល ឡូជីស្ទីក (ខេមបូឌា) ឯ.ក</t>
        </is>
      </c>
      <c r="D621" t="inlineStr">
        <is>
          <t>K010-902101743</t>
        </is>
      </c>
      <c r="E621" t="inlineStr">
        <is>
          <t>TAG-24-00331</t>
        </is>
      </c>
      <c r="F621" t="inlineStr">
        <is>
          <t>15-05-2024</t>
        </is>
      </c>
      <c r="G621" t="n">
        <v>28553</v>
      </c>
      <c r="I621">
        <f>G621</f>
        <v/>
      </c>
      <c r="K621">
        <f>I621-G621</f>
        <v/>
      </c>
      <c r="M621">
        <f>R621=E621</f>
        <v/>
      </c>
      <c r="N621">
        <f>AND(MONTH(F621)=MONTH(Q621), YEAR(F621)=YEAR(Q621))</f>
        <v/>
      </c>
      <c r="O621">
        <f>"L001-902303751"=S621</f>
        <v/>
      </c>
      <c r="P621">
        <f>G621-U621</f>
        <v/>
      </c>
      <c r="Q621" s="35" t="n">
        <v>45327</v>
      </c>
      <c r="R621" t="n">
        <v>112718</v>
      </c>
      <c r="S621" t="inlineStr">
        <is>
          <t>L001-100044956</t>
        </is>
      </c>
      <c r="T621" t="inlineStr">
        <is>
          <t>ជី លីង អិចប្រេស ឡូជីស្ទីក (ខេមបូឌា) លីមីធីត</t>
        </is>
      </c>
      <c r="U621" t="n">
        <v>112718</v>
      </c>
      <c r="V621" t="n">
        <v>0</v>
      </c>
    </row>
    <row r="622">
      <c r="A622" t="n">
        <v>621</v>
      </c>
      <c r="B622" t="inlineStr">
        <is>
          <t>Import Shipment Expense</t>
        </is>
      </c>
      <c r="C622" t="inlineStr">
        <is>
          <t>ត្រាយអ៊ែងហ្គល ឡូជីស្ទីក (ខេមបូឌា) ឯ.ក</t>
        </is>
      </c>
      <c r="D622" t="inlineStr">
        <is>
          <t>K010-902101743</t>
        </is>
      </c>
      <c r="E622" t="inlineStr">
        <is>
          <t>TAG-24-00346</t>
        </is>
      </c>
      <c r="F622" t="inlineStr">
        <is>
          <t>20-05-2024</t>
        </is>
      </c>
      <c r="G622" t="n">
        <v>205021</v>
      </c>
      <c r="I622">
        <f>G622</f>
        <v/>
      </c>
      <c r="K622">
        <f>I622-G622</f>
        <v/>
      </c>
      <c r="M622">
        <f>R622=E622</f>
        <v/>
      </c>
      <c r="N622">
        <f>AND(MONTH(F622)=MONTH(Q622), YEAR(F622)=YEAR(Q622))</f>
        <v/>
      </c>
      <c r="O622">
        <f>"L001-902303751"=S622</f>
        <v/>
      </c>
      <c r="P622">
        <f>G622-U622</f>
        <v/>
      </c>
      <c r="Q622" s="35" t="n">
        <v>45345</v>
      </c>
      <c r="R622" t="inlineStr"/>
      <c r="S622" t="inlineStr">
        <is>
          <t>K005-100059945</t>
        </is>
      </c>
      <c r="T622" t="inlineStr">
        <is>
          <t>អ៊ែតវ៉ានស៍ គ្លរី ឡូជីស្ទីក (ខេមបូឌា) (អេ ជី អិល)</t>
        </is>
      </c>
      <c r="U622" t="n">
        <v>0</v>
      </c>
      <c r="V622" t="n">
        <v>0</v>
      </c>
    </row>
    <row r="623">
      <c r="A623" t="n">
        <v>622</v>
      </c>
      <c r="B623" t="inlineStr">
        <is>
          <t>Cargo Terminal</t>
        </is>
      </c>
      <c r="C623" t="inlineStr">
        <is>
          <t>សូស៊ីយេតេ កុងសេស្យូនែរ ដឺ ឡាអេរ៉ូព័រ</t>
        </is>
      </c>
      <c r="D623" t="inlineStr">
        <is>
          <t>L001-100047300</t>
        </is>
      </c>
      <c r="E623" t="inlineStr">
        <is>
          <t>2400-035238</t>
        </is>
      </c>
      <c r="F623" t="inlineStr">
        <is>
          <t>15-05-2024</t>
        </is>
      </c>
      <c r="G623" t="n">
        <v>10279</v>
      </c>
      <c r="I623">
        <f>G623</f>
        <v/>
      </c>
      <c r="K623">
        <f>I623-G623</f>
        <v/>
      </c>
      <c r="M623">
        <f>R623=E623</f>
        <v/>
      </c>
      <c r="N623">
        <f>AND(MONTH(F623)=MONTH(Q623), YEAR(F623)=YEAR(Q623))</f>
        <v/>
      </c>
      <c r="O623">
        <f>"L001-902303751"=S623</f>
        <v/>
      </c>
      <c r="P623">
        <f>G623-U623</f>
        <v/>
      </c>
      <c r="Q623" s="35" t="n">
        <v>45338</v>
      </c>
      <c r="R623" t="n">
        <v>16304</v>
      </c>
      <c r="S623" t="inlineStr">
        <is>
          <t>L001-100045340</t>
        </is>
      </c>
      <c r="T623" t="inlineStr">
        <is>
          <t xml:space="preserve">ស៊ីវ៉ា អ៊ែរ អ៊ែន អូសៀន (ខេមបូឌា) ឯ.ក </t>
        </is>
      </c>
      <c r="U623" t="n">
        <v>16304</v>
      </c>
      <c r="V623" t="n">
        <v>0</v>
      </c>
    </row>
    <row r="624">
      <c r="A624" t="n">
        <v>623</v>
      </c>
      <c r="B624" t="inlineStr">
        <is>
          <t>Doc Fee and Agency Fee</t>
        </is>
      </c>
      <c r="C624" t="inlineStr">
        <is>
          <t>អ៊ែតវ៉ានស៍ គ្លរី ឡូជីស្ទីក (ខេមបូឌា) (អេ ជី អិល)</t>
        </is>
      </c>
      <c r="D624" t="inlineStr">
        <is>
          <t>K005-100059945</t>
        </is>
      </c>
      <c r="E624" t="inlineStr">
        <is>
          <t>AGL2400694</t>
        </is>
      </c>
      <c r="F624" t="inlineStr">
        <is>
          <t>13-05-2024</t>
        </is>
      </c>
      <c r="G624" t="n">
        <v>44847</v>
      </c>
      <c r="I624">
        <f>G624</f>
        <v/>
      </c>
      <c r="K624">
        <f>I624-G624</f>
        <v/>
      </c>
      <c r="M624">
        <f>R624=E624</f>
        <v/>
      </c>
      <c r="N624">
        <f>AND(MONTH(F624)=MONTH(Q624), YEAR(F624)=YEAR(Q624))</f>
        <v/>
      </c>
      <c r="O624">
        <f>"L001-902303751"=S624</f>
        <v/>
      </c>
      <c r="P624">
        <f>G624-U624</f>
        <v/>
      </c>
      <c r="Q624" s="35" t="n">
        <v>45327</v>
      </c>
      <c r="R624" t="n">
        <v>112718</v>
      </c>
      <c r="S624" t="inlineStr">
        <is>
          <t>K005-901805913</t>
        </is>
      </c>
      <c r="T624" t="inlineStr">
        <is>
          <t>ស្តារ ខង់ខដ (ខេមបូឌា) ឯ.ក</t>
        </is>
      </c>
      <c r="U624" t="n">
        <v>112718</v>
      </c>
      <c r="V624" t="n">
        <v>0</v>
      </c>
    </row>
    <row r="625">
      <c r="A625" t="n">
        <v>624</v>
      </c>
      <c r="B625" t="inlineStr">
        <is>
          <t>Customs Clearance Fee and Trucking Fee</t>
        </is>
      </c>
      <c r="C625" t="inlineStr">
        <is>
          <t>ត្រាយអ៊ែងហ្គល ឡូជីស្ទីក (ខេមបូឌា) ឯ.ក</t>
        </is>
      </c>
      <c r="D625" t="inlineStr">
        <is>
          <t>K010-902101743</t>
        </is>
      </c>
      <c r="E625" t="inlineStr">
        <is>
          <t>TAG-24-00366</t>
        </is>
      </c>
      <c r="F625" t="inlineStr">
        <is>
          <t>27-05-2024</t>
        </is>
      </c>
      <c r="G625" t="n">
        <v>32648</v>
      </c>
      <c r="I625">
        <f>G625</f>
        <v/>
      </c>
      <c r="K625">
        <f>I625-G625</f>
        <v/>
      </c>
      <c r="M625">
        <f>R625=E625</f>
        <v/>
      </c>
      <c r="N625">
        <f>AND(MONTH(F625)=MONTH(Q625), YEAR(F625)=YEAR(Q625))</f>
        <v/>
      </c>
      <c r="O625">
        <f>"L001-902303751"=S625</f>
        <v/>
      </c>
      <c r="P625">
        <f>G625-U625</f>
        <v/>
      </c>
      <c r="Q625" s="35" t="n">
        <v>45327</v>
      </c>
      <c r="R625" t="n">
        <v>110268</v>
      </c>
      <c r="S625" t="inlineStr">
        <is>
          <t>L001-107041723</t>
        </is>
      </c>
      <c r="T625" t="inlineStr">
        <is>
          <t>ឌីប៊ី សេនឃើរ (ខេមបូឌា) លីមីធីត</t>
        </is>
      </c>
      <c r="U625" t="n">
        <v>110268</v>
      </c>
      <c r="V625" t="n">
        <v>0</v>
      </c>
    </row>
    <row r="626">
      <c r="A626" t="n">
        <v>625</v>
      </c>
      <c r="B626" t="inlineStr">
        <is>
          <t>Charge from warehouse and Storage Charges</t>
        </is>
      </c>
      <c r="C626" t="inlineStr">
        <is>
          <t>កំពង់ផែស្វយ័តក្រុងព្រះសីហនុ</t>
        </is>
      </c>
      <c r="D626" t="inlineStr">
        <is>
          <t>L001-100044638</t>
        </is>
      </c>
      <c r="E626" t="inlineStr">
        <is>
          <t>099489</t>
        </is>
      </c>
      <c r="F626" t="inlineStr">
        <is>
          <t>27-05-2024</t>
        </is>
      </c>
      <c r="G626" t="n">
        <v>664</v>
      </c>
      <c r="I626">
        <f>G626</f>
        <v/>
      </c>
      <c r="K626">
        <f>I626-G626</f>
        <v/>
      </c>
      <c r="M626">
        <f>R626=E626</f>
        <v/>
      </c>
      <c r="N626">
        <f>AND(MONTH(F626)=MONTH(Q626), YEAR(F626)=YEAR(Q626))</f>
        <v/>
      </c>
      <c r="O626">
        <f>"L001-902303751"=S626</f>
        <v/>
      </c>
      <c r="P626">
        <f>G626-U626</f>
        <v/>
      </c>
      <c r="Q626" s="35" t="n">
        <v>45342</v>
      </c>
      <c r="R626" t="n">
        <v>81540</v>
      </c>
      <c r="S626" t="inlineStr">
        <is>
          <t>L001-100045995</t>
        </is>
      </c>
      <c r="T626" t="inlineStr">
        <is>
          <t>ឌីអេចអិល ឡូជីស្ទីក (ខេមបូឌា)</t>
        </is>
      </c>
      <c r="U626" t="n">
        <v>81540</v>
      </c>
      <c r="V626" t="n">
        <v>0</v>
      </c>
    </row>
    <row r="627">
      <c r="A627" t="n">
        <v>626</v>
      </c>
      <c r="B627" t="inlineStr">
        <is>
          <t>Import Shipment Expense</t>
        </is>
      </c>
      <c r="C627" t="inlineStr">
        <is>
          <t>អូរៀនថល ឡូជីស្ទីក &amp; ឌីស្ទ្រីប៊្យូសិន (ខេមបូឌា)</t>
        </is>
      </c>
      <c r="D627" t="inlineStr">
        <is>
          <t>L001-103007369</t>
        </is>
      </c>
      <c r="E627" t="inlineStr">
        <is>
          <t>24-4787</t>
        </is>
      </c>
      <c r="F627" t="inlineStr">
        <is>
          <t>20-05-2024</t>
        </is>
      </c>
      <c r="G627" t="n">
        <v>68086</v>
      </c>
      <c r="I627">
        <f>G627</f>
        <v/>
      </c>
      <c r="K627">
        <f>I627-G627</f>
        <v/>
      </c>
      <c r="M627">
        <f>R627=E627</f>
        <v/>
      </c>
      <c r="N627">
        <f>AND(MONTH(F627)=MONTH(Q627), YEAR(F627)=YEAR(Q627))</f>
        <v/>
      </c>
      <c r="O627">
        <f>"L001-902303751"=S627</f>
        <v/>
      </c>
      <c r="P627">
        <f>G627-U627</f>
        <v/>
      </c>
      <c r="Q627" s="35" t="n">
        <v>45334</v>
      </c>
      <c r="R627" t="inlineStr"/>
      <c r="S627" t="inlineStr">
        <is>
          <t>L001-100045340</t>
        </is>
      </c>
      <c r="T627" t="inlineStr">
        <is>
          <t xml:space="preserve">ស៊ីវ៉ា អ៊ែរ អ៊ែន អូសៀន (ខេមបូឌា) ឯ.ក </t>
        </is>
      </c>
      <c r="U627" t="n">
        <v>0</v>
      </c>
      <c r="V627" t="n">
        <v>0</v>
      </c>
    </row>
    <row r="628">
      <c r="A628" t="n">
        <v>627</v>
      </c>
      <c r="B628" t="inlineStr">
        <is>
          <t>Customs Clearance Fee and Trucking Fee</t>
        </is>
      </c>
      <c r="C628" t="inlineStr">
        <is>
          <t>ត្រាយអ៊ែងហ្គល ឡូជីស្ទីក (ខេមបូឌា) ឯ.ក</t>
        </is>
      </c>
      <c r="D628" t="inlineStr">
        <is>
          <t>K010-902101743</t>
        </is>
      </c>
      <c r="E628" t="inlineStr">
        <is>
          <t>TAG-24-00367</t>
        </is>
      </c>
      <c r="F628" t="inlineStr">
        <is>
          <t>27-05-2024</t>
        </is>
      </c>
      <c r="G628" t="n">
        <v>32648</v>
      </c>
      <c r="I628">
        <f>G628</f>
        <v/>
      </c>
      <c r="K628">
        <f>I628-G628</f>
        <v/>
      </c>
      <c r="M628">
        <f>R628=E628</f>
        <v/>
      </c>
      <c r="N628">
        <f>AND(MONTH(F628)=MONTH(Q628), YEAR(F628)=YEAR(Q628))</f>
        <v/>
      </c>
      <c r="O628">
        <f>"L001-902303751"=S628</f>
        <v/>
      </c>
      <c r="P628">
        <f>G628-U628</f>
        <v/>
      </c>
      <c r="Q628" s="35" t="n">
        <v>45327</v>
      </c>
      <c r="R628" t="n">
        <v>112718</v>
      </c>
      <c r="S628" t="inlineStr">
        <is>
          <t>K003-901635943</t>
        </is>
      </c>
      <c r="T628" t="inlineStr">
        <is>
          <t>អ៊ីឃ្យូឡាញ វើលវ៉ាយដ៍ ឡូជីស្ទីក</t>
        </is>
      </c>
      <c r="U628" t="n">
        <v>112718</v>
      </c>
      <c r="V628" t="n">
        <v>0</v>
      </c>
    </row>
    <row r="629">
      <c r="A629" t="n">
        <v>628</v>
      </c>
      <c r="B629" t="inlineStr">
        <is>
          <t>Charge from warehouse and Storage Charges</t>
        </is>
      </c>
      <c r="C629" t="inlineStr">
        <is>
          <t>កំពង់ផែស្វយ័តក្រុងព្រះសីហនុ</t>
        </is>
      </c>
      <c r="D629" t="inlineStr">
        <is>
          <t>L001-100044638</t>
        </is>
      </c>
      <c r="E629" t="inlineStr">
        <is>
          <t>099479</t>
        </is>
      </c>
      <c r="F629" t="inlineStr">
        <is>
          <t>27-05-2024</t>
        </is>
      </c>
      <c r="G629" t="n">
        <v>664</v>
      </c>
      <c r="I629">
        <f>G629</f>
        <v/>
      </c>
      <c r="K629">
        <f>I629-G629</f>
        <v/>
      </c>
      <c r="M629">
        <f>R629=E629</f>
        <v/>
      </c>
      <c r="N629">
        <f>AND(MONTH(F629)=MONTH(Q629), YEAR(F629)=YEAR(Q629))</f>
        <v/>
      </c>
      <c r="O629">
        <f>"L001-902303751"=S629</f>
        <v/>
      </c>
      <c r="P629">
        <f>G629-U629</f>
        <v/>
      </c>
      <c r="Q629" s="35" t="n">
        <v>45328</v>
      </c>
      <c r="R629" t="inlineStr"/>
      <c r="S629" t="inlineStr">
        <is>
          <t>L001-103007369</t>
        </is>
      </c>
      <c r="T629" t="inlineStr">
        <is>
          <t>អូរៀនថល ឡូជីស្ទីក &amp; ឌីស្ទ្រីប៊្យូសិន (ខេមបូឌា)</t>
        </is>
      </c>
      <c r="U629" t="n">
        <v>0</v>
      </c>
      <c r="V629" t="n">
        <v>0</v>
      </c>
    </row>
    <row r="630">
      <c r="A630" t="n">
        <v>629</v>
      </c>
      <c r="B630" t="inlineStr">
        <is>
          <t>Import Shipment Expense</t>
        </is>
      </c>
      <c r="C630" t="inlineStr">
        <is>
          <t>ត្រាយអ៊ែងហ្គល ឡូជីស្ទីក (ខេមបូឌា) ឯ.ក</t>
        </is>
      </c>
      <c r="D630" t="inlineStr">
        <is>
          <t>K010-902101743</t>
        </is>
      </c>
      <c r="E630" t="inlineStr">
        <is>
          <t>TAG-24-00347</t>
        </is>
      </c>
      <c r="F630" t="inlineStr">
        <is>
          <t>20-05-2024</t>
        </is>
      </c>
      <c r="G630" t="n">
        <v>78686</v>
      </c>
      <c r="I630">
        <f>G630</f>
        <v/>
      </c>
      <c r="K630">
        <f>I630-G630</f>
        <v/>
      </c>
      <c r="M630">
        <f>R630=E630</f>
        <v/>
      </c>
      <c r="N630">
        <f>AND(MONTH(F630)=MONTH(Q630), YEAR(F630)=YEAR(Q630))</f>
        <v/>
      </c>
      <c r="O630">
        <f>"L001-902303751"=S630</f>
        <v/>
      </c>
      <c r="P630">
        <f>G630-U630</f>
        <v/>
      </c>
      <c r="Q630" s="35" t="n">
        <v>45327</v>
      </c>
      <c r="R630" t="inlineStr"/>
      <c r="S630" t="inlineStr">
        <is>
          <t>K005-901805913</t>
        </is>
      </c>
      <c r="T630" t="inlineStr">
        <is>
          <t>ស្តារ ខង់ខដ (ខេមបូឌា) ឯ.ក</t>
        </is>
      </c>
      <c r="U630" t="n">
        <v>0</v>
      </c>
      <c r="V630" t="n">
        <v>0</v>
      </c>
    </row>
    <row r="631">
      <c r="A631" t="n">
        <v>630</v>
      </c>
      <c r="B631" t="inlineStr">
        <is>
          <t>Customs Clearance Fee and Trucking Fee</t>
        </is>
      </c>
      <c r="C631" t="inlineStr">
        <is>
          <t>ត្រាយអ៊ែងហ្គល ឡូជីស្ទីក (ខេមបូឌា) ឯ.ក</t>
        </is>
      </c>
      <c r="D631" t="inlineStr">
        <is>
          <t>K010-902101743</t>
        </is>
      </c>
      <c r="E631" t="inlineStr">
        <is>
          <t>TAG-24-00365</t>
        </is>
      </c>
      <c r="F631" t="inlineStr">
        <is>
          <t>27-05-2024</t>
        </is>
      </c>
      <c r="G631" t="n">
        <v>84484</v>
      </c>
      <c r="I631">
        <f>G631</f>
        <v/>
      </c>
      <c r="K631">
        <f>I631-G631</f>
        <v/>
      </c>
      <c r="M631">
        <f>R631=E631</f>
        <v/>
      </c>
      <c r="N631">
        <f>AND(MONTH(F631)=MONTH(Q631), YEAR(F631)=YEAR(Q631))</f>
        <v/>
      </c>
      <c r="O631">
        <f>"L001-902303751"=S631</f>
        <v/>
      </c>
      <c r="P631">
        <f>G631-U631</f>
        <v/>
      </c>
      <c r="Q631" s="35" t="n">
        <v>45348</v>
      </c>
      <c r="R631" t="n">
        <v>204565</v>
      </c>
      <c r="S631" t="inlineStr">
        <is>
          <t>L001-100074669</t>
        </is>
      </c>
      <c r="T631" t="inlineStr">
        <is>
          <t>ខេអិលអិន ហ្វ្រេត (ខេមបូឌា) ឯ.ក</t>
        </is>
      </c>
      <c r="U631" t="n">
        <v>204565</v>
      </c>
      <c r="V631" t="n">
        <v>0</v>
      </c>
    </row>
    <row r="632">
      <c r="A632" t="n">
        <v>631</v>
      </c>
      <c r="B632" t="inlineStr">
        <is>
          <t>Charge from warehouse and Storage Charges</t>
        </is>
      </c>
      <c r="C632" t="inlineStr">
        <is>
          <t>កំពង់ផែស្វយ័តក្រុងព្រះសីហនុ</t>
        </is>
      </c>
      <c r="D632" t="inlineStr">
        <is>
          <t>L001-100044638</t>
        </is>
      </c>
      <c r="E632" t="inlineStr">
        <is>
          <t>099484</t>
        </is>
      </c>
      <c r="F632" t="inlineStr">
        <is>
          <t>27-05-2024</t>
        </is>
      </c>
      <c r="G632" t="n">
        <v>3328</v>
      </c>
      <c r="I632">
        <f>G632</f>
        <v/>
      </c>
      <c r="K632">
        <f>I632-G632</f>
        <v/>
      </c>
      <c r="M632">
        <f>R632=E632</f>
        <v/>
      </c>
      <c r="N632">
        <f>AND(MONTH(F632)=MONTH(Q632), YEAR(F632)=YEAR(Q632))</f>
        <v/>
      </c>
      <c r="O632">
        <f>"L001-902303751"=S632</f>
        <v/>
      </c>
      <c r="P632">
        <f>G632-U632</f>
        <v/>
      </c>
      <c r="Q632" s="35" t="n">
        <v>45342</v>
      </c>
      <c r="R632" t="inlineStr"/>
      <c r="S632" t="inlineStr">
        <is>
          <t>L001-100045995</t>
        </is>
      </c>
      <c r="T632" t="inlineStr">
        <is>
          <t>ឌីអេចអិល ឡូជីស្ទីក (ខេមបូឌា)</t>
        </is>
      </c>
      <c r="U632" t="n">
        <v>0</v>
      </c>
      <c r="V632" t="n">
        <v>0</v>
      </c>
    </row>
    <row r="633">
      <c r="A633" t="n">
        <v>632</v>
      </c>
      <c r="B633" t="inlineStr">
        <is>
          <t>THC, Doc Fee and Container Imbalance</t>
        </is>
      </c>
      <c r="C633" t="inlineStr">
        <is>
          <t>សាខាក្រុមហ៊ុន ជីម៉ាឌីប ស៊ីបភីង ខមភេនី លីមីធីត</t>
        </is>
      </c>
      <c r="D633" t="inlineStr">
        <is>
          <t>L001-901704777</t>
        </is>
      </c>
      <c r="E633" t="inlineStr">
        <is>
          <t>24-01756</t>
        </is>
      </c>
      <c r="F633" t="inlineStr">
        <is>
          <t>28-05-2024</t>
        </is>
      </c>
      <c r="G633" t="n">
        <v>136781</v>
      </c>
      <c r="I633">
        <f>G633</f>
        <v/>
      </c>
      <c r="K633">
        <f>I633-G633</f>
        <v/>
      </c>
      <c r="M633">
        <f>R633=E633</f>
        <v/>
      </c>
      <c r="N633">
        <f>AND(MONTH(F633)=MONTH(Q633), YEAR(F633)=YEAR(Q633))</f>
        <v/>
      </c>
      <c r="O633">
        <f>"L001-902303751"=S633</f>
        <v/>
      </c>
      <c r="P633">
        <f>G633-U633</f>
        <v/>
      </c>
      <c r="Q633" s="35" t="n">
        <v>45369</v>
      </c>
      <c r="R633" t="inlineStr"/>
      <c r="S633" t="inlineStr">
        <is>
          <t>L001-100182259</t>
        </is>
      </c>
      <c r="T633" t="inlineStr">
        <is>
          <t>សាខាក្រុមហ៊ុន ប៊ី ឡូជីស្ទីក ខបភើរេសិន (ខេមបូឌា)</t>
        </is>
      </c>
      <c r="U633" t="n">
        <v>0</v>
      </c>
      <c r="V633" t="n">
        <v>0</v>
      </c>
    </row>
    <row r="634">
      <c r="A634" t="n">
        <v>633</v>
      </c>
      <c r="B634" t="inlineStr">
        <is>
          <t>Cargo Terminal</t>
        </is>
      </c>
      <c r="C634" t="inlineStr">
        <is>
          <t>សូស៊ីយេតេ កុងសេស្យូនែរ ដឺ ឡាអេរ៉ូព័រ</t>
        </is>
      </c>
      <c r="D634" t="inlineStr">
        <is>
          <t>L001-100047300</t>
        </is>
      </c>
      <c r="E634" t="inlineStr">
        <is>
          <t>2400-040113</t>
        </is>
      </c>
      <c r="F634" t="inlineStr">
        <is>
          <t>30-05-2024</t>
        </is>
      </c>
      <c r="G634" t="n">
        <v>2290</v>
      </c>
      <c r="I634">
        <f>G634</f>
        <v/>
      </c>
      <c r="K634">
        <f>I634-G634</f>
        <v/>
      </c>
      <c r="M634">
        <f>R634=E634</f>
        <v/>
      </c>
      <c r="N634">
        <f>AND(MONTH(F634)=MONTH(Q634), YEAR(F634)=YEAR(Q634))</f>
        <v/>
      </c>
      <c r="O634">
        <f>"L001-902303751"=S634</f>
        <v/>
      </c>
      <c r="P634">
        <f>G634-U634</f>
        <v/>
      </c>
      <c r="Q634" s="35" t="n">
        <v>45369</v>
      </c>
      <c r="R634" t="n">
        <v>111568</v>
      </c>
      <c r="S634" t="inlineStr">
        <is>
          <t>L001-107032791</t>
        </is>
      </c>
      <c r="T634" t="inlineStr">
        <is>
          <t>នីបផន អិចប្រេស (ខេមបូឌា) ខូ អិលធីឌី</t>
        </is>
      </c>
      <c r="U634" t="n">
        <v>111568</v>
      </c>
      <c r="V634" t="n">
        <v>0</v>
      </c>
    </row>
    <row r="635">
      <c r="A635" t="n">
        <v>634</v>
      </c>
      <c r="B635" t="inlineStr">
        <is>
          <t>Cable</t>
        </is>
      </c>
      <c r="C635" t="inlineStr">
        <is>
          <t>អ៊ីភី អ៊ីធើណល ប្រូហ្វីត</t>
        </is>
      </c>
      <c r="D635" t="inlineStr">
        <is>
          <t>K010-902202514</t>
        </is>
      </c>
      <c r="E635" t="inlineStr">
        <is>
          <t>000014</t>
        </is>
      </c>
      <c r="F635" t="inlineStr">
        <is>
          <t>27-05-2024</t>
        </is>
      </c>
      <c r="G635" t="n">
        <v>22261</v>
      </c>
      <c r="I635">
        <f>G635</f>
        <v/>
      </c>
      <c r="K635">
        <f>I635-G635</f>
        <v/>
      </c>
      <c r="M635">
        <f>R635=E635</f>
        <v/>
      </c>
      <c r="N635">
        <f>AND(MONTH(F635)=MONTH(Q635), YEAR(F635)=YEAR(Q635))</f>
        <v/>
      </c>
      <c r="O635">
        <f>"L001-902303751"=S635</f>
        <v/>
      </c>
      <c r="P635">
        <f>G635-U635</f>
        <v/>
      </c>
      <c r="Q635" s="35" t="n">
        <v>45355</v>
      </c>
      <c r="R635" t="inlineStr"/>
      <c r="S635" t="inlineStr">
        <is>
          <t>K005-100059945</t>
        </is>
      </c>
      <c r="T635" t="inlineStr">
        <is>
          <t>អ៊ែតវ៉ានស៍ គ្លរី ឡូជីស្ទីក (ខេមបូឌា) (អេ ជី អិល)</t>
        </is>
      </c>
      <c r="U635" t="n">
        <v>0</v>
      </c>
      <c r="V635" t="n">
        <v>0</v>
      </c>
    </row>
    <row r="636">
      <c r="A636" t="n">
        <v>635</v>
      </c>
      <c r="B636" t="inlineStr">
        <is>
          <t>Doc Fee and Agency Fee</t>
        </is>
      </c>
      <c r="C636" t="inlineStr">
        <is>
          <t>អ៊ែតវ៉ានស៍ គ្លរី ឡូជីស្ទីក (ខេមបូឌា) (អេ ជី អិល)</t>
        </is>
      </c>
      <c r="D636" t="inlineStr">
        <is>
          <t>K005-100059945</t>
        </is>
      </c>
      <c r="E636" t="inlineStr">
        <is>
          <t>AGL2400776</t>
        </is>
      </c>
      <c r="F636" t="inlineStr">
        <is>
          <t>28-05-2024</t>
        </is>
      </c>
      <c r="G636" t="n">
        <v>44913</v>
      </c>
      <c r="I636">
        <f>G636</f>
        <v/>
      </c>
      <c r="K636">
        <f>I636-G636</f>
        <v/>
      </c>
      <c r="M636">
        <f>R636=E636</f>
        <v/>
      </c>
      <c r="N636">
        <f>AND(MONTH(F636)=MONTH(Q636), YEAR(F636)=YEAR(Q636))</f>
        <v/>
      </c>
      <c r="O636">
        <f>"L001-902303751"=S636</f>
        <v/>
      </c>
      <c r="P636">
        <f>G636-U636</f>
        <v/>
      </c>
      <c r="Q636" s="35" t="n">
        <v>45362</v>
      </c>
      <c r="R636" t="inlineStr"/>
      <c r="S636" t="inlineStr">
        <is>
          <t>L001-107000385</t>
        </is>
      </c>
      <c r="T636" t="inlineStr">
        <is>
          <t>អិចស្ពោលាំងកា ហ្រ្វេត (ខេមបូឌា) លីមីធីត</t>
        </is>
      </c>
      <c r="U636" t="n">
        <v>0</v>
      </c>
      <c r="V636" t="n">
        <v>0</v>
      </c>
    </row>
    <row r="637">
      <c r="A637" t="n">
        <v>636</v>
      </c>
      <c r="B637" t="inlineStr">
        <is>
          <t>Hardware</t>
        </is>
      </c>
      <c r="C637" t="inlineStr">
        <is>
          <t>ភ្នំពេញ ថប វើលដ៍ ខនស្ត្រាក់សិន &amp; អេនជីនារីង ឯ.ក</t>
        </is>
      </c>
      <c r="D637" t="inlineStr">
        <is>
          <t>K005-901638261</t>
        </is>
      </c>
      <c r="E637" t="inlineStr">
        <is>
          <t>000014</t>
        </is>
      </c>
      <c r="F637" t="inlineStr">
        <is>
          <t>30-05-2024</t>
        </is>
      </c>
      <c r="G637" t="n">
        <v>308197</v>
      </c>
      <c r="I637">
        <f>G637</f>
        <v/>
      </c>
      <c r="K637">
        <f>I637-G637</f>
        <v/>
      </c>
      <c r="M637">
        <f>R637=E637</f>
        <v/>
      </c>
      <c r="N637">
        <f>AND(MONTH(F637)=MONTH(Q637), YEAR(F637)=YEAR(Q637))</f>
        <v/>
      </c>
      <c r="O637">
        <f>"L001-902303751"=S637</f>
        <v/>
      </c>
      <c r="P637">
        <f>G637-U637</f>
        <v/>
      </c>
      <c r="Q637" s="35" t="n">
        <v>45376</v>
      </c>
      <c r="R637" t="n">
        <v>129845</v>
      </c>
      <c r="S637" t="inlineStr">
        <is>
          <t>K003-901635943</t>
        </is>
      </c>
      <c r="T637" t="inlineStr">
        <is>
          <t>អ៊ីឃ្យូឡាញ វើលវ៉ាយដ៍ ឡូជីស្ទីក</t>
        </is>
      </c>
      <c r="U637" t="n">
        <v>129845</v>
      </c>
      <c r="V637" t="n">
        <v>0</v>
      </c>
    </row>
    <row r="638">
      <c r="A638" t="n">
        <v>637</v>
      </c>
      <c r="B638" t="inlineStr">
        <is>
          <t>Raw Material</t>
        </is>
      </c>
      <c r="C638" t="inlineStr">
        <is>
          <t>យីស៊ូ ធេមផ្លេត ក្រាហ្វ ឯ.ក</t>
        </is>
      </c>
      <c r="D638" t="inlineStr">
        <is>
          <t>K010-902200360</t>
        </is>
      </c>
      <c r="E638" t="inlineStr">
        <is>
          <t>24-0096</t>
        </is>
      </c>
      <c r="F638" t="inlineStr">
        <is>
          <t>30-05-2024</t>
        </is>
      </c>
      <c r="G638" t="n">
        <v>582007</v>
      </c>
      <c r="I638">
        <f>G638</f>
        <v/>
      </c>
      <c r="K638">
        <f>I638-G638</f>
        <v/>
      </c>
      <c r="M638">
        <f>R638=E638</f>
        <v/>
      </c>
      <c r="N638">
        <f>AND(MONTH(F638)=MONTH(Q638), YEAR(F638)=YEAR(Q638))</f>
        <v/>
      </c>
      <c r="O638">
        <f>"L001-902303751"=S638</f>
        <v/>
      </c>
      <c r="P638">
        <f>G638-U638</f>
        <v/>
      </c>
      <c r="Q638" s="35" t="n">
        <v>45373</v>
      </c>
      <c r="R638" t="inlineStr"/>
      <c r="S638" t="inlineStr">
        <is>
          <t>L001-103007369</t>
        </is>
      </c>
      <c r="T638" t="inlineStr">
        <is>
          <t>អូរៀនថល ឡូជីស្ទីក &amp; ឌីស្ទ្រីប៊្យូសិន (ខេមបូឌា)</t>
        </is>
      </c>
      <c r="U638" t="n">
        <v>0</v>
      </c>
      <c r="V638" t="n">
        <v>0</v>
      </c>
    </row>
    <row r="639">
      <c r="A639" t="n">
        <v>638</v>
      </c>
      <c r="B639" t="inlineStr">
        <is>
          <t>Sending Sample</t>
        </is>
      </c>
      <c r="C639" t="inlineStr">
        <is>
          <t>ឌី អេច អិល អិចប្រេស (ខេមបូឌា)</t>
        </is>
      </c>
      <c r="D639" t="inlineStr">
        <is>
          <t>L001-100045197</t>
        </is>
      </c>
      <c r="E639" t="inlineStr">
        <is>
          <t>PNHIR00216813</t>
        </is>
      </c>
      <c r="F639" t="inlineStr">
        <is>
          <t>08-05-2024</t>
        </is>
      </c>
      <c r="G639" t="n">
        <v>16300</v>
      </c>
      <c r="I639">
        <f>G639</f>
        <v/>
      </c>
      <c r="K639">
        <f>I639-G639</f>
        <v/>
      </c>
      <c r="M639">
        <f>R639=E639</f>
        <v/>
      </c>
      <c r="N639">
        <f>AND(MONTH(F639)=MONTH(Q639), YEAR(F639)=YEAR(Q639))</f>
        <v/>
      </c>
      <c r="O639">
        <f>"L001-902303751"=S639</f>
        <v/>
      </c>
      <c r="P639">
        <f>G639-U639</f>
        <v/>
      </c>
      <c r="Q639" s="35" t="n">
        <v>45376</v>
      </c>
      <c r="R639" t="n">
        <v>82923</v>
      </c>
      <c r="S639" t="inlineStr">
        <is>
          <t>L001-100045995</t>
        </is>
      </c>
      <c r="T639" t="inlineStr">
        <is>
          <t>ឌីអេចអិល ឡូជីស្ទីក (ខេមបូឌា)</t>
        </is>
      </c>
      <c r="U639" t="n">
        <v>82923</v>
      </c>
      <c r="V639" t="n">
        <v>0</v>
      </c>
    </row>
    <row r="640">
      <c r="A640" t="n">
        <v>639</v>
      </c>
      <c r="B640" t="inlineStr">
        <is>
          <t>Sending Sample</t>
        </is>
      </c>
      <c r="C640" t="inlineStr">
        <is>
          <t>ឌី អេច អិល អិចប្រេស (ខេមបូឌា)</t>
        </is>
      </c>
      <c r="D640" t="inlineStr">
        <is>
          <t>L001-100045197</t>
        </is>
      </c>
      <c r="E640" t="inlineStr">
        <is>
          <t>PNHIR00219286</t>
        </is>
      </c>
      <c r="F640" t="inlineStr">
        <is>
          <t>20-05-2024</t>
        </is>
      </c>
      <c r="G640" t="n">
        <v>12231</v>
      </c>
      <c r="I640">
        <f>G640</f>
        <v/>
      </c>
      <c r="K640">
        <f>I640-G640</f>
        <v/>
      </c>
      <c r="M640">
        <f>R640=E640</f>
        <v/>
      </c>
      <c r="N640">
        <f>AND(MONTH(F640)=MONTH(Q640), YEAR(F640)=YEAR(Q640))</f>
        <v/>
      </c>
      <c r="O640">
        <f>"L001-902303751"=S640</f>
        <v/>
      </c>
      <c r="P640">
        <f>G640-U640</f>
        <v/>
      </c>
      <c r="Q640" s="35" t="n">
        <v>45376</v>
      </c>
      <c r="R640" t="inlineStr"/>
      <c r="S640" t="inlineStr">
        <is>
          <t>L001-100045340</t>
        </is>
      </c>
      <c r="T640" t="inlineStr">
        <is>
          <t xml:space="preserve">ស៊ីវ៉ា អ៊ែរ អ៊ែន អូសៀន (ខេមបូឌា) ឯ.ក </t>
        </is>
      </c>
      <c r="U640" t="n">
        <v>0</v>
      </c>
      <c r="V640" t="n">
        <v>0</v>
      </c>
    </row>
    <row r="641">
      <c r="A641" t="n">
        <v>640</v>
      </c>
      <c r="B641" t="inlineStr">
        <is>
          <t>Sodium Metabisulfite</t>
        </is>
      </c>
      <c r="C641" t="inlineStr">
        <is>
          <t>គី ស៊ីង អ៊ីមផត អិចផត ឯ.ក</t>
        </is>
      </c>
      <c r="D641" t="inlineStr">
        <is>
          <t>B108-901805414</t>
        </is>
      </c>
      <c r="E641" t="inlineStr">
        <is>
          <t>QX0173</t>
        </is>
      </c>
      <c r="F641" t="inlineStr">
        <is>
          <t>31-05-2024</t>
        </is>
      </c>
      <c r="G641" t="n">
        <v>130976</v>
      </c>
      <c r="I641">
        <f>G641</f>
        <v/>
      </c>
      <c r="K641">
        <f>I641-G641</f>
        <v/>
      </c>
      <c r="M641">
        <f>R641=E641</f>
        <v/>
      </c>
      <c r="N641">
        <f>AND(MONTH(F641)=MONTH(Q641), YEAR(F641)=YEAR(Q641))</f>
        <v/>
      </c>
      <c r="O641">
        <f>"L001-902303751"=S641</f>
        <v/>
      </c>
      <c r="P641">
        <f>G641-U641</f>
        <v/>
      </c>
      <c r="Q641" s="35" t="n">
        <v>45355</v>
      </c>
      <c r="R641" t="inlineStr"/>
      <c r="S641" t="inlineStr">
        <is>
          <t>L001-107032791</t>
        </is>
      </c>
      <c r="T641" t="inlineStr">
        <is>
          <t>នីបផន អិចប្រេស (ខេមបូឌា) ខូ អិលធីឌី</t>
        </is>
      </c>
      <c r="U641" t="n">
        <v>0</v>
      </c>
      <c r="V641" t="n">
        <v>0</v>
      </c>
    </row>
    <row r="642">
      <c r="A642" t="n">
        <v>641</v>
      </c>
      <c r="B642" t="inlineStr">
        <is>
          <t>Over time Fee, Documentation Origin, Late SI Fee, Export Customs Clearance Fee, Entry Summary Declaration Fee, Entry Summary Declaration, ISPS/CSF/IFS Security Charge and CFS Charges</t>
        </is>
      </c>
      <c r="C642" t="inlineStr">
        <is>
          <t>ឌីប៊ី សេនឃើរ (ខេមបូឌា) លីមីធីត</t>
        </is>
      </c>
      <c r="D642" t="inlineStr">
        <is>
          <t>L001-107041723</t>
        </is>
      </c>
      <c r="E642" t="inlineStr">
        <is>
          <t>2400004169</t>
        </is>
      </c>
      <c r="F642" t="inlineStr">
        <is>
          <t>22-05-2024</t>
        </is>
      </c>
      <c r="G642" t="n">
        <v>858386</v>
      </c>
      <c r="I642">
        <f>G642</f>
        <v/>
      </c>
      <c r="K642">
        <f>I642-G642</f>
        <v/>
      </c>
      <c r="M642">
        <f>R642=E642</f>
        <v/>
      </c>
      <c r="N642">
        <f>AND(MONTH(F642)=MONTH(Q642), YEAR(F642)=YEAR(Q642))</f>
        <v/>
      </c>
      <c r="O642">
        <f>"L001-902303751"=S642</f>
        <v/>
      </c>
      <c r="P642">
        <f>G642-U642</f>
        <v/>
      </c>
      <c r="Q642" s="35" t="n">
        <v>45363</v>
      </c>
      <c r="R642" t="inlineStr"/>
      <c r="S642" t="inlineStr">
        <is>
          <t>L001-100045995</t>
        </is>
      </c>
      <c r="T642" t="inlineStr">
        <is>
          <t>ឌីអេចអិល ឡូជីស្ទីក (ខេមបូឌា)</t>
        </is>
      </c>
      <c r="U642" t="n">
        <v>0</v>
      </c>
      <c r="V642" t="n">
        <v>0</v>
      </c>
    </row>
    <row r="643">
      <c r="A643" t="n">
        <v>642</v>
      </c>
      <c r="B643" t="inlineStr">
        <is>
          <t>Documentation Origin, Handling Charges Origin, PLACI Fee and HAWB Transmission Fee</t>
        </is>
      </c>
      <c r="C643" t="inlineStr">
        <is>
          <t>ឌីប៊ី សេនឃើរ (ខេមបូឌា) លីមីធីត</t>
        </is>
      </c>
      <c r="D643" t="inlineStr">
        <is>
          <t>L001-107041723</t>
        </is>
      </c>
      <c r="E643" t="inlineStr">
        <is>
          <t>2400004227</t>
        </is>
      </c>
      <c r="F643" t="inlineStr">
        <is>
          <t>24-05-2024</t>
        </is>
      </c>
      <c r="G643" t="n">
        <v>50172</v>
      </c>
      <c r="I643">
        <f>G643</f>
        <v/>
      </c>
      <c r="K643">
        <f>I643-G643</f>
        <v/>
      </c>
      <c r="M643">
        <f>R643=E643</f>
        <v/>
      </c>
      <c r="N643">
        <f>AND(MONTH(F643)=MONTH(Q643), YEAR(F643)=YEAR(Q643))</f>
        <v/>
      </c>
      <c r="O643">
        <f>"L001-902303751"=S643</f>
        <v/>
      </c>
      <c r="P643">
        <f>G643-U643</f>
        <v/>
      </c>
      <c r="Q643" s="35" t="n">
        <v>45369</v>
      </c>
      <c r="R643" t="inlineStr"/>
      <c r="S643" t="inlineStr">
        <is>
          <t>K009-902002784</t>
        </is>
      </c>
      <c r="T643" t="inlineStr">
        <is>
          <t>ខាហ្គោលីង អ៊ិនធើណេសិនណល ឯ.ក</t>
        </is>
      </c>
      <c r="U643" t="n">
        <v>0</v>
      </c>
      <c r="V643" t="n">
        <v>0</v>
      </c>
    </row>
    <row r="644">
      <c r="A644" t="n">
        <v>643</v>
      </c>
      <c r="B644" t="inlineStr">
        <is>
          <t>Documentation Origin, Handling Charges Origin, PLACI Fee and HAWB Transmission Fee</t>
        </is>
      </c>
      <c r="C644" t="inlineStr">
        <is>
          <t>ឌីប៊ី សេនឃើរ (ខេមបូឌា) លីមីធីត</t>
        </is>
      </c>
      <c r="D644" t="inlineStr">
        <is>
          <t>L001-107041723</t>
        </is>
      </c>
      <c r="E644" t="inlineStr">
        <is>
          <t>2400004379</t>
        </is>
      </c>
      <c r="F644" t="inlineStr">
        <is>
          <t>29-05-2024</t>
        </is>
      </c>
      <c r="G644" t="n">
        <v>50246</v>
      </c>
      <c r="I644">
        <f>G644</f>
        <v/>
      </c>
      <c r="K644">
        <f>I644-G644</f>
        <v/>
      </c>
      <c r="M644">
        <f>R644=E644</f>
        <v/>
      </c>
      <c r="N644">
        <f>AND(MONTH(F644)=MONTH(Q644), YEAR(F644)=YEAR(Q644))</f>
        <v/>
      </c>
      <c r="O644">
        <f>"L001-902303751"=S644</f>
        <v/>
      </c>
      <c r="P644">
        <f>G644-U644</f>
        <v/>
      </c>
      <c r="Q644" s="35" t="n">
        <v>45370</v>
      </c>
      <c r="R644" t="inlineStr"/>
      <c r="S644" t="inlineStr">
        <is>
          <t>K003-901635943</t>
        </is>
      </c>
      <c r="T644" t="inlineStr">
        <is>
          <t>អ៊ីឃ្យូឡាញ វើលវ៉ាយដ៍ ឡូជីស្ទីក</t>
        </is>
      </c>
      <c r="U644" t="n">
        <v>0</v>
      </c>
      <c r="V644" t="n">
        <v>0</v>
      </c>
    </row>
    <row r="645">
      <c r="A645" t="n">
        <v>644</v>
      </c>
      <c r="B645" t="inlineStr">
        <is>
          <t>Shipment Expense</t>
        </is>
      </c>
      <c r="C645" t="inlineStr">
        <is>
          <t>អ៊ិចស្ពែឌីធ័រ ខេមបូឌា អិលធីឌី</t>
        </is>
      </c>
      <c r="D645" t="inlineStr">
        <is>
          <t>L001-100045898</t>
        </is>
      </c>
      <c r="E645" t="inlineStr">
        <is>
          <t>TI-0274056</t>
        </is>
      </c>
      <c r="F645" t="inlineStr">
        <is>
          <t>15-05-2024</t>
        </is>
      </c>
      <c r="G645" t="n">
        <v>103366</v>
      </c>
      <c r="I645">
        <f>G645</f>
        <v/>
      </c>
      <c r="K645">
        <f>I645-G645</f>
        <v/>
      </c>
      <c r="M645">
        <f>R645=E645</f>
        <v/>
      </c>
      <c r="N645">
        <f>AND(MONTH(F645)=MONTH(Q645), YEAR(F645)=YEAR(Q645))</f>
        <v/>
      </c>
      <c r="O645">
        <f>"L001-902303751"=S645</f>
        <v/>
      </c>
      <c r="P645">
        <f>G645-U645</f>
        <v/>
      </c>
      <c r="Q645" s="35" t="n">
        <v>45370</v>
      </c>
      <c r="R645" t="n">
        <v>82984</v>
      </c>
      <c r="S645" t="inlineStr">
        <is>
          <t>K003-901635943</t>
        </is>
      </c>
      <c r="T645" t="inlineStr">
        <is>
          <t>អ៊ីឃ្យូឡាញ វើលវ៉ាយដ៍ ឡូជីស្ទីក</t>
        </is>
      </c>
      <c r="U645" t="n">
        <v>82984</v>
      </c>
      <c r="V645" t="n">
        <v>0</v>
      </c>
    </row>
    <row r="646">
      <c r="A646" t="n">
        <v>645</v>
      </c>
      <c r="B646" t="inlineStr">
        <is>
          <t>Shipment Expense</t>
        </is>
      </c>
      <c r="C646" t="inlineStr">
        <is>
          <t>អ៊ិចស្ពែឌីធ័រ ខេមបូឌា អិលធីឌី</t>
        </is>
      </c>
      <c r="D646" t="inlineStr">
        <is>
          <t>L001-100045898</t>
        </is>
      </c>
      <c r="E646" t="inlineStr">
        <is>
          <t>TI-0274061</t>
        </is>
      </c>
      <c r="F646" t="inlineStr">
        <is>
          <t>15-05-2024</t>
        </is>
      </c>
      <c r="G646" t="n">
        <v>111275</v>
      </c>
      <c r="I646">
        <f>G646</f>
        <v/>
      </c>
      <c r="K646">
        <f>I646-G646</f>
        <v/>
      </c>
      <c r="M646">
        <f>R646=E646</f>
        <v/>
      </c>
      <c r="N646">
        <f>AND(MONTH(F646)=MONTH(Q646), YEAR(F646)=YEAR(Q646))</f>
        <v/>
      </c>
      <c r="O646">
        <f>"L001-902303751"=S646</f>
        <v/>
      </c>
      <c r="P646">
        <f>G646-U646</f>
        <v/>
      </c>
      <c r="Q646" s="35" t="n">
        <v>45369</v>
      </c>
      <c r="R646" t="n">
        <v>114002</v>
      </c>
      <c r="S646" t="inlineStr">
        <is>
          <t>K003-901635943</t>
        </is>
      </c>
      <c r="T646" t="inlineStr">
        <is>
          <t>អ៊ីឃ្យូឡាញ វើលវ៉ាយដ៍ ឡូជីស្ទីក</t>
        </is>
      </c>
      <c r="U646" t="n">
        <v>114002</v>
      </c>
      <c r="V646" t="n">
        <v>0</v>
      </c>
    </row>
    <row r="647">
      <c r="A647" t="n">
        <v>646</v>
      </c>
      <c r="B647" t="inlineStr">
        <is>
          <t>Shipment Expense</t>
        </is>
      </c>
      <c r="C647" t="inlineStr">
        <is>
          <t>អ៊ិចស្ពែឌីធ័រ ខេមបូឌា អិលធីឌី</t>
        </is>
      </c>
      <c r="D647" t="inlineStr">
        <is>
          <t>L001-100045898</t>
        </is>
      </c>
      <c r="E647" t="inlineStr">
        <is>
          <t>TI-0274062</t>
        </is>
      </c>
      <c r="F647" t="inlineStr">
        <is>
          <t>15-05-2024</t>
        </is>
      </c>
      <c r="G647" t="n">
        <v>94633</v>
      </c>
      <c r="I647">
        <f>G647</f>
        <v/>
      </c>
      <c r="K647">
        <f>I647-G647</f>
        <v/>
      </c>
      <c r="M647">
        <f>R647=E647</f>
        <v/>
      </c>
      <c r="N647">
        <f>AND(MONTH(F647)=MONTH(Q647), YEAR(F647)=YEAR(Q647))</f>
        <v/>
      </c>
      <c r="O647">
        <f>"L001-902303751"=S647</f>
        <v/>
      </c>
      <c r="P647">
        <f>G647-U647</f>
        <v/>
      </c>
      <c r="Q647" s="35" t="n">
        <v>45355</v>
      </c>
      <c r="R647" t="inlineStr"/>
      <c r="S647" t="inlineStr">
        <is>
          <t>K005-100059945</t>
        </is>
      </c>
      <c r="T647" t="inlineStr">
        <is>
          <t>អ៊ែតវ៉ានស៍ គ្លរី ឡូជីស្ទីក (ខេមបូឌា) (អេ ជី អិល)</t>
        </is>
      </c>
      <c r="U647" t="n">
        <v>0</v>
      </c>
      <c r="V647" t="n">
        <v>0</v>
      </c>
    </row>
    <row r="648">
      <c r="A648" t="n">
        <v>647</v>
      </c>
      <c r="B648" t="inlineStr">
        <is>
          <t>Shipment Expense</t>
        </is>
      </c>
      <c r="C648" t="inlineStr">
        <is>
          <t>អ៊ិចស្ពែឌីធ័រ ខេមបូឌា អិលធីឌី</t>
        </is>
      </c>
      <c r="D648" t="inlineStr">
        <is>
          <t>L001-100045898</t>
        </is>
      </c>
      <c r="E648" t="inlineStr">
        <is>
          <t>TI-0274659</t>
        </is>
      </c>
      <c r="F648" t="inlineStr">
        <is>
          <t>23-05-2024</t>
        </is>
      </c>
      <c r="G648" t="n">
        <v>47070</v>
      </c>
      <c r="I648">
        <f>G648</f>
        <v/>
      </c>
      <c r="K648">
        <f>I648-G648</f>
        <v/>
      </c>
      <c r="M648">
        <f>R648=E648</f>
        <v/>
      </c>
      <c r="N648">
        <f>AND(MONTH(F648)=MONTH(Q648), YEAR(F648)=YEAR(Q648))</f>
        <v/>
      </c>
      <c r="O648">
        <f>"L001-902303751"=S648</f>
        <v/>
      </c>
      <c r="P648">
        <f>G648-U648</f>
        <v/>
      </c>
      <c r="Q648" s="35" t="n">
        <v>45363</v>
      </c>
      <c r="R648" t="inlineStr"/>
      <c r="S648" t="inlineStr">
        <is>
          <t>K003-901635943</t>
        </is>
      </c>
      <c r="T648" t="inlineStr">
        <is>
          <t>អ៊ីឃ្យូឡាញ វើលវ៉ាយដ៍ ឡូជីស្ទីក</t>
        </is>
      </c>
      <c r="U648" t="n">
        <v>0</v>
      </c>
      <c r="V648" t="n">
        <v>0</v>
      </c>
    </row>
    <row r="649">
      <c r="A649" t="n">
        <v>648</v>
      </c>
      <c r="B649" t="inlineStr">
        <is>
          <t>Shipment Expense</t>
        </is>
      </c>
      <c r="C649" t="inlineStr">
        <is>
          <t>អ៊ិចស្ពែឌីធ័រ ខេមបូឌា អិលធីឌី</t>
        </is>
      </c>
      <c r="D649" t="inlineStr">
        <is>
          <t>L001-100045898</t>
        </is>
      </c>
      <c r="E649" t="inlineStr">
        <is>
          <t>TI-0274279</t>
        </is>
      </c>
      <c r="F649" t="inlineStr">
        <is>
          <t>20-05-2024</t>
        </is>
      </c>
      <c r="G649" t="n">
        <v>46886</v>
      </c>
      <c r="I649">
        <f>G649</f>
        <v/>
      </c>
      <c r="K649">
        <f>I649-G649</f>
        <v/>
      </c>
      <c r="M649">
        <f>R649=E649</f>
        <v/>
      </c>
      <c r="N649">
        <f>AND(MONTH(F649)=MONTH(Q649), YEAR(F649)=YEAR(Q649))</f>
        <v/>
      </c>
      <c r="O649">
        <f>"L001-902303751"=S649</f>
        <v/>
      </c>
      <c r="P649">
        <f>G649-U649</f>
        <v/>
      </c>
      <c r="Q649" s="35" t="n">
        <v>45363</v>
      </c>
      <c r="R649" t="inlineStr"/>
      <c r="S649" t="inlineStr">
        <is>
          <t>L001-107032791</t>
        </is>
      </c>
      <c r="T649" t="inlineStr">
        <is>
          <t>នីបផន អិចប្រេស (ខេមបូឌា) ខូ អិលធីឌី</t>
        </is>
      </c>
      <c r="U649" t="n">
        <v>0</v>
      </c>
      <c r="V649" t="n">
        <v>0</v>
      </c>
    </row>
    <row r="650">
      <c r="A650" t="n">
        <v>649</v>
      </c>
      <c r="B650" t="inlineStr">
        <is>
          <t>Shipment Expense</t>
        </is>
      </c>
      <c r="C650" t="inlineStr">
        <is>
          <t>អ៊ិចស្ពែឌីធ័រ ខេមបូឌា អិលធីឌី</t>
        </is>
      </c>
      <c r="D650" t="inlineStr">
        <is>
          <t>L001-100045898</t>
        </is>
      </c>
      <c r="E650" t="inlineStr">
        <is>
          <t>TI-0274756</t>
        </is>
      </c>
      <c r="F650" t="inlineStr">
        <is>
          <t>25-05-2024</t>
        </is>
      </c>
      <c r="G650" t="n">
        <v>46909</v>
      </c>
      <c r="I650">
        <f>G650</f>
        <v/>
      </c>
      <c r="K650">
        <f>I650-G650</f>
        <v/>
      </c>
      <c r="M650">
        <f>R650=E650</f>
        <v/>
      </c>
      <c r="N650">
        <f>AND(MONTH(F650)=MONTH(Q650), YEAR(F650)=YEAR(Q650))</f>
        <v/>
      </c>
      <c r="O650">
        <f>"L001-902303751"=S650</f>
        <v/>
      </c>
      <c r="P650">
        <f>G650-U650</f>
        <v/>
      </c>
      <c r="Q650" s="35" t="n">
        <v>45376</v>
      </c>
      <c r="R650" t="n">
        <v>111238</v>
      </c>
      <c r="S650" t="inlineStr">
        <is>
          <t>L001-107032791</t>
        </is>
      </c>
      <c r="T650" t="inlineStr">
        <is>
          <t>នីបផន អិចប្រេស (ខេមបូឌា) ខូ អិលធីឌី</t>
        </is>
      </c>
      <c r="U650" t="n">
        <v>111238</v>
      </c>
      <c r="V650" t="n">
        <v>0</v>
      </c>
    </row>
    <row r="651">
      <c r="A651" t="n">
        <v>650</v>
      </c>
      <c r="B651" t="inlineStr">
        <is>
          <t>Shipment Expense</t>
        </is>
      </c>
      <c r="C651" t="inlineStr">
        <is>
          <t>ឆាយ ដា ឡូយីស្ទីក</t>
        </is>
      </c>
      <c r="D651" t="inlineStr">
        <is>
          <t>L001-100063098</t>
        </is>
      </c>
      <c r="E651" t="inlineStr">
        <is>
          <t>2405006614</t>
        </is>
      </c>
      <c r="F651" t="inlineStr">
        <is>
          <t>20-05-2024</t>
        </is>
      </c>
      <c r="G651" t="n">
        <v>282944</v>
      </c>
      <c r="I651">
        <f>G651</f>
        <v/>
      </c>
      <c r="K651">
        <f>I651-G651</f>
        <v/>
      </c>
      <c r="M651">
        <f>R651=E651</f>
        <v/>
      </c>
      <c r="N651">
        <f>AND(MONTH(F651)=MONTH(Q651), YEAR(F651)=YEAR(Q651))</f>
        <v/>
      </c>
      <c r="O651">
        <f>"L001-902303751"=S651</f>
        <v/>
      </c>
      <c r="P651">
        <f>G651-U651</f>
        <v/>
      </c>
      <c r="Q651" s="35" t="n">
        <v>45355</v>
      </c>
      <c r="R651" t="inlineStr"/>
      <c r="S651" t="inlineStr">
        <is>
          <t>L001-100011888</t>
        </is>
      </c>
      <c r="T651" t="inlineStr">
        <is>
          <t>ត្រេន ស្តារ ហ្រេ្វត</t>
        </is>
      </c>
      <c r="U651" t="n">
        <v>0</v>
      </c>
      <c r="V651" t="n">
        <v>0</v>
      </c>
    </row>
    <row r="652">
      <c r="A652" t="n">
        <v>651</v>
      </c>
      <c r="B652" t="inlineStr">
        <is>
          <t>Shipment Expense</t>
        </is>
      </c>
      <c r="C652" t="inlineStr">
        <is>
          <t>ឆាយ ដា ឡូយីស្ទីក</t>
        </is>
      </c>
      <c r="D652" t="inlineStr">
        <is>
          <t>L001-100063098</t>
        </is>
      </c>
      <c r="E652" t="inlineStr">
        <is>
          <t>2405006328</t>
        </is>
      </c>
      <c r="F652" t="inlineStr">
        <is>
          <t>16-05-2024</t>
        </is>
      </c>
      <c r="G652" t="n">
        <v>77055</v>
      </c>
      <c r="I652">
        <f>G652</f>
        <v/>
      </c>
      <c r="K652">
        <f>I652-G652</f>
        <v/>
      </c>
      <c r="M652">
        <f>R652=E652</f>
        <v/>
      </c>
      <c r="N652">
        <f>AND(MONTH(F652)=MONTH(Q652), YEAR(F652)=YEAR(Q652))</f>
        <v/>
      </c>
      <c r="O652">
        <f>"L001-902303751"=S652</f>
        <v/>
      </c>
      <c r="P652">
        <f>G652-U652</f>
        <v/>
      </c>
      <c r="Q652" s="35" t="n">
        <v>45363</v>
      </c>
      <c r="R652" t="inlineStr"/>
      <c r="S652" t="inlineStr">
        <is>
          <t>K009-902002784</t>
        </is>
      </c>
      <c r="T652" t="inlineStr">
        <is>
          <t>ខាហ្គោលីង អ៊ិនធើណេសិនណល ឯ.ក</t>
        </is>
      </c>
      <c r="U652" t="n">
        <v>0</v>
      </c>
      <c r="V652" t="n">
        <v>0</v>
      </c>
    </row>
    <row r="653">
      <c r="A653" t="n">
        <v>652</v>
      </c>
      <c r="B653" t="inlineStr">
        <is>
          <t>Shipment Expense</t>
        </is>
      </c>
      <c r="C653" t="inlineStr">
        <is>
          <t>ឆាយ ដា ឡូយីស្ទីក</t>
        </is>
      </c>
      <c r="D653" t="inlineStr">
        <is>
          <t>L001-100063098</t>
        </is>
      </c>
      <c r="E653" t="inlineStr">
        <is>
          <t>2405006210</t>
        </is>
      </c>
      <c r="F653" t="inlineStr">
        <is>
          <t>13-05-2024</t>
        </is>
      </c>
      <c r="G653" t="n">
        <v>77055</v>
      </c>
      <c r="I653">
        <f>G653</f>
        <v/>
      </c>
      <c r="K653">
        <f>I653-G653</f>
        <v/>
      </c>
      <c r="M653">
        <f>R653=E653</f>
        <v/>
      </c>
      <c r="N653">
        <f>AND(MONTH(F653)=MONTH(Q653), YEAR(F653)=YEAR(Q653))</f>
        <v/>
      </c>
      <c r="O653">
        <f>"L001-902303751"=S653</f>
        <v/>
      </c>
      <c r="P653">
        <f>G653-U653</f>
        <v/>
      </c>
      <c r="Q653" s="35" t="n">
        <v>45379</v>
      </c>
      <c r="R653" t="n">
        <v>2014533</v>
      </c>
      <c r="S653" t="inlineStr">
        <is>
          <t>K004-105012505</t>
        </is>
      </c>
      <c r="T653" t="inlineStr">
        <is>
          <t>អេស៊ាន ហ្វ្រេត (ខេមបូឌា)</t>
        </is>
      </c>
      <c r="U653" t="n">
        <v>2014533</v>
      </c>
      <c r="V653" t="n">
        <v>0</v>
      </c>
    </row>
    <row r="654">
      <c r="A654" t="n">
        <v>653</v>
      </c>
      <c r="B654" t="inlineStr">
        <is>
          <t>Export Custom Clearance, Overtime Charges and Standby Fee</t>
        </is>
      </c>
      <c r="C654" t="inlineStr">
        <is>
          <t>អ៊ីឃ្យូឡាញ វើលវ៉ាយដ៍ ឡូជីស្ទីក</t>
        </is>
      </c>
      <c r="D654" t="inlineStr">
        <is>
          <t>K003-901635943</t>
        </is>
      </c>
      <c r="E654" t="inlineStr">
        <is>
          <t>PPTI24/002630</t>
        </is>
      </c>
      <c r="F654" t="inlineStr">
        <is>
          <t>27-05-2024</t>
        </is>
      </c>
      <c r="G654" t="n">
        <v>195888</v>
      </c>
      <c r="I654">
        <f>G654</f>
        <v/>
      </c>
      <c r="K654">
        <f>I654-G654</f>
        <v/>
      </c>
      <c r="M654">
        <f>R654=E654</f>
        <v/>
      </c>
      <c r="N654">
        <f>AND(MONTH(F654)=MONTH(Q654), YEAR(F654)=YEAR(Q654))</f>
        <v/>
      </c>
      <c r="O654">
        <f>"L001-902303751"=S654</f>
        <v/>
      </c>
      <c r="P654">
        <f>G654-U654</f>
        <v/>
      </c>
      <c r="Q654" s="35" t="n">
        <v>45355</v>
      </c>
      <c r="R654" t="inlineStr"/>
      <c r="S654" t="inlineStr">
        <is>
          <t>K003-901635943</t>
        </is>
      </c>
      <c r="T654" t="inlineStr">
        <is>
          <t>អ៊ីឃ្យូឡាញ វើលវ៉ាយដ៍ ឡូជីស្ទីក</t>
        </is>
      </c>
      <c r="U654" t="n">
        <v>0</v>
      </c>
      <c r="V654" t="n">
        <v>0</v>
      </c>
    </row>
    <row r="655">
      <c r="A655" t="n">
        <v>654</v>
      </c>
      <c r="B655" t="inlineStr">
        <is>
          <t>Export Custom Clearance</t>
        </is>
      </c>
      <c r="C655" t="inlineStr">
        <is>
          <t>អ៊ីឃ្យូឡាញ វើលវ៉ាយដ៍ ឡូជីស្ទីក</t>
        </is>
      </c>
      <c r="D655" t="inlineStr">
        <is>
          <t>K003-901635943</t>
        </is>
      </c>
      <c r="E655" t="inlineStr">
        <is>
          <t>PPTI24/002234</t>
        </is>
      </c>
      <c r="F655" t="inlineStr">
        <is>
          <t>06-05-2024</t>
        </is>
      </c>
      <c r="G655" t="n">
        <v>65184</v>
      </c>
      <c r="I655">
        <f>G655</f>
        <v/>
      </c>
      <c r="K655">
        <f>I655-G655</f>
        <v/>
      </c>
      <c r="M655">
        <f>R655=E655</f>
        <v/>
      </c>
      <c r="N655">
        <f>AND(MONTH(F655)=MONTH(Q655), YEAR(F655)=YEAR(Q655))</f>
        <v/>
      </c>
      <c r="O655">
        <f>"L001-902303751"=S655</f>
        <v/>
      </c>
      <c r="P655">
        <f>G655-U655</f>
        <v/>
      </c>
      <c r="Q655" s="35" t="n">
        <v>45355</v>
      </c>
      <c r="R655" t="inlineStr"/>
      <c r="S655" t="inlineStr">
        <is>
          <t>L001-100182259</t>
        </is>
      </c>
      <c r="T655" t="inlineStr">
        <is>
          <t>សាខាក្រុមហ៊ុន ប៊ី ឡូជីស្ទីក ខបភើរេសិន (ខេមបូឌា)</t>
        </is>
      </c>
      <c r="U655" t="n">
        <v>0</v>
      </c>
      <c r="V655" t="n">
        <v>0</v>
      </c>
    </row>
    <row r="656">
      <c r="A656" t="n">
        <v>655</v>
      </c>
      <c r="B656" t="inlineStr">
        <is>
          <t>Documentation Origin, Handling Charges Origin, PLACI Fee and HAWB Transmission Fee</t>
        </is>
      </c>
      <c r="C656" t="inlineStr">
        <is>
          <t>ឌីប៊ី សេនឃើរ (ខេមបូឌា) លីមីធីត</t>
        </is>
      </c>
      <c r="D656" t="inlineStr">
        <is>
          <t>L001-107041723</t>
        </is>
      </c>
      <c r="E656" t="inlineStr">
        <is>
          <t>2400003944</t>
        </is>
      </c>
      <c r="F656" t="inlineStr">
        <is>
          <t>15-05-2024</t>
        </is>
      </c>
      <c r="G656" t="n">
        <v>60369</v>
      </c>
      <c r="I656">
        <f>G656</f>
        <v/>
      </c>
      <c r="K656">
        <f>I656-G656</f>
        <v/>
      </c>
      <c r="M656">
        <f>R656=E656</f>
        <v/>
      </c>
      <c r="N656">
        <f>AND(MONTH(F656)=MONTH(Q656), YEAR(F656)=YEAR(Q656))</f>
        <v/>
      </c>
      <c r="O656">
        <f>"L001-902303751"=S656</f>
        <v/>
      </c>
      <c r="P656">
        <f>G656-U656</f>
        <v/>
      </c>
      <c r="Q656" s="35" t="n">
        <v>45362</v>
      </c>
      <c r="R656" t="n">
        <v>28385</v>
      </c>
      <c r="S656" t="inlineStr">
        <is>
          <t>K003-901635943</t>
        </is>
      </c>
      <c r="T656" t="inlineStr">
        <is>
          <t>អ៊ីឃ្យូឡាញ វើលវ៉ាយដ៍ ឡូជីស្ទីក</t>
        </is>
      </c>
      <c r="U656" t="n">
        <v>28385</v>
      </c>
      <c r="V656" t="n">
        <v>0</v>
      </c>
    </row>
    <row r="657">
      <c r="A657" t="n">
        <v>656</v>
      </c>
      <c r="B657" t="inlineStr">
        <is>
          <t>Documentation Origin, Handling Charges Origin, PLACI Fee and HAWB Transmission Fee</t>
        </is>
      </c>
      <c r="C657" t="inlineStr">
        <is>
          <t>ឌីប៊ី សេនឃើរ (ខេមបូឌា) លីមីធីត</t>
        </is>
      </c>
      <c r="D657" t="inlineStr">
        <is>
          <t>L001-107041723</t>
        </is>
      </c>
      <c r="E657" t="inlineStr">
        <is>
          <t>2400003942</t>
        </is>
      </c>
      <c r="F657" t="inlineStr">
        <is>
          <t>15-05-2024</t>
        </is>
      </c>
      <c r="G657" t="n">
        <v>60369</v>
      </c>
      <c r="I657">
        <f>G657</f>
        <v/>
      </c>
      <c r="K657">
        <f>I657-G657</f>
        <v/>
      </c>
      <c r="M657">
        <f>R657=E657</f>
        <v/>
      </c>
      <c r="N657">
        <f>AND(MONTH(F657)=MONTH(Q657), YEAR(F657)=YEAR(Q657))</f>
        <v/>
      </c>
      <c r="O657">
        <f>"L001-902303751"=S657</f>
        <v/>
      </c>
      <c r="P657">
        <f>G657-U657</f>
        <v/>
      </c>
      <c r="Q657" s="35" t="n">
        <v>45362</v>
      </c>
      <c r="R657" t="inlineStr"/>
      <c r="S657" t="inlineStr">
        <is>
          <t>K005-100059945</t>
        </is>
      </c>
      <c r="T657" t="inlineStr">
        <is>
          <t>អ៊ែតវ៉ានស៍ គ្លរី ឡូជីស្ទីក (ខេមបូឌា) (អេ ជី អិល)</t>
        </is>
      </c>
      <c r="U657" t="n">
        <v>0</v>
      </c>
      <c r="V657" t="n">
        <v>0</v>
      </c>
    </row>
    <row r="658">
      <c r="A658" t="n">
        <v>657</v>
      </c>
      <c r="B658" t="inlineStr">
        <is>
          <t>Export Custom Clearance</t>
        </is>
      </c>
      <c r="C658" t="inlineStr">
        <is>
          <t>អ៊ីឃ្យូឡាញ វើលវ៉ាយដ៍ ឡូជីស្ទីក</t>
        </is>
      </c>
      <c r="D658" t="inlineStr">
        <is>
          <t>K003-901635943</t>
        </is>
      </c>
      <c r="E658" t="inlineStr">
        <is>
          <t>PPTI24/002401</t>
        </is>
      </c>
      <c r="F658" t="inlineStr">
        <is>
          <t>13-05-2024</t>
        </is>
      </c>
      <c r="G658" t="n">
        <v>65232</v>
      </c>
      <c r="I658">
        <f>G658</f>
        <v/>
      </c>
      <c r="K658">
        <f>I658-G658</f>
        <v/>
      </c>
      <c r="M658">
        <f>R658=E658</f>
        <v/>
      </c>
      <c r="N658">
        <f>AND(MONTH(F658)=MONTH(Q658), YEAR(F658)=YEAR(Q658))</f>
        <v/>
      </c>
      <c r="O658">
        <f>"L001-902303751"=S658</f>
        <v/>
      </c>
      <c r="P658">
        <f>G658-U658</f>
        <v/>
      </c>
      <c r="Q658" s="35" t="n">
        <v>45376</v>
      </c>
      <c r="R658" t="inlineStr"/>
      <c r="S658" t="inlineStr">
        <is>
          <t>K005-901501155</t>
        </is>
      </c>
      <c r="T658" t="inlineStr">
        <is>
          <t>ផេនដា គ្លូប៊ល ឡូជីស្ទីក (ខេមបូឌា)</t>
        </is>
      </c>
      <c r="U658" t="n">
        <v>0</v>
      </c>
      <c r="V658" t="n">
        <v>0</v>
      </c>
    </row>
    <row r="659">
      <c r="A659" t="n">
        <v>658</v>
      </c>
      <c r="B659" t="inlineStr">
        <is>
          <t>Export Administration Fee, Port Formality and Service Charge</t>
        </is>
      </c>
      <c r="C659" t="inlineStr">
        <is>
          <t>ឆាយ ដា ឡូយីស្ទីក</t>
        </is>
      </c>
      <c r="D659" t="inlineStr">
        <is>
          <t>L001-100063098</t>
        </is>
      </c>
      <c r="E659" t="inlineStr">
        <is>
          <t>2405005869</t>
        </is>
      </c>
      <c r="F659" t="inlineStr">
        <is>
          <t>06-05-2024</t>
        </is>
      </c>
      <c r="G659" t="n">
        <v>76999</v>
      </c>
      <c r="I659">
        <f>G659</f>
        <v/>
      </c>
      <c r="K659">
        <f>I659-G659</f>
        <v/>
      </c>
      <c r="M659">
        <f>R659=E659</f>
        <v/>
      </c>
      <c r="N659">
        <f>AND(MONTH(F659)=MONTH(Q659), YEAR(F659)=YEAR(Q659))</f>
        <v/>
      </c>
      <c r="O659">
        <f>"L001-902303751"=S659</f>
        <v/>
      </c>
      <c r="P659">
        <f>G659-U659</f>
        <v/>
      </c>
      <c r="Q659" s="35" t="n">
        <v>45369</v>
      </c>
      <c r="R659" t="inlineStr"/>
      <c r="S659" t="inlineStr">
        <is>
          <t>K005-100059945</t>
        </is>
      </c>
      <c r="T659" t="inlineStr">
        <is>
          <t>អ៊ែតវ៉ានស៍ គ្លរី ឡូជីស្ទីក (ខេមបូឌា) (អេ ជី អិល)</t>
        </is>
      </c>
      <c r="U659" t="n">
        <v>0</v>
      </c>
      <c r="V659" t="n">
        <v>0</v>
      </c>
    </row>
    <row r="660">
      <c r="A660" t="n">
        <v>659</v>
      </c>
      <c r="B660" t="inlineStr">
        <is>
          <t>Motor</t>
        </is>
      </c>
      <c r="C660" t="inlineStr">
        <is>
          <t>ហ៊ីង អាង ស៊ូ ម៉ាស៊ីន</t>
        </is>
      </c>
      <c r="D660" t="inlineStr">
        <is>
          <t>K010-108009556</t>
        </is>
      </c>
      <c r="E660" t="inlineStr">
        <is>
          <t>XA20240031</t>
        </is>
      </c>
      <c r="F660" t="inlineStr">
        <is>
          <t>14-06-2024</t>
        </is>
      </c>
      <c r="G660" t="n">
        <v>387186</v>
      </c>
      <c r="I660">
        <f>G660</f>
        <v/>
      </c>
      <c r="K660">
        <f>I660-G660</f>
        <v/>
      </c>
      <c r="M660">
        <f>R660=E660</f>
        <v/>
      </c>
      <c r="N660">
        <f>AND(MONTH(F660)=MONTH(Q660), YEAR(F660)=YEAR(Q660))</f>
        <v/>
      </c>
      <c r="O660">
        <f>"L001-902303751"=S660</f>
        <v/>
      </c>
      <c r="P660">
        <f>G660-U660</f>
        <v/>
      </c>
      <c r="Q660" s="35" t="n">
        <v>45376</v>
      </c>
      <c r="R660" t="n">
        <v>85350</v>
      </c>
      <c r="S660" t="inlineStr">
        <is>
          <t>L001-100045340</t>
        </is>
      </c>
      <c r="T660" t="inlineStr">
        <is>
          <t xml:space="preserve">ស៊ីវ៉ា អ៊ែរ អ៊ែន អូសៀន (ខេមបូឌា) ឯ.ក </t>
        </is>
      </c>
      <c r="U660" t="n">
        <v>85350</v>
      </c>
      <c r="V660" t="n">
        <v>0</v>
      </c>
    </row>
    <row r="661">
      <c r="A661" t="n">
        <v>660</v>
      </c>
      <c r="B661" t="inlineStr">
        <is>
          <t>Sending Sample</t>
        </is>
      </c>
      <c r="C661" t="inlineStr">
        <is>
          <t>ឌី អេច អិល អិចប្រេស (ខេមបូឌា)</t>
        </is>
      </c>
      <c r="D661" t="inlineStr">
        <is>
          <t>L001-100045197</t>
        </is>
      </c>
      <c r="E661" t="inlineStr">
        <is>
          <t>PNHR000497497</t>
        </is>
      </c>
      <c r="F661" t="inlineStr">
        <is>
          <t>30-06-2024</t>
        </is>
      </c>
      <c r="G661" t="n">
        <v>31733</v>
      </c>
      <c r="I661">
        <f>G661</f>
        <v/>
      </c>
      <c r="K661">
        <f>I661-G661</f>
        <v/>
      </c>
      <c r="M661">
        <f>R661=E661</f>
        <v/>
      </c>
      <c r="N661">
        <f>AND(MONTH(F661)=MONTH(Q661), YEAR(F661)=YEAR(Q661))</f>
        <v/>
      </c>
      <c r="O661">
        <f>"L001-902303751"=S661</f>
        <v/>
      </c>
      <c r="P661">
        <f>G661-U661</f>
        <v/>
      </c>
      <c r="Q661" s="35" t="n">
        <v>45355</v>
      </c>
      <c r="R661" t="n">
        <v>81340</v>
      </c>
      <c r="S661" t="inlineStr">
        <is>
          <t>K003-901635943</t>
        </is>
      </c>
      <c r="T661" t="inlineStr">
        <is>
          <t>អ៊ីឃ្យូឡាញ វើលវ៉ាយដ៍ ឡូជីស្ទីក</t>
        </is>
      </c>
      <c r="U661" t="n">
        <v>81340</v>
      </c>
      <c r="V661" t="n">
        <v>0</v>
      </c>
    </row>
    <row r="662">
      <c r="A662" t="n">
        <v>661</v>
      </c>
      <c r="B662" t="inlineStr">
        <is>
          <t>Sending Sample</t>
        </is>
      </c>
      <c r="C662" t="inlineStr">
        <is>
          <t>ឌី អេច អិល អិចប្រេស (ខេមបូឌា)</t>
        </is>
      </c>
      <c r="D662" t="inlineStr">
        <is>
          <t>L001-100045197</t>
        </is>
      </c>
      <c r="E662" t="inlineStr">
        <is>
          <t>PNHR000497054</t>
        </is>
      </c>
      <c r="F662" t="inlineStr">
        <is>
          <t>27-06-2024</t>
        </is>
      </c>
      <c r="G662" t="n">
        <v>36241</v>
      </c>
      <c r="I662">
        <f>G662</f>
        <v/>
      </c>
      <c r="K662">
        <f>I662-G662</f>
        <v/>
      </c>
      <c r="M662">
        <f>R662=E662</f>
        <v/>
      </c>
      <c r="N662">
        <f>AND(MONTH(F662)=MONTH(Q662), YEAR(F662)=YEAR(Q662))</f>
        <v/>
      </c>
      <c r="O662">
        <f>"L001-902303751"=S662</f>
        <v/>
      </c>
      <c r="P662">
        <f>G662-U662</f>
        <v/>
      </c>
      <c r="Q662" s="35" t="n">
        <v>45355</v>
      </c>
      <c r="R662" t="n">
        <v>109809</v>
      </c>
      <c r="S662" t="inlineStr">
        <is>
          <t>K005-100059945</t>
        </is>
      </c>
      <c r="T662" t="inlineStr">
        <is>
          <t>អ៊ែតវ៉ានស៍ គ្លរី ឡូជីស្ទីក (ខេមបូឌា) (អេ ជី អិល)</t>
        </is>
      </c>
      <c r="U662" t="n">
        <v>109809</v>
      </c>
      <c r="V662" t="n">
        <v>0</v>
      </c>
    </row>
    <row r="663">
      <c r="A663" t="n">
        <v>662</v>
      </c>
      <c r="B663" t="inlineStr">
        <is>
          <t>Sending Sample</t>
        </is>
      </c>
      <c r="C663" t="inlineStr">
        <is>
          <t>ឌី អេច អិល អិចប្រេស (ខេមបូឌា)</t>
        </is>
      </c>
      <c r="D663" t="inlineStr">
        <is>
          <t>L001-100045197</t>
        </is>
      </c>
      <c r="E663" t="inlineStr">
        <is>
          <t>PNHR000496461</t>
        </is>
      </c>
      <c r="F663" t="inlineStr">
        <is>
          <t>20-06-2024</t>
        </is>
      </c>
      <c r="G663" t="n">
        <v>79360</v>
      </c>
      <c r="I663">
        <f>G663</f>
        <v/>
      </c>
      <c r="K663">
        <f>I663-G663</f>
        <v/>
      </c>
      <c r="M663">
        <f>R663=E663</f>
        <v/>
      </c>
      <c r="N663">
        <f>AND(MONTH(F663)=MONTH(Q663), YEAR(F663)=YEAR(Q663))</f>
        <v/>
      </c>
      <c r="O663">
        <f>"L001-902303751"=S663</f>
        <v/>
      </c>
      <c r="P663">
        <f>G663-U663</f>
        <v/>
      </c>
      <c r="Q663" s="35" t="n">
        <v>45355</v>
      </c>
      <c r="R663" t="n">
        <v>112249</v>
      </c>
      <c r="S663" t="inlineStr">
        <is>
          <t>K005-901805913</t>
        </is>
      </c>
      <c r="T663" t="inlineStr">
        <is>
          <t>ស្តារ ខង់ខដ (ខេមបូឌា) ឯ.ក</t>
        </is>
      </c>
      <c r="U663" t="n">
        <v>112249</v>
      </c>
      <c r="V663" t="n">
        <v>0</v>
      </c>
    </row>
    <row r="664">
      <c r="A664" t="n">
        <v>663</v>
      </c>
      <c r="B664" t="inlineStr">
        <is>
          <t>Sending Sample</t>
        </is>
      </c>
      <c r="C664" t="inlineStr">
        <is>
          <t>ឌី អេច អិល អិចប្រេស (ខេមបូឌា)</t>
        </is>
      </c>
      <c r="D664" t="inlineStr">
        <is>
          <t>L001-100045197</t>
        </is>
      </c>
      <c r="E664" t="inlineStr">
        <is>
          <t>PNHR000495854</t>
        </is>
      </c>
      <c r="F664" t="inlineStr">
        <is>
          <t>13-06-2024</t>
        </is>
      </c>
      <c r="G664" t="n">
        <v>24014</v>
      </c>
      <c r="I664">
        <f>G664</f>
        <v/>
      </c>
      <c r="K664">
        <f>I664-G664</f>
        <v/>
      </c>
      <c r="M664">
        <f>R664=E664</f>
        <v/>
      </c>
      <c r="N664">
        <f>AND(MONTH(F664)=MONTH(Q664), YEAR(F664)=YEAR(Q664))</f>
        <v/>
      </c>
      <c r="O664">
        <f>"L001-902303751"=S664</f>
        <v/>
      </c>
      <c r="P664">
        <f>G664-U664</f>
        <v/>
      </c>
      <c r="Q664" s="35" t="n">
        <v>45355</v>
      </c>
      <c r="R664" t="inlineStr"/>
      <c r="S664" t="inlineStr">
        <is>
          <t>K005-100150195</t>
        </is>
      </c>
      <c r="T664" t="inlineStr">
        <is>
          <t>អេស អ វី ស៊ី ហ្វ្រេត សឺវីស (ខេមបូឌា) ខូ អិលធីឌី</t>
        </is>
      </c>
      <c r="U664" t="n">
        <v>0</v>
      </c>
      <c r="V664" t="n">
        <v>0</v>
      </c>
    </row>
    <row r="665">
      <c r="A665" t="n">
        <v>664</v>
      </c>
      <c r="B665" t="inlineStr">
        <is>
          <t>Sending Sample</t>
        </is>
      </c>
      <c r="C665" t="inlineStr">
        <is>
          <t>ឌី អេច អិល អិចប្រេស (ខេមបូឌា)</t>
        </is>
      </c>
      <c r="D665" t="inlineStr">
        <is>
          <t>L001-100045197</t>
        </is>
      </c>
      <c r="E665" t="inlineStr">
        <is>
          <t>PNHR000495249</t>
        </is>
      </c>
      <c r="F665" t="inlineStr">
        <is>
          <t>06-06-2024</t>
        </is>
      </c>
      <c r="G665" t="n">
        <v>29624</v>
      </c>
      <c r="I665">
        <f>G665</f>
        <v/>
      </c>
      <c r="K665">
        <f>I665-G665</f>
        <v/>
      </c>
      <c r="M665">
        <f>R665=E665</f>
        <v/>
      </c>
      <c r="N665">
        <f>AND(MONTH(F665)=MONTH(Q665), YEAR(F665)=YEAR(Q665))</f>
        <v/>
      </c>
      <c r="O665">
        <f>"L001-902303751"=S665</f>
        <v/>
      </c>
      <c r="P665">
        <f>G665-U665</f>
        <v/>
      </c>
      <c r="Q665" s="35" t="n">
        <v>45363</v>
      </c>
      <c r="R665" t="n">
        <v>111587</v>
      </c>
      <c r="S665" t="inlineStr">
        <is>
          <t>K003-901635943</t>
        </is>
      </c>
      <c r="T665" t="inlineStr">
        <is>
          <t>អ៊ីឃ្យូឡាញ វើលវ៉ាយដ៍ ឡូជីស្ទីក</t>
        </is>
      </c>
      <c r="U665" t="n">
        <v>111587</v>
      </c>
      <c r="V665" t="n">
        <v>0</v>
      </c>
    </row>
    <row r="666">
      <c r="A666" t="n">
        <v>665</v>
      </c>
      <c r="B666" t="inlineStr">
        <is>
          <t>Sending Doc</t>
        </is>
      </c>
      <c r="C666" t="inlineStr">
        <is>
          <t>ឌី អេច អិល អិចប្រេស (ខេមបូឌា)</t>
        </is>
      </c>
      <c r="D666" t="inlineStr">
        <is>
          <t>L001-100045197</t>
        </is>
      </c>
      <c r="E666" t="inlineStr">
        <is>
          <t>PNHIR00227534</t>
        </is>
      </c>
      <c r="F666" t="inlineStr">
        <is>
          <t>28-06-2024</t>
        </is>
      </c>
      <c r="G666" t="n">
        <v>8220</v>
      </c>
      <c r="I666">
        <f>G666</f>
        <v/>
      </c>
      <c r="K666">
        <f>I666-G666</f>
        <v/>
      </c>
      <c r="M666">
        <f>R666=E666</f>
        <v/>
      </c>
      <c r="N666">
        <f>AND(MONTH(F666)=MONTH(Q666), YEAR(F666)=YEAR(Q666))</f>
        <v/>
      </c>
      <c r="O666">
        <f>"L001-902303751"=S666</f>
        <v/>
      </c>
      <c r="P666">
        <f>G666-U666</f>
        <v/>
      </c>
      <c r="Q666" s="35" t="n">
        <v>45376</v>
      </c>
      <c r="R666" t="inlineStr"/>
      <c r="S666" t="inlineStr">
        <is>
          <t>K005-901805913</t>
        </is>
      </c>
      <c r="T666" t="inlineStr">
        <is>
          <t>ស្តារ ខង់ខដ (ខេមបូឌា) ឯ.ក</t>
        </is>
      </c>
      <c r="U666" t="n">
        <v>0</v>
      </c>
      <c r="V666" t="n">
        <v>0</v>
      </c>
    </row>
    <row r="667">
      <c r="A667" t="n">
        <v>666</v>
      </c>
      <c r="B667" t="inlineStr">
        <is>
          <t>Sending Doc</t>
        </is>
      </c>
      <c r="C667" t="inlineStr">
        <is>
          <t>ឌី អេច អិល អិចប្រេស (ខេមបូឌា)</t>
        </is>
      </c>
      <c r="D667" t="inlineStr">
        <is>
          <t>L001-100045197</t>
        </is>
      </c>
      <c r="E667" t="inlineStr">
        <is>
          <t>PNHIR00226864</t>
        </is>
      </c>
      <c r="F667" t="inlineStr">
        <is>
          <t>26-06-2024</t>
        </is>
      </c>
      <c r="G667" t="n">
        <v>6165</v>
      </c>
      <c r="I667">
        <f>G667</f>
        <v/>
      </c>
      <c r="K667">
        <f>I667-G667</f>
        <v/>
      </c>
      <c r="M667">
        <f>R667=E667</f>
        <v/>
      </c>
      <c r="N667">
        <f>AND(MONTH(F667)=MONTH(Q667), YEAR(F667)=YEAR(Q667))</f>
        <v/>
      </c>
      <c r="O667">
        <f>"L001-902303751"=S667</f>
        <v/>
      </c>
      <c r="P667">
        <f>G667-U667</f>
        <v/>
      </c>
      <c r="Q667" s="35" t="n">
        <v>45355</v>
      </c>
      <c r="R667" t="n">
        <v>109809</v>
      </c>
      <c r="S667" t="inlineStr">
        <is>
          <t>L001-107032791</t>
        </is>
      </c>
      <c r="T667" t="inlineStr">
        <is>
          <t>នីបផន អិចប្រេស (ខេមបូឌា) ខូ អិលធីឌី</t>
        </is>
      </c>
      <c r="U667" t="n">
        <v>109809</v>
      </c>
      <c r="V667" t="n">
        <v>0</v>
      </c>
    </row>
    <row r="668">
      <c r="A668" t="n">
        <v>667</v>
      </c>
      <c r="B668" t="inlineStr">
        <is>
          <t>Sending Sample</t>
        </is>
      </c>
      <c r="C668" t="inlineStr">
        <is>
          <t>ឌី អេច អិល អិចប្រេស (ខេមបូឌា)</t>
        </is>
      </c>
      <c r="D668" t="inlineStr">
        <is>
          <t>L001-100045197</t>
        </is>
      </c>
      <c r="E668" t="inlineStr">
        <is>
          <t>PNHIR00226270</t>
        </is>
      </c>
      <c r="F668" t="inlineStr">
        <is>
          <t>24-06-2024</t>
        </is>
      </c>
      <c r="G668" t="n">
        <v>16484</v>
      </c>
      <c r="I668">
        <f>G668</f>
        <v/>
      </c>
      <c r="K668">
        <f>I668-G668</f>
        <v/>
      </c>
      <c r="M668">
        <f>R668=E668</f>
        <v/>
      </c>
      <c r="N668">
        <f>AND(MONTH(F668)=MONTH(Q668), YEAR(F668)=YEAR(Q668))</f>
        <v/>
      </c>
      <c r="O668">
        <f>"L001-902303751"=S668</f>
        <v/>
      </c>
      <c r="P668">
        <f>G668-U668</f>
        <v/>
      </c>
      <c r="Q668" s="35" t="n">
        <v>45376</v>
      </c>
      <c r="R668" t="inlineStr"/>
      <c r="S668" t="inlineStr">
        <is>
          <t>L001-107032791</t>
        </is>
      </c>
      <c r="T668" t="inlineStr">
        <is>
          <t>នីបផន អិចប្រេស (ខេមបូឌា) ខូ អិលធីឌី</t>
        </is>
      </c>
      <c r="U668" t="n">
        <v>0</v>
      </c>
      <c r="V668" t="n">
        <v>0</v>
      </c>
    </row>
    <row r="669">
      <c r="A669" t="n">
        <v>668</v>
      </c>
      <c r="B669" t="inlineStr">
        <is>
          <t>Sending Doc</t>
        </is>
      </c>
      <c r="C669" t="inlineStr">
        <is>
          <t>ឌី អេច អិល អិចប្រេស (ខេមបូឌា)</t>
        </is>
      </c>
      <c r="D669" t="inlineStr">
        <is>
          <t>L001-100045197</t>
        </is>
      </c>
      <c r="E669" t="inlineStr">
        <is>
          <t>PNHIR00226269</t>
        </is>
      </c>
      <c r="F669" t="inlineStr">
        <is>
          <t>24-06-2024</t>
        </is>
      </c>
      <c r="G669" t="n">
        <v>6181</v>
      </c>
      <c r="I669">
        <f>G669</f>
        <v/>
      </c>
      <c r="K669">
        <f>I669-G669</f>
        <v/>
      </c>
      <c r="M669">
        <f>R669=E669</f>
        <v/>
      </c>
      <c r="N669">
        <f>AND(MONTH(F669)=MONTH(Q669), YEAR(F669)=YEAR(Q669))</f>
        <v/>
      </c>
      <c r="O669">
        <f>"L001-902303751"=S669</f>
        <v/>
      </c>
      <c r="P669">
        <f>G669-U669</f>
        <v/>
      </c>
      <c r="Q669" s="35" t="n">
        <v>45369</v>
      </c>
      <c r="R669" t="inlineStr"/>
      <c r="S669" t="inlineStr">
        <is>
          <t>L001-107041723</t>
        </is>
      </c>
      <c r="T669" t="inlineStr">
        <is>
          <t>ឌីប៊ី សេនឃើរ (ខេមបូឌា) លីមីធីត</t>
        </is>
      </c>
      <c r="U669" t="n">
        <v>0</v>
      </c>
      <c r="V669" t="n">
        <v>0</v>
      </c>
    </row>
    <row r="670">
      <c r="A670" t="n">
        <v>669</v>
      </c>
      <c r="B670" t="inlineStr">
        <is>
          <t>Sending Material</t>
        </is>
      </c>
      <c r="C670" t="inlineStr">
        <is>
          <t>ឌី អេច អិល អិចប្រេស (ខេមបូឌា)</t>
        </is>
      </c>
      <c r="D670" t="inlineStr">
        <is>
          <t>L001-100045197</t>
        </is>
      </c>
      <c r="E670" t="inlineStr">
        <is>
          <t>PNHIR00226230</t>
        </is>
      </c>
      <c r="F670" t="inlineStr">
        <is>
          <t>21-06-2024</t>
        </is>
      </c>
      <c r="G670" t="n">
        <v>8244</v>
      </c>
      <c r="I670">
        <f>G670</f>
        <v/>
      </c>
      <c r="K670">
        <f>I670-G670</f>
        <v/>
      </c>
      <c r="M670">
        <f>R670=E670</f>
        <v/>
      </c>
      <c r="N670">
        <f>AND(MONTH(F670)=MONTH(Q670), YEAR(F670)=YEAR(Q670))</f>
        <v/>
      </c>
      <c r="O670">
        <f>"L001-902303751"=S670</f>
        <v/>
      </c>
      <c r="P670">
        <f>G670-U670</f>
        <v/>
      </c>
      <c r="Q670" s="35" t="n">
        <v>45369</v>
      </c>
      <c r="R670" t="inlineStr"/>
      <c r="S670" t="inlineStr">
        <is>
          <t>L001-107032791</t>
        </is>
      </c>
      <c r="T670" t="inlineStr">
        <is>
          <t>នីបផន អិចប្រេស (ខេមបូឌា) ខូ អិលធីឌី</t>
        </is>
      </c>
      <c r="U670" t="n">
        <v>0</v>
      </c>
      <c r="V670" t="n">
        <v>0</v>
      </c>
    </row>
    <row r="671">
      <c r="A671" t="n">
        <v>670</v>
      </c>
      <c r="B671" t="inlineStr">
        <is>
          <t>Sending Material</t>
        </is>
      </c>
      <c r="C671" t="inlineStr">
        <is>
          <t>ឌី អេច អិល អិចប្រេស (ខេមបូឌា)</t>
        </is>
      </c>
      <c r="D671" t="inlineStr">
        <is>
          <t>L001-100045197</t>
        </is>
      </c>
      <c r="E671" t="inlineStr">
        <is>
          <t>PNHIR00226229</t>
        </is>
      </c>
      <c r="F671" t="inlineStr">
        <is>
          <t>21-06-2024</t>
        </is>
      </c>
      <c r="G671" t="n">
        <v>8255</v>
      </c>
      <c r="I671">
        <f>G671</f>
        <v/>
      </c>
      <c r="K671">
        <f>I671-G671</f>
        <v/>
      </c>
      <c r="M671">
        <f>R671=E671</f>
        <v/>
      </c>
      <c r="N671">
        <f>AND(MONTH(F671)=MONTH(Q671), YEAR(F671)=YEAR(Q671))</f>
        <v/>
      </c>
      <c r="O671">
        <f>"L001-902303751"=S671</f>
        <v/>
      </c>
      <c r="P671">
        <f>G671-U671</f>
        <v/>
      </c>
      <c r="Q671" s="35" t="n">
        <v>45369</v>
      </c>
      <c r="R671" t="inlineStr"/>
      <c r="S671" t="inlineStr">
        <is>
          <t>L001-100045340</t>
        </is>
      </c>
      <c r="T671" t="inlineStr">
        <is>
          <t xml:space="preserve">ស៊ីវ៉ា អ៊ែរ អ៊ែន អូសៀន (ខេមបូឌា) ឯ.ក </t>
        </is>
      </c>
      <c r="U671" t="n">
        <v>0</v>
      </c>
      <c r="V671" t="n">
        <v>0</v>
      </c>
    </row>
    <row r="672">
      <c r="A672" t="n">
        <v>671</v>
      </c>
      <c r="B672" t="inlineStr">
        <is>
          <t>Sending Material</t>
        </is>
      </c>
      <c r="C672" t="inlineStr">
        <is>
          <t>ឌី អេច អិល អិចប្រេស (ខេមបូឌា)</t>
        </is>
      </c>
      <c r="D672" t="inlineStr">
        <is>
          <t>L001-100045197</t>
        </is>
      </c>
      <c r="E672" t="inlineStr">
        <is>
          <t>PNHIR00226066</t>
        </is>
      </c>
      <c r="F672" t="inlineStr">
        <is>
          <t>20-06-2024</t>
        </is>
      </c>
      <c r="G672" t="n">
        <v>3162</v>
      </c>
      <c r="I672">
        <f>G672</f>
        <v/>
      </c>
      <c r="K672">
        <f>I672-G672</f>
        <v/>
      </c>
      <c r="M672">
        <f>R672=E672</f>
        <v/>
      </c>
      <c r="N672">
        <f>AND(MONTH(F672)=MONTH(Q672), YEAR(F672)=YEAR(Q672))</f>
        <v/>
      </c>
      <c r="O672">
        <f>"L001-902303751"=S672</f>
        <v/>
      </c>
      <c r="P672">
        <f>G672-U672</f>
        <v/>
      </c>
      <c r="Q672" s="35" t="n">
        <v>45369</v>
      </c>
      <c r="R672" t="inlineStr"/>
      <c r="S672" t="inlineStr">
        <is>
          <t>K005-901805913</t>
        </is>
      </c>
      <c r="T672" t="inlineStr">
        <is>
          <t>ស្តារ ខង់ខដ (ខេមបូឌា) ឯ.ក</t>
        </is>
      </c>
      <c r="U672" t="n">
        <v>0</v>
      </c>
      <c r="V672" t="n">
        <v>0</v>
      </c>
    </row>
    <row r="673">
      <c r="A673" t="n">
        <v>672</v>
      </c>
      <c r="B673" t="inlineStr">
        <is>
          <t>Sending Material</t>
        </is>
      </c>
      <c r="C673" t="inlineStr">
        <is>
          <t>ឌី អេច អិល អិចប្រេស (ខេមបូឌា)</t>
        </is>
      </c>
      <c r="D673" t="inlineStr">
        <is>
          <t>L001-100045197</t>
        </is>
      </c>
      <c r="E673" t="inlineStr">
        <is>
          <t>PNHIR00226065</t>
        </is>
      </c>
      <c r="F673" t="inlineStr">
        <is>
          <t>20-06-2024</t>
        </is>
      </c>
      <c r="G673" t="n">
        <v>11095</v>
      </c>
      <c r="I673">
        <f>G673</f>
        <v/>
      </c>
      <c r="K673">
        <f>I673-G673</f>
        <v/>
      </c>
      <c r="M673">
        <f>R673=E673</f>
        <v/>
      </c>
      <c r="N673">
        <f>AND(MONTH(F673)=MONTH(Q673), YEAR(F673)=YEAR(Q673))</f>
        <v/>
      </c>
      <c r="O673">
        <f>"L001-902303751"=S673</f>
        <v/>
      </c>
      <c r="P673">
        <f>G673-U673</f>
        <v/>
      </c>
      <c r="Q673" s="35" t="n">
        <v>45369</v>
      </c>
      <c r="R673" t="n">
        <v>114002</v>
      </c>
      <c r="S673" t="inlineStr">
        <is>
          <t>K005-901805913</t>
        </is>
      </c>
      <c r="T673" t="inlineStr">
        <is>
          <t>ស្តារ ខង់ខដ (ខេមបូឌា) ឯ.ក</t>
        </is>
      </c>
      <c r="U673" t="n">
        <v>114002</v>
      </c>
      <c r="V673" t="n">
        <v>0</v>
      </c>
    </row>
    <row r="674">
      <c r="A674" t="n">
        <v>673</v>
      </c>
      <c r="B674" t="inlineStr">
        <is>
          <t>Sending Material</t>
        </is>
      </c>
      <c r="C674" t="inlineStr">
        <is>
          <t>ឌី អេច អិល អិចប្រេស (ខេមបូឌា)</t>
        </is>
      </c>
      <c r="D674" t="inlineStr">
        <is>
          <t>L001-100045197</t>
        </is>
      </c>
      <c r="E674" t="inlineStr">
        <is>
          <t>PNHIR00224365</t>
        </is>
      </c>
      <c r="F674" t="inlineStr">
        <is>
          <t>13-06-2024</t>
        </is>
      </c>
      <c r="G674" t="n">
        <v>24389</v>
      </c>
      <c r="I674">
        <f>G674</f>
        <v/>
      </c>
      <c r="K674">
        <f>I674-G674</f>
        <v/>
      </c>
      <c r="M674">
        <f>R674=E674</f>
        <v/>
      </c>
      <c r="N674">
        <f>AND(MONTH(F674)=MONTH(Q674), YEAR(F674)=YEAR(Q674))</f>
        <v/>
      </c>
      <c r="O674">
        <f>"L001-902303751"=S674</f>
        <v/>
      </c>
      <c r="P674">
        <f>G674-U674</f>
        <v/>
      </c>
      <c r="Q674" s="35" t="n">
        <v>45355</v>
      </c>
      <c r="R674" t="n">
        <v>109809</v>
      </c>
      <c r="S674" t="inlineStr">
        <is>
          <t>K005-100059945</t>
        </is>
      </c>
      <c r="T674" t="inlineStr">
        <is>
          <t>អ៊ែតវ៉ានស៍ គ្លរី ឡូជីស្ទីក (ខេមបូឌា) (អេ ជី អិល)</t>
        </is>
      </c>
      <c r="U674" t="n">
        <v>109809</v>
      </c>
      <c r="V674" t="n">
        <v>0</v>
      </c>
    </row>
    <row r="675">
      <c r="A675" t="n">
        <v>674</v>
      </c>
      <c r="B675" t="inlineStr">
        <is>
          <t>Delivery Fee</t>
        </is>
      </c>
      <c r="C675" t="inlineStr">
        <is>
          <t>សំអាង &amp; មករា ត្រេនស្ព័ត ឯ.ក</t>
        </is>
      </c>
      <c r="D675" t="inlineStr">
        <is>
          <t>K010-902204282</t>
        </is>
      </c>
      <c r="E675" t="inlineStr">
        <is>
          <t>202300064</t>
        </is>
      </c>
      <c r="F675" t="inlineStr">
        <is>
          <t>29-06-2024</t>
        </is>
      </c>
      <c r="G675" t="n">
        <v>1075998</v>
      </c>
      <c r="I675">
        <f>G675</f>
        <v/>
      </c>
      <c r="K675">
        <f>I675-G675</f>
        <v/>
      </c>
      <c r="M675">
        <f>R675=E675</f>
        <v/>
      </c>
      <c r="N675">
        <f>AND(MONTH(F675)=MONTH(Q675), YEAR(F675)=YEAR(Q675))</f>
        <v/>
      </c>
      <c r="O675">
        <f>"L001-902303751"=S675</f>
        <v/>
      </c>
      <c r="P675">
        <f>G675-U675</f>
        <v/>
      </c>
      <c r="Q675" s="35" t="n">
        <v>45355</v>
      </c>
      <c r="R675" t="n">
        <v>170814</v>
      </c>
      <c r="S675" t="inlineStr">
        <is>
          <t>K005-100150195</t>
        </is>
      </c>
      <c r="T675" t="inlineStr">
        <is>
          <t>អេស អ វី ស៊ី ហ្វ្រេត សឺវីស (ខេមបូឌា) ខូ អិលធីឌី</t>
        </is>
      </c>
      <c r="U675" t="n">
        <v>170814</v>
      </c>
      <c r="V675" t="n">
        <v>0</v>
      </c>
    </row>
    <row r="676">
      <c r="A676" t="n">
        <v>675</v>
      </c>
      <c r="B676" t="inlineStr">
        <is>
          <t>Monthly Security for June 2024</t>
        </is>
      </c>
      <c r="C676" t="inlineStr">
        <is>
          <t>អិល.ប៊ី.អិល.អេច ស៊ីឃ្យូរឹធី ឯ.ក</t>
        </is>
      </c>
      <c r="D676" t="inlineStr">
        <is>
          <t>K010-902202247</t>
        </is>
      </c>
      <c r="E676" t="inlineStr">
        <is>
          <t>L.B.L.H00006</t>
        </is>
      </c>
      <c r="F676" t="inlineStr">
        <is>
          <t>25-06-2024</t>
        </is>
      </c>
      <c r="G676" t="n">
        <v>1405962</v>
      </c>
      <c r="I676">
        <f>G676</f>
        <v/>
      </c>
      <c r="K676">
        <f>I676-G676</f>
        <v/>
      </c>
      <c r="M676">
        <f>R676=E676</f>
        <v/>
      </c>
      <c r="N676">
        <f>AND(MONTH(F676)=MONTH(Q676), YEAR(F676)=YEAR(Q676))</f>
        <v/>
      </c>
      <c r="O676">
        <f>"L001-902303751"=S676</f>
        <v/>
      </c>
      <c r="P676">
        <f>G676-U676</f>
        <v/>
      </c>
      <c r="Q676" s="35" t="n">
        <v>45362</v>
      </c>
      <c r="R676" t="n">
        <v>109485</v>
      </c>
      <c r="S676" t="inlineStr">
        <is>
          <t>L001-107000385</t>
        </is>
      </c>
      <c r="T676" t="inlineStr">
        <is>
          <t>អិចស្ពោលាំងកា ហ្រ្វេត (ខេមបូឌា) លីមីធីត</t>
        </is>
      </c>
      <c r="U676" t="n">
        <v>109485</v>
      </c>
      <c r="V676" t="n">
        <v>0</v>
      </c>
    </row>
    <row r="677">
      <c r="A677" t="n">
        <v>676</v>
      </c>
      <c r="B677" t="inlineStr">
        <is>
          <t>Monthly Security for June 2024</t>
        </is>
      </c>
      <c r="C677" t="inlineStr">
        <is>
          <t>អិល.ប៊ី.អិល.អេច ស៊ីឃ្យូរឹធី ឯ.ក</t>
        </is>
      </c>
      <c r="D677" t="inlineStr">
        <is>
          <t>K010-902202247</t>
        </is>
      </c>
      <c r="E677" t="inlineStr">
        <is>
          <t>L.B.L.H00020</t>
        </is>
      </c>
      <c r="F677" t="inlineStr">
        <is>
          <t>25-06-2024</t>
        </is>
      </c>
      <c r="G677" t="n">
        <v>616650</v>
      </c>
      <c r="I677">
        <f>G677</f>
        <v/>
      </c>
      <c r="K677">
        <f>I677-G677</f>
        <v/>
      </c>
      <c r="M677">
        <f>R677=E677</f>
        <v/>
      </c>
      <c r="N677">
        <f>AND(MONTH(F677)=MONTH(Q677), YEAR(F677)=YEAR(Q677))</f>
        <v/>
      </c>
      <c r="O677">
        <f>"L001-902303751"=S677</f>
        <v/>
      </c>
      <c r="P677">
        <f>G677-U677</f>
        <v/>
      </c>
      <c r="Q677" s="35" t="n">
        <v>45355</v>
      </c>
      <c r="R677" t="n">
        <v>112249</v>
      </c>
      <c r="S677" t="inlineStr">
        <is>
          <t>K003-901635943</t>
        </is>
      </c>
      <c r="T677" t="inlineStr">
        <is>
          <t>អ៊ីឃ្យូឡាញ វើលវ៉ាយដ៍ ឡូជីស្ទីក</t>
        </is>
      </c>
      <c r="U677" t="n">
        <v>112249</v>
      </c>
      <c r="V677" t="n">
        <v>0</v>
      </c>
    </row>
    <row r="678">
      <c r="A678" t="n">
        <v>677</v>
      </c>
      <c r="B678" t="inlineStr">
        <is>
          <t>Machine</t>
        </is>
      </c>
      <c r="C678" t="inlineStr">
        <is>
          <t>ក្លាក ហ៊ូ ឯ.ក</t>
        </is>
      </c>
      <c r="D678" t="inlineStr">
        <is>
          <t>K007-901639199</t>
        </is>
      </c>
      <c r="E678" t="inlineStr">
        <is>
          <t>IN1263</t>
        </is>
      </c>
      <c r="F678" t="inlineStr">
        <is>
          <t>27-06-2024</t>
        </is>
      </c>
      <c r="G678" t="n">
        <v>23416</v>
      </c>
      <c r="I678">
        <f>G678</f>
        <v/>
      </c>
      <c r="K678">
        <f>I678-G678</f>
        <v/>
      </c>
      <c r="M678">
        <f>R678=E678</f>
        <v/>
      </c>
      <c r="N678">
        <f>AND(MONTH(F678)=MONTH(Q678), YEAR(F678)=YEAR(Q678))</f>
        <v/>
      </c>
      <c r="O678">
        <f>"L001-902303751"=S678</f>
        <v/>
      </c>
      <c r="P678">
        <f>G678-U678</f>
        <v/>
      </c>
      <c r="Q678" s="35" t="n">
        <v>45355</v>
      </c>
      <c r="R678" t="n">
        <v>83780</v>
      </c>
      <c r="S678" t="inlineStr">
        <is>
          <t>L001-100045340</t>
        </is>
      </c>
      <c r="T678" t="inlineStr">
        <is>
          <t xml:space="preserve">ស៊ីវ៉ា អ៊ែរ អ៊ែន អូសៀន (ខេមបូឌា) ឯ.ក </t>
        </is>
      </c>
      <c r="U678" t="n">
        <v>83780</v>
      </c>
      <c r="V678" t="n">
        <v>0</v>
      </c>
    </row>
    <row r="679">
      <c r="A679" t="n">
        <v>678</v>
      </c>
      <c r="B679" t="inlineStr">
        <is>
          <t>Machine</t>
        </is>
      </c>
      <c r="C679" t="inlineStr">
        <is>
          <t>ក្លាក ហ៊ូ ឯ.ក</t>
        </is>
      </c>
      <c r="D679" t="inlineStr">
        <is>
          <t>K007-901639199</t>
        </is>
      </c>
      <c r="E679" t="inlineStr">
        <is>
          <t>IN1264</t>
        </is>
      </c>
      <c r="F679" t="inlineStr">
        <is>
          <t>27-06-2024</t>
        </is>
      </c>
      <c r="G679" t="n">
        <v>26702</v>
      </c>
      <c r="I679">
        <f>G679</f>
        <v/>
      </c>
      <c r="K679">
        <f>I679-G679</f>
        <v/>
      </c>
      <c r="M679">
        <f>R679=E679</f>
        <v/>
      </c>
      <c r="N679">
        <f>AND(MONTH(F679)=MONTH(Q679), YEAR(F679)=YEAR(Q679))</f>
        <v/>
      </c>
      <c r="O679">
        <f>"L001-902303751"=S679</f>
        <v/>
      </c>
      <c r="P679">
        <f>G679-U679</f>
        <v/>
      </c>
      <c r="Q679" s="35" t="n">
        <v>45363</v>
      </c>
      <c r="R679" t="n">
        <v>80860</v>
      </c>
      <c r="S679" t="inlineStr">
        <is>
          <t>L001-100045995</t>
        </is>
      </c>
      <c r="T679" t="inlineStr">
        <is>
          <t>ឌីអេចអិល ឡូជីស្ទីក (ខេមបូឌា)</t>
        </is>
      </c>
      <c r="U679" t="n">
        <v>80860</v>
      </c>
      <c r="V679" t="n">
        <v>0</v>
      </c>
    </row>
    <row r="680">
      <c r="A680" t="n">
        <v>679</v>
      </c>
      <c r="B680" t="inlineStr">
        <is>
          <t>Machine</t>
        </is>
      </c>
      <c r="C680" t="inlineStr">
        <is>
          <t>ក្លាក ហ៊ូ ឯ.ក</t>
        </is>
      </c>
      <c r="D680" t="inlineStr">
        <is>
          <t>K007-901639199</t>
        </is>
      </c>
      <c r="E680" t="inlineStr">
        <is>
          <t>IN1265</t>
        </is>
      </c>
      <c r="F680" t="inlineStr">
        <is>
          <t>27-06-2024</t>
        </is>
      </c>
      <c r="G680" t="n">
        <v>21772</v>
      </c>
      <c r="I680">
        <f>G680</f>
        <v/>
      </c>
      <c r="K680">
        <f>I680-G680</f>
        <v/>
      </c>
      <c r="M680">
        <f>R680=E680</f>
        <v/>
      </c>
      <c r="N680">
        <f>AND(MONTH(F680)=MONTH(Q680), YEAR(F680)=YEAR(Q680))</f>
        <v/>
      </c>
      <c r="O680">
        <f>"L001-902303751"=S680</f>
        <v/>
      </c>
      <c r="P680">
        <f>G680-U680</f>
        <v/>
      </c>
      <c r="Q680" s="35" t="n">
        <v>45363</v>
      </c>
      <c r="R680" t="n">
        <v>80860</v>
      </c>
      <c r="S680" t="inlineStr">
        <is>
          <t>L001-100045995</t>
        </is>
      </c>
      <c r="T680" t="inlineStr">
        <is>
          <t>ឌីអេចអិល ឡូជីស្ទីក (ខេមបូឌា)</t>
        </is>
      </c>
      <c r="U680" t="n">
        <v>80860</v>
      </c>
      <c r="V680" t="n">
        <v>0</v>
      </c>
    </row>
    <row r="681">
      <c r="A681" t="n">
        <v>680</v>
      </c>
      <c r="B681" t="inlineStr">
        <is>
          <t>Machine</t>
        </is>
      </c>
      <c r="C681" t="inlineStr">
        <is>
          <t>ក្លាក ហ៊ូ ឯ.ក</t>
        </is>
      </c>
      <c r="D681" t="inlineStr">
        <is>
          <t>K007-901639199</t>
        </is>
      </c>
      <c r="E681" t="inlineStr">
        <is>
          <t>IN1266</t>
        </is>
      </c>
      <c r="F681" t="inlineStr">
        <is>
          <t>27-06-2024</t>
        </is>
      </c>
      <c r="G681" t="n">
        <v>20540</v>
      </c>
      <c r="I681">
        <f>G681</f>
        <v/>
      </c>
      <c r="K681">
        <f>I681-G681</f>
        <v/>
      </c>
      <c r="M681">
        <f>R681=E681</f>
        <v/>
      </c>
      <c r="N681">
        <f>AND(MONTH(F681)=MONTH(Q681), YEAR(F681)=YEAR(Q681))</f>
        <v/>
      </c>
      <c r="O681">
        <f>"L001-902303751"=S681</f>
        <v/>
      </c>
      <c r="P681">
        <f>G681-U681</f>
        <v/>
      </c>
      <c r="Q681" s="35" t="n">
        <v>45376</v>
      </c>
      <c r="R681" t="inlineStr"/>
      <c r="S681" t="inlineStr">
        <is>
          <t>L001-100074669</t>
        </is>
      </c>
      <c r="T681" t="inlineStr">
        <is>
          <t>ខេអិលអិន ហ្វ្រេត (ខេមបូឌា) ឯ.ក</t>
        </is>
      </c>
      <c r="U681" t="n">
        <v>0</v>
      </c>
      <c r="V681" t="n">
        <v>0</v>
      </c>
    </row>
    <row r="682">
      <c r="A682" t="n">
        <v>681</v>
      </c>
      <c r="B682" t="inlineStr">
        <is>
          <t>Machine</t>
        </is>
      </c>
      <c r="C682" t="inlineStr">
        <is>
          <t>ក្លាក ហ៊ូ ឯ.ក</t>
        </is>
      </c>
      <c r="D682" t="inlineStr">
        <is>
          <t>K007-901639199</t>
        </is>
      </c>
      <c r="E682" t="inlineStr">
        <is>
          <t>IN1267</t>
        </is>
      </c>
      <c r="F682" t="inlineStr">
        <is>
          <t>27-06-2024</t>
        </is>
      </c>
      <c r="G682" t="n">
        <v>22594</v>
      </c>
      <c r="I682">
        <f>G682</f>
        <v/>
      </c>
      <c r="K682">
        <f>I682-G682</f>
        <v/>
      </c>
      <c r="M682">
        <f>R682=E682</f>
        <v/>
      </c>
      <c r="N682">
        <f>AND(MONTH(F682)=MONTH(Q682), YEAR(F682)=YEAR(Q682))</f>
        <v/>
      </c>
      <c r="O682">
        <f>"L001-902303751"=S682</f>
        <v/>
      </c>
      <c r="P682">
        <f>G682-U682</f>
        <v/>
      </c>
      <c r="Q682" s="35" t="n">
        <v>45373</v>
      </c>
      <c r="R682" t="n">
        <v>227902</v>
      </c>
      <c r="S682" t="inlineStr">
        <is>
          <t>L001-103007369</t>
        </is>
      </c>
      <c r="T682" t="inlineStr">
        <is>
          <t>អូរៀនថល ឡូជីស្ទីក &amp; ឌីស្ទ្រីប៊្យូសិន (ខេមបូឌា)</t>
        </is>
      </c>
      <c r="U682" t="n">
        <v>227902</v>
      </c>
      <c r="V682" t="n">
        <v>0</v>
      </c>
    </row>
    <row r="683">
      <c r="A683" t="n">
        <v>682</v>
      </c>
      <c r="B683" t="inlineStr">
        <is>
          <t>Machine</t>
        </is>
      </c>
      <c r="C683" t="inlineStr">
        <is>
          <t>ក្លាក ហ៊ូ ឯ.ក</t>
        </is>
      </c>
      <c r="D683" t="inlineStr">
        <is>
          <t>K007-901639199</t>
        </is>
      </c>
      <c r="E683" t="inlineStr">
        <is>
          <t>IN1268</t>
        </is>
      </c>
      <c r="F683" t="inlineStr">
        <is>
          <t>27-06-2024</t>
        </is>
      </c>
      <c r="G683" t="n">
        <v>250588</v>
      </c>
      <c r="I683">
        <f>G683</f>
        <v/>
      </c>
      <c r="K683">
        <f>I683-G683</f>
        <v/>
      </c>
      <c r="M683">
        <f>R683=E683</f>
        <v/>
      </c>
      <c r="N683">
        <f>AND(MONTH(F683)=MONTH(Q683), YEAR(F683)=YEAR(Q683))</f>
        <v/>
      </c>
      <c r="O683">
        <f>"L001-902303751"=S683</f>
        <v/>
      </c>
      <c r="P683">
        <f>G683-U683</f>
        <v/>
      </c>
      <c r="Q683" s="35" t="n">
        <v>45355</v>
      </c>
      <c r="R683" t="n">
        <v>81340</v>
      </c>
      <c r="S683" t="inlineStr">
        <is>
          <t>L001-100182259</t>
        </is>
      </c>
      <c r="T683" t="inlineStr">
        <is>
          <t>សាខាក្រុមហ៊ុន ប៊ី ឡូជីស្ទីក ខបភើរេសិន (ខេមបូឌា)</t>
        </is>
      </c>
      <c r="U683" t="n">
        <v>81340</v>
      </c>
      <c r="V683" t="n">
        <v>0</v>
      </c>
    </row>
    <row r="684">
      <c r="A684" t="n">
        <v>683</v>
      </c>
      <c r="B684" t="inlineStr">
        <is>
          <t>Machine</t>
        </is>
      </c>
      <c r="C684" t="inlineStr">
        <is>
          <t>ក្លាក ហ៊ូ ឯ.ក</t>
        </is>
      </c>
      <c r="D684" t="inlineStr">
        <is>
          <t>K007-901639199</t>
        </is>
      </c>
      <c r="E684" t="inlineStr">
        <is>
          <t>IN1269</t>
        </is>
      </c>
      <c r="F684" t="inlineStr">
        <is>
          <t>27-06-2024</t>
        </is>
      </c>
      <c r="G684" t="n">
        <v>1294020</v>
      </c>
      <c r="I684">
        <f>G684</f>
        <v/>
      </c>
      <c r="K684">
        <f>I684-G684</f>
        <v/>
      </c>
      <c r="M684">
        <f>R684=E684</f>
        <v/>
      </c>
      <c r="N684">
        <f>AND(MONTH(F684)=MONTH(Q684), YEAR(F684)=YEAR(Q684))</f>
        <v/>
      </c>
      <c r="O684">
        <f>"L001-902303751"=S684</f>
        <v/>
      </c>
      <c r="P684">
        <f>G684-U684</f>
        <v/>
      </c>
      <c r="Q684" s="35" t="n">
        <v>45376</v>
      </c>
      <c r="R684" t="n">
        <v>205082</v>
      </c>
      <c r="S684" t="inlineStr">
        <is>
          <t>L001-100074669</t>
        </is>
      </c>
      <c r="T684" t="inlineStr">
        <is>
          <t>ខេអិលអិន ហ្វ្រេត (ខេមបូឌា) ឯ.ក</t>
        </is>
      </c>
      <c r="U684" t="n">
        <v>205082</v>
      </c>
      <c r="V684" t="n">
        <v>0</v>
      </c>
    </row>
    <row r="685">
      <c r="A685" t="n">
        <v>684</v>
      </c>
      <c r="B685" t="inlineStr">
        <is>
          <t>Overtime Charge</t>
        </is>
      </c>
      <c r="C685" t="inlineStr">
        <is>
          <t>អ៊ីឃ្យូឡាញ វើលវ៉ាយដ៍ ឡូជីស្ទីក</t>
        </is>
      </c>
      <c r="D685" t="inlineStr">
        <is>
          <t>K003-901635943</t>
        </is>
      </c>
      <c r="E685" t="inlineStr">
        <is>
          <t>PPTI24/002830</t>
        </is>
      </c>
      <c r="F685" t="inlineStr">
        <is>
          <t>07-06-2024</t>
        </is>
      </c>
      <c r="G685" t="n">
        <v>123330</v>
      </c>
      <c r="I685">
        <f>G685</f>
        <v/>
      </c>
      <c r="K685">
        <f>I685-G685</f>
        <v/>
      </c>
      <c r="M685">
        <f>R685=E685</f>
        <v/>
      </c>
      <c r="N685">
        <f>AND(MONTH(F685)=MONTH(Q685), YEAR(F685)=YEAR(Q685))</f>
        <v/>
      </c>
      <c r="O685">
        <f>"L001-902303751"=S685</f>
        <v/>
      </c>
      <c r="P685">
        <f>G685-U685</f>
        <v/>
      </c>
      <c r="Q685" s="35" t="n">
        <v>45369</v>
      </c>
      <c r="R685" t="n">
        <v>111568</v>
      </c>
      <c r="S685" t="inlineStr">
        <is>
          <t>K005-100059945</t>
        </is>
      </c>
      <c r="T685" t="inlineStr">
        <is>
          <t>អ៊ែតវ៉ានស៍ គ្លរី ឡូជីស្ទីក (ខេមបូឌា) (អេ ជី អិល)</t>
        </is>
      </c>
      <c r="U685" t="n">
        <v>111568</v>
      </c>
      <c r="V685" t="n">
        <v>0</v>
      </c>
    </row>
    <row r="686">
      <c r="A686" t="n">
        <v>685</v>
      </c>
      <c r="B686" t="inlineStr">
        <is>
          <t>Doc Fee and Agency Fee</t>
        </is>
      </c>
      <c r="C686" t="inlineStr">
        <is>
          <t>អ៊ែតវ៉ានស៍ គ្លរី ឡូជីស្ទីក (ខេមបូឌា) (អេ ជី អិល)</t>
        </is>
      </c>
      <c r="D686" t="inlineStr">
        <is>
          <t>K005-100059945</t>
        </is>
      </c>
      <c r="E686" t="inlineStr">
        <is>
          <t>AGL2400835</t>
        </is>
      </c>
      <c r="F686" t="inlineStr">
        <is>
          <t>05-06-2024</t>
        </is>
      </c>
      <c r="G686" t="n">
        <v>45155</v>
      </c>
      <c r="I686">
        <f>G686</f>
        <v/>
      </c>
      <c r="K686">
        <f>I686-G686</f>
        <v/>
      </c>
      <c r="M686">
        <f>R686=E686</f>
        <v/>
      </c>
      <c r="N686">
        <f>AND(MONTH(F686)=MONTH(Q686), YEAR(F686)=YEAR(Q686))</f>
        <v/>
      </c>
      <c r="O686">
        <f>"L001-902303751"=S686</f>
        <v/>
      </c>
      <c r="P686">
        <f>G686-U686</f>
        <v/>
      </c>
      <c r="Q686" s="35" t="n">
        <v>45355</v>
      </c>
      <c r="R686" t="inlineStr"/>
      <c r="S686" t="inlineStr">
        <is>
          <t>L001-100045340</t>
        </is>
      </c>
      <c r="T686" t="inlineStr">
        <is>
          <t xml:space="preserve">ស៊ីវ៉ា អ៊ែរ អ៊ែន អូសៀន (ខេមបូឌា) ឯ.ក </t>
        </is>
      </c>
      <c r="U686" t="n">
        <v>0</v>
      </c>
      <c r="V686" t="n">
        <v>0</v>
      </c>
    </row>
    <row r="687">
      <c r="A687" t="n">
        <v>686</v>
      </c>
      <c r="B687" t="inlineStr">
        <is>
          <t>Import Shipment Expense</t>
        </is>
      </c>
      <c r="C687" t="inlineStr">
        <is>
          <t>ខាហ្គោផត (ខេមបូឌា)</t>
        </is>
      </c>
      <c r="D687" t="inlineStr">
        <is>
          <t>K005-100099521</t>
        </is>
      </c>
      <c r="E687" t="inlineStr">
        <is>
          <t>24-1230</t>
        </is>
      </c>
      <c r="F687" t="inlineStr">
        <is>
          <t>01-06-2024</t>
        </is>
      </c>
      <c r="G687" t="n">
        <v>51163</v>
      </c>
      <c r="I687">
        <f>G687</f>
        <v/>
      </c>
      <c r="K687">
        <f>I687-G687</f>
        <v/>
      </c>
      <c r="M687">
        <f>R687=E687</f>
        <v/>
      </c>
      <c r="N687">
        <f>AND(MONTH(F687)=MONTH(Q687), YEAR(F687)=YEAR(Q687))</f>
        <v/>
      </c>
      <c r="O687">
        <f>"L001-902303751"=S687</f>
        <v/>
      </c>
      <c r="P687">
        <f>G687-U687</f>
        <v/>
      </c>
      <c r="Q687" s="35" t="n">
        <v>45376</v>
      </c>
      <c r="R687" t="inlineStr"/>
      <c r="S687" t="inlineStr">
        <is>
          <t>K003-901635943</t>
        </is>
      </c>
      <c r="T687" t="inlineStr">
        <is>
          <t>អ៊ីឃ្យូឡាញ វើលវ៉ាយដ៍ ឡូជីស្ទីក</t>
        </is>
      </c>
      <c r="U687" t="n">
        <v>0</v>
      </c>
      <c r="V687" t="n">
        <v>0</v>
      </c>
    </row>
    <row r="688">
      <c r="A688" t="n">
        <v>687</v>
      </c>
      <c r="B688" t="inlineStr">
        <is>
          <t>Trucking, Customs Clearance, Extra Trucking and Truck Fuel Surcharge</t>
        </is>
      </c>
      <c r="C688" t="inlineStr">
        <is>
          <t>អេស អ វី ស៊ី ហ្វ្រេត សឺវីស (ខេមបូឌា) ខូ អិលធីឌី</t>
        </is>
      </c>
      <c r="D688" t="inlineStr">
        <is>
          <t>K005-100150195</t>
        </is>
      </c>
      <c r="E688" t="inlineStr">
        <is>
          <t>SRVI2403035</t>
        </is>
      </c>
      <c r="F688" t="inlineStr">
        <is>
          <t>05-06-2024</t>
        </is>
      </c>
      <c r="G688" t="n">
        <v>172410</v>
      </c>
      <c r="I688">
        <f>G688</f>
        <v/>
      </c>
      <c r="K688">
        <f>I688-G688</f>
        <v/>
      </c>
      <c r="M688">
        <f>R688=E688</f>
        <v/>
      </c>
      <c r="N688">
        <f>AND(MONTH(F688)=MONTH(Q688), YEAR(F688)=YEAR(Q688))</f>
        <v/>
      </c>
      <c r="O688">
        <f>"L001-902303751"=S688</f>
        <v/>
      </c>
      <c r="P688">
        <f>G688-U688</f>
        <v/>
      </c>
      <c r="Q688" s="35" t="n">
        <v>45376</v>
      </c>
      <c r="R688" t="n">
        <v>176767</v>
      </c>
      <c r="S688" t="inlineStr">
        <is>
          <t>K005-901805913</t>
        </is>
      </c>
      <c r="T688" t="inlineStr">
        <is>
          <t>ស្តារ ខង់ខដ (ខេមបូឌា) ឯ.ក</t>
        </is>
      </c>
      <c r="U688" t="n">
        <v>176767</v>
      </c>
      <c r="V688" t="n">
        <v>0</v>
      </c>
    </row>
    <row r="689">
      <c r="A689" t="n">
        <v>688</v>
      </c>
      <c r="B689" t="inlineStr">
        <is>
          <t>Trucking, Customs Clearance, Extra Trucking and Truck Fuel Surcharge</t>
        </is>
      </c>
      <c r="C689" t="inlineStr">
        <is>
          <t>អេស អ វី ស៊ី ហ្វ្រេត សឺវីស (ខេមបូឌា) ខូ អិលធីឌី</t>
        </is>
      </c>
      <c r="D689" t="inlineStr">
        <is>
          <t>K005-100150195</t>
        </is>
      </c>
      <c r="E689" t="inlineStr">
        <is>
          <t>SRVI2403124</t>
        </is>
      </c>
      <c r="F689" t="inlineStr">
        <is>
          <t>12-06-2024</t>
        </is>
      </c>
      <c r="G689" t="n">
        <v>374647</v>
      </c>
      <c r="I689">
        <f>G689</f>
        <v/>
      </c>
      <c r="K689">
        <f>I689-G689</f>
        <v/>
      </c>
      <c r="M689">
        <f>R689=E689</f>
        <v/>
      </c>
      <c r="N689">
        <f>AND(MONTH(F689)=MONTH(Q689), YEAR(F689)=YEAR(Q689))</f>
        <v/>
      </c>
      <c r="O689">
        <f>"L001-902303751"=S689</f>
        <v/>
      </c>
      <c r="P689">
        <f>G689-U689</f>
        <v/>
      </c>
      <c r="Q689" s="35" t="n">
        <v>45369</v>
      </c>
      <c r="R689" t="n">
        <v>83169</v>
      </c>
      <c r="S689" t="inlineStr">
        <is>
          <t>L001-100182259</t>
        </is>
      </c>
      <c r="T689" t="inlineStr">
        <is>
          <t>សាខាក្រុមហ៊ុន ប៊ី ឡូជីស្ទីក ខបភើរេសិន (ខេមបូឌា)</t>
        </is>
      </c>
      <c r="U689" t="n">
        <v>83169</v>
      </c>
      <c r="V689" t="n">
        <v>0</v>
      </c>
    </row>
    <row r="690">
      <c r="A690" t="n">
        <v>689</v>
      </c>
      <c r="B690" t="inlineStr">
        <is>
          <t>Trucking, Customs Clearance, Extra Trucking and Truck Fuel Surcharge</t>
        </is>
      </c>
      <c r="C690" t="inlineStr">
        <is>
          <t>អេស អ វី ស៊ី ហ្វ្រេត សឺវីស (ខេមបូឌា) ខូ អិលធីឌី</t>
        </is>
      </c>
      <c r="D690" t="inlineStr">
        <is>
          <t>K005-100150195</t>
        </is>
      </c>
      <c r="E690" t="inlineStr">
        <is>
          <t>SRVI2403186</t>
        </is>
      </c>
      <c r="F690" t="inlineStr">
        <is>
          <t>14-06-2024</t>
        </is>
      </c>
      <c r="G690" t="n">
        <v>172998</v>
      </c>
      <c r="I690">
        <f>G690</f>
        <v/>
      </c>
      <c r="K690">
        <f>I690-G690</f>
        <v/>
      </c>
      <c r="M690">
        <f>R690=E690</f>
        <v/>
      </c>
      <c r="N690">
        <f>AND(MONTH(F690)=MONTH(Q690), YEAR(F690)=YEAR(Q690))</f>
        <v/>
      </c>
      <c r="O690">
        <f>"L001-902303751"=S690</f>
        <v/>
      </c>
      <c r="P690">
        <f>G690-U690</f>
        <v/>
      </c>
      <c r="Q690" s="35" t="n">
        <v>45376</v>
      </c>
      <c r="R690" t="n">
        <v>734168</v>
      </c>
      <c r="S690" t="inlineStr">
        <is>
          <t>K005-901501155</t>
        </is>
      </c>
      <c r="T690" t="inlineStr">
        <is>
          <t>ផេនដា គ្លូប៊ល ឡូជីស្ទីក (ខេមបូឌា)</t>
        </is>
      </c>
      <c r="U690" t="n">
        <v>734168</v>
      </c>
      <c r="V690" t="n">
        <v>0</v>
      </c>
    </row>
    <row r="691">
      <c r="A691" t="n">
        <v>690</v>
      </c>
      <c r="B691" t="inlineStr">
        <is>
          <t>Trucking, Customs Clearance, Extra Trucking and Truck Fuel Surcharge</t>
        </is>
      </c>
      <c r="C691" t="inlineStr">
        <is>
          <t>អេស អ វី ស៊ី ហ្វ្រេត សឺវីស (ខេមបូឌា) ខូ អិលធីឌី</t>
        </is>
      </c>
      <c r="D691" t="inlineStr">
        <is>
          <t>K005-100150195</t>
        </is>
      </c>
      <c r="E691" t="inlineStr">
        <is>
          <t>SRVI2403237</t>
        </is>
      </c>
      <c r="F691" t="inlineStr">
        <is>
          <t>20-06-2024</t>
        </is>
      </c>
      <c r="G691" t="n">
        <v>187597</v>
      </c>
      <c r="I691">
        <f>G691</f>
        <v/>
      </c>
      <c r="K691">
        <f>I691-G691</f>
        <v/>
      </c>
      <c r="M691">
        <f>R691=E691</f>
        <v/>
      </c>
      <c r="N691">
        <f>AND(MONTH(F691)=MONTH(Q691), YEAR(F691)=YEAR(Q691))</f>
        <v/>
      </c>
      <c r="O691">
        <f>"L001-902303751"=S691</f>
        <v/>
      </c>
      <c r="P691">
        <f>G691-U691</f>
        <v/>
      </c>
      <c r="Q691" s="35" t="n">
        <v>45369</v>
      </c>
      <c r="R691" t="n">
        <v>111568</v>
      </c>
      <c r="S691" t="inlineStr">
        <is>
          <t>K009-902002784</t>
        </is>
      </c>
      <c r="T691" t="inlineStr">
        <is>
          <t>ខាហ្គោលីង អ៊ិនធើណេសិនណល ឯ.ក</t>
        </is>
      </c>
      <c r="U691" t="n">
        <v>111568</v>
      </c>
      <c r="V691" t="n">
        <v>0</v>
      </c>
    </row>
    <row r="692">
      <c r="A692" t="n">
        <v>691</v>
      </c>
      <c r="B692" t="inlineStr">
        <is>
          <t>Trucking, Customs Clearance, Extra Trucking and Truck Fuel Surcharge</t>
        </is>
      </c>
      <c r="C692" t="inlineStr">
        <is>
          <t>អេស អ វី ស៊ី ហ្វ្រេត សឺវីស (ខេមបូឌា) ខូ អិលធីឌី</t>
        </is>
      </c>
      <c r="D692" t="inlineStr">
        <is>
          <t>K005-100150195</t>
        </is>
      </c>
      <c r="E692" t="inlineStr">
        <is>
          <t>SRVI2403396</t>
        </is>
      </c>
      <c r="F692" t="inlineStr">
        <is>
          <t>26-06-2024</t>
        </is>
      </c>
      <c r="G692" t="n">
        <v>178785</v>
      </c>
      <c r="I692">
        <f>G692</f>
        <v/>
      </c>
      <c r="K692">
        <f>I692-G692</f>
        <v/>
      </c>
      <c r="M692">
        <f>R692=E692</f>
        <v/>
      </c>
      <c r="N692">
        <f>AND(MONTH(F692)=MONTH(Q692), YEAR(F692)=YEAR(Q692))</f>
        <v/>
      </c>
      <c r="O692">
        <f>"L001-902303751"=S692</f>
        <v/>
      </c>
      <c r="P692">
        <f>G692-U692</f>
        <v/>
      </c>
      <c r="Q692" s="35" t="n">
        <v>45362</v>
      </c>
      <c r="R692" t="n">
        <v>109485</v>
      </c>
      <c r="S692" t="inlineStr">
        <is>
          <t>K005-100059945</t>
        </is>
      </c>
      <c r="T692" t="inlineStr">
        <is>
          <t>អ៊ែតវ៉ានស៍ គ្លរី ឡូជីស្ទីក (ខេមបូឌា) (អេ ជី អិល)</t>
        </is>
      </c>
      <c r="U692" t="n">
        <v>109485</v>
      </c>
      <c r="V692" t="n">
        <v>0</v>
      </c>
    </row>
    <row r="693">
      <c r="A693" t="n">
        <v>692</v>
      </c>
      <c r="B693" t="inlineStr">
        <is>
          <t>Trucking, Customs Clearance, Extra Trucking and Truck Fuel Surcharge</t>
        </is>
      </c>
      <c r="C693" t="inlineStr">
        <is>
          <t>អេស អ វី ស៊ី ហ្វ្រេត សឺវីស (ខេមបូឌា) ខូ អិលធីឌី</t>
        </is>
      </c>
      <c r="D693" t="inlineStr">
        <is>
          <t>K005-100150195</t>
        </is>
      </c>
      <c r="E693" t="inlineStr">
        <is>
          <t>SRVI2402825</t>
        </is>
      </c>
      <c r="F693" t="inlineStr">
        <is>
          <t>29-06-2024</t>
        </is>
      </c>
      <c r="G693" t="n">
        <v>172620</v>
      </c>
      <c r="I693">
        <f>G693</f>
        <v/>
      </c>
      <c r="K693">
        <f>I693-G693</f>
        <v/>
      </c>
      <c r="M693">
        <f>R693=E693</f>
        <v/>
      </c>
      <c r="N693">
        <f>AND(MONTH(F693)=MONTH(Q693), YEAR(F693)=YEAR(Q693))</f>
        <v/>
      </c>
      <c r="O693">
        <f>"L001-902303751"=S693</f>
        <v/>
      </c>
      <c r="P693">
        <f>G693-U693</f>
        <v/>
      </c>
      <c r="Q693" s="35" t="n">
        <v>45363</v>
      </c>
      <c r="R693" t="n">
        <v>111587</v>
      </c>
      <c r="S693" t="inlineStr">
        <is>
          <t>K005-901805913</t>
        </is>
      </c>
      <c r="T693" t="inlineStr">
        <is>
          <t>ស្តារ ខង់ខដ (ខេមបូឌា) ឯ.ក</t>
        </is>
      </c>
      <c r="U693" t="n">
        <v>111587</v>
      </c>
      <c r="V693" t="n">
        <v>0</v>
      </c>
    </row>
    <row r="694">
      <c r="A694" t="n">
        <v>693</v>
      </c>
      <c r="B694" t="inlineStr">
        <is>
          <t>Trucking, Customs Clearance, Extra Trucking and Truck Fuel Surcharge</t>
        </is>
      </c>
      <c r="C694" t="inlineStr">
        <is>
          <t>អេស អ វី ស៊ី ហ្វ្រេត សឺវីស (ខេមបូឌា) ខូ អិលធីឌី</t>
        </is>
      </c>
      <c r="D694" t="inlineStr">
        <is>
          <t>K005-100150195</t>
        </is>
      </c>
      <c r="E694" t="inlineStr">
        <is>
          <t>SRVI2402826</t>
        </is>
      </c>
      <c r="F694" t="inlineStr">
        <is>
          <t>29-06-2024</t>
        </is>
      </c>
      <c r="G694" t="n">
        <v>172620</v>
      </c>
      <c r="I694">
        <f>G694</f>
        <v/>
      </c>
      <c r="K694">
        <f>I694-G694</f>
        <v/>
      </c>
      <c r="M694">
        <f>R694=E694</f>
        <v/>
      </c>
      <c r="N694">
        <f>AND(MONTH(F694)=MONTH(Q694), YEAR(F694)=YEAR(Q694))</f>
        <v/>
      </c>
      <c r="O694">
        <f>"L001-902303751"=S694</f>
        <v/>
      </c>
      <c r="P694">
        <f>G694-U694</f>
        <v/>
      </c>
      <c r="Q694" s="35" t="n">
        <v>45369</v>
      </c>
      <c r="R694" t="n">
        <v>111568</v>
      </c>
      <c r="S694" t="inlineStr">
        <is>
          <t>L001-107041723</t>
        </is>
      </c>
      <c r="T694" t="inlineStr">
        <is>
          <t>ឌីប៊ី សេនឃើរ (ខេមបូឌា) លីមីធីត</t>
        </is>
      </c>
      <c r="U694" t="n">
        <v>111568</v>
      </c>
      <c r="V694" t="n">
        <v>0</v>
      </c>
    </row>
    <row r="695">
      <c r="A695" t="n">
        <v>694</v>
      </c>
      <c r="B695" t="inlineStr">
        <is>
          <t>Monthly Tax Service for May 2024</t>
        </is>
      </c>
      <c r="C695" t="inlineStr">
        <is>
          <t>ខេឌី ខនសាល់ធេន ឯ.ក</t>
        </is>
      </c>
      <c r="D695" t="inlineStr">
        <is>
          <t>K005-901704277</t>
        </is>
      </c>
      <c r="E695" t="inlineStr">
        <is>
          <t>20240000783</t>
        </is>
      </c>
      <c r="F695" t="inlineStr">
        <is>
          <t>26-06-2024</t>
        </is>
      </c>
      <c r="G695" t="n">
        <v>102750</v>
      </c>
      <c r="I695">
        <f>G695</f>
        <v/>
      </c>
      <c r="K695">
        <f>I695-G695</f>
        <v/>
      </c>
      <c r="M695">
        <f>R695=E695</f>
        <v/>
      </c>
      <c r="N695">
        <f>AND(MONTH(F695)=MONTH(Q695), YEAR(F695)=YEAR(Q695))</f>
        <v/>
      </c>
      <c r="O695">
        <f>"L001-902303751"=S695</f>
        <v/>
      </c>
      <c r="P695">
        <f>G695-U695</f>
        <v/>
      </c>
      <c r="Q695" s="35" t="n">
        <v>45369</v>
      </c>
      <c r="R695" t="n">
        <v>97774</v>
      </c>
      <c r="S695" t="inlineStr">
        <is>
          <t>L001-100045340</t>
        </is>
      </c>
      <c r="T695" t="inlineStr">
        <is>
          <t xml:space="preserve">ស៊ីវ៉ា អ៊ែរ អ៊ែន អូសៀន (ខេមបូឌា) ឯ.ក </t>
        </is>
      </c>
      <c r="U695" t="n">
        <v>97774</v>
      </c>
      <c r="V695" t="n">
        <v>0</v>
      </c>
    </row>
    <row r="696">
      <c r="A696" t="n">
        <v>695</v>
      </c>
      <c r="B696" t="inlineStr">
        <is>
          <t>Import Shipment Expense</t>
        </is>
      </c>
      <c r="C696" t="inlineStr">
        <is>
          <t>អឹឡាយអិន ហ្វ័រវើឌីង (ខេមបូឌា) ឯ.ក</t>
        </is>
      </c>
      <c r="D696" t="inlineStr">
        <is>
          <t>K005-901902888</t>
        </is>
      </c>
      <c r="E696" t="inlineStr">
        <is>
          <t>PPTI24-0379</t>
        </is>
      </c>
      <c r="F696" t="inlineStr">
        <is>
          <t>06-06-2024</t>
        </is>
      </c>
      <c r="G696" t="n">
        <v>103032</v>
      </c>
      <c r="I696">
        <f>G696</f>
        <v/>
      </c>
      <c r="K696">
        <f>I696-G696</f>
        <v/>
      </c>
      <c r="M696">
        <f>R696=E696</f>
        <v/>
      </c>
      <c r="N696">
        <f>AND(MONTH(F696)=MONTH(Q696), YEAR(F696)=YEAR(Q696))</f>
        <v/>
      </c>
      <c r="O696">
        <f>"L001-902303751"=S696</f>
        <v/>
      </c>
      <c r="P696">
        <f>G696-U696</f>
        <v/>
      </c>
      <c r="Q696" s="35" t="n">
        <v>45355</v>
      </c>
      <c r="R696" t="inlineStr"/>
      <c r="S696" t="inlineStr">
        <is>
          <t>K003-901635943</t>
        </is>
      </c>
      <c r="T696" t="inlineStr">
        <is>
          <t>អ៊ីឃ្យូឡាញ វើលវ៉ាយដ៍ ឡូជីស្ទីក</t>
        </is>
      </c>
      <c r="U696" t="n">
        <v>0</v>
      </c>
      <c r="V696" t="n">
        <v>0</v>
      </c>
    </row>
    <row r="697">
      <c r="A697" t="n">
        <v>696</v>
      </c>
      <c r="B697" t="inlineStr">
        <is>
          <t>Machine and Material</t>
        </is>
      </c>
      <c r="C697" t="inlineStr">
        <is>
          <t>ក្លាក ហ៊ូ ឯ.ក</t>
        </is>
      </c>
      <c r="D697" t="inlineStr">
        <is>
          <t>K007-901639199</t>
        </is>
      </c>
      <c r="E697" t="inlineStr">
        <is>
          <t>IN1372</t>
        </is>
      </c>
      <c r="F697" t="inlineStr">
        <is>
          <t>28-06-2024</t>
        </is>
      </c>
      <c r="G697" t="n">
        <v>513771</v>
      </c>
      <c r="I697">
        <f>G697</f>
        <v/>
      </c>
      <c r="K697">
        <f>I697-G697</f>
        <v/>
      </c>
      <c r="M697">
        <f>R697=E697</f>
        <v/>
      </c>
      <c r="N697">
        <f>AND(MONTH(F697)=MONTH(Q697), YEAR(F697)=YEAR(Q697))</f>
        <v/>
      </c>
      <c r="O697">
        <f>"L001-902303751"=S697</f>
        <v/>
      </c>
      <c r="P697">
        <f>G697-U697</f>
        <v/>
      </c>
      <c r="Q697" s="35" t="n">
        <v>45355</v>
      </c>
      <c r="R697" t="n">
        <v>81340</v>
      </c>
      <c r="S697" t="inlineStr">
        <is>
          <t>L001-100011888</t>
        </is>
      </c>
      <c r="T697" t="inlineStr">
        <is>
          <t>ត្រេន ស្តារ ហ្រេ្វត</t>
        </is>
      </c>
      <c r="U697" t="n">
        <v>81340</v>
      </c>
      <c r="V697" t="n">
        <v>0</v>
      </c>
    </row>
    <row r="698">
      <c r="A698" t="n">
        <v>697</v>
      </c>
      <c r="B698" t="inlineStr">
        <is>
          <t>Machine and Material</t>
        </is>
      </c>
      <c r="C698" t="inlineStr">
        <is>
          <t>ក្លាក ហ៊ូ ឯ.ក</t>
        </is>
      </c>
      <c r="D698" t="inlineStr">
        <is>
          <t>K007-901639199</t>
        </is>
      </c>
      <c r="E698" t="inlineStr">
        <is>
          <t>IN1373</t>
        </is>
      </c>
      <c r="F698" t="inlineStr">
        <is>
          <t>28-06-2024</t>
        </is>
      </c>
      <c r="G698" t="n">
        <v>256300</v>
      </c>
      <c r="I698">
        <f>G698</f>
        <v/>
      </c>
      <c r="K698">
        <f>I698-G698</f>
        <v/>
      </c>
      <c r="M698">
        <f>R698=E698</f>
        <v/>
      </c>
      <c r="N698">
        <f>AND(MONTH(F698)=MONTH(Q698), YEAR(F698)=YEAR(Q698))</f>
        <v/>
      </c>
      <c r="O698">
        <f>"L001-902303751"=S698</f>
        <v/>
      </c>
      <c r="P698">
        <f>G698-U698</f>
        <v/>
      </c>
      <c r="Q698" s="35" t="n">
        <v>45363</v>
      </c>
      <c r="R698" t="inlineStr"/>
      <c r="S698" t="inlineStr">
        <is>
          <t>K005-901805913</t>
        </is>
      </c>
      <c r="T698" t="inlineStr">
        <is>
          <t>ស្តារ ខង់ខដ (ខេមបូឌា) ឯ.ក</t>
        </is>
      </c>
      <c r="U698" t="n">
        <v>0</v>
      </c>
      <c r="V698" t="n">
        <v>0</v>
      </c>
    </row>
    <row r="699">
      <c r="A699" t="n">
        <v>698</v>
      </c>
      <c r="B699" t="inlineStr">
        <is>
          <t>Machine and Material</t>
        </is>
      </c>
      <c r="C699" t="inlineStr">
        <is>
          <t>ក្លាក ហ៊ូ ឯ.ក</t>
        </is>
      </c>
      <c r="D699" t="inlineStr">
        <is>
          <t>K007-901639199</t>
        </is>
      </c>
      <c r="E699" t="inlineStr">
        <is>
          <t>IN1374</t>
        </is>
      </c>
      <c r="F699" t="inlineStr">
        <is>
          <t>28-06-2024</t>
        </is>
      </c>
      <c r="G699" t="n">
        <v>216022</v>
      </c>
      <c r="I699">
        <f>G699</f>
        <v/>
      </c>
      <c r="K699">
        <f>I699-G699</f>
        <v/>
      </c>
      <c r="M699">
        <f>R699=E699</f>
        <v/>
      </c>
      <c r="N699">
        <f>AND(MONTH(F699)=MONTH(Q699), YEAR(F699)=YEAR(Q699))</f>
        <v/>
      </c>
      <c r="O699">
        <f>"L001-902303751"=S699</f>
        <v/>
      </c>
      <c r="P699">
        <f>G699-U699</f>
        <v/>
      </c>
      <c r="Q699" s="35" t="n">
        <v>45369</v>
      </c>
      <c r="R699" t="inlineStr"/>
      <c r="S699" t="inlineStr">
        <is>
          <t>K003-901635943</t>
        </is>
      </c>
      <c r="T699" t="inlineStr">
        <is>
          <t>អ៊ីឃ្យូឡាញ វើលវ៉ាយដ៍ ឡូជីស្ទីក</t>
        </is>
      </c>
      <c r="U699" t="n">
        <v>0</v>
      </c>
      <c r="V699" t="n">
        <v>0</v>
      </c>
    </row>
    <row r="700">
      <c r="A700" t="n">
        <v>699</v>
      </c>
      <c r="B700" t="inlineStr">
        <is>
          <t>Machine and Material</t>
        </is>
      </c>
      <c r="C700" t="inlineStr">
        <is>
          <t>ក្លាក ហ៊ូ ឯ.ក</t>
        </is>
      </c>
      <c r="D700" t="inlineStr">
        <is>
          <t>K007-901639199</t>
        </is>
      </c>
      <c r="E700" t="inlineStr">
        <is>
          <t>IN1375</t>
        </is>
      </c>
      <c r="F700" t="inlineStr">
        <is>
          <t>28-06-2024</t>
        </is>
      </c>
      <c r="G700" t="n">
        <v>574578</v>
      </c>
      <c r="I700">
        <f>G700</f>
        <v/>
      </c>
      <c r="K700">
        <f>I700-G700</f>
        <v/>
      </c>
      <c r="M700">
        <f>R700=E700</f>
        <v/>
      </c>
      <c r="N700">
        <f>AND(MONTH(F700)=MONTH(Q700), YEAR(F700)=YEAR(Q700))</f>
        <v/>
      </c>
      <c r="O700">
        <f>"L001-902303751"=S700</f>
        <v/>
      </c>
      <c r="P700">
        <f>G700-U700</f>
        <v/>
      </c>
      <c r="Q700" s="35" t="n">
        <v>45363</v>
      </c>
      <c r="R700" t="n">
        <v>80860</v>
      </c>
      <c r="S700" t="inlineStr">
        <is>
          <t>K009-902002784</t>
        </is>
      </c>
      <c r="T700" t="inlineStr">
        <is>
          <t>ខាហ្គោលីង អ៊ិនធើណេសិនណល ឯ.ក</t>
        </is>
      </c>
      <c r="U700" t="n">
        <v>80860</v>
      </c>
      <c r="V700" t="n">
        <v>0</v>
      </c>
    </row>
    <row r="701">
      <c r="A701" t="n">
        <v>700</v>
      </c>
      <c r="B701" t="inlineStr">
        <is>
          <t>Monthly Charge of Photo Copies Rental from 06/05/2024-06/06/2024</t>
        </is>
      </c>
      <c r="C701" t="inlineStr">
        <is>
          <t>វី.អាយ.អេស ខភៀ ឯ.ក</t>
        </is>
      </c>
      <c r="D701" t="inlineStr">
        <is>
          <t>K007-901705195</t>
        </is>
      </c>
      <c r="E701" t="inlineStr">
        <is>
          <t>RNT240623</t>
        </is>
      </c>
      <c r="F701" t="inlineStr">
        <is>
          <t>06-06-2024</t>
        </is>
      </c>
      <c r="G701" t="n">
        <v>57498</v>
      </c>
      <c r="I701">
        <f>G701</f>
        <v/>
      </c>
      <c r="K701">
        <f>I701-G701</f>
        <v/>
      </c>
      <c r="M701">
        <f>R701=E701</f>
        <v/>
      </c>
      <c r="N701">
        <f>AND(MONTH(F701)=MONTH(Q701), YEAR(F701)=YEAR(Q701))</f>
        <v/>
      </c>
      <c r="O701">
        <f>"L001-902303751"=S701</f>
        <v/>
      </c>
      <c r="P701">
        <f>G701-U701</f>
        <v/>
      </c>
      <c r="Q701" s="35" t="n">
        <v>45369</v>
      </c>
      <c r="R701" t="n">
        <v>111568</v>
      </c>
      <c r="S701" t="inlineStr">
        <is>
          <t>K005-100059945</t>
        </is>
      </c>
      <c r="T701" t="inlineStr">
        <is>
          <t>អ៊ែតវ៉ានស៍ គ្លរី ឡូជីស្ទីក (ខេមបូឌា) (អេ ជី អិល)</t>
        </is>
      </c>
      <c r="U701" t="n">
        <v>111568</v>
      </c>
      <c r="V701" t="n">
        <v>0</v>
      </c>
    </row>
    <row r="702">
      <c r="A702" t="n">
        <v>701</v>
      </c>
      <c r="B702" t="inlineStr">
        <is>
          <t>Monthly Charge of Photo Copies Rental from 06/05/2024-06/06/2024</t>
        </is>
      </c>
      <c r="C702" t="inlineStr">
        <is>
          <t>វី.អាយ.អេស ខភៀ ឯ.ក</t>
        </is>
      </c>
      <c r="D702" t="inlineStr">
        <is>
          <t>K007-901705195</t>
        </is>
      </c>
      <c r="E702" t="inlineStr">
        <is>
          <t>RNT240624</t>
        </is>
      </c>
      <c r="F702" t="inlineStr">
        <is>
          <t>06-06-2024</t>
        </is>
      </c>
      <c r="G702" t="n">
        <v>26696</v>
      </c>
      <c r="I702">
        <f>G702</f>
        <v/>
      </c>
      <c r="K702">
        <f>I702-G702</f>
        <v/>
      </c>
      <c r="M702">
        <f>R702=E702</f>
        <v/>
      </c>
      <c r="N702">
        <f>AND(MONTH(F702)=MONTH(Q702), YEAR(F702)=YEAR(Q702))</f>
        <v/>
      </c>
      <c r="O702">
        <f>"L001-902303751"=S702</f>
        <v/>
      </c>
      <c r="P702">
        <f>G702-U702</f>
        <v/>
      </c>
      <c r="Q702" s="35" t="n">
        <v>45376</v>
      </c>
      <c r="R702" t="inlineStr"/>
      <c r="S702" t="inlineStr">
        <is>
          <t>L001-100045340</t>
        </is>
      </c>
      <c r="T702" t="inlineStr">
        <is>
          <t xml:space="preserve">ស៊ីវ៉ា អ៊ែរ អ៊ែន អូសៀន (ខេមបូឌា) ឯ.ក </t>
        </is>
      </c>
      <c r="U702" t="n">
        <v>0</v>
      </c>
      <c r="V702" t="n">
        <v>0</v>
      </c>
    </row>
    <row r="703">
      <c r="A703" t="n">
        <v>702</v>
      </c>
      <c r="B703" t="inlineStr">
        <is>
          <t>Monthly Charge of Photo Copies Rental from 06/05/2024-06/06/2024</t>
        </is>
      </c>
      <c r="C703" t="inlineStr">
        <is>
          <t>វី.អាយ.អេស ខភៀ ឯ.ក</t>
        </is>
      </c>
      <c r="D703" t="inlineStr">
        <is>
          <t>K007-901705195</t>
        </is>
      </c>
      <c r="E703" t="inlineStr">
        <is>
          <t>RNT240625</t>
        </is>
      </c>
      <c r="F703" t="inlineStr">
        <is>
          <t>06-06-2024</t>
        </is>
      </c>
      <c r="G703" t="n">
        <v>28749</v>
      </c>
      <c r="I703">
        <f>G703</f>
        <v/>
      </c>
      <c r="K703">
        <f>I703-G703</f>
        <v/>
      </c>
      <c r="M703">
        <f>R703=E703</f>
        <v/>
      </c>
      <c r="N703">
        <f>AND(MONTH(F703)=MONTH(Q703), YEAR(F703)=YEAR(Q703))</f>
        <v/>
      </c>
      <c r="O703">
        <f>"L001-902303751"=S703</f>
        <v/>
      </c>
      <c r="P703">
        <f>G703-U703</f>
        <v/>
      </c>
      <c r="Q703" s="35" t="n">
        <v>45363</v>
      </c>
      <c r="R703" t="n">
        <v>80860</v>
      </c>
      <c r="S703" t="inlineStr">
        <is>
          <t>L001-107032791</t>
        </is>
      </c>
      <c r="T703" t="inlineStr">
        <is>
          <t>នីបផន អិចប្រេស (ខេមបូឌា) ខូ អិលធីឌី</t>
        </is>
      </c>
      <c r="U703" t="n">
        <v>80860</v>
      </c>
      <c r="V703" t="n">
        <v>0</v>
      </c>
    </row>
    <row r="704">
      <c r="A704" t="n">
        <v>703</v>
      </c>
      <c r="B704" t="inlineStr">
        <is>
          <t>Export Customs Clearance</t>
        </is>
      </c>
      <c r="C704" t="inlineStr">
        <is>
          <t>អ៊ីឃ្យូឡាញ វើលវ៉ាយដ៍ ឡូជីស្ទីក</t>
        </is>
      </c>
      <c r="D704" t="inlineStr">
        <is>
          <t>K003-901635943</t>
        </is>
      </c>
      <c r="E704" t="inlineStr">
        <is>
          <t>PPTI24/002829</t>
        </is>
      </c>
      <c r="F704" t="inlineStr">
        <is>
          <t>07-06-2024</t>
        </is>
      </c>
      <c r="G704" t="n">
        <v>65776</v>
      </c>
      <c r="I704">
        <f>G704</f>
        <v/>
      </c>
      <c r="K704">
        <f>I704-G704</f>
        <v/>
      </c>
      <c r="M704">
        <f>R704=E704</f>
        <v/>
      </c>
      <c r="N704">
        <f>AND(MONTH(F704)=MONTH(Q704), YEAR(F704)=YEAR(Q704))</f>
        <v/>
      </c>
      <c r="O704">
        <f>"L001-902303751"=S704</f>
        <v/>
      </c>
      <c r="P704">
        <f>G704-U704</f>
        <v/>
      </c>
      <c r="Q704" s="35" t="n">
        <v>45369</v>
      </c>
      <c r="R704" t="inlineStr"/>
      <c r="S704" t="inlineStr">
        <is>
          <t>K005-100059945</t>
        </is>
      </c>
      <c r="T704" t="inlineStr">
        <is>
          <t>អ៊ែតវ៉ានស៍ គ្លរី ឡូជីស្ទីក (ខេមបូឌា) (អេ ជី អិល)</t>
        </is>
      </c>
      <c r="U704" t="n">
        <v>0</v>
      </c>
      <c r="V704" t="n">
        <v>0</v>
      </c>
    </row>
    <row r="705">
      <c r="A705" t="n">
        <v>704</v>
      </c>
      <c r="B705" t="inlineStr">
        <is>
          <t>THC Fee, LCL Fee, Scanning Fee, Doc Fee, DO Fee, Agency Fee and CIC</t>
        </is>
      </c>
      <c r="C705" t="inlineStr">
        <is>
          <t>គ្លូប៊ល ស៊ី &amp; លែន ឯ.ក</t>
        </is>
      </c>
      <c r="D705" t="inlineStr">
        <is>
          <t>K007-901702732</t>
        </is>
      </c>
      <c r="E705" t="inlineStr">
        <is>
          <t>PPTI24-06-038</t>
        </is>
      </c>
      <c r="F705" t="inlineStr">
        <is>
          <t>19-06-2024</t>
        </is>
      </c>
      <c r="G705" t="n">
        <v>105310</v>
      </c>
      <c r="I705">
        <f>G705</f>
        <v/>
      </c>
      <c r="K705">
        <f>I705-G705</f>
        <v/>
      </c>
      <c r="M705">
        <f>R705=E705</f>
        <v/>
      </c>
      <c r="N705">
        <f>AND(MONTH(F705)=MONTH(Q705), YEAR(F705)=YEAR(Q705))</f>
        <v/>
      </c>
      <c r="O705">
        <f>"L001-902303751"=S705</f>
        <v/>
      </c>
      <c r="P705">
        <f>G705-U705</f>
        <v/>
      </c>
      <c r="Q705" s="35" t="n">
        <v>45372</v>
      </c>
      <c r="R705" t="n">
        <v>4807810</v>
      </c>
      <c r="S705" t="inlineStr">
        <is>
          <t>K004-105012505</t>
        </is>
      </c>
      <c r="T705" t="inlineStr">
        <is>
          <t>អេស៊ាន ហ្វ្រេត (ខេមបូឌា)</t>
        </is>
      </c>
      <c r="U705" t="n">
        <v>4807810</v>
      </c>
      <c r="V705" t="n">
        <v>0</v>
      </c>
    </row>
    <row r="706">
      <c r="A706" t="n">
        <v>705</v>
      </c>
      <c r="B706" t="inlineStr">
        <is>
          <t>Import Shipment Expense</t>
        </is>
      </c>
      <c r="C706" t="inlineStr">
        <is>
          <t>ភី.ដាប់បែលយូ. ស្កេនវែល ឡូជីស្ទីក (ខេមបូឌា)</t>
        </is>
      </c>
      <c r="D706" t="inlineStr">
        <is>
          <t>K002-107011379</t>
        </is>
      </c>
      <c r="E706" t="inlineStr">
        <is>
          <t>240600115</t>
        </is>
      </c>
      <c r="F706" t="inlineStr">
        <is>
          <t>10-06-2024</t>
        </is>
      </c>
      <c r="G706" t="n">
        <v>225316</v>
      </c>
      <c r="I706">
        <f>G706</f>
        <v/>
      </c>
      <c r="K706">
        <f>I706-G706</f>
        <v/>
      </c>
      <c r="M706">
        <f>R706=E706</f>
        <v/>
      </c>
      <c r="N706">
        <f>AND(MONTH(F706)=MONTH(Q706), YEAR(F706)=YEAR(Q706))</f>
        <v/>
      </c>
      <c r="O706">
        <f>"L001-902303751"=S706</f>
        <v/>
      </c>
      <c r="P706">
        <f>G706-U706</f>
        <v/>
      </c>
      <c r="Q706" s="35" t="n">
        <v>45376</v>
      </c>
      <c r="R706" t="inlineStr"/>
      <c r="S706" t="inlineStr">
        <is>
          <t>L001-100045995</t>
        </is>
      </c>
      <c r="T706" t="inlineStr">
        <is>
          <t>ឌីអេចអិល ឡូជីស្ទីក (ខេមបូឌា)</t>
        </is>
      </c>
      <c r="U706" t="n">
        <v>0</v>
      </c>
      <c r="V706" t="n">
        <v>0</v>
      </c>
    </row>
    <row r="707">
      <c r="A707" t="n">
        <v>706</v>
      </c>
      <c r="B707" t="inlineStr">
        <is>
          <t>Monthly Charge of Photo Copies Rental from 06/05/2024-06/06/2024</t>
        </is>
      </c>
      <c r="C707" t="inlineStr">
        <is>
          <t>វី.អាយ.អេស ខភៀ ឯ.ក</t>
        </is>
      </c>
      <c r="D707" t="inlineStr">
        <is>
          <t>K007-901705195</t>
        </is>
      </c>
      <c r="E707" t="inlineStr">
        <is>
          <t>RNT240627</t>
        </is>
      </c>
      <c r="F707" t="inlineStr">
        <is>
          <t>06-06-2024</t>
        </is>
      </c>
      <c r="G707" t="n">
        <v>28749</v>
      </c>
      <c r="I707">
        <f>G707</f>
        <v/>
      </c>
      <c r="K707">
        <f>I707-G707</f>
        <v/>
      </c>
      <c r="M707">
        <f>R707=E707</f>
        <v/>
      </c>
      <c r="N707">
        <f>AND(MONTH(F707)=MONTH(Q707), YEAR(F707)=YEAR(Q707))</f>
        <v/>
      </c>
      <c r="O707">
        <f>"L001-902303751"=S707</f>
        <v/>
      </c>
      <c r="P707">
        <f>G707-U707</f>
        <v/>
      </c>
      <c r="Q707" s="35" t="n">
        <v>45376</v>
      </c>
      <c r="R707" t="n">
        <v>97485</v>
      </c>
      <c r="S707" t="inlineStr">
        <is>
          <t>L001-100045340</t>
        </is>
      </c>
      <c r="T707" t="inlineStr">
        <is>
          <t xml:space="preserve">ស៊ីវ៉ា អ៊ែរ អ៊ែន អូសៀន (ខេមបូឌា) ឯ.ក </t>
        </is>
      </c>
      <c r="U707" t="n">
        <v>97485</v>
      </c>
      <c r="V707" t="n">
        <v>0</v>
      </c>
    </row>
    <row r="708">
      <c r="A708" t="n">
        <v>707</v>
      </c>
      <c r="B708" t="inlineStr">
        <is>
          <t>Monthly Charge of Photo Copies Rental from 06/05/2024-06/06/2024</t>
        </is>
      </c>
      <c r="C708" t="inlineStr">
        <is>
          <t>វី.អាយ.អេស ខភៀ ឯ.ក</t>
        </is>
      </c>
      <c r="D708" t="inlineStr">
        <is>
          <t>K007-901705195</t>
        </is>
      </c>
      <c r="E708" t="inlineStr">
        <is>
          <t>RNT240626</t>
        </is>
      </c>
      <c r="F708" t="inlineStr">
        <is>
          <t>06-06-2024</t>
        </is>
      </c>
      <c r="G708" t="n">
        <v>57498</v>
      </c>
      <c r="I708">
        <f>G708</f>
        <v/>
      </c>
      <c r="K708">
        <f>I708-G708</f>
        <v/>
      </c>
      <c r="M708">
        <f>R708=E708</f>
        <v/>
      </c>
      <c r="N708">
        <f>AND(MONTH(F708)=MONTH(Q708), YEAR(F708)=YEAR(Q708))</f>
        <v/>
      </c>
      <c r="O708">
        <f>"L001-902303751"=S708</f>
        <v/>
      </c>
      <c r="P708">
        <f>G708-U708</f>
        <v/>
      </c>
      <c r="Q708" s="35" t="n">
        <v>45355</v>
      </c>
      <c r="R708" t="inlineStr"/>
      <c r="S708" t="inlineStr">
        <is>
          <t>K005-901805913</t>
        </is>
      </c>
      <c r="T708" t="inlineStr">
        <is>
          <t>ស្តារ ខង់ខដ (ខេមបូឌា) ឯ.ក</t>
        </is>
      </c>
      <c r="U708" t="n">
        <v>0</v>
      </c>
      <c r="V708" t="n">
        <v>0</v>
      </c>
    </row>
    <row r="709">
      <c r="A709" t="n">
        <v>708</v>
      </c>
      <c r="B709" t="inlineStr">
        <is>
          <t>Non Woven Interlining</t>
        </is>
      </c>
      <c r="C709" t="inlineStr">
        <is>
          <t>ដេលី ហ្គាមេន អេកសេសឺរី</t>
        </is>
      </c>
      <c r="D709" t="inlineStr">
        <is>
          <t>L001-108012794</t>
        </is>
      </c>
      <c r="E709" t="inlineStr">
        <is>
          <t>00252</t>
        </is>
      </c>
      <c r="F709" t="inlineStr">
        <is>
          <t>28-06-2024</t>
        </is>
      </c>
      <c r="G709" t="n">
        <v>450045</v>
      </c>
      <c r="I709">
        <f>G709</f>
        <v/>
      </c>
      <c r="K709">
        <f>I709-G709</f>
        <v/>
      </c>
      <c r="M709">
        <f>R709=E709</f>
        <v/>
      </c>
      <c r="N709">
        <f>AND(MONTH(F709)=MONTH(Q709), YEAR(F709)=YEAR(Q709))</f>
        <v/>
      </c>
      <c r="O709">
        <f>"L001-902303751"=S709</f>
        <v/>
      </c>
      <c r="P709">
        <f>G709-U709</f>
        <v/>
      </c>
      <c r="Q709" s="35" t="n">
        <v>45363</v>
      </c>
      <c r="R709" t="inlineStr"/>
      <c r="S709" t="inlineStr">
        <is>
          <t>L001-100045995</t>
        </is>
      </c>
      <c r="T709" t="inlineStr">
        <is>
          <t>ឌីអេចអិល ឡូជីស្ទីក (ខេមបូឌា)</t>
        </is>
      </c>
      <c r="U709" t="n">
        <v>0</v>
      </c>
      <c r="V709" t="n">
        <v>0</v>
      </c>
    </row>
    <row r="710">
      <c r="A710" t="n">
        <v>709</v>
      </c>
      <c r="B710" t="inlineStr">
        <is>
          <t>Import Shipment Expense</t>
        </is>
      </c>
      <c r="C710" t="inlineStr">
        <is>
          <t>ហ្វ្រេត ខនសិប (ខេមបូឌា)</t>
        </is>
      </c>
      <c r="D710" t="inlineStr">
        <is>
          <t>K009-901502482</t>
        </is>
      </c>
      <c r="E710" t="inlineStr">
        <is>
          <t>240619</t>
        </is>
      </c>
      <c r="F710" t="inlineStr">
        <is>
          <t>24-06-2024</t>
        </is>
      </c>
      <c r="G710" t="n">
        <v>84893</v>
      </c>
      <c r="I710">
        <f>G710</f>
        <v/>
      </c>
      <c r="K710">
        <f>I710-G710</f>
        <v/>
      </c>
      <c r="M710">
        <f>R710=E710</f>
        <v/>
      </c>
      <c r="N710">
        <f>AND(MONTH(F710)=MONTH(Q710), YEAR(F710)=YEAR(Q710))</f>
        <v/>
      </c>
      <c r="O710">
        <f>"L001-902303751"=S710</f>
        <v/>
      </c>
      <c r="P710">
        <f>G710-U710</f>
        <v/>
      </c>
      <c r="Q710" s="35" t="n">
        <v>45399</v>
      </c>
      <c r="R710" t="n">
        <v>111210</v>
      </c>
      <c r="S710" t="inlineStr">
        <is>
          <t>K005-100059945</t>
        </is>
      </c>
      <c r="T710" t="inlineStr">
        <is>
          <t>អ៊ែតវ៉ានស៍ គ្លរី ឡូជីស្ទីក (ខេមបូឌា) (អេ ជី អិល)</t>
        </is>
      </c>
      <c r="U710" t="n">
        <v>111210</v>
      </c>
      <c r="V710" t="n">
        <v>0</v>
      </c>
    </row>
    <row r="711">
      <c r="A711" t="n">
        <v>710</v>
      </c>
      <c r="B711" t="inlineStr">
        <is>
          <t>THC, Doc Fee and Container Imbalance</t>
        </is>
      </c>
      <c r="C711" t="inlineStr">
        <is>
          <t>សាខាក្រុមហ៊ុន ជីម៉ាឌីប ស៊ីបភីង ខមភេនី លីមីធីត</t>
        </is>
      </c>
      <c r="D711" t="inlineStr">
        <is>
          <t>L001-901704777</t>
        </is>
      </c>
      <c r="E711" t="inlineStr">
        <is>
          <t>24-01837</t>
        </is>
      </c>
      <c r="F711" t="inlineStr">
        <is>
          <t>03-06-2024</t>
        </is>
      </c>
      <c r="G711" t="n">
        <v>96327</v>
      </c>
      <c r="I711">
        <f>G711</f>
        <v/>
      </c>
      <c r="K711">
        <f>I711-G711</f>
        <v/>
      </c>
      <c r="M711">
        <f>R711=E711</f>
        <v/>
      </c>
      <c r="N711">
        <f>AND(MONTH(F711)=MONTH(Q711), YEAR(F711)=YEAR(Q711))</f>
        <v/>
      </c>
      <c r="O711">
        <f>"L001-902303751"=S711</f>
        <v/>
      </c>
      <c r="P711">
        <f>G711-U711</f>
        <v/>
      </c>
      <c r="Q711" s="35" t="n">
        <v>45391</v>
      </c>
      <c r="R711" t="n">
        <v>97388</v>
      </c>
      <c r="S711" t="inlineStr">
        <is>
          <t>K003-901635943</t>
        </is>
      </c>
      <c r="T711" t="inlineStr">
        <is>
          <t>អ៊ីឃ្យូឡាញ វើលវ៉ាយដ៍ ឡូជីស្ទីក</t>
        </is>
      </c>
      <c r="U711" t="n">
        <v>97388</v>
      </c>
      <c r="V711" t="n">
        <v>0</v>
      </c>
    </row>
    <row r="712">
      <c r="A712" t="n">
        <v>711</v>
      </c>
      <c r="B712" t="inlineStr">
        <is>
          <t>THC, Doc Fee and Container Imbalance</t>
        </is>
      </c>
      <c r="C712" t="inlineStr">
        <is>
          <t>សាខាក្រុមហ៊ុន ជីម៉ាឌីប ស៊ីបភីង ខមភេនី លីមីធីត</t>
        </is>
      </c>
      <c r="D712" t="inlineStr">
        <is>
          <t>L001-901704777</t>
        </is>
      </c>
      <c r="E712" t="inlineStr">
        <is>
          <t>24-01835</t>
        </is>
      </c>
      <c r="F712" t="inlineStr">
        <is>
          <t>03-06-2024</t>
        </is>
      </c>
      <c r="G712" t="n">
        <v>137317</v>
      </c>
      <c r="I712">
        <f>G712</f>
        <v/>
      </c>
      <c r="K712">
        <f>I712-G712</f>
        <v/>
      </c>
      <c r="M712">
        <f>R712=E712</f>
        <v/>
      </c>
      <c r="N712">
        <f>AND(MONTH(F712)=MONTH(Q712), YEAR(F712)=YEAR(Q712))</f>
        <v/>
      </c>
      <c r="O712">
        <f>"L001-902303751"=S712</f>
        <v/>
      </c>
      <c r="P712">
        <f>G712-U712</f>
        <v/>
      </c>
      <c r="Q712" s="35" t="n">
        <v>45391</v>
      </c>
      <c r="R712" t="n">
        <v>113552</v>
      </c>
      <c r="S712" t="inlineStr">
        <is>
          <t>K005-901805913</t>
        </is>
      </c>
      <c r="T712" t="inlineStr">
        <is>
          <t>ស្តារ ខង់ខដ (ខេមបូឌា) ឯ.ក</t>
        </is>
      </c>
      <c r="U712" t="n">
        <v>113552</v>
      </c>
      <c r="V712" t="n">
        <v>0</v>
      </c>
    </row>
    <row r="713">
      <c r="A713" t="n">
        <v>712</v>
      </c>
      <c r="B713" t="inlineStr">
        <is>
          <t>THC, Doc Fee and Container Imbalance</t>
        </is>
      </c>
      <c r="C713" t="inlineStr">
        <is>
          <t>សាខាក្រុមហ៊ុន ជីម៉ាឌីប ស៊ីបភីង ខមភេនី លីមីធីត</t>
        </is>
      </c>
      <c r="D713" t="inlineStr">
        <is>
          <t>L001-901704777</t>
        </is>
      </c>
      <c r="E713" t="inlineStr">
        <is>
          <t>24-01986</t>
        </is>
      </c>
      <c r="F713" t="inlineStr">
        <is>
          <t>17-06-2024</t>
        </is>
      </c>
      <c r="G713" t="n">
        <v>96844</v>
      </c>
      <c r="I713">
        <f>G713</f>
        <v/>
      </c>
      <c r="K713">
        <f>I713-G713</f>
        <v/>
      </c>
      <c r="M713">
        <f>R713=E713</f>
        <v/>
      </c>
      <c r="N713">
        <f>AND(MONTH(F713)=MONTH(Q713), YEAR(F713)=YEAR(Q713))</f>
        <v/>
      </c>
      <c r="O713">
        <f>"L001-902303751"=S713</f>
        <v/>
      </c>
      <c r="P713">
        <f>G713-U713</f>
        <v/>
      </c>
      <c r="Q713" s="35" t="n">
        <v>45399</v>
      </c>
      <c r="R713" t="n">
        <v>85328</v>
      </c>
      <c r="S713" t="inlineStr">
        <is>
          <t>K005-901805913</t>
        </is>
      </c>
      <c r="T713" t="inlineStr">
        <is>
          <t>ស្តារ ខង់ខដ (ខេមបូឌា) ឯ.ក</t>
        </is>
      </c>
      <c r="U713" t="n">
        <v>85328</v>
      </c>
      <c r="V713" t="n">
        <v>0</v>
      </c>
    </row>
    <row r="714">
      <c r="A714" t="n">
        <v>713</v>
      </c>
      <c r="B714" t="inlineStr">
        <is>
          <t>THC, Doc Fee and Container Imbalance</t>
        </is>
      </c>
      <c r="C714" t="inlineStr">
        <is>
          <t>សាខាក្រុមហ៊ុន ជីម៉ាឌីប ស៊ីបភីង ខមភេនី លីមីធីត</t>
        </is>
      </c>
      <c r="D714" t="inlineStr">
        <is>
          <t>L001-901704777</t>
        </is>
      </c>
      <c r="E714" t="inlineStr">
        <is>
          <t>24-02108</t>
        </is>
      </c>
      <c r="F714" t="inlineStr">
        <is>
          <t>24-06-2024</t>
        </is>
      </c>
      <c r="G714" t="n">
        <v>138054</v>
      </c>
      <c r="I714">
        <f>G714</f>
        <v/>
      </c>
      <c r="K714">
        <f>I714-G714</f>
        <v/>
      </c>
      <c r="M714">
        <f>R714=E714</f>
        <v/>
      </c>
      <c r="N714">
        <f>AND(MONTH(F714)=MONTH(Q714), YEAR(F714)=YEAR(Q714))</f>
        <v/>
      </c>
      <c r="O714">
        <f>"L001-902303751"=S714</f>
        <v/>
      </c>
      <c r="P714">
        <f>G714-U714</f>
        <v/>
      </c>
      <c r="Q714" s="35" t="n">
        <v>45411</v>
      </c>
      <c r="R714" t="n">
        <v>111705</v>
      </c>
      <c r="S714" t="inlineStr">
        <is>
          <t>L001-107032791</t>
        </is>
      </c>
      <c r="T714" t="inlineStr">
        <is>
          <t>នីបផន អិចប្រេស (ខេមបូឌា) ខូ អិលធីឌី</t>
        </is>
      </c>
      <c r="U714" t="n">
        <v>111705</v>
      </c>
      <c r="V714" t="n">
        <v>0</v>
      </c>
    </row>
    <row r="715">
      <c r="A715" t="n">
        <v>714</v>
      </c>
      <c r="B715" t="inlineStr">
        <is>
          <t>Coated Paper and Thermal Tramsfer Ribbons</t>
        </is>
      </c>
      <c r="C715" t="inlineStr">
        <is>
          <t>ហ្គូដញូ ភែកឃីជីង ថេកណឡជី ឯ.ក</t>
        </is>
      </c>
      <c r="D715" t="inlineStr">
        <is>
          <t>L001-901704919</t>
        </is>
      </c>
      <c r="E715" t="inlineStr">
        <is>
          <t>TI-GN-2024-033</t>
        </is>
      </c>
      <c r="F715" t="inlineStr">
        <is>
          <t>30-06-2024</t>
        </is>
      </c>
      <c r="G715" t="n">
        <v>268371</v>
      </c>
      <c r="I715">
        <f>G715</f>
        <v/>
      </c>
      <c r="K715">
        <f>I715-G715</f>
        <v/>
      </c>
      <c r="M715">
        <f>R715=E715</f>
        <v/>
      </c>
      <c r="N715">
        <f>AND(MONTH(F715)=MONTH(Q715), YEAR(F715)=YEAR(Q715))</f>
        <v/>
      </c>
      <c r="O715">
        <f>"L001-902303751"=S715</f>
        <v/>
      </c>
      <c r="P715">
        <f>G715-U715</f>
        <v/>
      </c>
      <c r="Q715" s="35" t="n">
        <v>45404</v>
      </c>
      <c r="R715" t="n">
        <v>85750</v>
      </c>
      <c r="S715" t="inlineStr">
        <is>
          <t>L001-100045340</t>
        </is>
      </c>
      <c r="T715" t="inlineStr">
        <is>
          <t xml:space="preserve">ស៊ីវ៉ា អ៊ែរ អ៊ែន អូសៀន (ខេមបូឌា) ឯ.ក </t>
        </is>
      </c>
      <c r="U715" t="n">
        <v>85750</v>
      </c>
      <c r="V715" t="n">
        <v>0</v>
      </c>
    </row>
    <row r="716">
      <c r="A716" t="n">
        <v>715</v>
      </c>
      <c r="B716" t="inlineStr">
        <is>
          <t>Import Shipment Expense</t>
        </is>
      </c>
      <c r="C716" t="inlineStr">
        <is>
          <t>ហ្វ្រេត ខនសិប (ខេមបូឌា)</t>
        </is>
      </c>
      <c r="D716" t="inlineStr">
        <is>
          <t>K009-901502482</t>
        </is>
      </c>
      <c r="E716" t="inlineStr">
        <is>
          <t>240547</t>
        </is>
      </c>
      <c r="F716" t="inlineStr">
        <is>
          <t>03-06-2024</t>
        </is>
      </c>
      <c r="G716" t="n">
        <v>78865</v>
      </c>
      <c r="I716">
        <f>G716</f>
        <v/>
      </c>
      <c r="K716">
        <f>I716-G716</f>
        <v/>
      </c>
      <c r="M716">
        <f>R716=E716</f>
        <v/>
      </c>
      <c r="N716">
        <f>AND(MONTH(F716)=MONTH(Q716), YEAR(F716)=YEAR(Q716))</f>
        <v/>
      </c>
      <c r="O716">
        <f>"L001-902303751"=S716</f>
        <v/>
      </c>
      <c r="P716">
        <f>G716-U716</f>
        <v/>
      </c>
      <c r="Q716" s="35" t="n">
        <v>45404</v>
      </c>
      <c r="R716" t="n">
        <v>83312</v>
      </c>
      <c r="S716" t="inlineStr">
        <is>
          <t>L001-107032791</t>
        </is>
      </c>
      <c r="T716" t="inlineStr">
        <is>
          <t>នីបផន អិចប្រេស (ខេមបូឌា) ខូ អិលធីឌី</t>
        </is>
      </c>
      <c r="U716" t="n">
        <v>83312</v>
      </c>
      <c r="V716" t="n">
        <v>0</v>
      </c>
    </row>
    <row r="717">
      <c r="A717" t="n">
        <v>716</v>
      </c>
      <c r="B717" t="inlineStr">
        <is>
          <t>Documentation Origin, Handling Charges Origin, PLACI Fee and HAWB Transmission Fee</t>
        </is>
      </c>
      <c r="C717" t="inlineStr">
        <is>
          <t>ឌីប៊ី សេនឃើរ (ខេមបូឌា) លីមីធីត</t>
        </is>
      </c>
      <c r="D717" t="inlineStr">
        <is>
          <t>L001-107041723</t>
        </is>
      </c>
      <c r="E717" t="inlineStr">
        <is>
          <t>2400004467</t>
        </is>
      </c>
      <c r="F717" t="inlineStr">
        <is>
          <t>04-06-2024</t>
        </is>
      </c>
      <c r="G717" t="n">
        <v>50479</v>
      </c>
      <c r="I717">
        <f>G717</f>
        <v/>
      </c>
      <c r="K717">
        <f>I717-G717</f>
        <v/>
      </c>
      <c r="M717">
        <f>R717=E717</f>
        <v/>
      </c>
      <c r="N717">
        <f>AND(MONTH(F717)=MONTH(Q717), YEAR(F717)=YEAR(Q717))</f>
        <v/>
      </c>
      <c r="O717">
        <f>"L001-902303751"=S717</f>
        <v/>
      </c>
      <c r="P717">
        <f>G717-U717</f>
        <v/>
      </c>
      <c r="Q717" s="35" t="n">
        <v>45383</v>
      </c>
      <c r="R717" t="n">
        <v>82779</v>
      </c>
      <c r="S717" t="inlineStr">
        <is>
          <t>L001-100044956</t>
        </is>
      </c>
      <c r="T717" t="inlineStr">
        <is>
          <t>ជី លីង អិចប្រេស ឡូជីស្ទីក (ខេមបូឌា) លីមីធីត</t>
        </is>
      </c>
      <c r="U717" t="n">
        <v>82779</v>
      </c>
      <c r="V717" t="n">
        <v>0</v>
      </c>
    </row>
    <row r="718">
      <c r="A718" t="n">
        <v>717</v>
      </c>
      <c r="B718" t="inlineStr">
        <is>
          <t>Documentation Origin, Handling Charges Origin, PLACI Fee and HAWB Transmission Fee</t>
        </is>
      </c>
      <c r="C718" t="inlineStr">
        <is>
          <t>ឌីប៊ី សេនឃើរ (ខេមបូឌា) លីមីធីត</t>
        </is>
      </c>
      <c r="D718" t="inlineStr">
        <is>
          <t>L001-107041723</t>
        </is>
      </c>
      <c r="E718" t="inlineStr">
        <is>
          <t>240004475</t>
        </is>
      </c>
      <c r="F718" t="inlineStr">
        <is>
          <t>04-06-2024</t>
        </is>
      </c>
      <c r="G718" t="n">
        <v>50479</v>
      </c>
      <c r="I718">
        <f>G718</f>
        <v/>
      </c>
      <c r="K718">
        <f>I718-G718</f>
        <v/>
      </c>
      <c r="M718">
        <f>R718=E718</f>
        <v/>
      </c>
      <c r="N718">
        <f>AND(MONTH(F718)=MONTH(Q718), YEAR(F718)=YEAR(Q718))</f>
        <v/>
      </c>
      <c r="O718">
        <f>"L001-902303751"=S718</f>
        <v/>
      </c>
      <c r="P718">
        <f>G718-U718</f>
        <v/>
      </c>
      <c r="Q718" s="35" t="n">
        <v>45383</v>
      </c>
      <c r="R718" t="inlineStr"/>
      <c r="S718" t="inlineStr">
        <is>
          <t>K003-901635943</t>
        </is>
      </c>
      <c r="T718" t="inlineStr">
        <is>
          <t>អ៊ីឃ្យូឡាញ វើលវ៉ាយដ៍ ឡូជីស្ទីក</t>
        </is>
      </c>
      <c r="U718" t="n">
        <v>0</v>
      </c>
      <c r="V718" t="n">
        <v>0</v>
      </c>
    </row>
    <row r="719">
      <c r="A719" t="n">
        <v>718</v>
      </c>
      <c r="B719" t="inlineStr">
        <is>
          <t>Cargo Terminal</t>
        </is>
      </c>
      <c r="C719" t="inlineStr">
        <is>
          <t>សូស៊ីយេតេ កុងសេស្យូនែរ ដឺ ឡាអេរ៉ូព័រ</t>
        </is>
      </c>
      <c r="D719" t="inlineStr">
        <is>
          <t>L001-100047300</t>
        </is>
      </c>
      <c r="E719" t="inlineStr">
        <is>
          <t>2400-042312</t>
        </is>
      </c>
      <c r="F719" t="inlineStr">
        <is>
          <t>06-06-2024</t>
        </is>
      </c>
      <c r="G719" t="n">
        <v>4731</v>
      </c>
      <c r="I719">
        <f>G719</f>
        <v/>
      </c>
      <c r="K719">
        <f>I719-G719</f>
        <v/>
      </c>
      <c r="M719">
        <f>R719=E719</f>
        <v/>
      </c>
      <c r="N719">
        <f>AND(MONTH(F719)=MONTH(Q719), YEAR(F719)=YEAR(Q719))</f>
        <v/>
      </c>
      <c r="O719">
        <f>"L001-902303751"=S719</f>
        <v/>
      </c>
      <c r="P719">
        <f>G719-U719</f>
        <v/>
      </c>
      <c r="Q719" s="35" t="n">
        <v>45391</v>
      </c>
      <c r="R719" t="n">
        <v>113552</v>
      </c>
      <c r="S719" t="inlineStr">
        <is>
          <t>K003-901635943</t>
        </is>
      </c>
      <c r="T719" t="inlineStr">
        <is>
          <t>អ៊ីឃ្យូឡាញ វើលវ៉ាយដ៍ ឡូជីស្ទីក</t>
        </is>
      </c>
      <c r="U719" t="n">
        <v>113552</v>
      </c>
      <c r="V719" t="n">
        <v>0</v>
      </c>
    </row>
    <row r="720">
      <c r="A720" t="n">
        <v>719</v>
      </c>
      <c r="B720" t="inlineStr">
        <is>
          <t>Cargo Terminal</t>
        </is>
      </c>
      <c r="C720" t="inlineStr">
        <is>
          <t>សូស៊ីយេតេ កុងសេស្យូនែរ ដឺ ឡាអេរ៉ូព័រ</t>
        </is>
      </c>
      <c r="D720" t="inlineStr">
        <is>
          <t>L001-100047300</t>
        </is>
      </c>
      <c r="E720" t="inlineStr">
        <is>
          <t>2400-041363</t>
        </is>
      </c>
      <c r="F720" t="inlineStr">
        <is>
          <t>03-06-2024</t>
        </is>
      </c>
      <c r="G720" t="n">
        <v>1442</v>
      </c>
      <c r="I720">
        <f>G720</f>
        <v/>
      </c>
      <c r="K720">
        <f>I720-G720</f>
        <v/>
      </c>
      <c r="M720">
        <f>R720=E720</f>
        <v/>
      </c>
      <c r="N720">
        <f>AND(MONTH(F720)=MONTH(Q720), YEAR(F720)=YEAR(Q720))</f>
        <v/>
      </c>
      <c r="O720">
        <f>"L001-902303751"=S720</f>
        <v/>
      </c>
      <c r="P720">
        <f>G720-U720</f>
        <v/>
      </c>
      <c r="Q720" s="35" t="n">
        <v>45411</v>
      </c>
      <c r="R720" t="n">
        <v>205943</v>
      </c>
      <c r="S720" t="inlineStr">
        <is>
          <t>L001-100074669</t>
        </is>
      </c>
      <c r="T720" t="inlineStr">
        <is>
          <t>ខេអិលអិន ហ្វ្រេត (ខេមបូឌា) ឯ.ក</t>
        </is>
      </c>
      <c r="U720" t="n">
        <v>205943</v>
      </c>
      <c r="V720" t="n">
        <v>0</v>
      </c>
    </row>
    <row r="721">
      <c r="A721" t="n">
        <v>720</v>
      </c>
      <c r="B721" t="inlineStr">
        <is>
          <t>Cargo Terminal</t>
        </is>
      </c>
      <c r="C721" t="inlineStr">
        <is>
          <t>សូស៊ីយេតេ កុងសេស្យូនែរ ដឺ ឡាអេរ៉ូព័រ</t>
        </is>
      </c>
      <c r="D721" t="inlineStr">
        <is>
          <t>L001-100047300</t>
        </is>
      </c>
      <c r="E721" t="inlineStr">
        <is>
          <t>2400-041364</t>
        </is>
      </c>
      <c r="F721" t="inlineStr">
        <is>
          <t>03-06-2024</t>
        </is>
      </c>
      <c r="G721" t="n">
        <v>917</v>
      </c>
      <c r="I721">
        <f>G721</f>
        <v/>
      </c>
      <c r="K721">
        <f>I721-G721</f>
        <v/>
      </c>
      <c r="M721">
        <f>R721=E721</f>
        <v/>
      </c>
      <c r="N721">
        <f>AND(MONTH(F721)=MONTH(Q721), YEAR(F721)=YEAR(Q721))</f>
        <v/>
      </c>
      <c r="O721">
        <f>"L001-902303751"=S721</f>
        <v/>
      </c>
      <c r="P721">
        <f>G721-U721</f>
        <v/>
      </c>
      <c r="Q721" s="35" t="n">
        <v>45411</v>
      </c>
      <c r="R721" t="n">
        <v>172635</v>
      </c>
      <c r="S721" t="inlineStr">
        <is>
          <t>L001-107032791</t>
        </is>
      </c>
      <c r="T721" t="inlineStr">
        <is>
          <t>នីបផន អិចប្រេស (ខេមបូឌា) ខូ អិលធីឌី</t>
        </is>
      </c>
      <c r="U721" t="n">
        <v>172635</v>
      </c>
      <c r="V721" t="n">
        <v>0</v>
      </c>
    </row>
    <row r="722">
      <c r="A722" t="n">
        <v>721</v>
      </c>
      <c r="B722" t="inlineStr">
        <is>
          <t>Cargo Terminal</t>
        </is>
      </c>
      <c r="C722" t="inlineStr">
        <is>
          <t>សូស៊ីយេតេ កុងសេស្យូនែរ ដឺ ឡាអេរ៉ូព័រ</t>
        </is>
      </c>
      <c r="D722" t="inlineStr">
        <is>
          <t>L001-100047300</t>
        </is>
      </c>
      <c r="E722" t="inlineStr">
        <is>
          <t>2400-043648</t>
        </is>
      </c>
      <c r="F722" t="inlineStr">
        <is>
          <t>11-06-2024</t>
        </is>
      </c>
      <c r="G722" t="n">
        <v>1414</v>
      </c>
      <c r="I722">
        <f>G722</f>
        <v/>
      </c>
      <c r="K722">
        <f>I722-G722</f>
        <v/>
      </c>
      <c r="M722">
        <f>R722=E722</f>
        <v/>
      </c>
      <c r="N722">
        <f>AND(MONTH(F722)=MONTH(Q722), YEAR(F722)=YEAR(Q722))</f>
        <v/>
      </c>
      <c r="O722">
        <f>"L001-902303751"=S722</f>
        <v/>
      </c>
      <c r="P722">
        <f>G722-U722</f>
        <v/>
      </c>
      <c r="Q722" s="35" t="n">
        <v>45411</v>
      </c>
      <c r="R722" t="n">
        <v>83271</v>
      </c>
      <c r="S722" t="inlineStr">
        <is>
          <t>L001-107032791</t>
        </is>
      </c>
      <c r="T722" t="inlineStr">
        <is>
          <t>នីបផន អិចប្រេស (ខេមបូឌា) ខូ អិលធីឌី</t>
        </is>
      </c>
      <c r="U722" t="n">
        <v>83271</v>
      </c>
      <c r="V722" t="n">
        <v>0</v>
      </c>
    </row>
    <row r="723">
      <c r="A723" t="n">
        <v>722</v>
      </c>
      <c r="B723" t="inlineStr">
        <is>
          <t>Cargo Terminal</t>
        </is>
      </c>
      <c r="C723" t="inlineStr">
        <is>
          <t>សូស៊ីយេតេ កុងសេស្យូនែរ ដឺ ឡាអេរ៉ូព័រ</t>
        </is>
      </c>
      <c r="D723" t="inlineStr">
        <is>
          <t>L001-100047300</t>
        </is>
      </c>
      <c r="E723" t="inlineStr">
        <is>
          <t>2400-043649</t>
        </is>
      </c>
      <c r="F723" t="inlineStr">
        <is>
          <t>11-06-2024</t>
        </is>
      </c>
      <c r="G723" t="n">
        <v>2140</v>
      </c>
      <c r="I723">
        <f>G723</f>
        <v/>
      </c>
      <c r="K723">
        <f>I723-G723</f>
        <v/>
      </c>
      <c r="M723">
        <f>R723=E723</f>
        <v/>
      </c>
      <c r="N723">
        <f>AND(MONTH(F723)=MONTH(Q723), YEAR(F723)=YEAR(Q723))</f>
        <v/>
      </c>
      <c r="O723">
        <f>"L001-902303751"=S723</f>
        <v/>
      </c>
      <c r="P723">
        <f>G723-U723</f>
        <v/>
      </c>
      <c r="Q723" s="35" t="n">
        <v>45411</v>
      </c>
      <c r="R723" t="inlineStr"/>
      <c r="S723" t="inlineStr">
        <is>
          <t>K005-901805913</t>
        </is>
      </c>
      <c r="T723" t="inlineStr">
        <is>
          <t>ស្តារ ខង់ខដ (ខេមបូឌា) ឯ.ក</t>
        </is>
      </c>
      <c r="U723" t="n">
        <v>0</v>
      </c>
      <c r="V723" t="n">
        <v>0</v>
      </c>
    </row>
    <row r="724">
      <c r="A724" t="n">
        <v>723</v>
      </c>
      <c r="B724" t="inlineStr">
        <is>
          <t>Cargo Terminal</t>
        </is>
      </c>
      <c r="C724" t="inlineStr">
        <is>
          <t>សូស៊ីយេតេ កុងសេស្យូនែរ ដឺ ឡាអេរ៉ូព័រ</t>
        </is>
      </c>
      <c r="D724" t="inlineStr">
        <is>
          <t>L001-100047300</t>
        </is>
      </c>
      <c r="E724" t="inlineStr">
        <is>
          <t>2400-043565</t>
        </is>
      </c>
      <c r="F724" t="inlineStr">
        <is>
          <t>10-06-2024</t>
        </is>
      </c>
      <c r="G724" t="n">
        <v>1316</v>
      </c>
      <c r="I724">
        <f>G724</f>
        <v/>
      </c>
      <c r="K724">
        <f>I724-G724</f>
        <v/>
      </c>
      <c r="M724">
        <f>R724=E724</f>
        <v/>
      </c>
      <c r="N724">
        <f>AND(MONTH(F724)=MONTH(Q724), YEAR(F724)=YEAR(Q724))</f>
        <v/>
      </c>
      <c r="O724">
        <f>"L001-902303751"=S724</f>
        <v/>
      </c>
      <c r="P724">
        <f>G724-U724</f>
        <v/>
      </c>
      <c r="Q724" s="35" t="n">
        <v>45406</v>
      </c>
      <c r="R724" t="n">
        <v>92591</v>
      </c>
      <c r="S724" t="inlineStr">
        <is>
          <t>K009-107034735</t>
        </is>
      </c>
      <c r="T724" t="inlineStr">
        <is>
          <t>ស៊ីប៊ីជី ឡូជីស្ទីក (ខេមបូឌា)</t>
        </is>
      </c>
      <c r="U724" t="n">
        <v>92591</v>
      </c>
      <c r="V724" t="n">
        <v>0</v>
      </c>
    </row>
    <row r="725">
      <c r="A725" t="n">
        <v>724</v>
      </c>
      <c r="B725" t="inlineStr">
        <is>
          <t>Cargo Terminal</t>
        </is>
      </c>
      <c r="C725" t="inlineStr">
        <is>
          <t>សូស៊ីយេតេ កុងសេស្យូនែរ ដឺ ឡាអេរ៉ូព័រ</t>
        </is>
      </c>
      <c r="D725" t="inlineStr">
        <is>
          <t>L001-100047300</t>
        </is>
      </c>
      <c r="E725" t="inlineStr">
        <is>
          <t>2400-044954</t>
        </is>
      </c>
      <c r="F725" t="inlineStr">
        <is>
          <t>14-06-2024</t>
        </is>
      </c>
      <c r="G725" t="n">
        <v>2045</v>
      </c>
      <c r="I725">
        <f>G725</f>
        <v/>
      </c>
      <c r="K725">
        <f>I725-G725</f>
        <v/>
      </c>
      <c r="M725">
        <f>R725=E725</f>
        <v/>
      </c>
      <c r="N725">
        <f>AND(MONTH(F725)=MONTH(Q725), YEAR(F725)=YEAR(Q725))</f>
        <v/>
      </c>
      <c r="O725">
        <f>"L001-902303751"=S725</f>
        <v/>
      </c>
      <c r="P725">
        <f>G725-U725</f>
        <v/>
      </c>
      <c r="Q725" s="35" t="n">
        <v>45383</v>
      </c>
      <c r="R725" t="n">
        <v>113468</v>
      </c>
      <c r="S725" t="inlineStr">
        <is>
          <t>K005-901805913</t>
        </is>
      </c>
      <c r="T725" t="inlineStr">
        <is>
          <t>ស្តារ ខង់ខដ (ខេមបូឌា) ឯ.ក</t>
        </is>
      </c>
      <c r="U725" t="n">
        <v>113468</v>
      </c>
      <c r="V725" t="n">
        <v>0</v>
      </c>
    </row>
    <row r="726">
      <c r="A726" t="n">
        <v>725</v>
      </c>
      <c r="B726" t="inlineStr">
        <is>
          <t>Cargo Terminal</t>
        </is>
      </c>
      <c r="C726" t="inlineStr">
        <is>
          <t>សូស៊ីយេតេ កុងសេស្យូនែរ ដឺ ឡាអេរ៉ូព័រ</t>
        </is>
      </c>
      <c r="D726" t="inlineStr">
        <is>
          <t>L001-100047300</t>
        </is>
      </c>
      <c r="E726" t="inlineStr">
        <is>
          <t>2400-044953</t>
        </is>
      </c>
      <c r="F726" t="inlineStr">
        <is>
          <t>14-06-2024</t>
        </is>
      </c>
      <c r="G726" t="n">
        <v>15851</v>
      </c>
      <c r="I726">
        <f>G726</f>
        <v/>
      </c>
      <c r="K726">
        <f>I726-G726</f>
        <v/>
      </c>
      <c r="M726">
        <f>R726=E726</f>
        <v/>
      </c>
      <c r="N726">
        <f>AND(MONTH(F726)=MONTH(Q726), YEAR(F726)=YEAR(Q726))</f>
        <v/>
      </c>
      <c r="O726">
        <f>"L001-902303751"=S726</f>
        <v/>
      </c>
      <c r="P726">
        <f>G726-U726</f>
        <v/>
      </c>
      <c r="Q726" s="35" t="n">
        <v>45399</v>
      </c>
      <c r="R726" t="inlineStr"/>
      <c r="S726" t="inlineStr">
        <is>
          <t>L001-107032791</t>
        </is>
      </c>
      <c r="T726" t="inlineStr">
        <is>
          <t>នីបផន អិចប្រេស (ខេមបូឌា) ខូ អិលធីឌី</t>
        </is>
      </c>
      <c r="U726" t="n">
        <v>0</v>
      </c>
      <c r="V726" t="n">
        <v>0</v>
      </c>
    </row>
    <row r="727">
      <c r="A727" t="n">
        <v>726</v>
      </c>
      <c r="B727" t="inlineStr">
        <is>
          <t>Cargo Terminal</t>
        </is>
      </c>
      <c r="C727" t="inlineStr">
        <is>
          <t>សូស៊ីយេតេ កុងសេស្យូនែរ ដឺ ឡាអេរ៉ូព័រ</t>
        </is>
      </c>
      <c r="D727" t="inlineStr">
        <is>
          <t>L001-100047300</t>
        </is>
      </c>
      <c r="E727" t="inlineStr">
        <is>
          <t>2400-045713</t>
        </is>
      </c>
      <c r="F727" t="inlineStr">
        <is>
          <t>17-06-2024</t>
        </is>
      </c>
      <c r="G727" t="n">
        <v>824</v>
      </c>
      <c r="I727">
        <f>G727</f>
        <v/>
      </c>
      <c r="K727">
        <f>I727-G727</f>
        <v/>
      </c>
      <c r="M727">
        <f>R727=E727</f>
        <v/>
      </c>
      <c r="N727">
        <f>AND(MONTH(F727)=MONTH(Q727), YEAR(F727)=YEAR(Q727))</f>
        <v/>
      </c>
      <c r="O727">
        <f>"L001-902303751"=S727</f>
        <v/>
      </c>
      <c r="P727">
        <f>G727-U727</f>
        <v/>
      </c>
      <c r="Q727" s="35" t="n">
        <v>45411</v>
      </c>
      <c r="R727" t="n">
        <v>322929</v>
      </c>
      <c r="S727" t="inlineStr">
        <is>
          <t>L001-107032791</t>
        </is>
      </c>
      <c r="T727" t="inlineStr">
        <is>
          <t>នីបផន អិចប្រេស (ខេមបូឌា) ខូ អិលធីឌី</t>
        </is>
      </c>
      <c r="U727" t="n">
        <v>322929</v>
      </c>
      <c r="V727" t="n">
        <v>0</v>
      </c>
    </row>
    <row r="728">
      <c r="A728" t="n">
        <v>727</v>
      </c>
      <c r="B728" t="inlineStr">
        <is>
          <t>Cargo Terminal</t>
        </is>
      </c>
      <c r="C728" t="inlineStr">
        <is>
          <t>សូស៊ីយេតេ កុងសេស្យូនែរ ដឺ ឡាអេរ៉ូព័រ</t>
        </is>
      </c>
      <c r="D728" t="inlineStr">
        <is>
          <t>L001-100047300</t>
        </is>
      </c>
      <c r="E728" t="inlineStr">
        <is>
          <t>2400-045714</t>
        </is>
      </c>
      <c r="F728" t="inlineStr">
        <is>
          <t>17-06-2024</t>
        </is>
      </c>
      <c r="G728" t="n">
        <v>8111</v>
      </c>
      <c r="I728">
        <f>G728</f>
        <v/>
      </c>
      <c r="K728">
        <f>I728-G728</f>
        <v/>
      </c>
      <c r="M728">
        <f>R728=E728</f>
        <v/>
      </c>
      <c r="N728">
        <f>AND(MONTH(F728)=MONTH(Q728), YEAR(F728)=YEAR(Q728))</f>
        <v/>
      </c>
      <c r="O728">
        <f>"L001-902303751"=S728</f>
        <v/>
      </c>
      <c r="P728">
        <f>G728-U728</f>
        <v/>
      </c>
      <c r="Q728" s="35" t="n">
        <v>45400</v>
      </c>
      <c r="R728" t="inlineStr"/>
      <c r="S728" t="inlineStr">
        <is>
          <t>L001-901500191</t>
        </is>
      </c>
      <c r="T728" t="inlineStr">
        <is>
          <t>អ.អិន.វ៉ាយ ត្រេនស្ព័ត</t>
        </is>
      </c>
      <c r="U728" t="n">
        <v>0</v>
      </c>
      <c r="V728" t="n">
        <v>0</v>
      </c>
    </row>
    <row r="729">
      <c r="A729" t="n">
        <v>728</v>
      </c>
      <c r="B729" t="inlineStr">
        <is>
          <t>Cargo Terminal</t>
        </is>
      </c>
      <c r="C729" t="inlineStr">
        <is>
          <t>សូស៊ីយេតេ កុងសេស្យូនែរ ដឺ ឡាអេរ៉ូព័រ</t>
        </is>
      </c>
      <c r="D729" t="inlineStr">
        <is>
          <t>L001-100047300</t>
        </is>
      </c>
      <c r="E729" t="inlineStr">
        <is>
          <t>2400-049836</t>
        </is>
      </c>
      <c r="F729" t="inlineStr">
        <is>
          <t>29-06-2024</t>
        </is>
      </c>
      <c r="G729" t="n">
        <v>1117</v>
      </c>
      <c r="I729">
        <f>G729</f>
        <v/>
      </c>
      <c r="K729">
        <f>I729-G729</f>
        <v/>
      </c>
      <c r="M729">
        <f>R729=E729</f>
        <v/>
      </c>
      <c r="N729">
        <f>AND(MONTH(F729)=MONTH(Q729), YEAR(F729)=YEAR(Q729))</f>
        <v/>
      </c>
      <c r="O729">
        <f>"L001-902303751"=S729</f>
        <v/>
      </c>
      <c r="P729">
        <f>G729-U729</f>
        <v/>
      </c>
      <c r="Q729" s="35" t="n">
        <v>45404</v>
      </c>
      <c r="R729" t="n">
        <v>83312</v>
      </c>
      <c r="S729" t="inlineStr">
        <is>
          <t>L001-100045995</t>
        </is>
      </c>
      <c r="T729" t="inlineStr">
        <is>
          <t>ឌីអេចអិល ឡូជីស្ទីក (ខេមបូឌា)</t>
        </is>
      </c>
      <c r="U729" t="n">
        <v>83312</v>
      </c>
      <c r="V729" t="n">
        <v>0</v>
      </c>
    </row>
    <row r="730">
      <c r="A730" t="n">
        <v>729</v>
      </c>
      <c r="B730" t="inlineStr">
        <is>
          <t>Cargo Terminal</t>
        </is>
      </c>
      <c r="C730" t="inlineStr">
        <is>
          <t>សូស៊ីយេតេ កុងសេស្យូនែរ ដឺ ឡាអេរ៉ូព័រ</t>
        </is>
      </c>
      <c r="D730" t="inlineStr">
        <is>
          <t>L001-100047300</t>
        </is>
      </c>
      <c r="E730" t="inlineStr">
        <is>
          <t>2400-046276</t>
        </is>
      </c>
      <c r="F730" t="inlineStr">
        <is>
          <t>19-06-2024</t>
        </is>
      </c>
      <c r="G730" t="n">
        <v>824</v>
      </c>
      <c r="I730">
        <f>G730</f>
        <v/>
      </c>
      <c r="K730">
        <f>I730-G730</f>
        <v/>
      </c>
      <c r="M730">
        <f>R730=E730</f>
        <v/>
      </c>
      <c r="N730">
        <f>AND(MONTH(F730)=MONTH(Q730), YEAR(F730)=YEAR(Q730))</f>
        <v/>
      </c>
      <c r="O730">
        <f>"L001-902303751"=S730</f>
        <v/>
      </c>
      <c r="P730">
        <f>G730-U730</f>
        <v/>
      </c>
      <c r="Q730" s="35" t="n">
        <v>45404</v>
      </c>
      <c r="R730" t="inlineStr"/>
      <c r="S730" t="inlineStr">
        <is>
          <t>K003-901635943</t>
        </is>
      </c>
      <c r="T730" t="inlineStr">
        <is>
          <t>អ៊ីឃ្យូឡាញ វើលវ៉ាយដ៍ ឡូជីស្ទីក</t>
        </is>
      </c>
      <c r="U730" t="n">
        <v>0</v>
      </c>
      <c r="V730" t="n">
        <v>0</v>
      </c>
    </row>
    <row r="731">
      <c r="A731" t="n">
        <v>730</v>
      </c>
      <c r="B731" t="inlineStr">
        <is>
          <t>Cargo Terminal</t>
        </is>
      </c>
      <c r="C731" t="inlineStr">
        <is>
          <t>សូស៊ីយេតេ កុងសេស្យូនែរ ដឺ ឡាអេរ៉ូព័រ</t>
        </is>
      </c>
      <c r="D731" t="inlineStr">
        <is>
          <t>L001-100047300</t>
        </is>
      </c>
      <c r="E731" t="inlineStr">
        <is>
          <t>2400-048293</t>
        </is>
      </c>
      <c r="F731" t="inlineStr">
        <is>
          <t>25-06-2024</t>
        </is>
      </c>
      <c r="G731" t="n">
        <v>823</v>
      </c>
      <c r="I731">
        <f>G731</f>
        <v/>
      </c>
      <c r="K731">
        <f>I731-G731</f>
        <v/>
      </c>
      <c r="M731">
        <f>R731=E731</f>
        <v/>
      </c>
      <c r="N731">
        <f>AND(MONTH(F731)=MONTH(Q731), YEAR(F731)=YEAR(Q731))</f>
        <v/>
      </c>
      <c r="O731">
        <f>"L001-902303751"=S731</f>
        <v/>
      </c>
      <c r="P731">
        <f>G731-U731</f>
        <v/>
      </c>
      <c r="Q731" s="35" t="n">
        <v>45404</v>
      </c>
      <c r="R731" t="n">
        <v>20320</v>
      </c>
      <c r="S731" t="inlineStr">
        <is>
          <t>L001-100045995</t>
        </is>
      </c>
      <c r="T731" t="inlineStr">
        <is>
          <t>ឌីអេចអិល ឡូជីស្ទីក (ខេមបូឌា)</t>
        </is>
      </c>
      <c r="U731" t="n">
        <v>20320</v>
      </c>
      <c r="V731" t="n">
        <v>0</v>
      </c>
    </row>
    <row r="732">
      <c r="A732" t="n">
        <v>731</v>
      </c>
      <c r="B732" t="inlineStr">
        <is>
          <t>Cargo Terminal</t>
        </is>
      </c>
      <c r="C732" t="inlineStr">
        <is>
          <t>សូស៊ីយេតេ កុងសេស្យូនែរ ដឺ ឡាអេរ៉ូព័រ</t>
        </is>
      </c>
      <c r="D732" t="inlineStr">
        <is>
          <t>L001-100047300</t>
        </is>
      </c>
      <c r="E732" t="inlineStr">
        <is>
          <t>2400-049601</t>
        </is>
      </c>
      <c r="F732" t="inlineStr">
        <is>
          <t>29-06-2024</t>
        </is>
      </c>
      <c r="G732" t="n">
        <v>9830</v>
      </c>
      <c r="I732">
        <f>G732</f>
        <v/>
      </c>
      <c r="K732">
        <f>I732-G732</f>
        <v/>
      </c>
      <c r="M732">
        <f>R732=E732</f>
        <v/>
      </c>
      <c r="N732">
        <f>AND(MONTH(F732)=MONTH(Q732), YEAR(F732)=YEAR(Q732))</f>
        <v/>
      </c>
      <c r="O732">
        <f>"L001-902303751"=S732</f>
        <v/>
      </c>
      <c r="P732">
        <f>G732-U732</f>
        <v/>
      </c>
      <c r="Q732" s="35" t="n">
        <v>45391</v>
      </c>
      <c r="R732" t="n">
        <v>111128</v>
      </c>
      <c r="S732" t="inlineStr">
        <is>
          <t>K005-901501155</t>
        </is>
      </c>
      <c r="T732" t="inlineStr">
        <is>
          <t>ផេនដា គ្លូប៊ល ឡូជីស្ទីក (ខេមបូឌា)</t>
        </is>
      </c>
      <c r="U732" t="n">
        <v>111128</v>
      </c>
      <c r="V732" t="n">
        <v>0</v>
      </c>
    </row>
    <row r="733">
      <c r="A733" t="n">
        <v>732</v>
      </c>
      <c r="B733" t="inlineStr">
        <is>
          <t>Import Shipment Expense</t>
        </is>
      </c>
      <c r="C733" t="inlineStr">
        <is>
          <t>ខេអិលអិន ហ្វ្រេត (ខេមបូឌា) ឯ.ក</t>
        </is>
      </c>
      <c r="D733" t="inlineStr">
        <is>
          <t>L001-100074669</t>
        </is>
      </c>
      <c r="E733" t="inlineStr">
        <is>
          <t>IVO08397</t>
        </is>
      </c>
      <c r="F733" t="inlineStr">
        <is>
          <t>07-06-2024</t>
        </is>
      </c>
      <c r="G733" t="n">
        <v>93936</v>
      </c>
      <c r="I733">
        <f>G733</f>
        <v/>
      </c>
      <c r="K733">
        <f>I733-G733</f>
        <v/>
      </c>
      <c r="M733">
        <f>R733=E733</f>
        <v/>
      </c>
      <c r="N733">
        <f>AND(MONTH(F733)=MONTH(Q733), YEAR(F733)=YEAR(Q733))</f>
        <v/>
      </c>
      <c r="O733">
        <f>"L001-902303751"=S733</f>
        <v/>
      </c>
      <c r="P733">
        <f>G733-U733</f>
        <v/>
      </c>
      <c r="Q733" s="35" t="n">
        <v>45399</v>
      </c>
      <c r="R733" t="inlineStr"/>
      <c r="S733" t="inlineStr">
        <is>
          <t>L001-103007369</t>
        </is>
      </c>
      <c r="T733" t="inlineStr">
        <is>
          <t>អូរៀនថល ឡូជីស្ទីក &amp; ឌីស្ទ្រីប៊្យូសិន (ខេមបូឌា)</t>
        </is>
      </c>
      <c r="U733" t="n">
        <v>0</v>
      </c>
      <c r="V733" t="n">
        <v>0</v>
      </c>
    </row>
    <row r="734">
      <c r="A734" t="n">
        <v>733</v>
      </c>
      <c r="B734" t="inlineStr">
        <is>
          <t>Import Shipment Expense</t>
        </is>
      </c>
      <c r="C734" t="inlineStr">
        <is>
          <t>ខេអិលអិន ហ្វ្រេត (ខេមបូឌា) ឯ.ក</t>
        </is>
      </c>
      <c r="D734" t="inlineStr">
        <is>
          <t>L001-100074669</t>
        </is>
      </c>
      <c r="E734" t="inlineStr">
        <is>
          <t>IVO09368</t>
        </is>
      </c>
      <c r="F734" t="inlineStr">
        <is>
          <t>25-06-2024</t>
        </is>
      </c>
      <c r="G734" t="n">
        <v>107401</v>
      </c>
      <c r="I734">
        <f>G734</f>
        <v/>
      </c>
      <c r="K734">
        <f>I734-G734</f>
        <v/>
      </c>
      <c r="M734">
        <f>R734=E734</f>
        <v/>
      </c>
      <c r="N734">
        <f>AND(MONTH(F734)=MONTH(Q734), YEAR(F734)=YEAR(Q734))</f>
        <v/>
      </c>
      <c r="O734">
        <f>"L001-902303751"=S734</f>
        <v/>
      </c>
      <c r="P734">
        <f>G734-U734</f>
        <v/>
      </c>
      <c r="Q734" s="35" t="n">
        <v>45391</v>
      </c>
      <c r="R734" t="inlineStr"/>
      <c r="S734" t="inlineStr">
        <is>
          <t>K005-901805913</t>
        </is>
      </c>
      <c r="T734" t="inlineStr">
        <is>
          <t>ស្តារ ខង់ខដ (ខេមបូឌា) ឯ.ក</t>
        </is>
      </c>
      <c r="U734" t="n">
        <v>0</v>
      </c>
      <c r="V734" t="n">
        <v>0</v>
      </c>
    </row>
    <row r="735">
      <c r="A735" t="n">
        <v>734</v>
      </c>
      <c r="B735" t="inlineStr">
        <is>
          <t>Internet Expense from 01/05/2024-31/10/2024</t>
        </is>
      </c>
      <c r="C735" t="inlineStr">
        <is>
          <t>សៅ អ៊ីស្ត អេស៊ា ធេលីខម (ខេមបូឌា)</t>
        </is>
      </c>
      <c r="D735" t="inlineStr">
        <is>
          <t>L001-100111467</t>
        </is>
      </c>
      <c r="E735" t="inlineStr">
        <is>
          <t>1208</t>
        </is>
      </c>
      <c r="F735" t="inlineStr">
        <is>
          <t>20-06-2024</t>
        </is>
      </c>
      <c r="G735" t="n">
        <v>368446</v>
      </c>
      <c r="I735">
        <f>G735</f>
        <v/>
      </c>
      <c r="K735">
        <f>I735-G735</f>
        <v/>
      </c>
      <c r="M735">
        <f>R735=E735</f>
        <v/>
      </c>
      <c r="N735">
        <f>AND(MONTH(F735)=MONTH(Q735), YEAR(F735)=YEAR(Q735))</f>
        <v/>
      </c>
      <c r="O735">
        <f>"L001-902303751"=S735</f>
        <v/>
      </c>
      <c r="P735">
        <f>G735-U735</f>
        <v/>
      </c>
      <c r="Q735" s="35" t="n">
        <v>45394</v>
      </c>
      <c r="R735" t="n">
        <v>12123</v>
      </c>
      <c r="S735" t="inlineStr">
        <is>
          <t>K003-901635943</t>
        </is>
      </c>
      <c r="T735" t="inlineStr">
        <is>
          <t>អ៊ីឃ្យូឡាញ វើលវ៉ាយដ៍ ឡូជីស្ទីក</t>
        </is>
      </c>
      <c r="U735" t="n">
        <v>12123</v>
      </c>
      <c r="V735" t="n">
        <v>0</v>
      </c>
    </row>
    <row r="736">
      <c r="A736" t="n">
        <v>735</v>
      </c>
      <c r="B736" t="inlineStr">
        <is>
          <t>Thread</t>
        </is>
      </c>
      <c r="C736" t="inlineStr">
        <is>
          <t>គ្លូប៊ល សុីលីន ហ្គាមុិន អេកសេសឺរី ឯ.ក</t>
        </is>
      </c>
      <c r="D736" t="inlineStr">
        <is>
          <t>L001-902200857</t>
        </is>
      </c>
      <c r="E736" t="inlineStr">
        <is>
          <t>000415</t>
        </is>
      </c>
      <c r="F736" t="inlineStr">
        <is>
          <t>25-06-2024</t>
        </is>
      </c>
      <c r="G736" t="n">
        <v>1026425</v>
      </c>
      <c r="I736">
        <f>G736</f>
        <v/>
      </c>
      <c r="K736">
        <f>I736-G736</f>
        <v/>
      </c>
      <c r="M736">
        <f>R736=E736</f>
        <v/>
      </c>
      <c r="N736">
        <f>AND(MONTH(F736)=MONTH(Q736), YEAR(F736)=YEAR(Q736))</f>
        <v/>
      </c>
      <c r="O736">
        <f>"L001-902303751"=S736</f>
        <v/>
      </c>
      <c r="P736">
        <f>G736-U736</f>
        <v/>
      </c>
      <c r="Q736" s="35" t="n">
        <v>45399</v>
      </c>
      <c r="R736" t="inlineStr"/>
      <c r="S736" t="inlineStr">
        <is>
          <t>K005-901805913</t>
        </is>
      </c>
      <c r="T736" t="inlineStr">
        <is>
          <t>ស្តារ ខង់ខដ (ខេមបូឌា) ឯ.ក</t>
        </is>
      </c>
      <c r="U736" t="n">
        <v>0</v>
      </c>
      <c r="V736" t="n">
        <v>0</v>
      </c>
    </row>
    <row r="737">
      <c r="A737" t="n">
        <v>736</v>
      </c>
      <c r="B737" t="inlineStr">
        <is>
          <t>Laco QC Inspection Fee in May 2024</t>
        </is>
      </c>
      <c r="C737" t="inlineStr">
        <is>
          <t>តេនតាក់ (ខេមបូឌា) អ៊ិនស្ពេកសិន</t>
        </is>
      </c>
      <c r="D737" t="inlineStr">
        <is>
          <t>K009-901638542</t>
        </is>
      </c>
      <c r="E737" t="inlineStr">
        <is>
          <t>TI2024-0073</t>
        </is>
      </c>
      <c r="F737" t="inlineStr">
        <is>
          <t>06-06-2024</t>
        </is>
      </c>
      <c r="G737" t="n">
        <v>1007004</v>
      </c>
      <c r="I737">
        <f>G737</f>
        <v/>
      </c>
      <c r="K737">
        <f>I737-G737</f>
        <v/>
      </c>
      <c r="M737">
        <f>R737=E737</f>
        <v/>
      </c>
      <c r="N737">
        <f>AND(MONTH(F737)=MONTH(Q737), YEAR(F737)=YEAR(Q737))</f>
        <v/>
      </c>
      <c r="O737">
        <f>"L001-902303751"=S737</f>
        <v/>
      </c>
      <c r="P737">
        <f>G737-U737</f>
        <v/>
      </c>
      <c r="Q737" s="35" t="n">
        <v>45399</v>
      </c>
      <c r="R737" t="inlineStr"/>
      <c r="S737" t="inlineStr">
        <is>
          <t>L001-107032791</t>
        </is>
      </c>
      <c r="T737" t="inlineStr">
        <is>
          <t>នីបផន អិចប្រេស (ខេមបូឌា) ខូ អិលធីឌី</t>
        </is>
      </c>
      <c r="U737" t="n">
        <v>0</v>
      </c>
      <c r="V737" t="n">
        <v>0</v>
      </c>
    </row>
    <row r="738">
      <c r="A738" t="n">
        <v>737</v>
      </c>
      <c r="B738" t="inlineStr">
        <is>
          <t>Customs Clearance Fee</t>
        </is>
      </c>
      <c r="C738" t="inlineStr">
        <is>
          <t>ត្រាយអ៊ែងហ្គល ឡូជីស្ទីក (ខេមបូឌា) ឯ.ក</t>
        </is>
      </c>
      <c r="D738" t="inlineStr">
        <is>
          <t>K010-902101743</t>
        </is>
      </c>
      <c r="E738" t="inlineStr">
        <is>
          <t>TAG-24-00406</t>
        </is>
      </c>
      <c r="F738" t="inlineStr">
        <is>
          <t>12-06-2024</t>
        </is>
      </c>
      <c r="G738" t="n">
        <v>8234</v>
      </c>
      <c r="I738">
        <f>G738</f>
        <v/>
      </c>
      <c r="K738">
        <f>I738-G738</f>
        <v/>
      </c>
      <c r="M738">
        <f>R738=E738</f>
        <v/>
      </c>
      <c r="N738">
        <f>AND(MONTH(F738)=MONTH(Q738), YEAR(F738)=YEAR(Q738))</f>
        <v/>
      </c>
      <c r="O738">
        <f>"L001-902303751"=S738</f>
        <v/>
      </c>
      <c r="P738">
        <f>G738-U738</f>
        <v/>
      </c>
      <c r="Q738" s="35" t="n">
        <v>45399</v>
      </c>
      <c r="R738" t="n">
        <v>4509869</v>
      </c>
      <c r="S738" t="inlineStr">
        <is>
          <t>K004-105012505</t>
        </is>
      </c>
      <c r="T738" t="inlineStr">
        <is>
          <t>អេស៊ាន ហ្វ្រេត (ខេមបូឌា)</t>
        </is>
      </c>
      <c r="U738" t="n">
        <v>4509869</v>
      </c>
      <c r="V738" t="n">
        <v>0</v>
      </c>
    </row>
    <row r="739">
      <c r="A739" t="n">
        <v>738</v>
      </c>
      <c r="B739" t="inlineStr">
        <is>
          <t>Customs Clearance Fee</t>
        </is>
      </c>
      <c r="C739" t="inlineStr">
        <is>
          <t>ត្រាយអ៊ែងហ្គល ឡូជីស្ទីក (ខេមបូឌា) ឯ.ក</t>
        </is>
      </c>
      <c r="D739" t="inlineStr">
        <is>
          <t>K010-902101743</t>
        </is>
      </c>
      <c r="E739" t="inlineStr">
        <is>
          <t>TAG-24-00416</t>
        </is>
      </c>
      <c r="F739" t="inlineStr">
        <is>
          <t>17-06-2024</t>
        </is>
      </c>
      <c r="G739" t="n">
        <v>8242</v>
      </c>
      <c r="I739">
        <f>G739</f>
        <v/>
      </c>
      <c r="K739">
        <f>I739-G739</f>
        <v/>
      </c>
      <c r="M739">
        <f>R739=E739</f>
        <v/>
      </c>
      <c r="N739">
        <f>AND(MONTH(F739)=MONTH(Q739), YEAR(F739)=YEAR(Q739))</f>
        <v/>
      </c>
      <c r="O739">
        <f>"L001-902303751"=S739</f>
        <v/>
      </c>
      <c r="P739">
        <f>G739-U739</f>
        <v/>
      </c>
      <c r="Q739" s="35" t="n">
        <v>45411</v>
      </c>
      <c r="R739" t="inlineStr"/>
      <c r="S739" t="inlineStr">
        <is>
          <t>L001-107032791</t>
        </is>
      </c>
      <c r="T739" t="inlineStr">
        <is>
          <t>នីបផន អិចប្រេស (ខេមបូឌា) ខូ អិលធីឌី</t>
        </is>
      </c>
      <c r="U739" t="n">
        <v>0</v>
      </c>
      <c r="V739" t="n">
        <v>0</v>
      </c>
    </row>
    <row r="740">
      <c r="A740" t="n">
        <v>739</v>
      </c>
      <c r="B740" t="inlineStr">
        <is>
          <t>Customs Clearance Fee</t>
        </is>
      </c>
      <c r="C740" t="inlineStr">
        <is>
          <t>ត្រាយអ៊ែងហ្គល ឡូជីស្ទីក (ខេមបូឌា) ឯ.ក</t>
        </is>
      </c>
      <c r="D740" t="inlineStr">
        <is>
          <t>K010-902101743</t>
        </is>
      </c>
      <c r="E740" t="inlineStr">
        <is>
          <t>TAG-24-00417</t>
        </is>
      </c>
      <c r="F740" t="inlineStr">
        <is>
          <t>17-06-2024</t>
        </is>
      </c>
      <c r="G740" t="n">
        <v>8242</v>
      </c>
      <c r="I740">
        <f>G740</f>
        <v/>
      </c>
      <c r="K740">
        <f>I740-G740</f>
        <v/>
      </c>
      <c r="M740">
        <f>R740=E740</f>
        <v/>
      </c>
      <c r="N740">
        <f>AND(MONTH(F740)=MONTH(Q740), YEAR(F740)=YEAR(Q740))</f>
        <v/>
      </c>
      <c r="O740">
        <f>"L001-902303751"=S740</f>
        <v/>
      </c>
      <c r="P740">
        <f>G740-U740</f>
        <v/>
      </c>
      <c r="Q740" s="35" t="n">
        <v>45399</v>
      </c>
      <c r="R740" t="inlineStr"/>
      <c r="S740" t="inlineStr">
        <is>
          <t>K005-901805913</t>
        </is>
      </c>
      <c r="T740" t="inlineStr">
        <is>
          <t>ស្តារ ខង់ខដ (ខេមបូឌា) ឯ.ក</t>
        </is>
      </c>
      <c r="U740" t="n">
        <v>0</v>
      </c>
      <c r="V740" t="n">
        <v>0</v>
      </c>
    </row>
    <row r="741">
      <c r="A741" t="n">
        <v>740</v>
      </c>
      <c r="B741" t="inlineStr">
        <is>
          <t>Customs Clearance Fee</t>
        </is>
      </c>
      <c r="C741" t="inlineStr">
        <is>
          <t>ត្រាយអ៊ែងហ្គល ឡូជីស្ទីក (ខេមបូឌា) ឯ.ក</t>
        </is>
      </c>
      <c r="D741" t="inlineStr">
        <is>
          <t>K010-902101743</t>
        </is>
      </c>
      <c r="E741" t="inlineStr">
        <is>
          <t>TAG-24-00418</t>
        </is>
      </c>
      <c r="F741" t="inlineStr">
        <is>
          <t>17-06-2024</t>
        </is>
      </c>
      <c r="G741" t="n">
        <v>8242</v>
      </c>
      <c r="I741">
        <f>G741</f>
        <v/>
      </c>
      <c r="K741">
        <f>I741-G741</f>
        <v/>
      </c>
      <c r="M741">
        <f>R741=E741</f>
        <v/>
      </c>
      <c r="N741">
        <f>AND(MONTH(F741)=MONTH(Q741), YEAR(F741)=YEAR(Q741))</f>
        <v/>
      </c>
      <c r="O741">
        <f>"L001-902303751"=S741</f>
        <v/>
      </c>
      <c r="P741">
        <f>G741-U741</f>
        <v/>
      </c>
      <c r="Q741" s="35" t="n">
        <v>45404</v>
      </c>
      <c r="R741" t="n">
        <v>85750</v>
      </c>
      <c r="S741" t="inlineStr">
        <is>
          <t>K003-901635943</t>
        </is>
      </c>
      <c r="T741" t="inlineStr">
        <is>
          <t>អ៊ីឃ្យូឡាញ វើលវ៉ាយដ៍ ឡូជីស្ទីក</t>
        </is>
      </c>
      <c r="U741" t="n">
        <v>85750</v>
      </c>
      <c r="V741" t="n">
        <v>0</v>
      </c>
    </row>
    <row r="742">
      <c r="A742" t="n">
        <v>741</v>
      </c>
      <c r="B742" t="inlineStr">
        <is>
          <t>Customs Clearance Fee</t>
        </is>
      </c>
      <c r="C742" t="inlineStr">
        <is>
          <t>ត្រាយអ៊ែងហ្គល ឡូជីស្ទីក (ខេមបូឌា) ឯ.ក</t>
        </is>
      </c>
      <c r="D742" t="inlineStr">
        <is>
          <t>K010-902101743</t>
        </is>
      </c>
      <c r="E742" t="inlineStr">
        <is>
          <t>TAG-24-00419</t>
        </is>
      </c>
      <c r="F742" t="inlineStr">
        <is>
          <t>17-06-2024</t>
        </is>
      </c>
      <c r="G742" t="n">
        <v>8242</v>
      </c>
      <c r="I742">
        <f>G742</f>
        <v/>
      </c>
      <c r="K742">
        <f>I742-G742</f>
        <v/>
      </c>
      <c r="M742">
        <f>R742=E742</f>
        <v/>
      </c>
      <c r="N742">
        <f>AND(MONTH(F742)=MONTH(Q742), YEAR(F742)=YEAR(Q742))</f>
        <v/>
      </c>
      <c r="O742">
        <f>"L001-902303751"=S742</f>
        <v/>
      </c>
      <c r="P742">
        <f>G742-U742</f>
        <v/>
      </c>
      <c r="Q742" s="35" t="n">
        <v>45391</v>
      </c>
      <c r="R742" t="n">
        <v>82841</v>
      </c>
      <c r="S742" t="inlineStr">
        <is>
          <t>L001-107032791</t>
        </is>
      </c>
      <c r="T742" t="inlineStr">
        <is>
          <t>នីបផន អិចប្រេស (ខេមបូឌា) ខូ អិលធីឌី</t>
        </is>
      </c>
      <c r="U742" t="n">
        <v>82841</v>
      </c>
      <c r="V742" t="n">
        <v>0</v>
      </c>
    </row>
    <row r="743">
      <c r="A743" t="n">
        <v>742</v>
      </c>
      <c r="B743" t="inlineStr">
        <is>
          <t>Customs Clearance Fee</t>
        </is>
      </c>
      <c r="C743" t="inlineStr">
        <is>
          <t>ត្រាយអ៊ែងហ្គល ឡូជីស្ទីក (ខេមបូឌា) ឯ.ក</t>
        </is>
      </c>
      <c r="D743" t="inlineStr">
        <is>
          <t>K010-902101743</t>
        </is>
      </c>
      <c r="E743" t="inlineStr">
        <is>
          <t>TAG-24-00435</t>
        </is>
      </c>
      <c r="F743" t="inlineStr">
        <is>
          <t>28-06-2024</t>
        </is>
      </c>
      <c r="G743" t="n">
        <v>8220</v>
      </c>
      <c r="I743">
        <f>G743</f>
        <v/>
      </c>
      <c r="K743">
        <f>I743-G743</f>
        <v/>
      </c>
      <c r="M743">
        <f>R743=E743</f>
        <v/>
      </c>
      <c r="N743">
        <f>AND(MONTH(F743)=MONTH(Q743), YEAR(F743)=YEAR(Q743))</f>
        <v/>
      </c>
      <c r="O743">
        <f>"L001-902303751"=S743</f>
        <v/>
      </c>
      <c r="P743">
        <f>G743-U743</f>
        <v/>
      </c>
      <c r="Q743" s="35" t="n">
        <v>45383</v>
      </c>
      <c r="R743" t="inlineStr"/>
      <c r="S743" t="inlineStr">
        <is>
          <t>L001-100044956</t>
        </is>
      </c>
      <c r="T743" t="inlineStr">
        <is>
          <t>ជី លីង អិចប្រេស ឡូជីស្ទីក (ខេមបូឌា) លីមីធីត</t>
        </is>
      </c>
      <c r="U743" t="n">
        <v>0</v>
      </c>
      <c r="V743" t="n">
        <v>0</v>
      </c>
    </row>
    <row r="744">
      <c r="A744" t="n">
        <v>743</v>
      </c>
      <c r="B744" t="inlineStr">
        <is>
          <t>Customs Clearance Fee</t>
        </is>
      </c>
      <c r="C744" t="inlineStr">
        <is>
          <t>ត្រាយអ៊ែងហ្គល ឡូជីស្ទីក (ខេមបូឌា) ឯ.ក</t>
        </is>
      </c>
      <c r="D744" t="inlineStr">
        <is>
          <t>K010-902101743</t>
        </is>
      </c>
      <c r="E744" t="inlineStr">
        <is>
          <t>TAG-24-00436</t>
        </is>
      </c>
      <c r="F744" t="inlineStr">
        <is>
          <t>28-06-2024</t>
        </is>
      </c>
      <c r="G744" t="n">
        <v>8220</v>
      </c>
      <c r="I744">
        <f>G744</f>
        <v/>
      </c>
      <c r="K744">
        <f>I744-G744</f>
        <v/>
      </c>
      <c r="M744">
        <f>R744=E744</f>
        <v/>
      </c>
      <c r="N744">
        <f>AND(MONTH(F744)=MONTH(Q744), YEAR(F744)=YEAR(Q744))</f>
        <v/>
      </c>
      <c r="O744">
        <f>"L001-902303751"=S744</f>
        <v/>
      </c>
      <c r="P744">
        <f>G744-U744</f>
        <v/>
      </c>
      <c r="Q744" s="35" t="n">
        <v>45383</v>
      </c>
      <c r="R744" t="inlineStr"/>
      <c r="S744" t="inlineStr">
        <is>
          <t>L001-100074669</t>
        </is>
      </c>
      <c r="T744" t="inlineStr">
        <is>
          <t>ខេអិលអិន ហ្វ្រេត (ខេមបូឌា) ឯ.ក</t>
        </is>
      </c>
      <c r="U744" t="n">
        <v>0</v>
      </c>
      <c r="V744" t="n">
        <v>0</v>
      </c>
    </row>
    <row r="745">
      <c r="A745" t="n">
        <v>744</v>
      </c>
      <c r="B745" t="inlineStr">
        <is>
          <t>Customs Clearance Fee</t>
        </is>
      </c>
      <c r="C745" t="inlineStr">
        <is>
          <t>ត្រាយអ៊ែងហ្គល ឡូជីស្ទីក (ខេមបូឌា) ឯ.ក</t>
        </is>
      </c>
      <c r="D745" t="inlineStr">
        <is>
          <t>K010-902101743</t>
        </is>
      </c>
      <c r="E745" t="inlineStr">
        <is>
          <t>TAG-24-00437</t>
        </is>
      </c>
      <c r="F745" t="inlineStr">
        <is>
          <t>28-06-2024</t>
        </is>
      </c>
      <c r="G745" t="n">
        <v>8220</v>
      </c>
      <c r="I745">
        <f>G745</f>
        <v/>
      </c>
      <c r="K745">
        <f>I745-G745</f>
        <v/>
      </c>
      <c r="M745">
        <f>R745=E745</f>
        <v/>
      </c>
      <c r="N745">
        <f>AND(MONTH(F745)=MONTH(Q745), YEAR(F745)=YEAR(Q745))</f>
        <v/>
      </c>
      <c r="O745">
        <f>"L001-902303751"=S745</f>
        <v/>
      </c>
      <c r="P745">
        <f>G745-U745</f>
        <v/>
      </c>
      <c r="Q745" s="35" t="n">
        <v>45383</v>
      </c>
      <c r="R745" t="inlineStr"/>
      <c r="S745" t="inlineStr">
        <is>
          <t>K003-901635943</t>
        </is>
      </c>
      <c r="T745" t="inlineStr">
        <is>
          <t>អ៊ីឃ្យូឡាញ វើលវ៉ាយដ៍ ឡូជីស្ទីក</t>
        </is>
      </c>
      <c r="U745" t="n">
        <v>0</v>
      </c>
      <c r="V745" t="n">
        <v>0</v>
      </c>
    </row>
    <row r="746">
      <c r="A746" t="n">
        <v>745</v>
      </c>
      <c r="B746" t="inlineStr">
        <is>
          <t>Customs Clearance Fee</t>
        </is>
      </c>
      <c r="C746" t="inlineStr">
        <is>
          <t>ត្រាយអ៊ែងហ្គល ឡូជីស្ទីក (ខេមបូឌា) ឯ.ក</t>
        </is>
      </c>
      <c r="D746" t="inlineStr">
        <is>
          <t>K010-902101743</t>
        </is>
      </c>
      <c r="E746" t="inlineStr">
        <is>
          <t>TAG-24-00438</t>
        </is>
      </c>
      <c r="F746" t="inlineStr">
        <is>
          <t>28-06-2024</t>
        </is>
      </c>
      <c r="G746" t="n">
        <v>8220</v>
      </c>
      <c r="I746">
        <f>G746</f>
        <v/>
      </c>
      <c r="K746">
        <f>I746-G746</f>
        <v/>
      </c>
      <c r="M746">
        <f>R746=E746</f>
        <v/>
      </c>
      <c r="N746">
        <f>AND(MONTH(F746)=MONTH(Q746), YEAR(F746)=YEAR(Q746))</f>
        <v/>
      </c>
      <c r="O746">
        <f>"L001-902303751"=S746</f>
        <v/>
      </c>
      <c r="P746">
        <f>G746-U746</f>
        <v/>
      </c>
      <c r="Q746" s="35" t="n">
        <v>45383</v>
      </c>
      <c r="R746" t="n">
        <v>85202</v>
      </c>
      <c r="S746" t="inlineStr">
        <is>
          <t>K003-901635943</t>
        </is>
      </c>
      <c r="T746" t="inlineStr">
        <is>
          <t>អ៊ីឃ្យូឡាញ វើលវ៉ាយដ៍ ឡូជីស្ទីក</t>
        </is>
      </c>
      <c r="U746" t="n">
        <v>85202</v>
      </c>
      <c r="V746" t="n">
        <v>0</v>
      </c>
    </row>
    <row r="747">
      <c r="A747" t="n">
        <v>746</v>
      </c>
      <c r="B747" t="inlineStr">
        <is>
          <t>Machine and Material</t>
        </is>
      </c>
      <c r="C747" t="inlineStr">
        <is>
          <t>យីស៊ូ ធេមផ្លេត ក្រាហ្វ ឯ.ក</t>
        </is>
      </c>
      <c r="D747" t="inlineStr">
        <is>
          <t>K010-902200360</t>
        </is>
      </c>
      <c r="E747" t="inlineStr">
        <is>
          <t>24-0115</t>
        </is>
      </c>
      <c r="F747" t="inlineStr">
        <is>
          <t>26-06-2024</t>
        </is>
      </c>
      <c r="G747" t="n">
        <v>1388769</v>
      </c>
      <c r="I747">
        <f>G747</f>
        <v/>
      </c>
      <c r="K747">
        <f>I747-G747</f>
        <v/>
      </c>
      <c r="M747">
        <f>R747=E747</f>
        <v/>
      </c>
      <c r="N747">
        <f>AND(MONTH(F747)=MONTH(Q747), YEAR(F747)=YEAR(Q747))</f>
        <v/>
      </c>
      <c r="O747">
        <f>"L001-902303751"=S747</f>
        <v/>
      </c>
      <c r="P747">
        <f>G747-U747</f>
        <v/>
      </c>
      <c r="Q747" s="35" t="n">
        <v>45399</v>
      </c>
      <c r="R747" t="n">
        <v>111210</v>
      </c>
      <c r="S747" t="inlineStr">
        <is>
          <t>L001-100045995</t>
        </is>
      </c>
      <c r="T747" t="inlineStr">
        <is>
          <t>ឌីអេចអិល ឡូជីស្ទីក (ខេមបូឌា)</t>
        </is>
      </c>
      <c r="U747" t="n">
        <v>111210</v>
      </c>
      <c r="V747" t="n">
        <v>0</v>
      </c>
    </row>
    <row r="748">
      <c r="A748" t="n">
        <v>747</v>
      </c>
      <c r="B748" t="inlineStr">
        <is>
          <t>Stationery</t>
        </is>
      </c>
      <c r="C748" t="inlineStr">
        <is>
          <t>ស៊ី &amp; ជី ត្រេឌីង ឯ.ក</t>
        </is>
      </c>
      <c r="D748" t="inlineStr">
        <is>
          <t>K010-902205065</t>
        </is>
      </c>
      <c r="E748" t="inlineStr">
        <is>
          <t>2024-0048</t>
        </is>
      </c>
      <c r="F748" t="inlineStr">
        <is>
          <t>21-06-2024</t>
        </is>
      </c>
      <c r="G748" t="n">
        <v>975059</v>
      </c>
      <c r="I748">
        <f>G748</f>
        <v/>
      </c>
      <c r="K748">
        <f>I748-G748</f>
        <v/>
      </c>
      <c r="M748">
        <f>R748=E748</f>
        <v/>
      </c>
      <c r="N748">
        <f>AND(MONTH(F748)=MONTH(Q748), YEAR(F748)=YEAR(Q748))</f>
        <v/>
      </c>
      <c r="O748">
        <f>"L001-902303751"=S748</f>
        <v/>
      </c>
      <c r="P748">
        <f>G748-U748</f>
        <v/>
      </c>
      <c r="Q748" s="35" t="n">
        <v>45391</v>
      </c>
      <c r="R748" t="inlineStr"/>
      <c r="S748" t="inlineStr">
        <is>
          <t>L001-107032791</t>
        </is>
      </c>
      <c r="T748" t="inlineStr">
        <is>
          <t>នីបផន អិចប្រេស (ខេមបូឌា) ខូ អិលធីឌី</t>
        </is>
      </c>
      <c r="U748" t="n">
        <v>0</v>
      </c>
      <c r="V748" t="n">
        <v>0</v>
      </c>
    </row>
    <row r="749">
      <c r="A749" t="n">
        <v>748</v>
      </c>
      <c r="B749" t="inlineStr">
        <is>
          <t>Charge from warehouse to trucks</t>
        </is>
      </c>
      <c r="C749" t="inlineStr">
        <is>
          <t>កំពង់ផែស្វយ័តក្រុងព្រះសីហនុ</t>
        </is>
      </c>
      <c r="D749" t="inlineStr">
        <is>
          <t>L001-100044638</t>
        </is>
      </c>
      <c r="E749" t="inlineStr">
        <is>
          <t>110645</t>
        </is>
      </c>
      <c r="F749" t="inlineStr">
        <is>
          <t>10-06-2024</t>
        </is>
      </c>
      <c r="G749" t="n">
        <v>628</v>
      </c>
      <c r="I749">
        <f>G749</f>
        <v/>
      </c>
      <c r="K749">
        <f>I749-G749</f>
        <v/>
      </c>
      <c r="M749">
        <f>R749=E749</f>
        <v/>
      </c>
      <c r="N749">
        <f>AND(MONTH(F749)=MONTH(Q749), YEAR(F749)=YEAR(Q749))</f>
        <v/>
      </c>
      <c r="O749">
        <f>"L001-902303751"=S749</f>
        <v/>
      </c>
      <c r="P749">
        <f>G749-U749</f>
        <v/>
      </c>
      <c r="Q749" s="35" t="n">
        <v>45404</v>
      </c>
      <c r="R749" t="n">
        <v>97942</v>
      </c>
      <c r="S749" t="inlineStr">
        <is>
          <t>L001-100045340</t>
        </is>
      </c>
      <c r="T749" t="inlineStr">
        <is>
          <t xml:space="preserve">ស៊ីវ៉ា អ៊ែរ អ៊ែន អូសៀន (ខេមបូឌា) ឯ.ក </t>
        </is>
      </c>
      <c r="U749" t="n">
        <v>97942</v>
      </c>
      <c r="V749" t="n">
        <v>0</v>
      </c>
    </row>
    <row r="750">
      <c r="A750" t="n">
        <v>749</v>
      </c>
      <c r="B750" t="inlineStr">
        <is>
          <t>Charge from warehouse to trucks</t>
        </is>
      </c>
      <c r="C750" t="inlineStr">
        <is>
          <t>កំពង់ផែស្វយ័តក្រុងព្រះសីហនុ</t>
        </is>
      </c>
      <c r="D750" t="inlineStr">
        <is>
          <t>L001-100044638</t>
        </is>
      </c>
      <c r="E750" t="inlineStr">
        <is>
          <t>110644</t>
        </is>
      </c>
      <c r="F750" t="inlineStr">
        <is>
          <t>10-06-2024</t>
        </is>
      </c>
      <c r="G750" t="n">
        <v>1260</v>
      </c>
      <c r="I750">
        <f>G750</f>
        <v/>
      </c>
      <c r="K750">
        <f>I750-G750</f>
        <v/>
      </c>
      <c r="M750">
        <f>R750=E750</f>
        <v/>
      </c>
      <c r="N750">
        <f>AND(MONTH(F750)=MONTH(Q750), YEAR(F750)=YEAR(Q750))</f>
        <v/>
      </c>
      <c r="O750">
        <f>"L001-902303751"=S750</f>
        <v/>
      </c>
      <c r="P750">
        <f>G750-U750</f>
        <v/>
      </c>
      <c r="Q750" s="35" t="n">
        <v>45406</v>
      </c>
      <c r="R750" t="inlineStr"/>
      <c r="S750" t="inlineStr">
        <is>
          <t>K010-108005623</t>
        </is>
      </c>
      <c r="T750" t="inlineStr">
        <is>
          <t>យូ អេហ្វ អេស គ្លូប៊ល អិចប្រេស ឡូជីស្ទីក</t>
        </is>
      </c>
      <c r="U750" t="n">
        <v>0</v>
      </c>
      <c r="V750" t="n">
        <v>0</v>
      </c>
    </row>
    <row r="751">
      <c r="A751" t="n">
        <v>750</v>
      </c>
      <c r="B751" t="inlineStr">
        <is>
          <t>Charge from warehouse to trucks</t>
        </is>
      </c>
      <c r="C751" t="inlineStr">
        <is>
          <t>កំពង់ផែស្វយ័តក្រុងព្រះសីហនុ</t>
        </is>
      </c>
      <c r="D751" t="inlineStr">
        <is>
          <t>L001-100044638</t>
        </is>
      </c>
      <c r="E751" t="inlineStr">
        <is>
          <t>110643</t>
        </is>
      </c>
      <c r="F751" t="inlineStr">
        <is>
          <t>10-06-2024</t>
        </is>
      </c>
      <c r="G751" t="n">
        <v>628</v>
      </c>
      <c r="I751">
        <f>G751</f>
        <v/>
      </c>
      <c r="K751">
        <f>I751-G751</f>
        <v/>
      </c>
      <c r="M751">
        <f>R751=E751</f>
        <v/>
      </c>
      <c r="N751">
        <f>AND(MONTH(F751)=MONTH(Q751), YEAR(F751)=YEAR(Q751))</f>
        <v/>
      </c>
      <c r="O751">
        <f>"L001-902303751"=S751</f>
        <v/>
      </c>
      <c r="P751">
        <f>G751-U751</f>
        <v/>
      </c>
      <c r="Q751" s="35" t="n">
        <v>45390</v>
      </c>
      <c r="R751" t="inlineStr"/>
      <c r="S751" t="inlineStr">
        <is>
          <t>L001-107000385</t>
        </is>
      </c>
      <c r="T751" t="inlineStr">
        <is>
          <t>អិចស្ពោលាំងកា ហ្រ្វេត (ខេមបូឌា) លីមីធីត</t>
        </is>
      </c>
      <c r="U751" t="n">
        <v>0</v>
      </c>
      <c r="V751" t="n">
        <v>0</v>
      </c>
    </row>
    <row r="752">
      <c r="A752" t="n">
        <v>751</v>
      </c>
      <c r="B752" t="inlineStr">
        <is>
          <t>Charge from warehouse to trucks and Storage Charges</t>
        </is>
      </c>
      <c r="C752" t="inlineStr">
        <is>
          <t>កំពង់ផែស្វយ័តក្រុងព្រះសីហនុ</t>
        </is>
      </c>
      <c r="D752" t="inlineStr">
        <is>
          <t>L001-100044638</t>
        </is>
      </c>
      <c r="E752" t="inlineStr">
        <is>
          <t>110642</t>
        </is>
      </c>
      <c r="F752" t="inlineStr">
        <is>
          <t>10-06-2024</t>
        </is>
      </c>
      <c r="G752" t="n">
        <v>669</v>
      </c>
      <c r="I752">
        <f>G752</f>
        <v/>
      </c>
      <c r="K752">
        <f>I752-G752</f>
        <v/>
      </c>
      <c r="M752">
        <f>R752=E752</f>
        <v/>
      </c>
      <c r="N752">
        <f>AND(MONTH(F752)=MONTH(Q752), YEAR(F752)=YEAR(Q752))</f>
        <v/>
      </c>
      <c r="O752">
        <f>"L001-902303751"=S752</f>
        <v/>
      </c>
      <c r="P752">
        <f>G752-U752</f>
        <v/>
      </c>
      <c r="Q752" s="35" t="n">
        <v>45391</v>
      </c>
      <c r="R752" t="inlineStr"/>
      <c r="S752" t="inlineStr">
        <is>
          <t>L001-100045340</t>
        </is>
      </c>
      <c r="T752" t="inlineStr">
        <is>
          <t xml:space="preserve">ស៊ីវ៉ា អ៊ែរ អ៊ែន អូសៀន (ខេមបូឌា) ឯ.ក </t>
        </is>
      </c>
      <c r="U752" t="n">
        <v>0</v>
      </c>
      <c r="V752" t="n">
        <v>0</v>
      </c>
    </row>
    <row r="753">
      <c r="A753" t="n">
        <v>752</v>
      </c>
      <c r="B753" t="inlineStr">
        <is>
          <t>Charge from warehouse to trucks and Storage Charges</t>
        </is>
      </c>
      <c r="C753" t="inlineStr">
        <is>
          <t>កំពង់ផែស្វយ័តក្រុងព្រះសីហនុ</t>
        </is>
      </c>
      <c r="D753" t="inlineStr">
        <is>
          <t>L001-100044638</t>
        </is>
      </c>
      <c r="E753" t="inlineStr">
        <is>
          <t>116176</t>
        </is>
      </c>
      <c r="F753" t="inlineStr">
        <is>
          <t>17-06-2024</t>
        </is>
      </c>
      <c r="G753" t="n">
        <v>712</v>
      </c>
      <c r="I753">
        <f>G753</f>
        <v/>
      </c>
      <c r="K753">
        <f>I753-G753</f>
        <v/>
      </c>
      <c r="M753">
        <f>R753=E753</f>
        <v/>
      </c>
      <c r="N753">
        <f>AND(MONTH(F753)=MONTH(Q753), YEAR(F753)=YEAR(Q753))</f>
        <v/>
      </c>
      <c r="O753">
        <f>"L001-902303751"=S753</f>
        <v/>
      </c>
      <c r="P753">
        <f>G753-U753</f>
        <v/>
      </c>
      <c r="Q753" s="35" t="n">
        <v>45391</v>
      </c>
      <c r="R753" t="inlineStr"/>
      <c r="S753" t="inlineStr">
        <is>
          <t>L001-107032791</t>
        </is>
      </c>
      <c r="T753" t="inlineStr">
        <is>
          <t>នីបផន អិចប្រេស (ខេមបូឌា) ខូ អិលធីឌី</t>
        </is>
      </c>
      <c r="U753" t="n">
        <v>0</v>
      </c>
      <c r="V753" t="n">
        <v>0</v>
      </c>
    </row>
    <row r="754">
      <c r="A754" t="n">
        <v>753</v>
      </c>
      <c r="B754" t="inlineStr">
        <is>
          <t>Charge from warehouse to trucks and Storage Charges</t>
        </is>
      </c>
      <c r="C754" t="inlineStr">
        <is>
          <t>កំពង់ផែស្វយ័តក្រុងព្រះសីហនុ</t>
        </is>
      </c>
      <c r="D754" t="inlineStr">
        <is>
          <t>L001-100044638</t>
        </is>
      </c>
      <c r="E754" t="inlineStr">
        <is>
          <t>121911</t>
        </is>
      </c>
      <c r="F754" t="inlineStr">
        <is>
          <t>24-06-2024</t>
        </is>
      </c>
      <c r="G754" t="n">
        <v>2016</v>
      </c>
      <c r="I754">
        <f>G754</f>
        <v/>
      </c>
      <c r="K754">
        <f>I754-G754</f>
        <v/>
      </c>
      <c r="M754">
        <f>R754=E754</f>
        <v/>
      </c>
      <c r="N754">
        <f>AND(MONTH(F754)=MONTH(Q754), YEAR(F754)=YEAR(Q754))</f>
        <v/>
      </c>
      <c r="O754">
        <f>"L001-902303751"=S754</f>
        <v/>
      </c>
      <c r="P754">
        <f>G754-U754</f>
        <v/>
      </c>
      <c r="Q754" s="35" t="n">
        <v>45399</v>
      </c>
      <c r="R754" t="inlineStr"/>
      <c r="S754" t="inlineStr">
        <is>
          <t>L001-100045340</t>
        </is>
      </c>
      <c r="T754" t="inlineStr">
        <is>
          <t xml:space="preserve">ស៊ីវ៉ា អ៊ែរ អ៊ែន អូសៀន (ខេមបូឌា) ឯ.ក </t>
        </is>
      </c>
      <c r="U754" t="n">
        <v>0</v>
      </c>
      <c r="V754" t="n">
        <v>0</v>
      </c>
    </row>
    <row r="755">
      <c r="A755" t="n">
        <v>754</v>
      </c>
      <c r="B755" t="inlineStr">
        <is>
          <t>Charge from warehouse to trucks</t>
        </is>
      </c>
      <c r="C755" t="inlineStr">
        <is>
          <t>កំពង់ផែស្វយ័តក្រុងព្រះសីហនុ</t>
        </is>
      </c>
      <c r="D755" t="inlineStr">
        <is>
          <t>L001-100044638</t>
        </is>
      </c>
      <c r="E755" t="inlineStr">
        <is>
          <t>120986</t>
        </is>
      </c>
      <c r="F755" t="inlineStr">
        <is>
          <t>22-06-2024</t>
        </is>
      </c>
      <c r="G755" t="n">
        <v>1892</v>
      </c>
      <c r="I755">
        <f>G755</f>
        <v/>
      </c>
      <c r="K755">
        <f>I755-G755</f>
        <v/>
      </c>
      <c r="M755">
        <f>R755=E755</f>
        <v/>
      </c>
      <c r="N755">
        <f>AND(MONTH(F755)=MONTH(Q755), YEAR(F755)=YEAR(Q755))</f>
        <v/>
      </c>
      <c r="O755">
        <f>"L001-902303751"=S755</f>
        <v/>
      </c>
      <c r="P755">
        <f>G755-U755</f>
        <v/>
      </c>
      <c r="Q755" s="35" t="n">
        <v>45399</v>
      </c>
      <c r="R755" t="n">
        <v>205031</v>
      </c>
      <c r="S755" t="inlineStr">
        <is>
          <t>L001-104015799</t>
        </is>
      </c>
      <c r="T755" t="inlineStr">
        <is>
          <t>យូសេន ឡូជីស្ទីក (ខេមបូឌា) ខូ អិលធីឌី</t>
        </is>
      </c>
      <c r="U755" t="n">
        <v>205031</v>
      </c>
      <c r="V755" t="n">
        <v>0</v>
      </c>
    </row>
    <row r="756">
      <c r="A756" t="n">
        <v>755</v>
      </c>
      <c r="B756" t="inlineStr">
        <is>
          <t>Lift-On &amp; Lift-Off</t>
        </is>
      </c>
      <c r="C756" t="inlineStr">
        <is>
          <t>កំពង់ផែស្វយ័តក្រុងព្រះសីហនុ</t>
        </is>
      </c>
      <c r="D756" t="inlineStr">
        <is>
          <t>L001-100044638</t>
        </is>
      </c>
      <c r="E756" t="inlineStr">
        <is>
          <t>103093</t>
        </is>
      </c>
      <c r="F756" t="inlineStr">
        <is>
          <t>01-06-2024</t>
        </is>
      </c>
      <c r="G756" t="n">
        <v>20874</v>
      </c>
      <c r="I756">
        <f>G756</f>
        <v/>
      </c>
      <c r="K756">
        <f>I756-G756</f>
        <v/>
      </c>
      <c r="M756">
        <f>R756=E756</f>
        <v/>
      </c>
      <c r="N756">
        <f>AND(MONTH(F756)=MONTH(Q756), YEAR(F756)=YEAR(Q756))</f>
        <v/>
      </c>
      <c r="O756">
        <f>"L001-902303751"=S756</f>
        <v/>
      </c>
      <c r="P756">
        <f>G756-U756</f>
        <v/>
      </c>
      <c r="Q756" s="35" t="n">
        <v>45411</v>
      </c>
      <c r="R756" t="inlineStr"/>
      <c r="S756" t="inlineStr">
        <is>
          <t>L001-100074669</t>
        </is>
      </c>
      <c r="T756" t="inlineStr">
        <is>
          <t>ខេអិលអិន ហ្វ្រេត (ខេមបូឌា) ឯ.ក</t>
        </is>
      </c>
      <c r="U756" t="n">
        <v>0</v>
      </c>
      <c r="V756" t="n">
        <v>0</v>
      </c>
    </row>
    <row r="757">
      <c r="A757" t="n">
        <v>756</v>
      </c>
      <c r="B757" t="inlineStr">
        <is>
          <t>Lift-Off</t>
        </is>
      </c>
      <c r="C757" t="inlineStr">
        <is>
          <t>កំពង់ផែស្វយ័តក្រុងព្រះសីហនុ</t>
        </is>
      </c>
      <c r="D757" t="inlineStr">
        <is>
          <t>L001-100044638</t>
        </is>
      </c>
      <c r="E757" t="inlineStr">
        <is>
          <t>108810</t>
        </is>
      </c>
      <c r="F757" t="inlineStr">
        <is>
          <t>07-06-2024</t>
        </is>
      </c>
      <c r="G757" t="n">
        <v>20966</v>
      </c>
      <c r="I757">
        <f>G757</f>
        <v/>
      </c>
      <c r="K757">
        <f>I757-G757</f>
        <v/>
      </c>
      <c r="M757">
        <f>R757=E757</f>
        <v/>
      </c>
      <c r="N757">
        <f>AND(MONTH(F757)=MONTH(Q757), YEAR(F757)=YEAR(Q757))</f>
        <v/>
      </c>
      <c r="O757">
        <f>"L001-902303751"=S757</f>
        <v/>
      </c>
      <c r="P757">
        <f>G757-U757</f>
        <v/>
      </c>
      <c r="Q757" s="35" t="n">
        <v>45399</v>
      </c>
      <c r="R757" t="inlineStr"/>
      <c r="S757" t="inlineStr">
        <is>
          <t>L001-107032791</t>
        </is>
      </c>
      <c r="T757" t="inlineStr">
        <is>
          <t>នីបផន អិចប្រេស (ខេមបូឌា) ខូ អិលធីឌី</t>
        </is>
      </c>
      <c r="U757" t="n">
        <v>0</v>
      </c>
      <c r="V757" t="n">
        <v>0</v>
      </c>
    </row>
    <row r="758">
      <c r="A758" t="n">
        <v>757</v>
      </c>
      <c r="B758" t="inlineStr">
        <is>
          <t>Lift-Off</t>
        </is>
      </c>
      <c r="C758" t="inlineStr">
        <is>
          <t>កំពង់ផែស្វយ័តក្រុងព្រះសីហនុ</t>
        </is>
      </c>
      <c r="D758" t="inlineStr">
        <is>
          <t>L001-100044638</t>
        </is>
      </c>
      <c r="E758" t="inlineStr">
        <is>
          <t>118931</t>
        </is>
      </c>
      <c r="F758" t="inlineStr">
        <is>
          <t>20-06-2024</t>
        </is>
      </c>
      <c r="G758" t="n">
        <v>21022</v>
      </c>
      <c r="I758">
        <f>G758</f>
        <v/>
      </c>
      <c r="K758">
        <f>I758-G758</f>
        <v/>
      </c>
      <c r="M758">
        <f>R758=E758</f>
        <v/>
      </c>
      <c r="N758">
        <f>AND(MONTH(F758)=MONTH(Q758), YEAR(F758)=YEAR(Q758))</f>
        <v/>
      </c>
      <c r="O758">
        <f>"L001-902303751"=S758</f>
        <v/>
      </c>
      <c r="P758">
        <f>G758-U758</f>
        <v/>
      </c>
      <c r="Q758" s="35" t="n">
        <v>45406</v>
      </c>
      <c r="R758" t="inlineStr"/>
      <c r="S758" t="inlineStr">
        <is>
          <t>K009-107034735</t>
        </is>
      </c>
      <c r="T758" t="inlineStr">
        <is>
          <t>ស៊ីប៊ីជី ឡូជីស្ទីក (ខេមបូឌា)</t>
        </is>
      </c>
      <c r="U758" t="n">
        <v>0</v>
      </c>
      <c r="V758" t="n">
        <v>0</v>
      </c>
    </row>
    <row r="759">
      <c r="A759" t="n">
        <v>758</v>
      </c>
      <c r="B759" t="inlineStr">
        <is>
          <t>Lift-On &amp; Gate Fee Charge</t>
        </is>
      </c>
      <c r="C759" t="inlineStr">
        <is>
          <t>កំពង់ផែស្វយ័តភ្នំពេញ "ក.ស.ភ"</t>
        </is>
      </c>
      <c r="D759" t="inlineStr">
        <is>
          <t>L001-100044999</t>
        </is>
      </c>
      <c r="E759" t="inlineStr">
        <is>
          <t>INV20240632964</t>
        </is>
      </c>
      <c r="F759" t="inlineStr">
        <is>
          <t>05-06-2024</t>
        </is>
      </c>
      <c r="G759" t="n">
        <v>18883</v>
      </c>
      <c r="I759">
        <f>G759</f>
        <v/>
      </c>
      <c r="K759">
        <f>I759-G759</f>
        <v/>
      </c>
      <c r="M759">
        <f>R759=E759</f>
        <v/>
      </c>
      <c r="N759">
        <f>AND(MONTH(F759)=MONTH(Q759), YEAR(F759)=YEAR(Q759))</f>
        <v/>
      </c>
      <c r="O759">
        <f>"L001-902303751"=S759</f>
        <v/>
      </c>
      <c r="P759">
        <f>G759-U759</f>
        <v/>
      </c>
      <c r="Q759" s="35" t="n">
        <v>45404</v>
      </c>
      <c r="R759" t="inlineStr"/>
      <c r="S759" t="inlineStr">
        <is>
          <t>L001-100045995</t>
        </is>
      </c>
      <c r="T759" t="inlineStr">
        <is>
          <t>ឌីអេចអិល ឡូជីស្ទីក (ខេមបូឌា)</t>
        </is>
      </c>
      <c r="U759" t="n">
        <v>0</v>
      </c>
      <c r="V759" t="n">
        <v>0</v>
      </c>
    </row>
    <row r="760">
      <c r="A760" t="n">
        <v>759</v>
      </c>
      <c r="B760" t="inlineStr">
        <is>
          <t>Lift-On &amp; Gate Fee Charge</t>
        </is>
      </c>
      <c r="C760" t="inlineStr">
        <is>
          <t>កំពង់ផែស្វយ័តភ្នំពេញ "ក.ស.ភ"</t>
        </is>
      </c>
      <c r="D760" t="inlineStr">
        <is>
          <t>L001-100044999</t>
        </is>
      </c>
      <c r="E760" t="inlineStr">
        <is>
          <t>INV20240632963</t>
        </is>
      </c>
      <c r="F760" t="inlineStr">
        <is>
          <t>05-06-2024</t>
        </is>
      </c>
      <c r="G760" t="n">
        <v>28735</v>
      </c>
      <c r="I760">
        <f>G760</f>
        <v/>
      </c>
      <c r="K760">
        <f>I760-G760</f>
        <v/>
      </c>
      <c r="M760">
        <f>R760=E760</f>
        <v/>
      </c>
      <c r="N760">
        <f>AND(MONTH(F760)=MONTH(Q760), YEAR(F760)=YEAR(Q760))</f>
        <v/>
      </c>
      <c r="O760">
        <f>"L001-902303751"=S760</f>
        <v/>
      </c>
      <c r="P760">
        <f>G760-U760</f>
        <v/>
      </c>
      <c r="Q760" s="35" t="n">
        <v>45404</v>
      </c>
      <c r="R760" t="n">
        <v>111760</v>
      </c>
      <c r="S760" t="inlineStr">
        <is>
          <t>L001-100045995</t>
        </is>
      </c>
      <c r="T760" t="inlineStr">
        <is>
          <t>ឌីអេចអិល ឡូជីស្ទីក (ខេមបូឌា)</t>
        </is>
      </c>
      <c r="U760" t="n">
        <v>111760</v>
      </c>
      <c r="V760" t="n">
        <v>0</v>
      </c>
    </row>
    <row r="761">
      <c r="A761" t="n">
        <v>760</v>
      </c>
      <c r="B761" t="inlineStr">
        <is>
          <t>Customs Clearance Fee</t>
        </is>
      </c>
      <c r="C761" t="inlineStr">
        <is>
          <t>ត្រាយអ៊ែងហ្គល ឡូជីស្ទីក (ខេមបូឌា) ឯ.ក</t>
        </is>
      </c>
      <c r="D761" t="inlineStr">
        <is>
          <t>K010-902101743</t>
        </is>
      </c>
      <c r="E761" t="inlineStr">
        <is>
          <t>TAG-24-00407</t>
        </is>
      </c>
      <c r="F761" t="inlineStr">
        <is>
          <t>12-06-2024</t>
        </is>
      </c>
      <c r="G761" t="n">
        <v>8234</v>
      </c>
      <c r="I761">
        <f>G761</f>
        <v/>
      </c>
      <c r="K761">
        <f>I761-G761</f>
        <v/>
      </c>
      <c r="M761">
        <f>R761=E761</f>
        <v/>
      </c>
      <c r="N761">
        <f>AND(MONTH(F761)=MONTH(Q761), YEAR(F761)=YEAR(Q761))</f>
        <v/>
      </c>
      <c r="O761">
        <f>"L001-902303751"=S761</f>
        <v/>
      </c>
      <c r="P761">
        <f>G761-U761</f>
        <v/>
      </c>
      <c r="Q761" s="35" t="n">
        <v>45404</v>
      </c>
      <c r="R761" t="n">
        <v>111760</v>
      </c>
      <c r="S761" t="inlineStr">
        <is>
          <t>L001-107032791</t>
        </is>
      </c>
      <c r="T761" t="inlineStr">
        <is>
          <t>នីបផន អិចប្រេស (ខេមបូឌា) ខូ អិលធីឌី</t>
        </is>
      </c>
      <c r="U761" t="n">
        <v>111760</v>
      </c>
      <c r="V761" t="n">
        <v>0</v>
      </c>
    </row>
    <row r="762">
      <c r="A762" t="n">
        <v>761</v>
      </c>
      <c r="B762" t="inlineStr">
        <is>
          <t>Customs Clearance Fee</t>
        </is>
      </c>
      <c r="C762" t="inlineStr">
        <is>
          <t>ត្រាយអ៊ែងហ្គល ឡូជីស្ទីក (ខេមបូឌា) ឯ.ក</t>
        </is>
      </c>
      <c r="D762" t="inlineStr">
        <is>
          <t>K010-902101743</t>
        </is>
      </c>
      <c r="E762" t="inlineStr">
        <is>
          <t>TAG-24-00405</t>
        </is>
      </c>
      <c r="F762" t="inlineStr">
        <is>
          <t>12-06-2024</t>
        </is>
      </c>
      <c r="G762" t="n">
        <v>8234</v>
      </c>
      <c r="I762">
        <f>G762</f>
        <v/>
      </c>
      <c r="K762">
        <f>I762-G762</f>
        <v/>
      </c>
      <c r="M762">
        <f>R762=E762</f>
        <v/>
      </c>
      <c r="N762">
        <f>AND(MONTH(F762)=MONTH(Q762), YEAR(F762)=YEAR(Q762))</f>
        <v/>
      </c>
      <c r="O762">
        <f>"L001-902303751"=S762</f>
        <v/>
      </c>
      <c r="P762">
        <f>G762-U762</f>
        <v/>
      </c>
      <c r="Q762" s="35" t="n">
        <v>45404</v>
      </c>
      <c r="R762" t="inlineStr"/>
      <c r="S762" t="inlineStr">
        <is>
          <t>L001-107032791</t>
        </is>
      </c>
      <c r="T762" t="inlineStr">
        <is>
          <t>នីបផន អិចប្រេស (ខេមបូឌា) ខូ អិលធីឌី</t>
        </is>
      </c>
      <c r="U762" t="n">
        <v>0</v>
      </c>
      <c r="V762" t="n">
        <v>0</v>
      </c>
    </row>
    <row r="763">
      <c r="A763" t="n">
        <v>762</v>
      </c>
      <c r="B763" t="inlineStr">
        <is>
          <t>Customs Clearance Fee</t>
        </is>
      </c>
      <c r="C763" t="inlineStr">
        <is>
          <t>ត្រាយអ៊ែងហ្គល ឡូជីស្ទីក (ខេមបូឌា) ឯ.ក</t>
        </is>
      </c>
      <c r="D763" t="inlineStr">
        <is>
          <t>K010-902101743</t>
        </is>
      </c>
      <c r="E763" t="inlineStr">
        <is>
          <t>TAG-24-00399</t>
        </is>
      </c>
      <c r="F763" t="inlineStr">
        <is>
          <t>11-06-2024</t>
        </is>
      </c>
      <c r="G763" t="n">
        <v>8232</v>
      </c>
      <c r="I763">
        <f>G763</f>
        <v/>
      </c>
      <c r="K763">
        <f>I763-G763</f>
        <v/>
      </c>
      <c r="M763">
        <f>R763=E763</f>
        <v/>
      </c>
      <c r="N763">
        <f>AND(MONTH(F763)=MONTH(Q763), YEAR(F763)=YEAR(Q763))</f>
        <v/>
      </c>
      <c r="O763">
        <f>"L001-902303751"=S763</f>
        <v/>
      </c>
      <c r="P763">
        <f>G763-U763</f>
        <v/>
      </c>
      <c r="Q763" s="35" t="n">
        <v>45390</v>
      </c>
      <c r="R763" t="inlineStr"/>
      <c r="S763" t="inlineStr">
        <is>
          <t>L001-100045995</t>
        </is>
      </c>
      <c r="T763" t="inlineStr">
        <is>
          <t>ឌីអេចអិល ឡូជីស្ទីក (ខេមបូឌា)</t>
        </is>
      </c>
      <c r="U763" t="n">
        <v>0</v>
      </c>
      <c r="V763" t="n">
        <v>0</v>
      </c>
    </row>
    <row r="764">
      <c r="A764" t="n">
        <v>763</v>
      </c>
      <c r="B764" t="inlineStr">
        <is>
          <t>Customs Clearance Fee and Trucking Fee</t>
        </is>
      </c>
      <c r="C764" t="inlineStr">
        <is>
          <t>ត្រាយអ៊ែងហ្គល ឡូជីស្ទីក (ខេមបូឌា) ឯ.ក</t>
        </is>
      </c>
      <c r="D764" t="inlineStr">
        <is>
          <t>K010-902101743</t>
        </is>
      </c>
      <c r="E764" t="inlineStr">
        <is>
          <t>TAG-24-00393</t>
        </is>
      </c>
      <c r="F764" t="inlineStr">
        <is>
          <t>10-06-2024</t>
        </is>
      </c>
      <c r="G764" t="n">
        <v>32912</v>
      </c>
      <c r="I764">
        <f>G764</f>
        <v/>
      </c>
      <c r="K764">
        <f>I764-G764</f>
        <v/>
      </c>
      <c r="M764">
        <f>R764=E764</f>
        <v/>
      </c>
      <c r="N764">
        <f>AND(MONTH(F764)=MONTH(Q764), YEAR(F764)=YEAR(Q764))</f>
        <v/>
      </c>
      <c r="O764">
        <f>"L001-902303751"=S764</f>
        <v/>
      </c>
      <c r="P764">
        <f>G764-U764</f>
        <v/>
      </c>
      <c r="Q764" s="35" t="n">
        <v>45386</v>
      </c>
      <c r="R764" t="inlineStr"/>
      <c r="S764" t="inlineStr">
        <is>
          <t>K003-901635943</t>
        </is>
      </c>
      <c r="T764" t="inlineStr">
        <is>
          <t>អ៊ីឃ្យូឡាញ វើលវ៉ាយដ៍ ឡូជីស្ទីក</t>
        </is>
      </c>
      <c r="U764" t="n">
        <v>0</v>
      </c>
      <c r="V764" t="n">
        <v>0</v>
      </c>
    </row>
    <row r="765">
      <c r="A765" t="n">
        <v>764</v>
      </c>
      <c r="B765" t="inlineStr">
        <is>
          <t>Customs Clearance Fee</t>
        </is>
      </c>
      <c r="C765" t="inlineStr">
        <is>
          <t>ត្រាយអ៊ែងហ្គល ឡូជីស្ទីក (ខេមបូឌា) ឯ.ក</t>
        </is>
      </c>
      <c r="D765" t="inlineStr">
        <is>
          <t>K010-902101743</t>
        </is>
      </c>
      <c r="E765" t="inlineStr">
        <is>
          <t>TAG-24-00383</t>
        </is>
      </c>
      <c r="F765" t="inlineStr">
        <is>
          <t>03-06-2024</t>
        </is>
      </c>
      <c r="G765" t="n">
        <v>8198</v>
      </c>
      <c r="I765">
        <f>G765</f>
        <v/>
      </c>
      <c r="K765">
        <f>I765-G765</f>
        <v/>
      </c>
      <c r="M765">
        <f>R765=E765</f>
        <v/>
      </c>
      <c r="N765">
        <f>AND(MONTH(F765)=MONTH(Q765), YEAR(F765)=YEAR(Q765))</f>
        <v/>
      </c>
      <c r="O765">
        <f>"L001-902303751"=S765</f>
        <v/>
      </c>
      <c r="P765">
        <f>G765-U765</f>
        <v/>
      </c>
      <c r="Q765" s="35" t="n">
        <v>45391</v>
      </c>
      <c r="R765" t="n">
        <v>111128</v>
      </c>
      <c r="S765" t="inlineStr">
        <is>
          <t>L001-107032791</t>
        </is>
      </c>
      <c r="T765" t="inlineStr">
        <is>
          <t>នីបផន អិចប្រេស (ខេមបូឌា) ខូ អិលធីឌី</t>
        </is>
      </c>
      <c r="U765" t="n">
        <v>111128</v>
      </c>
      <c r="V765" t="n">
        <v>0</v>
      </c>
    </row>
    <row r="766">
      <c r="A766" t="n">
        <v>765</v>
      </c>
      <c r="B766" t="inlineStr">
        <is>
          <t>Customs Clearance Fee and Trucking Fee</t>
        </is>
      </c>
      <c r="C766" t="inlineStr">
        <is>
          <t>ត្រាយអ៊ែងហ្គល ឡូជីស្ទីក (ខេមបូឌា) ឯ.ក</t>
        </is>
      </c>
      <c r="D766" t="inlineStr">
        <is>
          <t>K010-902101743</t>
        </is>
      </c>
      <c r="E766" t="inlineStr">
        <is>
          <t>TAG-24-00394</t>
        </is>
      </c>
      <c r="F766" t="inlineStr">
        <is>
          <t>10-06-2024</t>
        </is>
      </c>
      <c r="G766" t="n">
        <v>32912</v>
      </c>
      <c r="I766">
        <f>G766</f>
        <v/>
      </c>
      <c r="K766">
        <f>I766-G766</f>
        <v/>
      </c>
      <c r="M766">
        <f>R766=E766</f>
        <v/>
      </c>
      <c r="N766">
        <f>AND(MONTH(F766)=MONTH(Q766), YEAR(F766)=YEAR(Q766))</f>
        <v/>
      </c>
      <c r="O766">
        <f>"L001-902303751"=S766</f>
        <v/>
      </c>
      <c r="P766">
        <f>G766-U766</f>
        <v/>
      </c>
      <c r="Q766" s="35" t="n">
        <v>45391</v>
      </c>
      <c r="R766" t="inlineStr"/>
      <c r="S766" t="inlineStr">
        <is>
          <t>K003-901635943</t>
        </is>
      </c>
      <c r="T766" t="inlineStr">
        <is>
          <t>អ៊ីឃ្យូឡាញ វើលវ៉ាយដ៍ ឡូជីស្ទីក</t>
        </is>
      </c>
      <c r="U766" t="n">
        <v>0</v>
      </c>
      <c r="V766" t="n">
        <v>0</v>
      </c>
    </row>
    <row r="767">
      <c r="A767" t="n">
        <v>766</v>
      </c>
      <c r="B767" t="inlineStr">
        <is>
          <t>Customs Clearance Fee and Trucking Fee</t>
        </is>
      </c>
      <c r="C767" t="inlineStr">
        <is>
          <t>ត្រាយអ៊ែងហ្គល ឡូជីស្ទីក (ខេមបូឌា) ឯ.ក</t>
        </is>
      </c>
      <c r="D767" t="inlineStr">
        <is>
          <t>K010-902101743</t>
        </is>
      </c>
      <c r="E767" t="inlineStr">
        <is>
          <t>TAG-24-00392</t>
        </is>
      </c>
      <c r="F767" t="inlineStr">
        <is>
          <t>10-06-2024</t>
        </is>
      </c>
      <c r="G767" t="n">
        <v>32912</v>
      </c>
      <c r="I767">
        <f>G767</f>
        <v/>
      </c>
      <c r="K767">
        <f>I767-G767</f>
        <v/>
      </c>
      <c r="M767">
        <f>R767=E767</f>
        <v/>
      </c>
      <c r="N767">
        <f>AND(MONTH(F767)=MONTH(Q767), YEAR(F767)=YEAR(Q767))</f>
        <v/>
      </c>
      <c r="O767">
        <f>"L001-902303751"=S767</f>
        <v/>
      </c>
      <c r="P767">
        <f>G767-U767</f>
        <v/>
      </c>
      <c r="Q767" s="35" t="n">
        <v>45392</v>
      </c>
      <c r="R767" t="n">
        <v>92135</v>
      </c>
      <c r="S767" t="inlineStr">
        <is>
          <t>K009-902302542</t>
        </is>
      </c>
      <c r="T767" t="inlineStr">
        <is>
          <t>ឡូជីម៉ាក អ៊ិនធើណេសិនណល ឯ.ក</t>
        </is>
      </c>
      <c r="U767" t="n">
        <v>92135</v>
      </c>
      <c r="V767" t="n">
        <v>0</v>
      </c>
    </row>
    <row r="768">
      <c r="A768" t="n">
        <v>767</v>
      </c>
      <c r="B768" t="inlineStr">
        <is>
          <t>Terminal Handling Charge, CFS Fee, Scan Fee, D/O Fee, Document Fee, Handling Fee, Co-Loader Agency Fee and LSS Charge</t>
        </is>
      </c>
      <c r="C768" t="inlineStr">
        <is>
          <t>ត្រាយអ៊ែងហ្គល ឡូជីស្ទីក (ខេមបូឌា) ឯ.ក</t>
        </is>
      </c>
      <c r="D768" t="inlineStr">
        <is>
          <t>K010-902101743</t>
        </is>
      </c>
      <c r="E768" t="inlineStr">
        <is>
          <t>TAG-24-00388</t>
        </is>
      </c>
      <c r="F768" t="inlineStr">
        <is>
          <t>05-06-2024</t>
        </is>
      </c>
      <c r="G768" t="n">
        <v>83582</v>
      </c>
      <c r="I768">
        <f>G768</f>
        <v/>
      </c>
      <c r="K768">
        <f>I768-G768</f>
        <v/>
      </c>
      <c r="M768">
        <f>R768=E768</f>
        <v/>
      </c>
      <c r="N768">
        <f>AND(MONTH(F768)=MONTH(Q768), YEAR(F768)=YEAR(Q768))</f>
        <v/>
      </c>
      <c r="O768">
        <f>"L001-902303751"=S768</f>
        <v/>
      </c>
      <c r="P768">
        <f>G768-U768</f>
        <v/>
      </c>
      <c r="Q768" s="35" t="n">
        <v>45400</v>
      </c>
      <c r="R768" t="n">
        <v>82923</v>
      </c>
      <c r="S768" t="inlineStr">
        <is>
          <t>L001-901500191</t>
        </is>
      </c>
      <c r="T768" t="inlineStr">
        <is>
          <t>អ.អិន.វ៉ាយ ត្រេនស្ព័ត</t>
        </is>
      </c>
      <c r="U768" t="n">
        <v>82923</v>
      </c>
      <c r="V768" t="n">
        <v>0</v>
      </c>
    </row>
    <row r="769">
      <c r="A769" t="n">
        <v>768</v>
      </c>
      <c r="B769" t="inlineStr">
        <is>
          <t>Customs Clearance Fee and Trucking Fee</t>
        </is>
      </c>
      <c r="C769" t="inlineStr">
        <is>
          <t>ត្រាយអ៊ែងហ្គល ឡូជីស្ទីក (ខេមបូឌា) ឯ.ក</t>
        </is>
      </c>
      <c r="D769" t="inlineStr">
        <is>
          <t>K010-902101743</t>
        </is>
      </c>
      <c r="E769" t="inlineStr">
        <is>
          <t>TAG-24-00395</t>
        </is>
      </c>
      <c r="F769" t="inlineStr">
        <is>
          <t>10-06-2024</t>
        </is>
      </c>
      <c r="G769" t="n">
        <v>32912</v>
      </c>
      <c r="I769">
        <f>G769</f>
        <v/>
      </c>
      <c r="K769">
        <f>I769-G769</f>
        <v/>
      </c>
      <c r="M769">
        <f>R769=E769</f>
        <v/>
      </c>
      <c r="N769">
        <f>AND(MONTH(F769)=MONTH(Q769), YEAR(F769)=YEAR(Q769))</f>
        <v/>
      </c>
      <c r="O769">
        <f>"L001-902303751"=S769</f>
        <v/>
      </c>
      <c r="P769">
        <f>G769-U769</f>
        <v/>
      </c>
      <c r="Q769" s="35" t="n">
        <v>45390</v>
      </c>
      <c r="R769" t="n">
        <v>82820</v>
      </c>
      <c r="S769" t="inlineStr">
        <is>
          <t>K009-902002784</t>
        </is>
      </c>
      <c r="T769" t="inlineStr">
        <is>
          <t>ខាហ្គោលីង អ៊ិនធើណេសិនណល ឯ.ក</t>
        </is>
      </c>
      <c r="U769" t="n">
        <v>82820</v>
      </c>
      <c r="V769" t="n">
        <v>0</v>
      </c>
    </row>
    <row r="770">
      <c r="A770" t="n">
        <v>769</v>
      </c>
      <c r="B770" t="inlineStr">
        <is>
          <t>Customs Clearance Fee and Trucking Fee</t>
        </is>
      </c>
      <c r="C770" t="inlineStr">
        <is>
          <t>ត្រាយអ៊ែងហ្គល ឡូជីស្ទីក (ខេមបូឌា) ឯ.ក</t>
        </is>
      </c>
      <c r="D770" t="inlineStr">
        <is>
          <t>K010-902101743</t>
        </is>
      </c>
      <c r="E770" t="inlineStr">
        <is>
          <t>TAG-24-00389</t>
        </is>
      </c>
      <c r="F770" t="inlineStr">
        <is>
          <t>05-06-2024</t>
        </is>
      </c>
      <c r="G770" t="n">
        <v>65680</v>
      </c>
      <c r="I770">
        <f>G770</f>
        <v/>
      </c>
      <c r="K770">
        <f>I770-G770</f>
        <v/>
      </c>
      <c r="M770">
        <f>R770=E770</f>
        <v/>
      </c>
      <c r="N770">
        <f>AND(MONTH(F770)=MONTH(Q770), YEAR(F770)=YEAR(Q770))</f>
        <v/>
      </c>
      <c r="O770">
        <f>"L001-902303751"=S770</f>
        <v/>
      </c>
      <c r="P770">
        <f>G770-U770</f>
        <v/>
      </c>
      <c r="Q770" s="35" t="n">
        <v>45390</v>
      </c>
      <c r="R770" t="n">
        <v>82820</v>
      </c>
      <c r="S770" t="inlineStr">
        <is>
          <t>K009-902002784</t>
        </is>
      </c>
      <c r="T770" t="inlineStr">
        <is>
          <t>ខាហ្គោលីង អ៊ិនធើណេសិនណល ឯ.ក</t>
        </is>
      </c>
      <c r="U770" t="n">
        <v>82820</v>
      </c>
      <c r="V770" t="n">
        <v>0</v>
      </c>
    </row>
    <row r="771">
      <c r="A771" t="n">
        <v>770</v>
      </c>
      <c r="B771" t="inlineStr">
        <is>
          <t>Customs Clearance Fee and Trucking Fee</t>
        </is>
      </c>
      <c r="C771" t="inlineStr">
        <is>
          <t>ត្រាយអ៊ែងហ្គល ឡូជីស្ទីក (ខេមបូឌា) ឯ.ក</t>
        </is>
      </c>
      <c r="D771" t="inlineStr">
        <is>
          <t>K010-902101743</t>
        </is>
      </c>
      <c r="E771" t="inlineStr">
        <is>
          <t>TAG-24-00390</t>
        </is>
      </c>
      <c r="F771" t="inlineStr">
        <is>
          <t>05-06-2024</t>
        </is>
      </c>
      <c r="G771" t="n">
        <v>69785</v>
      </c>
      <c r="I771">
        <f>G771</f>
        <v/>
      </c>
      <c r="K771">
        <f>I771-G771</f>
        <v/>
      </c>
      <c r="M771">
        <f>R771=E771</f>
        <v/>
      </c>
      <c r="N771">
        <f>AND(MONTH(F771)=MONTH(Q771), YEAR(F771)=YEAR(Q771))</f>
        <v/>
      </c>
      <c r="O771">
        <f>"L001-902303751"=S771</f>
        <v/>
      </c>
      <c r="P771">
        <f>G771-U771</f>
        <v/>
      </c>
      <c r="Q771" s="35" t="n">
        <v>45390</v>
      </c>
      <c r="R771" t="n">
        <v>111100</v>
      </c>
      <c r="S771" t="inlineStr">
        <is>
          <t>L001-100045995</t>
        </is>
      </c>
      <c r="T771" t="inlineStr">
        <is>
          <t>ឌីអេចអិល ឡូជីស្ទីក (ខេមបូឌា)</t>
        </is>
      </c>
      <c r="U771" t="n">
        <v>111100</v>
      </c>
      <c r="V771" t="n">
        <v>0</v>
      </c>
    </row>
    <row r="772">
      <c r="A772" t="n">
        <v>771</v>
      </c>
      <c r="B772" t="inlineStr">
        <is>
          <t>Customs Clearance Fee</t>
        </is>
      </c>
      <c r="C772" t="inlineStr">
        <is>
          <t>ត្រាយអ៊ែងហ្គល ឡូជីស្ទីក (ខេមបូឌា) ឯ.ក</t>
        </is>
      </c>
      <c r="D772" t="inlineStr">
        <is>
          <t>K010-902101743</t>
        </is>
      </c>
      <c r="E772" t="inlineStr">
        <is>
          <t>TAG-24-00387</t>
        </is>
      </c>
      <c r="F772" t="inlineStr">
        <is>
          <t>04-06-2024</t>
        </is>
      </c>
      <c r="G772" t="n">
        <v>8208</v>
      </c>
      <c r="I772">
        <f>G772</f>
        <v/>
      </c>
      <c r="K772">
        <f>I772-G772</f>
        <v/>
      </c>
      <c r="M772">
        <f>R772=E772</f>
        <v/>
      </c>
      <c r="N772">
        <f>AND(MONTH(F772)=MONTH(Q772), YEAR(F772)=YEAR(Q772))</f>
        <v/>
      </c>
      <c r="O772">
        <f>"L001-902303751"=S772</f>
        <v/>
      </c>
      <c r="P772">
        <f>G772-U772</f>
        <v/>
      </c>
      <c r="Q772" s="35" t="n">
        <v>45399</v>
      </c>
      <c r="R772" t="inlineStr"/>
      <c r="S772" t="inlineStr">
        <is>
          <t>K005-100059945</t>
        </is>
      </c>
      <c r="T772" t="inlineStr">
        <is>
          <t>អ៊ែតវ៉ានស៍ គ្លរី ឡូជីស្ទីក (ខេមបូឌា) (អេ ជី អិល)</t>
        </is>
      </c>
      <c r="U772" t="n">
        <v>0</v>
      </c>
      <c r="V772" t="n">
        <v>0</v>
      </c>
    </row>
    <row r="773">
      <c r="A773" t="n">
        <v>772</v>
      </c>
      <c r="B773" t="inlineStr">
        <is>
          <t>Customs Clearance Fee and Trucking Fee</t>
        </is>
      </c>
      <c r="C773" t="inlineStr">
        <is>
          <t>ត្រាយអ៊ែងហ្គល ឡូជីស្ទីក (ខេមបូឌា) ឯ.ក</t>
        </is>
      </c>
      <c r="D773" t="inlineStr">
        <is>
          <t>K010-902101743</t>
        </is>
      </c>
      <c r="E773" t="inlineStr">
        <is>
          <t>TAG-24-00411</t>
        </is>
      </c>
      <c r="F773" t="inlineStr">
        <is>
          <t>17-06-2024</t>
        </is>
      </c>
      <c r="G773" t="n">
        <v>32968</v>
      </c>
      <c r="I773">
        <f>G773</f>
        <v/>
      </c>
      <c r="K773">
        <f>I773-G773</f>
        <v/>
      </c>
      <c r="M773">
        <f>R773=E773</f>
        <v/>
      </c>
      <c r="N773">
        <f>AND(MONTH(F773)=MONTH(Q773), YEAR(F773)=YEAR(Q773))</f>
        <v/>
      </c>
      <c r="O773">
        <f>"L001-902303751"=S773</f>
        <v/>
      </c>
      <c r="P773">
        <f>G773-U773</f>
        <v/>
      </c>
      <c r="Q773" s="35" t="n">
        <v>45391</v>
      </c>
      <c r="R773" t="inlineStr"/>
      <c r="S773" t="inlineStr">
        <is>
          <t>L001-107032791</t>
        </is>
      </c>
      <c r="T773" t="inlineStr">
        <is>
          <t>នីបផន អិចប្រេស (ខេមបូឌា) ខូ អិលធីឌី</t>
        </is>
      </c>
      <c r="U773" t="n">
        <v>0</v>
      </c>
      <c r="V773" t="n">
        <v>0</v>
      </c>
    </row>
    <row r="774">
      <c r="A774" t="n">
        <v>773</v>
      </c>
      <c r="B774" t="inlineStr">
        <is>
          <t>Terminal Handling Charge, CFS Fee, Scan Fee, D/O Fee, Document Fee, Handling Fee, Co-Loader Agency Fee and CIC</t>
        </is>
      </c>
      <c r="C774" t="inlineStr">
        <is>
          <t>ត្រាយអ៊ែងហ្គល ឡូជីស្ទីក (ខេមបូឌា) ឯ.ក</t>
        </is>
      </c>
      <c r="D774" t="inlineStr">
        <is>
          <t>K010-902101743</t>
        </is>
      </c>
      <c r="E774" t="inlineStr">
        <is>
          <t>TAG-24-00391</t>
        </is>
      </c>
      <c r="F774" t="inlineStr">
        <is>
          <t>10-06-2024</t>
        </is>
      </c>
      <c r="G774" t="n">
        <v>77343</v>
      </c>
      <c r="I774">
        <f>G774</f>
        <v/>
      </c>
      <c r="K774">
        <f>I774-G774</f>
        <v/>
      </c>
      <c r="M774">
        <f>R774=E774</f>
        <v/>
      </c>
      <c r="N774">
        <f>AND(MONTH(F774)=MONTH(Q774), YEAR(F774)=YEAR(Q774))</f>
        <v/>
      </c>
      <c r="O774">
        <f>"L001-902303751"=S774</f>
        <v/>
      </c>
      <c r="P774">
        <f>G774-U774</f>
        <v/>
      </c>
      <c r="Q774" s="35" t="n">
        <v>45411</v>
      </c>
      <c r="R774" t="inlineStr"/>
      <c r="S774" t="inlineStr">
        <is>
          <t>L001-107032791</t>
        </is>
      </c>
      <c r="T774" t="inlineStr">
        <is>
          <t>នីបផន អិចប្រេស (ខេមបូឌា) ខូ អិលធីឌី</t>
        </is>
      </c>
      <c r="U774" t="n">
        <v>0</v>
      </c>
      <c r="V774" t="n">
        <v>0</v>
      </c>
    </row>
    <row r="775">
      <c r="A775" t="n">
        <v>774</v>
      </c>
      <c r="B775" t="inlineStr">
        <is>
          <t>Customs Clearance Fee and Trucking Fee</t>
        </is>
      </c>
      <c r="C775" t="inlineStr">
        <is>
          <t>ត្រាយអ៊ែងហ្គល ឡូជីស្ទីក (ខេមបូឌា) ឯ.ក</t>
        </is>
      </c>
      <c r="D775" t="inlineStr">
        <is>
          <t>K010-902101743</t>
        </is>
      </c>
      <c r="E775" t="inlineStr">
        <is>
          <t>TAG-24-00403</t>
        </is>
      </c>
      <c r="F775" t="inlineStr">
        <is>
          <t>11-06-2024</t>
        </is>
      </c>
      <c r="G775" t="n">
        <v>28812</v>
      </c>
      <c r="I775">
        <f>G775</f>
        <v/>
      </c>
      <c r="K775">
        <f>I775-G775</f>
        <v/>
      </c>
      <c r="M775">
        <f>R775=E775</f>
        <v/>
      </c>
      <c r="N775">
        <f>AND(MONTH(F775)=MONTH(Q775), YEAR(F775)=YEAR(Q775))</f>
        <v/>
      </c>
      <c r="O775">
        <f>"L001-902303751"=S775</f>
        <v/>
      </c>
      <c r="P775">
        <f>G775-U775</f>
        <v/>
      </c>
      <c r="Q775" s="35" t="n">
        <v>45404</v>
      </c>
      <c r="R775" t="n">
        <v>125578</v>
      </c>
      <c r="S775" t="inlineStr">
        <is>
          <t>K009-901605081</t>
        </is>
      </c>
      <c r="T775" t="inlineStr">
        <is>
          <t>ទ្រូ ខមភែនៀន ឡូជីស្ទីក (ខេមបូឌា)</t>
        </is>
      </c>
      <c r="U775" t="n">
        <v>125578</v>
      </c>
      <c r="V775" t="n">
        <v>0</v>
      </c>
    </row>
    <row r="776">
      <c r="A776" t="n">
        <v>775</v>
      </c>
      <c r="B776" t="inlineStr">
        <is>
          <t>Customs Clearance Fee and Trucking Fee</t>
        </is>
      </c>
      <c r="C776" t="inlineStr">
        <is>
          <t>ត្រាយអ៊ែងហ្គល ឡូជីស្ទីក (ខេមបូឌា) ឯ.ក</t>
        </is>
      </c>
      <c r="D776" t="inlineStr">
        <is>
          <t>K010-902101743</t>
        </is>
      </c>
      <c r="E776" t="inlineStr">
        <is>
          <t>TAG-24-00427</t>
        </is>
      </c>
      <c r="F776" t="inlineStr">
        <is>
          <t>24-06-2024</t>
        </is>
      </c>
      <c r="G776" t="n">
        <v>32968</v>
      </c>
      <c r="I776">
        <f>G776</f>
        <v/>
      </c>
      <c r="K776">
        <f>I776-G776</f>
        <v/>
      </c>
      <c r="M776">
        <f>R776=E776</f>
        <v/>
      </c>
      <c r="N776">
        <f>AND(MONTH(F776)=MONTH(Q776), YEAR(F776)=YEAR(Q776))</f>
        <v/>
      </c>
      <c r="O776">
        <f>"L001-902303751"=S776</f>
        <v/>
      </c>
      <c r="P776">
        <f>G776-U776</f>
        <v/>
      </c>
      <c r="Q776" s="35" t="n">
        <v>45404</v>
      </c>
      <c r="R776" t="inlineStr"/>
      <c r="S776" t="inlineStr">
        <is>
          <t>L001-107032791</t>
        </is>
      </c>
      <c r="T776" t="inlineStr">
        <is>
          <t>នីបផន អិចប្រេស (ខេមបូឌា) ខូ អិលធីឌី</t>
        </is>
      </c>
      <c r="U776" t="n">
        <v>0</v>
      </c>
      <c r="V776" t="n">
        <v>0</v>
      </c>
    </row>
    <row r="777">
      <c r="A777" t="n">
        <v>776</v>
      </c>
      <c r="B777" t="inlineStr">
        <is>
          <t>Customs Clearance Fee and Trucking Fee</t>
        </is>
      </c>
      <c r="C777" t="inlineStr">
        <is>
          <t>ត្រាយអ៊ែងហ្គល ឡូជីស្ទីក (ខេមបូឌា) ឯ.ក</t>
        </is>
      </c>
      <c r="D777" t="inlineStr">
        <is>
          <t>K010-902101743</t>
        </is>
      </c>
      <c r="E777" t="inlineStr">
        <is>
          <t>TAG-24-00425</t>
        </is>
      </c>
      <c r="F777" t="inlineStr">
        <is>
          <t>24-06-2024</t>
        </is>
      </c>
      <c r="G777" t="n">
        <v>61429</v>
      </c>
      <c r="I777">
        <f>G777</f>
        <v/>
      </c>
      <c r="K777">
        <f>I777-G777</f>
        <v/>
      </c>
      <c r="M777">
        <f>R777=E777</f>
        <v/>
      </c>
      <c r="N777">
        <f>AND(MONTH(F777)=MONTH(Q777), YEAR(F777)=YEAR(Q777))</f>
        <v/>
      </c>
      <c r="O777">
        <f>"L001-902303751"=S777</f>
        <v/>
      </c>
      <c r="P777">
        <f>G777-U777</f>
        <v/>
      </c>
      <c r="Q777" s="35" t="n">
        <v>45390</v>
      </c>
      <c r="R777" t="n">
        <v>82820</v>
      </c>
      <c r="S777" t="inlineStr">
        <is>
          <t>K003-901635943</t>
        </is>
      </c>
      <c r="T777" t="inlineStr">
        <is>
          <t>អ៊ីឃ្យូឡាញ វើលវ៉ាយដ៍ ឡូជីស្ទីក</t>
        </is>
      </c>
      <c r="U777" t="n">
        <v>82820</v>
      </c>
      <c r="V777" t="n">
        <v>0</v>
      </c>
    </row>
    <row r="778">
      <c r="A778" t="n">
        <v>777</v>
      </c>
      <c r="B778" t="inlineStr">
        <is>
          <t>Terminal Handling Charges, CFS Fee, Scan Fee, Document Fee, Handling Fee, Co-Loader Agency Fee and LSS Charge</t>
        </is>
      </c>
      <c r="C778" t="inlineStr">
        <is>
          <t>ត្រាយអ៊ែងហ្គល ឡូជីស្ទីក (ខេមបូឌា) ឯ.ក</t>
        </is>
      </c>
      <c r="D778" t="inlineStr">
        <is>
          <t>K010-902101743</t>
        </is>
      </c>
      <c r="E778" t="inlineStr">
        <is>
          <t>TAG-24-00410</t>
        </is>
      </c>
      <c r="F778" t="inlineStr">
        <is>
          <t>17-06-2024</t>
        </is>
      </c>
      <c r="G778" t="n">
        <v>152522</v>
      </c>
      <c r="I778">
        <f>G778</f>
        <v/>
      </c>
      <c r="K778">
        <f>I778-G778</f>
        <v/>
      </c>
      <c r="M778">
        <f>R778=E778</f>
        <v/>
      </c>
      <c r="N778">
        <f>AND(MONTH(F778)=MONTH(Q778), YEAR(F778)=YEAR(Q778))</f>
        <v/>
      </c>
      <c r="O778">
        <f>"L001-902303751"=S778</f>
        <v/>
      </c>
      <c r="P778">
        <f>G778-U778</f>
        <v/>
      </c>
      <c r="Q778" s="35" t="n">
        <v>45390</v>
      </c>
      <c r="R778" t="n">
        <v>111100</v>
      </c>
      <c r="S778" t="inlineStr">
        <is>
          <t>L001-107000385</t>
        </is>
      </c>
      <c r="T778" t="inlineStr">
        <is>
          <t>អិចស្ពោលាំងកា ហ្រ្វេត (ខេមបូឌា) លីមីធីត</t>
        </is>
      </c>
      <c r="U778" t="n">
        <v>111100</v>
      </c>
      <c r="V778" t="n">
        <v>0</v>
      </c>
    </row>
    <row r="779">
      <c r="A779" t="n">
        <v>778</v>
      </c>
      <c r="B779" t="inlineStr">
        <is>
          <t>Customs Clearance Fee and Trucking Fee</t>
        </is>
      </c>
      <c r="C779" t="inlineStr">
        <is>
          <t>ត្រាយអ៊ែងហ្គល ឡូជីស្ទីក (ខេមបូឌា) ឯ.ក</t>
        </is>
      </c>
      <c r="D779" t="inlineStr">
        <is>
          <t>K010-902101743</t>
        </is>
      </c>
      <c r="E779" t="inlineStr">
        <is>
          <t>TAG-24-00401</t>
        </is>
      </c>
      <c r="F779" t="inlineStr">
        <is>
          <t>11-06-2024</t>
        </is>
      </c>
      <c r="G779" t="n">
        <v>28812</v>
      </c>
      <c r="I779">
        <f>G779</f>
        <v/>
      </c>
      <c r="K779">
        <f>I779-G779</f>
        <v/>
      </c>
      <c r="M779">
        <f>R779=E779</f>
        <v/>
      </c>
      <c r="N779">
        <f>AND(MONTH(F779)=MONTH(Q779), YEAR(F779)=YEAR(Q779))</f>
        <v/>
      </c>
      <c r="O779">
        <f>"L001-902303751"=S779</f>
        <v/>
      </c>
      <c r="P779">
        <f>G779-U779</f>
        <v/>
      </c>
      <c r="Q779" s="35" t="n">
        <v>45391</v>
      </c>
      <c r="R779" t="inlineStr"/>
      <c r="S779" t="inlineStr">
        <is>
          <t>K005-901805913</t>
        </is>
      </c>
      <c r="T779" t="inlineStr">
        <is>
          <t>ស្តារ ខង់ខដ (ខេមបូឌា) ឯ.ក</t>
        </is>
      </c>
      <c r="U779" t="n">
        <v>0</v>
      </c>
      <c r="V779" t="n">
        <v>0</v>
      </c>
    </row>
    <row r="780">
      <c r="A780" t="n">
        <v>779</v>
      </c>
      <c r="B780" t="inlineStr">
        <is>
          <t>Customs Clearance Fee</t>
        </is>
      </c>
      <c r="C780" t="inlineStr">
        <is>
          <t>ត្រាយអ៊ែងហ្គល ឡូជីស្ទីក (ខេមបូឌា) ឯ.ក</t>
        </is>
      </c>
      <c r="D780" t="inlineStr">
        <is>
          <t>K010-902101743</t>
        </is>
      </c>
      <c r="E780" t="inlineStr">
        <is>
          <t>TAG-24-00413</t>
        </is>
      </c>
      <c r="F780" t="inlineStr">
        <is>
          <t>17-06-2024</t>
        </is>
      </c>
      <c r="G780" t="n">
        <v>8242</v>
      </c>
      <c r="I780">
        <f>G780</f>
        <v/>
      </c>
      <c r="K780">
        <f>I780-G780</f>
        <v/>
      </c>
      <c r="M780">
        <f>R780=E780</f>
        <v/>
      </c>
      <c r="N780">
        <f>AND(MONTH(F780)=MONTH(Q780), YEAR(F780)=YEAR(Q780))</f>
        <v/>
      </c>
      <c r="O780">
        <f>"L001-902303751"=S780</f>
        <v/>
      </c>
      <c r="P780">
        <f>G780-U780</f>
        <v/>
      </c>
      <c r="Q780" s="35" t="n">
        <v>45391</v>
      </c>
      <c r="R780" t="inlineStr"/>
      <c r="S780" t="inlineStr">
        <is>
          <t>L001-100045340</t>
        </is>
      </c>
      <c r="T780" t="inlineStr">
        <is>
          <t xml:space="preserve">ស៊ីវ៉ា អ៊ែរ អ៊ែន អូសៀន (ខេមបូឌា) ឯ.ក </t>
        </is>
      </c>
      <c r="U780" t="n">
        <v>0</v>
      </c>
      <c r="V780" t="n">
        <v>0</v>
      </c>
    </row>
    <row r="781">
      <c r="A781" t="n">
        <v>780</v>
      </c>
      <c r="B781" t="inlineStr">
        <is>
          <t>Customs Clearance Fee</t>
        </is>
      </c>
      <c r="C781" t="inlineStr">
        <is>
          <t>ត្រាយអ៊ែងហ្គល ឡូជីស្ទីក (ខេមបូឌា) ឯ.ក</t>
        </is>
      </c>
      <c r="D781" t="inlineStr">
        <is>
          <t>K010-902101743</t>
        </is>
      </c>
      <c r="E781" t="inlineStr">
        <is>
          <t>TAG-24-00420</t>
        </is>
      </c>
      <c r="F781" t="inlineStr">
        <is>
          <t>19-06-2024</t>
        </is>
      </c>
      <c r="G781" t="n">
        <v>8240</v>
      </c>
      <c r="I781">
        <f>G781</f>
        <v/>
      </c>
      <c r="K781">
        <f>I781-G781</f>
        <v/>
      </c>
      <c r="M781">
        <f>R781=E781</f>
        <v/>
      </c>
      <c r="N781">
        <f>AND(MONTH(F781)=MONTH(Q781), YEAR(F781)=YEAR(Q781))</f>
        <v/>
      </c>
      <c r="O781">
        <f>"L001-902303751"=S781</f>
        <v/>
      </c>
      <c r="P781">
        <f>G781-U781</f>
        <v/>
      </c>
      <c r="Q781" s="35" t="n">
        <v>45383</v>
      </c>
      <c r="R781" t="inlineStr"/>
      <c r="S781" t="inlineStr">
        <is>
          <t>K009-902002784</t>
        </is>
      </c>
      <c r="T781" t="inlineStr">
        <is>
          <t>ខាហ្គោលីង អ៊ិនធើណេសិនណល ឯ.ក</t>
        </is>
      </c>
      <c r="U781" t="n">
        <v>0</v>
      </c>
      <c r="V781" t="n">
        <v>0</v>
      </c>
    </row>
    <row r="782">
      <c r="A782" t="n">
        <v>781</v>
      </c>
      <c r="B782" t="inlineStr">
        <is>
          <t>Customs Clearance Fee and Trucking Fee</t>
        </is>
      </c>
      <c r="C782" t="inlineStr">
        <is>
          <t>ត្រាយអ៊ែងហ្គល ឡូជីស្ទីក (ខេមបូឌា) ឯ.ក</t>
        </is>
      </c>
      <c r="D782" t="inlineStr">
        <is>
          <t>K010-902101743</t>
        </is>
      </c>
      <c r="E782" t="inlineStr">
        <is>
          <t>TAG-24-00426</t>
        </is>
      </c>
      <c r="F782" t="inlineStr">
        <is>
          <t>24-06-2024</t>
        </is>
      </c>
      <c r="G782" t="n">
        <v>65936</v>
      </c>
      <c r="I782">
        <f>G782</f>
        <v/>
      </c>
      <c r="K782">
        <f>I782-G782</f>
        <v/>
      </c>
      <c r="M782">
        <f>R782=E782</f>
        <v/>
      </c>
      <c r="N782">
        <f>AND(MONTH(F782)=MONTH(Q782), YEAR(F782)=YEAR(Q782))</f>
        <v/>
      </c>
      <c r="O782">
        <f>"L001-902303751"=S782</f>
        <v/>
      </c>
      <c r="P782">
        <f>G782-U782</f>
        <v/>
      </c>
      <c r="Q782" s="35" t="n">
        <v>45399</v>
      </c>
      <c r="R782" t="n">
        <v>1235442</v>
      </c>
      <c r="S782" t="inlineStr">
        <is>
          <t>L001-103007369</t>
        </is>
      </c>
      <c r="T782" t="inlineStr">
        <is>
          <t>អូរៀនថល ឡូជីស្ទីក &amp; ឌីស្ទ្រីប៊្យូសិន (ខេមបូឌា)</t>
        </is>
      </c>
      <c r="U782" t="n">
        <v>1235442</v>
      </c>
      <c r="V782" t="n">
        <v>0</v>
      </c>
    </row>
    <row r="783">
      <c r="A783" t="n">
        <v>782</v>
      </c>
      <c r="B783" t="inlineStr">
        <is>
          <t>Customs Clearance Fee and Trucking Fee</t>
        </is>
      </c>
      <c r="C783" t="inlineStr">
        <is>
          <t>ត្រាយអ៊ែងហ្គល ឡូជីស្ទីក (ខេមបូឌា) ឯ.ក</t>
        </is>
      </c>
      <c r="D783" t="inlineStr">
        <is>
          <t>K010-902101743</t>
        </is>
      </c>
      <c r="E783" t="inlineStr">
        <is>
          <t>TAG-24-00434</t>
        </is>
      </c>
      <c r="F783" t="inlineStr">
        <is>
          <t>28-06-2024</t>
        </is>
      </c>
      <c r="G783" t="n">
        <v>32880</v>
      </c>
      <c r="I783">
        <f>G783</f>
        <v/>
      </c>
      <c r="K783">
        <f>I783-G783</f>
        <v/>
      </c>
      <c r="M783">
        <f>R783=E783</f>
        <v/>
      </c>
      <c r="N783">
        <f>AND(MONTH(F783)=MONTH(Q783), YEAR(F783)=YEAR(Q783))</f>
        <v/>
      </c>
      <c r="O783">
        <f>"L001-902303751"=S783</f>
        <v/>
      </c>
      <c r="P783">
        <f>G783-U783</f>
        <v/>
      </c>
      <c r="Q783" s="35" t="n">
        <v>45391</v>
      </c>
      <c r="R783" t="n">
        <v>111128</v>
      </c>
      <c r="S783" t="inlineStr">
        <is>
          <t>L001-107032791</t>
        </is>
      </c>
      <c r="T783" t="inlineStr">
        <is>
          <t>នីបផន អិចប្រេស (ខេមបូឌា) ខូ អិលធីឌី</t>
        </is>
      </c>
      <c r="U783" t="n">
        <v>111128</v>
      </c>
      <c r="V783" t="n">
        <v>0</v>
      </c>
    </row>
    <row r="784">
      <c r="A784" t="n">
        <v>783</v>
      </c>
      <c r="B784" t="inlineStr">
        <is>
          <t>Customs Clearance Fee and Trucking Fee</t>
        </is>
      </c>
      <c r="C784" t="inlineStr">
        <is>
          <t>ត្រាយអ៊ែងហ្គល ឡូជីស្ទីក (ខេមបូឌា) ឯ.ក</t>
        </is>
      </c>
      <c r="D784" t="inlineStr">
        <is>
          <t>K010-902101743</t>
        </is>
      </c>
      <c r="E784" t="inlineStr">
        <is>
          <t>TAG-24-00430</t>
        </is>
      </c>
      <c r="F784" t="inlineStr">
        <is>
          <t>26-06-2024</t>
        </is>
      </c>
      <c r="G784" t="n">
        <v>69870</v>
      </c>
      <c r="I784">
        <f>G784</f>
        <v/>
      </c>
      <c r="K784">
        <f>I784-G784</f>
        <v/>
      </c>
      <c r="M784">
        <f>R784=E784</f>
        <v/>
      </c>
      <c r="N784">
        <f>AND(MONTH(F784)=MONTH(Q784), YEAR(F784)=YEAR(Q784))</f>
        <v/>
      </c>
      <c r="O784">
        <f>"L001-902303751"=S784</f>
        <v/>
      </c>
      <c r="P784">
        <f>G784-U784</f>
        <v/>
      </c>
      <c r="Q784" s="35" t="n">
        <v>45392</v>
      </c>
      <c r="R784" t="n">
        <v>12123</v>
      </c>
      <c r="S784" t="inlineStr">
        <is>
          <t>K009-902002784</t>
        </is>
      </c>
      <c r="T784" t="inlineStr">
        <is>
          <t>ខាហ្គោលីង អ៊ិនធើណេសិនណល ឯ.ក</t>
        </is>
      </c>
      <c r="U784" t="n">
        <v>12123</v>
      </c>
      <c r="V784" t="n">
        <v>0</v>
      </c>
    </row>
    <row r="785">
      <c r="A785" t="n">
        <v>784</v>
      </c>
      <c r="B785" t="inlineStr">
        <is>
          <t>Customs Clearance Fee</t>
        </is>
      </c>
      <c r="C785" t="inlineStr">
        <is>
          <t>ត្រាយអ៊ែងហ្គល ឡូជីស្ទីក (ខេមបូឌា) ឯ.ក</t>
        </is>
      </c>
      <c r="D785" t="inlineStr">
        <is>
          <t>K010-902101743</t>
        </is>
      </c>
      <c r="E785" t="inlineStr">
        <is>
          <t>TAG-24-00431</t>
        </is>
      </c>
      <c r="F785" t="inlineStr">
        <is>
          <t>26-06-2024</t>
        </is>
      </c>
      <c r="G785" t="n">
        <v>8220</v>
      </c>
      <c r="I785">
        <f>G785</f>
        <v/>
      </c>
      <c r="K785">
        <f>I785-G785</f>
        <v/>
      </c>
      <c r="M785">
        <f>R785=E785</f>
        <v/>
      </c>
      <c r="N785">
        <f>AND(MONTH(F785)=MONTH(Q785), YEAR(F785)=YEAR(Q785))</f>
        <v/>
      </c>
      <c r="O785">
        <f>"L001-902303751"=S785</f>
        <v/>
      </c>
      <c r="P785">
        <f>G785-U785</f>
        <v/>
      </c>
      <c r="Q785" s="35" t="n">
        <v>45399</v>
      </c>
      <c r="R785" t="n">
        <v>125768</v>
      </c>
      <c r="S785" t="inlineStr">
        <is>
          <t>L001-100045340</t>
        </is>
      </c>
      <c r="T785" t="inlineStr">
        <is>
          <t xml:space="preserve">ស៊ីវ៉ា អ៊ែរ អ៊ែន អូសៀន (ខេមបូឌា) ឯ.ក </t>
        </is>
      </c>
      <c r="U785" t="n">
        <v>125768</v>
      </c>
      <c r="V785" t="n">
        <v>0</v>
      </c>
    </row>
    <row r="786">
      <c r="A786" t="n">
        <v>785</v>
      </c>
      <c r="B786" t="inlineStr">
        <is>
          <t>Customs Clearance Fee</t>
        </is>
      </c>
      <c r="C786" t="inlineStr">
        <is>
          <t>ត្រាយអ៊ែងហ្គល ឡូជីស្ទីក (ខេមបូឌា) ឯ.ក</t>
        </is>
      </c>
      <c r="D786" t="inlineStr">
        <is>
          <t>K010-902101743</t>
        </is>
      </c>
      <c r="E786" t="inlineStr">
        <is>
          <t>TAG-24-00398</t>
        </is>
      </c>
      <c r="F786" t="inlineStr">
        <is>
          <t>11-06-2024</t>
        </is>
      </c>
      <c r="G786" t="n">
        <v>8232</v>
      </c>
      <c r="I786">
        <f>G786</f>
        <v/>
      </c>
      <c r="K786">
        <f>I786-G786</f>
        <v/>
      </c>
      <c r="M786">
        <f>R786=E786</f>
        <v/>
      </c>
      <c r="N786">
        <f>AND(MONTH(F786)=MONTH(Q786), YEAR(F786)=YEAR(Q786))</f>
        <v/>
      </c>
      <c r="O786">
        <f>"L001-902303751"=S786</f>
        <v/>
      </c>
      <c r="P786">
        <f>G786-U786</f>
        <v/>
      </c>
      <c r="Q786" s="35" t="n">
        <v>45399</v>
      </c>
      <c r="R786" t="inlineStr"/>
      <c r="S786" t="inlineStr">
        <is>
          <t>L001-104015799</t>
        </is>
      </c>
      <c r="T786" t="inlineStr">
        <is>
          <t>យូសេន ឡូជីស្ទីក (ខេមបូឌា) ខូ អិលធីឌី</t>
        </is>
      </c>
      <c r="U786" t="n">
        <v>0</v>
      </c>
      <c r="V786" t="n">
        <v>0</v>
      </c>
    </row>
    <row r="787">
      <c r="A787" t="n">
        <v>786</v>
      </c>
      <c r="B787" t="inlineStr">
        <is>
          <t>Gate Fee Charges</t>
        </is>
      </c>
      <c r="C787" t="inlineStr">
        <is>
          <t>កំពង់ផែស្វយ័តភ្នំពេញ "ក.ស.ភ"</t>
        </is>
      </c>
      <c r="D787" t="inlineStr">
        <is>
          <t>L001-100044999</t>
        </is>
      </c>
      <c r="E787" t="inlineStr">
        <is>
          <t>INV20240634802</t>
        </is>
      </c>
      <c r="F787" t="inlineStr">
        <is>
          <t>12-06-2024</t>
        </is>
      </c>
      <c r="G787" t="n">
        <v>823</v>
      </c>
      <c r="I787">
        <f>G787</f>
        <v/>
      </c>
      <c r="K787">
        <f>I787-G787</f>
        <v/>
      </c>
      <c r="M787">
        <f>R787=E787</f>
        <v/>
      </c>
      <c r="N787">
        <f>AND(MONTH(F787)=MONTH(Q787), YEAR(F787)=YEAR(Q787))</f>
        <v/>
      </c>
      <c r="O787">
        <f>"L001-902303751"=S787</f>
        <v/>
      </c>
      <c r="P787">
        <f>G787-U787</f>
        <v/>
      </c>
      <c r="Q787" s="35" t="n">
        <v>45399</v>
      </c>
      <c r="R787" t="n">
        <v>82902</v>
      </c>
      <c r="S787" t="inlineStr">
        <is>
          <t>L001-107032791</t>
        </is>
      </c>
      <c r="T787" t="inlineStr">
        <is>
          <t>នីបផន អិចប្រេស (ខេមបូឌា) ខូ អិលធីឌី</t>
        </is>
      </c>
      <c r="U787" t="n">
        <v>82902</v>
      </c>
      <c r="V787" t="n">
        <v>0</v>
      </c>
    </row>
    <row r="788">
      <c r="A788" t="n">
        <v>787</v>
      </c>
      <c r="B788" t="inlineStr">
        <is>
          <t>Lift-On and Gate Fee Charges</t>
        </is>
      </c>
      <c r="C788" t="inlineStr">
        <is>
          <t>កំពង់ផែស្វយ័តភ្នំពេញ "ក.ស.ភ"</t>
        </is>
      </c>
      <c r="D788" t="inlineStr">
        <is>
          <t>L001-100044999</t>
        </is>
      </c>
      <c r="E788" t="inlineStr">
        <is>
          <t>INV20240637046</t>
        </is>
      </c>
      <c r="F788" t="inlineStr">
        <is>
          <t>20-06-2024</t>
        </is>
      </c>
      <c r="G788" t="n">
        <v>18966</v>
      </c>
      <c r="I788">
        <f>G788</f>
        <v/>
      </c>
      <c r="K788">
        <f>I788-G788</f>
        <v/>
      </c>
      <c r="M788">
        <f>R788=E788</f>
        <v/>
      </c>
      <c r="N788">
        <f>AND(MONTH(F788)=MONTH(Q788), YEAR(F788)=YEAR(Q788))</f>
        <v/>
      </c>
      <c r="O788">
        <f>"L001-902303751"=S788</f>
        <v/>
      </c>
      <c r="P788">
        <f>G788-U788</f>
        <v/>
      </c>
      <c r="Q788" s="35" t="n">
        <v>45390</v>
      </c>
      <c r="R788" t="n">
        <v>111100</v>
      </c>
      <c r="S788" t="inlineStr">
        <is>
          <t>K005-100059945</t>
        </is>
      </c>
      <c r="T788" t="inlineStr">
        <is>
          <t>អ៊ែតវ៉ានស៍ គ្លរី ឡូជីស្ទីក (ខេមបូឌា) (អេ ជី អិល)</t>
        </is>
      </c>
      <c r="U788" t="n">
        <v>111100</v>
      </c>
      <c r="V788" t="n">
        <v>0</v>
      </c>
    </row>
    <row r="789">
      <c r="A789" t="n">
        <v>788</v>
      </c>
      <c r="B789" t="inlineStr">
        <is>
          <t>Charge from Warehouse/cy to trucks</t>
        </is>
      </c>
      <c r="C789" t="inlineStr">
        <is>
          <t>កំពង់ផែស្វយ័តភ្នំពេញ "ក.ស.ភ"</t>
        </is>
      </c>
      <c r="D789" t="inlineStr">
        <is>
          <t>L001-100044999</t>
        </is>
      </c>
      <c r="E789" t="inlineStr">
        <is>
          <t>126441</t>
        </is>
      </c>
      <c r="F789" t="inlineStr">
        <is>
          <t>28-06-2024</t>
        </is>
      </c>
      <c r="G789" t="n">
        <v>1259</v>
      </c>
      <c r="I789">
        <f>G789</f>
        <v/>
      </c>
      <c r="K789">
        <f>I789-G789</f>
        <v/>
      </c>
      <c r="M789">
        <f>R789=E789</f>
        <v/>
      </c>
      <c r="N789">
        <f>AND(MONTH(F789)=MONTH(Q789), YEAR(F789)=YEAR(Q789))</f>
        <v/>
      </c>
      <c r="O789">
        <f>"L001-902303751"=S789</f>
        <v/>
      </c>
      <c r="P789">
        <f>G789-U789</f>
        <v/>
      </c>
      <c r="Q789" s="35" t="n">
        <v>45383</v>
      </c>
      <c r="R789" t="inlineStr"/>
      <c r="S789" t="inlineStr">
        <is>
          <t>L001-107032791</t>
        </is>
      </c>
      <c r="T789" t="inlineStr">
        <is>
          <t>នីបផន អិចប្រេស (ខេមបូឌា) ខូ អិលធីឌី</t>
        </is>
      </c>
      <c r="U789" t="n">
        <v>0</v>
      </c>
      <c r="V789" t="n">
        <v>0</v>
      </c>
    </row>
    <row r="790">
      <c r="A790" t="n">
        <v>789</v>
      </c>
      <c r="B790" t="inlineStr">
        <is>
          <t>Lift-On &amp; Gate Fee Charge</t>
        </is>
      </c>
      <c r="C790" t="inlineStr">
        <is>
          <t>កំពង់ផែស្វយ័តភ្នំពេញ "ក.ស.ភ"</t>
        </is>
      </c>
      <c r="D790" t="inlineStr">
        <is>
          <t>L001-100044999</t>
        </is>
      </c>
      <c r="E790" t="inlineStr">
        <is>
          <t>INV20240639181</t>
        </is>
      </c>
      <c r="F790" t="inlineStr">
        <is>
          <t>26-06-2024</t>
        </is>
      </c>
      <c r="G790" t="n">
        <v>28770</v>
      </c>
      <c r="I790">
        <f>G790</f>
        <v/>
      </c>
      <c r="K790">
        <f>I790-G790</f>
        <v/>
      </c>
      <c r="M790">
        <f>R790=E790</f>
        <v/>
      </c>
      <c r="N790">
        <f>AND(MONTH(F790)=MONTH(Q790), YEAR(F790)=YEAR(Q790))</f>
        <v/>
      </c>
      <c r="O790">
        <f>"L001-902303751"=S790</f>
        <v/>
      </c>
      <c r="P790">
        <f>G790-U790</f>
        <v/>
      </c>
      <c r="Q790" s="35" t="n">
        <v>45399</v>
      </c>
      <c r="R790" t="inlineStr"/>
      <c r="S790" t="inlineStr">
        <is>
          <t>L001-100045995</t>
        </is>
      </c>
      <c r="T790" t="inlineStr">
        <is>
          <t>ឌីអេចអិល ឡូជីស្ទីក (ខេមបូឌា)</t>
        </is>
      </c>
      <c r="U790" t="n">
        <v>0</v>
      </c>
      <c r="V790" t="n">
        <v>0</v>
      </c>
    </row>
    <row r="791">
      <c r="A791" t="n">
        <v>790</v>
      </c>
      <c r="B791" t="inlineStr">
        <is>
          <t>Storage 40 Feet Container Full</t>
        </is>
      </c>
      <c r="C791" t="inlineStr">
        <is>
          <t>កំពង់ផែស្វយ័តភ្នំពេញ "ក.ស.ភ"</t>
        </is>
      </c>
      <c r="D791" t="inlineStr">
        <is>
          <t>L001-100044999</t>
        </is>
      </c>
      <c r="E791" t="inlineStr">
        <is>
          <t>INV2024-0638660</t>
        </is>
      </c>
      <c r="F791" t="inlineStr">
        <is>
          <t>25-06-2024</t>
        </is>
      </c>
      <c r="G791" t="n">
        <v>4938</v>
      </c>
      <c r="I791">
        <f>G791</f>
        <v/>
      </c>
      <c r="K791">
        <f>I791-G791</f>
        <v/>
      </c>
      <c r="M791">
        <f>R791=E791</f>
        <v/>
      </c>
      <c r="N791">
        <f>AND(MONTH(F791)=MONTH(Q791), YEAR(F791)=YEAR(Q791))</f>
        <v/>
      </c>
      <c r="O791">
        <f>"L001-902303751"=S791</f>
        <v/>
      </c>
      <c r="P791">
        <f>G791-U791</f>
        <v/>
      </c>
      <c r="Q791" s="35" t="n">
        <v>45399</v>
      </c>
      <c r="R791" t="inlineStr"/>
      <c r="S791" t="inlineStr">
        <is>
          <t>L001-107032791</t>
        </is>
      </c>
      <c r="T791" t="inlineStr">
        <is>
          <t>នីបផន អិចប្រេស (ខេមបូឌា) ខូ អិលធីឌី</t>
        </is>
      </c>
      <c r="U791" t="n">
        <v>0</v>
      </c>
      <c r="V791" t="n">
        <v>0</v>
      </c>
    </row>
    <row r="792">
      <c r="A792" t="n">
        <v>791</v>
      </c>
      <c r="B792" t="inlineStr">
        <is>
          <t>Lift-Off and Gate Fee Charge 40" Full</t>
        </is>
      </c>
      <c r="C792" t="inlineStr">
        <is>
          <t>កំពង់ផែស្វយ័តភ្នំពេញ "ក.ស.ភ"</t>
        </is>
      </c>
      <c r="D792" t="inlineStr">
        <is>
          <t>L001-100044999</t>
        </is>
      </c>
      <c r="E792" t="inlineStr">
        <is>
          <t>INV20240634473</t>
        </is>
      </c>
      <c r="F792" t="inlineStr">
        <is>
          <t>11-06-2024</t>
        </is>
      </c>
      <c r="G792" t="n">
        <v>57624</v>
      </c>
      <c r="I792">
        <f>G792</f>
        <v/>
      </c>
      <c r="K792">
        <f>I792-G792</f>
        <v/>
      </c>
      <c r="M792">
        <f>R792=E792</f>
        <v/>
      </c>
      <c r="N792">
        <f>AND(MONTH(F792)=MONTH(Q792), YEAR(F792)=YEAR(Q792))</f>
        <v/>
      </c>
      <c r="O792">
        <f>"L001-902303751"=S792</f>
        <v/>
      </c>
      <c r="P792">
        <f>G792-U792</f>
        <v/>
      </c>
      <c r="Q792" s="35" t="n">
        <v>45404</v>
      </c>
      <c r="R792" t="inlineStr"/>
      <c r="S792" t="inlineStr">
        <is>
          <t>L001-100045995</t>
        </is>
      </c>
      <c r="T792" t="inlineStr">
        <is>
          <t>ឌីអេចអិល ឡូជីស្ទីក (ខេមបូឌា)</t>
        </is>
      </c>
      <c r="U792" t="n">
        <v>0</v>
      </c>
      <c r="V792" t="n">
        <v>0</v>
      </c>
    </row>
    <row r="793">
      <c r="A793" t="n">
        <v>792</v>
      </c>
      <c r="B793" t="inlineStr">
        <is>
          <t>Weighting Fee 40 Charge</t>
        </is>
      </c>
      <c r="C793" t="inlineStr">
        <is>
          <t>កំពង់ផែស្វយ័តភ្នំពេញ "ក.ស.ភ"</t>
        </is>
      </c>
      <c r="D793" t="inlineStr">
        <is>
          <t>L001-100044999</t>
        </is>
      </c>
      <c r="E793" t="inlineStr">
        <is>
          <t>INV20240634656</t>
        </is>
      </c>
      <c r="F793" t="inlineStr">
        <is>
          <t>11-06-2024</t>
        </is>
      </c>
      <c r="G793" t="n">
        <v>4116</v>
      </c>
      <c r="I793">
        <f>G793</f>
        <v/>
      </c>
      <c r="K793">
        <f>I793-G793</f>
        <v/>
      </c>
      <c r="M793">
        <f>R793=E793</f>
        <v/>
      </c>
      <c r="N793">
        <f>AND(MONTH(F793)=MONTH(Q793), YEAR(F793)=YEAR(Q793))</f>
        <v/>
      </c>
      <c r="O793">
        <f>"L001-902303751"=S793</f>
        <v/>
      </c>
      <c r="P793">
        <f>G793-U793</f>
        <v/>
      </c>
      <c r="Q793" s="35" t="n">
        <v>45390</v>
      </c>
      <c r="R793" t="inlineStr"/>
      <c r="S793" t="inlineStr">
        <is>
          <t>K005-100059945</t>
        </is>
      </c>
      <c r="T793" t="inlineStr">
        <is>
          <t>អ៊ែតវ៉ានស៍ គ្លរី ឡូជីស្ទីក (ខេមបូឌា) (អេ ជី អិល)</t>
        </is>
      </c>
      <c r="U793" t="n">
        <v>0</v>
      </c>
      <c r="V793" t="n">
        <v>0</v>
      </c>
    </row>
    <row r="794">
      <c r="A794" t="n">
        <v>793</v>
      </c>
      <c r="B794" t="inlineStr">
        <is>
          <t>Lift-Off and Gate Fee Charge 40" Full</t>
        </is>
      </c>
      <c r="C794" t="inlineStr">
        <is>
          <t>កំពង់ផែស្វយ័តភ្នំពេញ "ក.ស.ភ"</t>
        </is>
      </c>
      <c r="D794" t="inlineStr">
        <is>
          <t>L001-100044999</t>
        </is>
      </c>
      <c r="E794" t="inlineStr">
        <is>
          <t>INV20240636462</t>
        </is>
      </c>
      <c r="F794" t="inlineStr">
        <is>
          <t>19-06-2024</t>
        </is>
      </c>
      <c r="G794" t="n">
        <v>28840</v>
      </c>
      <c r="I794">
        <f>G794</f>
        <v/>
      </c>
      <c r="K794">
        <f>I794-G794</f>
        <v/>
      </c>
      <c r="M794">
        <f>R794=E794</f>
        <v/>
      </c>
      <c r="N794">
        <f>AND(MONTH(F794)=MONTH(Q794), YEAR(F794)=YEAR(Q794))</f>
        <v/>
      </c>
      <c r="O794">
        <f>"L001-902303751"=S794</f>
        <v/>
      </c>
      <c r="P794">
        <f>G794-U794</f>
        <v/>
      </c>
      <c r="Q794" s="35" t="n">
        <v>45391</v>
      </c>
      <c r="R794" t="n">
        <v>125675</v>
      </c>
      <c r="S794" t="inlineStr">
        <is>
          <t>L001-100045340</t>
        </is>
      </c>
      <c r="T794" t="inlineStr">
        <is>
          <t xml:space="preserve">ស៊ីវ៉ា អ៊ែរ អ៊ែន អូសៀន (ខេមបូឌា) ឯ.ក </t>
        </is>
      </c>
      <c r="U794" t="n">
        <v>125675</v>
      </c>
      <c r="V794" t="n">
        <v>0</v>
      </c>
    </row>
    <row r="795">
      <c r="A795" t="n">
        <v>794</v>
      </c>
      <c r="B795" t="inlineStr">
        <is>
          <t>Weigh Container</t>
        </is>
      </c>
      <c r="C795" t="inlineStr">
        <is>
          <t>កំពង់ផែស្វយ័តភ្នំពេញ "ក.ស.ភ"</t>
        </is>
      </c>
      <c r="D795" t="inlineStr">
        <is>
          <t>L001-100044999</t>
        </is>
      </c>
      <c r="E795" t="inlineStr">
        <is>
          <t>INV20240636781</t>
        </is>
      </c>
      <c r="F795" t="inlineStr">
        <is>
          <t>19-06-2024</t>
        </is>
      </c>
      <c r="G795" t="n">
        <v>2060</v>
      </c>
      <c r="I795">
        <f>G795</f>
        <v/>
      </c>
      <c r="K795">
        <f>I795-G795</f>
        <v/>
      </c>
      <c r="M795">
        <f>R795=E795</f>
        <v/>
      </c>
      <c r="N795">
        <f>AND(MONTH(F795)=MONTH(Q795), YEAR(F795)=YEAR(Q795))</f>
        <v/>
      </c>
      <c r="O795">
        <f>"L001-902303751"=S795</f>
        <v/>
      </c>
      <c r="P795">
        <f>G795-U795</f>
        <v/>
      </c>
      <c r="Q795" s="35" t="n">
        <v>45383</v>
      </c>
      <c r="R795" t="n">
        <v>82779</v>
      </c>
      <c r="S795" t="inlineStr">
        <is>
          <t>K009-902002784</t>
        </is>
      </c>
      <c r="T795" t="inlineStr">
        <is>
          <t>ខាហ្គោលីង អ៊ិនធើណេសិនណល ឯ.ក</t>
        </is>
      </c>
      <c r="U795" t="n">
        <v>82779</v>
      </c>
      <c r="V795" t="n">
        <v>0</v>
      </c>
    </row>
    <row r="796">
      <c r="A796" t="n">
        <v>795</v>
      </c>
      <c r="B796" t="inlineStr">
        <is>
          <t>Lift-Off and Gate Fee Charge 40" Full</t>
        </is>
      </c>
      <c r="C796" t="inlineStr">
        <is>
          <t>កំពង់ផែស្វយ័តភ្នំពេញ "ក.ស.ភ"</t>
        </is>
      </c>
      <c r="D796" t="inlineStr">
        <is>
          <t>L001-100044999</t>
        </is>
      </c>
      <c r="E796" t="inlineStr">
        <is>
          <t>INV20240638598</t>
        </is>
      </c>
      <c r="F796" t="inlineStr">
        <is>
          <t>25-06-2024</t>
        </is>
      </c>
      <c r="G796" t="n">
        <v>18929</v>
      </c>
      <c r="I796">
        <f>G796</f>
        <v/>
      </c>
      <c r="K796">
        <f>I796-G796</f>
        <v/>
      </c>
      <c r="M796">
        <f>R796=E796</f>
        <v/>
      </c>
      <c r="N796">
        <f>AND(MONTH(F796)=MONTH(Q796), YEAR(F796)=YEAR(Q796))</f>
        <v/>
      </c>
      <c r="O796">
        <f>"L001-902303751"=S796</f>
        <v/>
      </c>
      <c r="P796">
        <f>G796-U796</f>
        <v/>
      </c>
      <c r="Q796" s="35" t="n">
        <v>45383</v>
      </c>
      <c r="R796" t="n">
        <v>97316</v>
      </c>
      <c r="S796" t="inlineStr">
        <is>
          <t>K003-901635943</t>
        </is>
      </c>
      <c r="T796" t="inlineStr">
        <is>
          <t>អ៊ីឃ្យូឡាញ វើលវ៉ាយដ៍ ឡូជីស្ទីក</t>
        </is>
      </c>
      <c r="U796" t="n">
        <v>97316</v>
      </c>
      <c r="V796" t="n">
        <v>0</v>
      </c>
    </row>
    <row r="797">
      <c r="A797" t="n">
        <v>796</v>
      </c>
      <c r="B797" t="inlineStr">
        <is>
          <t>Weighting Fee 40 Charge</t>
        </is>
      </c>
      <c r="C797" t="inlineStr">
        <is>
          <t>កំពង់ផែស្វយ័តភ្នំពេញ "ក.ស.ភ"</t>
        </is>
      </c>
      <c r="D797" t="inlineStr">
        <is>
          <t>L001-100044999</t>
        </is>
      </c>
      <c r="E797" t="inlineStr">
        <is>
          <t>INV20240638829</t>
        </is>
      </c>
      <c r="F797" t="inlineStr">
        <is>
          <t>25-06-2024</t>
        </is>
      </c>
      <c r="G797" t="n">
        <v>1235</v>
      </c>
      <c r="I797">
        <f>G797</f>
        <v/>
      </c>
      <c r="K797">
        <f>I797-G797</f>
        <v/>
      </c>
      <c r="M797">
        <f>R797=E797</f>
        <v/>
      </c>
      <c r="N797">
        <f>AND(MONTH(F797)=MONTH(Q797), YEAR(F797)=YEAR(Q797))</f>
        <v/>
      </c>
      <c r="O797">
        <f>"L001-902303751"=S797</f>
        <v/>
      </c>
      <c r="P797">
        <f>G797-U797</f>
        <v/>
      </c>
      <c r="Q797" s="35" t="n">
        <v>45411</v>
      </c>
      <c r="R797" t="inlineStr"/>
      <c r="S797" t="inlineStr">
        <is>
          <t>L001-107032791</t>
        </is>
      </c>
      <c r="T797" t="inlineStr">
        <is>
          <t>នីបផន អិចប្រេស (ខេមបូឌា) ខូ អិលធីឌី</t>
        </is>
      </c>
      <c r="U797" t="n">
        <v>0</v>
      </c>
      <c r="V797" t="n">
        <v>0</v>
      </c>
    </row>
    <row r="798">
      <c r="A798" t="n">
        <v>797</v>
      </c>
      <c r="B798" t="inlineStr">
        <is>
          <t>Lift-Off</t>
        </is>
      </c>
      <c r="C798" t="inlineStr">
        <is>
          <t>កំពង់ផែស្វយ័តភ្នំពេញ "ក.ស.ភ"</t>
        </is>
      </c>
      <c r="D798" t="inlineStr">
        <is>
          <t>L001-100044999</t>
        </is>
      </c>
      <c r="E798" t="inlineStr">
        <is>
          <t>119707</t>
        </is>
      </c>
      <c r="F798" t="inlineStr">
        <is>
          <t>21-06-2024</t>
        </is>
      </c>
      <c r="G798" t="n">
        <v>21022</v>
      </c>
      <c r="I798">
        <f>G798</f>
        <v/>
      </c>
      <c r="K798">
        <f>I798-G798</f>
        <v/>
      </c>
      <c r="M798">
        <f>R798=E798</f>
        <v/>
      </c>
      <c r="N798">
        <f>AND(MONTH(F798)=MONTH(Q798), YEAR(F798)=YEAR(Q798))</f>
        <v/>
      </c>
      <c r="O798">
        <f>"L001-902303751"=S798</f>
        <v/>
      </c>
      <c r="P798">
        <f>G798-U798</f>
        <v/>
      </c>
      <c r="Q798" s="35" t="n">
        <v>45404</v>
      </c>
      <c r="R798" t="inlineStr"/>
      <c r="S798" t="inlineStr">
        <is>
          <t>K009-901605081</t>
        </is>
      </c>
      <c r="T798" t="inlineStr">
        <is>
          <t>ទ្រូ ខមភែនៀន ឡូជីស្ទីក (ខេមបូឌា)</t>
        </is>
      </c>
      <c r="U798" t="n">
        <v>0</v>
      </c>
      <c r="V798" t="n">
        <v>0</v>
      </c>
    </row>
    <row r="799">
      <c r="A799" t="n">
        <v>798</v>
      </c>
      <c r="B799" t="inlineStr">
        <is>
          <t>Shipment Expense</t>
        </is>
      </c>
      <c r="C799" t="inlineStr">
        <is>
          <t>អ៊ិចស្ពែឌីធ័រ ខេមបូឌា អិលធីឌី</t>
        </is>
      </c>
      <c r="D799" t="inlineStr">
        <is>
          <t>L001-100045898</t>
        </is>
      </c>
      <c r="E799" t="inlineStr">
        <is>
          <t>TI-0275678</t>
        </is>
      </c>
      <c r="F799" t="inlineStr">
        <is>
          <t>03-06-2024</t>
        </is>
      </c>
      <c r="G799" t="n">
        <v>32792</v>
      </c>
      <c r="I799">
        <f>G799</f>
        <v/>
      </c>
      <c r="K799">
        <f>I799-G799</f>
        <v/>
      </c>
      <c r="M799">
        <f>R799=E799</f>
        <v/>
      </c>
      <c r="N799">
        <f>AND(MONTH(F799)=MONTH(Q799), YEAR(F799)=YEAR(Q799))</f>
        <v/>
      </c>
      <c r="O799">
        <f>"L001-902303751"=S799</f>
        <v/>
      </c>
      <c r="P799">
        <f>G799-U799</f>
        <v/>
      </c>
      <c r="Q799" s="35" t="n">
        <v>45399</v>
      </c>
      <c r="R799" t="n">
        <v>111210</v>
      </c>
      <c r="S799" t="inlineStr">
        <is>
          <t>L001-100045995</t>
        </is>
      </c>
      <c r="T799" t="inlineStr">
        <is>
          <t>ឌីអេចអិល ឡូជីស្ទីក (ខេមបូឌា)</t>
        </is>
      </c>
      <c r="U799" t="n">
        <v>111210</v>
      </c>
      <c r="V799" t="n">
        <v>0</v>
      </c>
    </row>
    <row r="800">
      <c r="A800" t="n">
        <v>799</v>
      </c>
      <c r="B800" t="inlineStr">
        <is>
          <t>AWB FEE, OM FORWARDING FEE AND H/C</t>
        </is>
      </c>
      <c r="C800" t="inlineStr">
        <is>
          <t>អ៊ិចស្ពែឌីធ័រ ខេមបូឌា អិលធីឌី</t>
        </is>
      </c>
      <c r="D800" t="inlineStr">
        <is>
          <t>L001-100045898</t>
        </is>
      </c>
      <c r="E800" t="inlineStr">
        <is>
          <t>TI-0278946</t>
        </is>
      </c>
      <c r="F800" t="inlineStr">
        <is>
          <t>02-07-2024</t>
        </is>
      </c>
      <c r="G800" t="n">
        <v>47300</v>
      </c>
      <c r="I800">
        <f>G800</f>
        <v/>
      </c>
      <c r="K800">
        <f>I800-G800</f>
        <v/>
      </c>
      <c r="M800">
        <f>R800=E800</f>
        <v/>
      </c>
      <c r="N800">
        <f>AND(MONTH(F800)=MONTH(Q800), YEAR(F800)=YEAR(Q800))</f>
        <v/>
      </c>
      <c r="O800">
        <f>"L001-902303751"=S800</f>
        <v/>
      </c>
      <c r="P800">
        <f>G800-U800</f>
        <v/>
      </c>
      <c r="Q800" s="35" t="n">
        <v>45390</v>
      </c>
      <c r="R800" t="inlineStr"/>
      <c r="S800" t="inlineStr">
        <is>
          <t>K009-902002784</t>
        </is>
      </c>
      <c r="T800" t="inlineStr">
        <is>
          <t>ខាហ្គោលីង អ៊ិនធើណេសិនណល ឯ.ក</t>
        </is>
      </c>
      <c r="U800" t="n">
        <v>0</v>
      </c>
      <c r="V800" t="n">
        <v>0</v>
      </c>
    </row>
    <row r="801">
      <c r="A801" t="n">
        <v>800</v>
      </c>
      <c r="B801" t="inlineStr">
        <is>
          <t>CFS HANDLING, CARRIER BL, DOCUMENT ASSEMBLY, TERMINAL HANDLING, HANDLING FEE, VGM WEIGHING FEE-CFS, FUEL SURCHARGE, TELEX RELEASE AND MANIFEST FEE</t>
        </is>
      </c>
      <c r="C801" t="inlineStr">
        <is>
          <t>អ៊ិចស្ពែឌីធ័រ ខេមបូឌា អិលធីឌី</t>
        </is>
      </c>
      <c r="D801" t="inlineStr">
        <is>
          <t>L001-100045898</t>
        </is>
      </c>
      <c r="E801" t="inlineStr">
        <is>
          <t>TI-0282364</t>
        </is>
      </c>
      <c r="F801" t="inlineStr">
        <is>
          <t>28-07-2024</t>
        </is>
      </c>
      <c r="G801" t="n">
        <v>130007</v>
      </c>
      <c r="I801">
        <f>G801</f>
        <v/>
      </c>
      <c r="K801">
        <f>I801-G801</f>
        <v/>
      </c>
      <c r="M801">
        <f>R801=E801</f>
        <v/>
      </c>
      <c r="N801">
        <f>AND(MONTH(F801)=MONTH(Q801), YEAR(F801)=YEAR(Q801))</f>
        <v/>
      </c>
      <c r="O801">
        <f>"L001-902303751"=S801</f>
        <v/>
      </c>
      <c r="P801">
        <f>G801-U801</f>
        <v/>
      </c>
      <c r="Q801" s="35" t="n">
        <v>45391</v>
      </c>
      <c r="R801" t="n">
        <v>54554</v>
      </c>
      <c r="S801" t="inlineStr">
        <is>
          <t>L001-100045340</t>
        </is>
      </c>
      <c r="T801" t="inlineStr">
        <is>
          <t xml:space="preserve">ស៊ីវ៉ា អ៊ែរ អ៊ែន អូសៀន (ខេមបូឌា) ឯ.ក </t>
        </is>
      </c>
      <c r="U801" t="n">
        <v>54554</v>
      </c>
      <c r="V801" t="n">
        <v>0</v>
      </c>
    </row>
    <row r="802">
      <c r="A802" t="n">
        <v>801</v>
      </c>
      <c r="B802" t="inlineStr">
        <is>
          <t>Plastic tent PVC Thin Film</t>
        </is>
      </c>
      <c r="C802" t="inlineStr">
        <is>
          <t>ដេកូស៍ អ៊ិនដាសស្ទ្រី ឯ.ក</t>
        </is>
      </c>
      <c r="D802" t="inlineStr">
        <is>
          <t>K007-901639102</t>
        </is>
      </c>
      <c r="E802" t="inlineStr">
        <is>
          <t>00070</t>
        </is>
      </c>
      <c r="F802" t="inlineStr">
        <is>
          <t>10-07-2024</t>
        </is>
      </c>
      <c r="G802" t="n">
        <v>90420</v>
      </c>
      <c r="I802">
        <f>G802</f>
        <v/>
      </c>
      <c r="K802">
        <f>I802-G802</f>
        <v/>
      </c>
      <c r="M802">
        <f>R802=E802</f>
        <v/>
      </c>
      <c r="N802">
        <f>AND(MONTH(F802)=MONTH(Q802), YEAR(F802)=YEAR(Q802))</f>
        <v/>
      </c>
      <c r="O802">
        <f>"L001-902303751"=S802</f>
        <v/>
      </c>
      <c r="P802">
        <f>G802-U802</f>
        <v/>
      </c>
      <c r="Q802" s="35" t="n">
        <v>45383</v>
      </c>
      <c r="R802" t="n">
        <v>111045</v>
      </c>
      <c r="S802" t="inlineStr">
        <is>
          <t>L001-100074669</t>
        </is>
      </c>
      <c r="T802" t="inlineStr">
        <is>
          <t>ខេអិលអិន ហ្វ្រេត (ខេមបូឌា) ឯ.ក</t>
        </is>
      </c>
      <c r="U802" t="n">
        <v>111045</v>
      </c>
      <c r="V802" t="n">
        <v>0</v>
      </c>
    </row>
    <row r="803">
      <c r="A803" t="n">
        <v>802</v>
      </c>
      <c r="B803" t="inlineStr">
        <is>
          <t>Monthly Charge of Photo Copier Rental from 06/06/2024-06/07/2024</t>
        </is>
      </c>
      <c r="C803" t="inlineStr">
        <is>
          <t>វី.អាយ.អេស ខភៀ ឯ.ក</t>
        </is>
      </c>
      <c r="D803" t="inlineStr">
        <is>
          <t>K007-901705195</t>
        </is>
      </c>
      <c r="E803" t="inlineStr">
        <is>
          <t>RNT240726</t>
        </is>
      </c>
      <c r="F803" t="inlineStr">
        <is>
          <t>06-07-2024</t>
        </is>
      </c>
      <c r="G803" t="n">
        <v>28819</v>
      </c>
      <c r="I803">
        <f>G803</f>
        <v/>
      </c>
      <c r="K803">
        <f>I803-G803</f>
        <v/>
      </c>
      <c r="M803">
        <f>R803=E803</f>
        <v/>
      </c>
      <c r="N803">
        <f>AND(MONTH(F803)=MONTH(Q803), YEAR(F803)=YEAR(Q803))</f>
        <v/>
      </c>
      <c r="O803">
        <f>"L001-902303751"=S803</f>
        <v/>
      </c>
      <c r="P803">
        <f>G803-U803</f>
        <v/>
      </c>
      <c r="Q803" s="35" t="n">
        <v>45391</v>
      </c>
      <c r="R803" t="n">
        <v>82841</v>
      </c>
      <c r="S803" t="inlineStr">
        <is>
          <t>L001-107032791</t>
        </is>
      </c>
      <c r="T803" t="inlineStr">
        <is>
          <t>នីបផន អិចប្រេស (ខេមបូឌា) ខូ អិលធីឌី</t>
        </is>
      </c>
      <c r="U803" t="n">
        <v>82841</v>
      </c>
      <c r="V803" t="n">
        <v>0</v>
      </c>
    </row>
    <row r="804">
      <c r="A804" t="n">
        <v>803</v>
      </c>
      <c r="B804" t="inlineStr">
        <is>
          <t>PVC Thin Film</t>
        </is>
      </c>
      <c r="C804" t="inlineStr">
        <is>
          <t>ដេកូស៍ អ៊ិនដាសស្ទ្រី ឯ.ក</t>
        </is>
      </c>
      <c r="D804" t="inlineStr">
        <is>
          <t>K007-901639102</t>
        </is>
      </c>
      <c r="E804" t="inlineStr">
        <is>
          <t>00066</t>
        </is>
      </c>
      <c r="F804" t="inlineStr">
        <is>
          <t>08-07-2024</t>
        </is>
      </c>
      <c r="G804" t="n">
        <v>181236</v>
      </c>
      <c r="I804">
        <f>G804</f>
        <v/>
      </c>
      <c r="K804">
        <f>I804-G804</f>
        <v/>
      </c>
      <c r="M804">
        <f>R804=E804</f>
        <v/>
      </c>
      <c r="N804">
        <f>AND(MONTH(F804)=MONTH(Q804), YEAR(F804)=YEAR(Q804))</f>
        <v/>
      </c>
      <c r="O804">
        <f>"L001-902303751"=S804</f>
        <v/>
      </c>
      <c r="P804">
        <f>G804-U804</f>
        <v/>
      </c>
      <c r="Q804" s="35" t="n">
        <v>45399</v>
      </c>
      <c r="R804" t="n">
        <v>113636</v>
      </c>
      <c r="S804" t="inlineStr">
        <is>
          <t>K003-901635943</t>
        </is>
      </c>
      <c r="T804" t="inlineStr">
        <is>
          <t>អ៊ីឃ្យូឡាញ វើលវ៉ាយដ៍ ឡូជីស្ទីក</t>
        </is>
      </c>
      <c r="U804" t="n">
        <v>113636</v>
      </c>
      <c r="V804" t="n">
        <v>0</v>
      </c>
    </row>
    <row r="805">
      <c r="A805" t="n">
        <v>804</v>
      </c>
      <c r="B805" t="inlineStr">
        <is>
          <t>Monthly Charge of Photo Copier Rental from 06/06/2024-06/07/2024</t>
        </is>
      </c>
      <c r="C805" t="inlineStr">
        <is>
          <t>វី.អាយ.អេស ខភៀ ឯ.ក</t>
        </is>
      </c>
      <c r="D805" t="inlineStr">
        <is>
          <t>K007-901705195</t>
        </is>
      </c>
      <c r="E805" t="inlineStr">
        <is>
          <t>RNT240725</t>
        </is>
      </c>
      <c r="F805" t="inlineStr">
        <is>
          <t>06-07-2024</t>
        </is>
      </c>
      <c r="G805" t="n">
        <v>57638</v>
      </c>
      <c r="I805">
        <f>G805</f>
        <v/>
      </c>
      <c r="K805">
        <f>I805-G805</f>
        <v/>
      </c>
      <c r="M805">
        <f>R805=E805</f>
        <v/>
      </c>
      <c r="N805">
        <f>AND(MONTH(F805)=MONTH(Q805), YEAR(F805)=YEAR(Q805))</f>
        <v/>
      </c>
      <c r="O805">
        <f>"L001-902303751"=S805</f>
        <v/>
      </c>
      <c r="P805">
        <f>G805-U805</f>
        <v/>
      </c>
      <c r="Q805" s="35" t="n">
        <v>45399</v>
      </c>
      <c r="R805" t="inlineStr"/>
      <c r="S805" t="inlineStr">
        <is>
          <t>L001-100045995</t>
        </is>
      </c>
      <c r="T805" t="inlineStr">
        <is>
          <t>ឌីអេចអិល ឡូជីស្ទីក (ខេមបូឌា)</t>
        </is>
      </c>
      <c r="U805" t="n">
        <v>0</v>
      </c>
      <c r="V805" t="n">
        <v>0</v>
      </c>
    </row>
    <row r="806">
      <c r="A806" t="n">
        <v>805</v>
      </c>
      <c r="B806" t="inlineStr">
        <is>
          <t>Monthly Charge of Photo Copier Rental from 06/06/2024-06/07/2024</t>
        </is>
      </c>
      <c r="C806" t="inlineStr">
        <is>
          <t>វី.អាយ.អេស ខភៀ ឯ.ក</t>
        </is>
      </c>
      <c r="D806" t="inlineStr">
        <is>
          <t>K007-901705195</t>
        </is>
      </c>
      <c r="E806" t="inlineStr">
        <is>
          <t>RNT240724</t>
        </is>
      </c>
      <c r="F806" t="inlineStr">
        <is>
          <t>06-07-2024</t>
        </is>
      </c>
      <c r="G806" t="n">
        <v>28819</v>
      </c>
      <c r="I806">
        <f>G806</f>
        <v/>
      </c>
      <c r="K806">
        <f>I806-G806</f>
        <v/>
      </c>
      <c r="M806">
        <f>R806=E806</f>
        <v/>
      </c>
      <c r="N806">
        <f>AND(MONTH(F806)=MONTH(Q806), YEAR(F806)=YEAR(Q806))</f>
        <v/>
      </c>
      <c r="O806">
        <f>"L001-902303751"=S806</f>
        <v/>
      </c>
      <c r="P806">
        <f>G806-U806</f>
        <v/>
      </c>
      <c r="Q806" s="35" t="n">
        <v>45406</v>
      </c>
      <c r="R806" t="n">
        <v>92591</v>
      </c>
      <c r="S806" t="inlineStr">
        <is>
          <t>K010-108005623</t>
        </is>
      </c>
      <c r="T806" t="inlineStr">
        <is>
          <t>យូ អេហ្វ អេស គ្លូប៊ល អិចប្រេស ឡូជីស្ទីក</t>
        </is>
      </c>
      <c r="U806" t="n">
        <v>92591</v>
      </c>
      <c r="V806" t="n">
        <v>0</v>
      </c>
    </row>
    <row r="807">
      <c r="A807" t="n">
        <v>806</v>
      </c>
      <c r="B807" t="inlineStr">
        <is>
          <t>Monthly Charge of Photo Copier Rental from 06/06/2024-06/07/2024</t>
        </is>
      </c>
      <c r="C807" t="inlineStr">
        <is>
          <t>វី.អាយ.អេស ខភៀ ឯ.ក</t>
        </is>
      </c>
      <c r="D807" t="inlineStr">
        <is>
          <t>K007-901705195</t>
        </is>
      </c>
      <c r="E807" t="inlineStr">
        <is>
          <t>RNT240723</t>
        </is>
      </c>
      <c r="F807" t="inlineStr">
        <is>
          <t>06-07-2024</t>
        </is>
      </c>
      <c r="G807" t="n">
        <v>26761</v>
      </c>
      <c r="I807">
        <f>G807</f>
        <v/>
      </c>
      <c r="K807">
        <f>I807-G807</f>
        <v/>
      </c>
      <c r="M807">
        <f>R807=E807</f>
        <v/>
      </c>
      <c r="N807">
        <f>AND(MONTH(F807)=MONTH(Q807), YEAR(F807)=YEAR(Q807))</f>
        <v/>
      </c>
      <c r="O807">
        <f>"L001-902303751"=S807</f>
        <v/>
      </c>
      <c r="P807">
        <f>G807-U807</f>
        <v/>
      </c>
      <c r="Q807" s="35" t="n">
        <v>45386</v>
      </c>
      <c r="R807" t="n">
        <v>82820</v>
      </c>
      <c r="S807" t="inlineStr">
        <is>
          <t>K003-901635943</t>
        </is>
      </c>
      <c r="T807" t="inlineStr">
        <is>
          <t>អ៊ីឃ្យូឡាញ វើលវ៉ាយដ៍ ឡូជីស្ទីក</t>
        </is>
      </c>
      <c r="U807" t="n">
        <v>82820</v>
      </c>
      <c r="V807" t="n">
        <v>0</v>
      </c>
    </row>
    <row r="808">
      <c r="A808" t="n">
        <v>807</v>
      </c>
      <c r="B808" t="inlineStr">
        <is>
          <t>Monthly Charge of Photo Copier Rental from 06/06/2024-06/07/2024</t>
        </is>
      </c>
      <c r="C808" t="inlineStr">
        <is>
          <t>វី.អាយ.អេស ខភៀ ឯ.ក</t>
        </is>
      </c>
      <c r="D808" t="inlineStr">
        <is>
          <t>K007-901705195</t>
        </is>
      </c>
      <c r="E808" t="inlineStr">
        <is>
          <t>RNT240722</t>
        </is>
      </c>
      <c r="F808" t="inlineStr">
        <is>
          <t>06-07-2024</t>
        </is>
      </c>
      <c r="G808" t="n">
        <v>57638</v>
      </c>
      <c r="I808">
        <f>G808</f>
        <v/>
      </c>
      <c r="K808">
        <f>I808-G808</f>
        <v/>
      </c>
      <c r="M808">
        <f>R808=E808</f>
        <v/>
      </c>
      <c r="N808">
        <f>AND(MONTH(F808)=MONTH(Q808), YEAR(F808)=YEAR(Q808))</f>
        <v/>
      </c>
      <c r="O808">
        <f>"L001-902303751"=S808</f>
        <v/>
      </c>
      <c r="P808">
        <f>G808-U808</f>
        <v/>
      </c>
      <c r="Q808" s="35" t="n">
        <v>45411</v>
      </c>
      <c r="R808" t="n">
        <v>103581</v>
      </c>
      <c r="S808" t="inlineStr">
        <is>
          <t>K003-901635943</t>
        </is>
      </c>
      <c r="T808" t="inlineStr">
        <is>
          <t>អ៊ីឃ្យូឡាញ វើលវ៉ាយដ៍ ឡូជីស្ទីក</t>
        </is>
      </c>
      <c r="U808" t="n">
        <v>103581</v>
      </c>
      <c r="V808" t="n">
        <v>0</v>
      </c>
    </row>
    <row r="809">
      <c r="A809" t="n">
        <v>808</v>
      </c>
      <c r="B809" t="inlineStr">
        <is>
          <t>Motor</t>
        </is>
      </c>
      <c r="C809" t="inlineStr">
        <is>
          <t>ហ៊ីង អាង ស៊ូ ម៉ាស៊ីន</t>
        </is>
      </c>
      <c r="D809" t="inlineStr">
        <is>
          <t>K010-108009556</t>
        </is>
      </c>
      <c r="E809" t="inlineStr">
        <is>
          <t>XA20240037</t>
        </is>
      </c>
      <c r="F809" t="inlineStr">
        <is>
          <t>09-07-2024</t>
        </is>
      </c>
      <c r="G809" t="n">
        <v>460992</v>
      </c>
      <c r="I809">
        <f>G809</f>
        <v/>
      </c>
      <c r="K809">
        <f>I809-G809</f>
        <v/>
      </c>
      <c r="M809">
        <f>R809=E809</f>
        <v/>
      </c>
      <c r="N809">
        <f>AND(MONTH(F809)=MONTH(Q809), YEAR(F809)=YEAR(Q809))</f>
        <v/>
      </c>
      <c r="O809">
        <f>"L001-902303751"=S809</f>
        <v/>
      </c>
      <c r="P809">
        <f>G809-U809</f>
        <v/>
      </c>
      <c r="Q809" s="35" t="n">
        <v>45411</v>
      </c>
      <c r="R809" t="n">
        <v>114142</v>
      </c>
      <c r="S809" t="inlineStr">
        <is>
          <t>K005-901805913</t>
        </is>
      </c>
      <c r="T809" t="inlineStr">
        <is>
          <t>ស្តារ ខង់ខដ (ខេមបូឌា) ឯ.ក</t>
        </is>
      </c>
      <c r="U809" t="n">
        <v>114142</v>
      </c>
      <c r="V809" t="n">
        <v>0</v>
      </c>
    </row>
    <row r="810">
      <c r="A810" t="n">
        <v>809</v>
      </c>
      <c r="B810" t="inlineStr">
        <is>
          <t>Delivery Bill</t>
        </is>
      </c>
      <c r="C810" t="inlineStr">
        <is>
          <t>អ៊ិន3ឌី (ខេមបូឌា) ឯ.ក</t>
        </is>
      </c>
      <c r="D810" t="inlineStr">
        <is>
          <t>K010-902103600</t>
        </is>
      </c>
      <c r="E810" t="inlineStr">
        <is>
          <t>N3D/24-000058</t>
        </is>
      </c>
      <c r="F810" t="inlineStr">
        <is>
          <t>04-07-2024</t>
        </is>
      </c>
      <c r="G810" t="n">
        <v>70006</v>
      </c>
      <c r="I810">
        <f>G810</f>
        <v/>
      </c>
      <c r="K810">
        <f>I810-G810</f>
        <v/>
      </c>
      <c r="M810">
        <f>R810=E810</f>
        <v/>
      </c>
      <c r="N810">
        <f>AND(MONTH(F810)=MONTH(Q810), YEAR(F810)=YEAR(Q810))</f>
        <v/>
      </c>
      <c r="O810">
        <f>"L001-902303751"=S810</f>
        <v/>
      </c>
      <c r="P810">
        <f>G810-U810</f>
        <v/>
      </c>
      <c r="Q810" s="35" t="n">
        <v>45404</v>
      </c>
      <c r="R810" t="inlineStr"/>
      <c r="S810" t="inlineStr">
        <is>
          <t>L001-100045340</t>
        </is>
      </c>
      <c r="T810" t="inlineStr">
        <is>
          <t xml:space="preserve">ស៊ីវ៉ា អ៊ែរ អ៊ែន អូសៀន (ខេមបូឌា) ឯ.ក </t>
        </is>
      </c>
      <c r="U810" t="n">
        <v>0</v>
      </c>
      <c r="V810" t="n">
        <v>0</v>
      </c>
    </row>
    <row r="811">
      <c r="A811" t="n">
        <v>810</v>
      </c>
      <c r="B811" t="inlineStr">
        <is>
          <t>CFS HANDLING, CARRIER BL, DOCUMENT ASSEMBLY, TERMINAL HANDLING, HANDLING FEE, VGM WEIGHING FEE-CFS, FUEL SURCHARGE AND MANIFEST FEE</t>
        </is>
      </c>
      <c r="C811" t="inlineStr">
        <is>
          <t>អ៊ិចស្ពែឌីធ័រ ខេមបូឌា អិលធីឌី</t>
        </is>
      </c>
      <c r="D811" t="inlineStr">
        <is>
          <t>L001-100045898</t>
        </is>
      </c>
      <c r="E811" t="inlineStr">
        <is>
          <t>TI-0282367</t>
        </is>
      </c>
      <c r="F811" t="inlineStr">
        <is>
          <t>28-07-2024</t>
        </is>
      </c>
      <c r="G811" t="n">
        <v>176229</v>
      </c>
      <c r="I811">
        <f>G811</f>
        <v/>
      </c>
      <c r="K811">
        <f>I811-G811</f>
        <v/>
      </c>
      <c r="M811">
        <f>R811=E811</f>
        <v/>
      </c>
      <c r="N811">
        <f>AND(MONTH(F811)=MONTH(Q811), YEAR(F811)=YEAR(Q811))</f>
        <v/>
      </c>
      <c r="O811">
        <f>"L001-902303751"=S811</f>
        <v/>
      </c>
      <c r="P811">
        <f>G811-U811</f>
        <v/>
      </c>
      <c r="Q811" s="35" t="n">
        <v>45404</v>
      </c>
      <c r="R811" t="inlineStr"/>
      <c r="S811" t="inlineStr">
        <is>
          <t>L001-107032791</t>
        </is>
      </c>
      <c r="T811" t="inlineStr">
        <is>
          <t>នីបផន អិចប្រេស (ខេមបូឌា) ខូ អិលធីឌី</t>
        </is>
      </c>
      <c r="U811" t="n">
        <v>0</v>
      </c>
      <c r="V811" t="n">
        <v>0</v>
      </c>
    </row>
    <row r="812">
      <c r="A812" t="n">
        <v>811</v>
      </c>
      <c r="B812" t="inlineStr">
        <is>
          <t>Customs Clearance Fee and Trucking Fee</t>
        </is>
      </c>
      <c r="C812" t="inlineStr">
        <is>
          <t>ត្រាយអ៊ែងហ្គល ឡូជីស្ទីក (ខេមបូឌា) ឯ.ក</t>
        </is>
      </c>
      <c r="D812" t="inlineStr">
        <is>
          <t>K010-902101743</t>
        </is>
      </c>
      <c r="E812" t="inlineStr">
        <is>
          <t>TAG-24-00509</t>
        </is>
      </c>
      <c r="F812" t="inlineStr">
        <is>
          <t>30-07-2024</t>
        </is>
      </c>
      <c r="G812" t="n">
        <v>28749</v>
      </c>
      <c r="I812">
        <f>G812</f>
        <v/>
      </c>
      <c r="K812">
        <f>I812-G812</f>
        <v/>
      </c>
      <c r="M812">
        <f>R812=E812</f>
        <v/>
      </c>
      <c r="N812">
        <f>AND(MONTH(F812)=MONTH(Q812), YEAR(F812)=YEAR(Q812))</f>
        <v/>
      </c>
      <c r="O812">
        <f>"L001-902303751"=S812</f>
        <v/>
      </c>
      <c r="P812">
        <f>G812-U812</f>
        <v/>
      </c>
      <c r="Q812" s="35" t="n">
        <v>45390</v>
      </c>
      <c r="R812" t="inlineStr"/>
      <c r="S812" t="inlineStr">
        <is>
          <t>K009-902002784</t>
        </is>
      </c>
      <c r="T812" t="inlineStr">
        <is>
          <t>ខាហ្គោលីង អ៊ិនធើណេសិនណល ឯ.ក</t>
        </is>
      </c>
      <c r="U812" t="n">
        <v>0</v>
      </c>
      <c r="V812" t="n">
        <v>0</v>
      </c>
    </row>
    <row r="813">
      <c r="A813" t="n">
        <v>812</v>
      </c>
      <c r="B813" t="inlineStr">
        <is>
          <t>EXPORT CUSTOM CLEARANCE PNH/TYO/01286</t>
        </is>
      </c>
      <c r="C813" t="inlineStr">
        <is>
          <t>អ៊ីឃ្យូឡាញ វើលវ៉ាយដ៍ ឡូជីស្ទីក</t>
        </is>
      </c>
      <c r="D813" t="inlineStr">
        <is>
          <t>K003-901635943</t>
        </is>
      </c>
      <c r="E813" t="inlineStr">
        <is>
          <t>PPTI24/003271</t>
        </is>
      </c>
      <c r="F813" t="inlineStr">
        <is>
          <t>03-07-2024</t>
        </is>
      </c>
      <c r="G813" t="n">
        <v>65888</v>
      </c>
      <c r="I813">
        <f>G813</f>
        <v/>
      </c>
      <c r="K813">
        <f>I813-G813</f>
        <v/>
      </c>
      <c r="M813">
        <f>R813=E813</f>
        <v/>
      </c>
      <c r="N813">
        <f>AND(MONTH(F813)=MONTH(Q813), YEAR(F813)=YEAR(Q813))</f>
        <v/>
      </c>
      <c r="O813">
        <f>"L001-902303751"=S813</f>
        <v/>
      </c>
      <c r="P813">
        <f>G813-U813</f>
        <v/>
      </c>
      <c r="Q813" s="35" t="n">
        <v>45390</v>
      </c>
      <c r="R813" t="inlineStr"/>
      <c r="S813" t="inlineStr">
        <is>
          <t>K003-901635943</t>
        </is>
      </c>
      <c r="T813" t="inlineStr">
        <is>
          <t>អ៊ីឃ្យូឡាញ វើលវ៉ាយដ៍ ឡូជីស្ទីក</t>
        </is>
      </c>
      <c r="U813" t="n">
        <v>0</v>
      </c>
      <c r="V813" t="n">
        <v>0</v>
      </c>
    </row>
    <row r="814">
      <c r="A814" t="n">
        <v>813</v>
      </c>
      <c r="B814" t="inlineStr">
        <is>
          <t>CFS HANDLING, CARRIER BL, DOCUMENT ASSEMBLY, TERMINAL HANDLING, HANDLING FEE, VGM PROCESSING FEE-CFS AND FUEL SURCHARGE</t>
        </is>
      </c>
      <c r="C814" t="inlineStr">
        <is>
          <t>អ៊ិចស្ពែឌីធ័រ ខេមបូឌា អិលធីឌី</t>
        </is>
      </c>
      <c r="D814" t="inlineStr">
        <is>
          <t>L001-100045898</t>
        </is>
      </c>
      <c r="E814" t="inlineStr">
        <is>
          <t>TI-0279632</t>
        </is>
      </c>
      <c r="F814" t="inlineStr">
        <is>
          <t>08-07-2024</t>
        </is>
      </c>
      <c r="G814" t="n">
        <v>275011</v>
      </c>
      <c r="I814">
        <f>G814</f>
        <v/>
      </c>
      <c r="K814">
        <f>I814-G814</f>
        <v/>
      </c>
      <c r="M814">
        <f>R814=E814</f>
        <v/>
      </c>
      <c r="N814">
        <f>AND(MONTH(F814)=MONTH(Q814), YEAR(F814)=YEAR(Q814))</f>
        <v/>
      </c>
      <c r="O814">
        <f>"L001-902303751"=S814</f>
        <v/>
      </c>
      <c r="P814">
        <f>G814-U814</f>
        <v/>
      </c>
      <c r="Q814" s="35" t="n">
        <v>45383</v>
      </c>
      <c r="R814" t="n">
        <v>82779</v>
      </c>
      <c r="S814" t="inlineStr">
        <is>
          <t>L001-100074669</t>
        </is>
      </c>
      <c r="T814" t="inlineStr">
        <is>
          <t>ខេអិលអិន ហ្វ្រេត (ខេមបូឌា) ឯ.ក</t>
        </is>
      </c>
      <c r="U814" t="n">
        <v>82779</v>
      </c>
      <c r="V814" t="n">
        <v>0</v>
      </c>
    </row>
    <row r="815">
      <c r="A815" t="n">
        <v>814</v>
      </c>
      <c r="B815" t="inlineStr">
        <is>
          <t>CFS HANDLING, CARRIER BL, DOCUMENT ASSEMBLY, TERMINAL HANDLING, HANDLING FEE, VGM WEIGHING FEE-CFS AND FUEL SURCHARGE</t>
        </is>
      </c>
      <c r="C815" t="inlineStr">
        <is>
          <t>អ៊ិចស្ពែឌីធ័រ ខេមបូឌា អិលធីឌី</t>
        </is>
      </c>
      <c r="D815" t="inlineStr">
        <is>
          <t>L001-100045898</t>
        </is>
      </c>
      <c r="E815" t="inlineStr">
        <is>
          <t>TI-0279628</t>
        </is>
      </c>
      <c r="F815" t="inlineStr">
        <is>
          <t>08-07-2024</t>
        </is>
      </c>
      <c r="G815" t="n">
        <v>106603</v>
      </c>
      <c r="I815">
        <f>G815</f>
        <v/>
      </c>
      <c r="K815">
        <f>I815-G815</f>
        <v/>
      </c>
      <c r="M815">
        <f>R815=E815</f>
        <v/>
      </c>
      <c r="N815">
        <f>AND(MONTH(F815)=MONTH(Q815), YEAR(F815)=YEAR(Q815))</f>
        <v/>
      </c>
      <c r="O815">
        <f>"L001-902303751"=S815</f>
        <v/>
      </c>
      <c r="P815">
        <f>G815-U815</f>
        <v/>
      </c>
      <c r="Q815" s="35" t="n">
        <v>45383</v>
      </c>
      <c r="R815" t="inlineStr"/>
      <c r="S815" t="inlineStr">
        <is>
          <t>K005-901805913</t>
        </is>
      </c>
      <c r="T815" t="inlineStr">
        <is>
          <t>ស្តារ ខង់ខដ (ខេមបូឌា) ឯ.ក</t>
        </is>
      </c>
      <c r="U815" t="n">
        <v>0</v>
      </c>
      <c r="V815" t="n">
        <v>0</v>
      </c>
    </row>
    <row r="816">
      <c r="A816" t="n">
        <v>815</v>
      </c>
      <c r="B816" t="inlineStr">
        <is>
          <t>CFS HANDLING, CARRIER BL, DOCUMENT ASSEMBLY, TERMINAL HANDLING, HANDLING FEE, VGM PROCESSING FEE</t>
        </is>
      </c>
      <c r="C816" t="inlineStr">
        <is>
          <t>អ៊ិចស្ពែឌីធ័រ ខេមបូឌា អិលធីឌី</t>
        </is>
      </c>
      <c r="D816" t="inlineStr">
        <is>
          <t>L001-100045898</t>
        </is>
      </c>
      <c r="E816" t="inlineStr">
        <is>
          <t>TI-0279584</t>
        </is>
      </c>
      <c r="F816" t="inlineStr">
        <is>
          <t>08-07-2024</t>
        </is>
      </c>
      <c r="G816" t="n">
        <v>106420</v>
      </c>
      <c r="I816">
        <f>G816</f>
        <v/>
      </c>
      <c r="K816">
        <f>I816-G816</f>
        <v/>
      </c>
      <c r="M816">
        <f>R816=E816</f>
        <v/>
      </c>
      <c r="N816">
        <f>AND(MONTH(F816)=MONTH(Q816), YEAR(F816)=YEAR(Q816))</f>
        <v/>
      </c>
      <c r="O816">
        <f>"L001-902303751"=S816</f>
        <v/>
      </c>
      <c r="P816">
        <f>G816-U816</f>
        <v/>
      </c>
      <c r="Q816" s="35" t="n">
        <v>45411</v>
      </c>
      <c r="R816" t="inlineStr"/>
      <c r="S816" t="inlineStr">
        <is>
          <t>L001-107032791</t>
        </is>
      </c>
      <c r="T816" t="inlineStr">
        <is>
          <t>នីបផន អិចប្រេស (ខេមបូឌា) ខូ អិលធីឌី</t>
        </is>
      </c>
      <c r="U816" t="n">
        <v>0</v>
      </c>
      <c r="V816" t="n">
        <v>0</v>
      </c>
    </row>
    <row r="817">
      <c r="A817" t="n">
        <v>816</v>
      </c>
      <c r="B817" t="inlineStr">
        <is>
          <t>AWB FEE, OM FORWARDING FEE AND H/C</t>
        </is>
      </c>
      <c r="C817" t="inlineStr">
        <is>
          <t>អ៊ិចស្ពែឌីធ័រ ខេមបូឌា អិលធីឌី</t>
        </is>
      </c>
      <c r="D817" t="inlineStr">
        <is>
          <t>L001-100045898</t>
        </is>
      </c>
      <c r="E817" t="inlineStr">
        <is>
          <t>TI-0279737</t>
        </is>
      </c>
      <c r="F817" t="inlineStr">
        <is>
          <t>08-07-2024</t>
        </is>
      </c>
      <c r="G817" t="n">
        <v>47369</v>
      </c>
      <c r="I817">
        <f>G817</f>
        <v/>
      </c>
      <c r="K817">
        <f>I817-G817</f>
        <v/>
      </c>
      <c r="M817">
        <f>R817=E817</f>
        <v/>
      </c>
      <c r="N817">
        <f>AND(MONTH(F817)=MONTH(Q817), YEAR(F817)=YEAR(Q817))</f>
        <v/>
      </c>
      <c r="O817">
        <f>"L001-902303751"=S817</f>
        <v/>
      </c>
      <c r="P817">
        <f>G817-U817</f>
        <v/>
      </c>
      <c r="Q817" s="35" t="n">
        <v>45404</v>
      </c>
      <c r="R817" t="n">
        <v>563270</v>
      </c>
      <c r="S817" t="inlineStr">
        <is>
          <t>K004-105012505</t>
        </is>
      </c>
      <c r="T817" t="inlineStr">
        <is>
          <t>អេស៊ាន ហ្វ្រេត (ខេមបូឌា)</t>
        </is>
      </c>
      <c r="U817" t="n">
        <v>563270</v>
      </c>
      <c r="V817" t="n">
        <v>0</v>
      </c>
    </row>
    <row r="818">
      <c r="A818" t="n">
        <v>817</v>
      </c>
      <c r="B818" t="inlineStr">
        <is>
          <t>OM FORWARDING FEE, H/C AND AWB FEE</t>
        </is>
      </c>
      <c r="C818" t="inlineStr">
        <is>
          <t>អ៊ិចស្ពែឌីធ័រ ខេមបូឌា អិលធីឌី</t>
        </is>
      </c>
      <c r="D818" t="inlineStr">
        <is>
          <t>L001-100045898</t>
        </is>
      </c>
      <c r="E818" t="inlineStr">
        <is>
          <t>TI-0279910</t>
        </is>
      </c>
      <c r="F818" t="inlineStr">
        <is>
          <t>09-07-2024</t>
        </is>
      </c>
      <c r="G818" t="n">
        <v>47334</v>
      </c>
      <c r="I818">
        <f>G818</f>
        <v/>
      </c>
      <c r="K818">
        <f>I818-G818</f>
        <v/>
      </c>
      <c r="M818">
        <f>R818=E818</f>
        <v/>
      </c>
      <c r="N818">
        <f>AND(MONTH(F818)=MONTH(Q818), YEAR(F818)=YEAR(Q818))</f>
        <v/>
      </c>
      <c r="O818">
        <f>"L001-902303751"=S818</f>
        <v/>
      </c>
      <c r="P818">
        <f>G818-U818</f>
        <v/>
      </c>
      <c r="Q818" s="35" t="n">
        <v>45399</v>
      </c>
      <c r="R818" t="n">
        <v>82902</v>
      </c>
      <c r="S818" t="inlineStr">
        <is>
          <t>L001-107032791</t>
        </is>
      </c>
      <c r="T818" t="inlineStr">
        <is>
          <t>នីបផន អិចប្រេស (ខេមបូឌា) ខូ អិលធីឌី</t>
        </is>
      </c>
      <c r="U818" t="n">
        <v>82902</v>
      </c>
      <c r="V818" t="n">
        <v>0</v>
      </c>
    </row>
    <row r="819">
      <c r="A819" t="n">
        <v>818</v>
      </c>
      <c r="B819" t="inlineStr">
        <is>
          <t>Documentation Origin, Handling Charges Origin, PLACI Fee and HAWB Transmission Fee</t>
        </is>
      </c>
      <c r="C819" t="inlineStr">
        <is>
          <t>ឌីប៊ី សេនឃើរ (ខេមបូឌា) លីមីធីត</t>
        </is>
      </c>
      <c r="D819" t="inlineStr">
        <is>
          <t>L001-107041723</t>
        </is>
      </c>
      <c r="E819" t="inlineStr">
        <is>
          <t>2400005532</t>
        </is>
      </c>
      <c r="F819" t="inlineStr">
        <is>
          <t>10-07-2024</t>
        </is>
      </c>
      <c r="G819" t="n">
        <v>50553</v>
      </c>
      <c r="I819">
        <f>G819</f>
        <v/>
      </c>
      <c r="K819">
        <f>I819-G819</f>
        <v/>
      </c>
      <c r="M819">
        <f>R819=E819</f>
        <v/>
      </c>
      <c r="N819">
        <f>AND(MONTH(F819)=MONTH(Q819), YEAR(F819)=YEAR(Q819))</f>
        <v/>
      </c>
      <c r="O819">
        <f>"L001-902303751"=S819</f>
        <v/>
      </c>
      <c r="P819">
        <f>G819-U819</f>
        <v/>
      </c>
      <c r="Q819" s="35" t="n">
        <v>45391</v>
      </c>
      <c r="R819" t="inlineStr"/>
      <c r="S819" t="inlineStr">
        <is>
          <t>L001-107032791</t>
        </is>
      </c>
      <c r="T819" t="inlineStr">
        <is>
          <t>នីបផន អិចប្រេស (ខេមបូឌា) ខូ អិលធីឌី</t>
        </is>
      </c>
      <c r="U819" t="n">
        <v>0</v>
      </c>
      <c r="V819" t="n">
        <v>0</v>
      </c>
    </row>
    <row r="820">
      <c r="A820" t="n">
        <v>819</v>
      </c>
      <c r="B820" t="inlineStr">
        <is>
          <t>Documentation Origin, Late SI Fee, Handling Charges Origin, Entry Summery Declaration, Terminal Handling Charge Origin, Seal Surcharge and VGM Processing Fee</t>
        </is>
      </c>
      <c r="C820" t="inlineStr">
        <is>
          <t>ឌីប៊ី សេនឃើរ (ខេមបូឌា) លីមីធីត</t>
        </is>
      </c>
      <c r="D820" t="inlineStr">
        <is>
          <t>L001-107041723</t>
        </is>
      </c>
      <c r="E820" t="inlineStr">
        <is>
          <t>2400005307</t>
        </is>
      </c>
      <c r="F820" t="inlineStr">
        <is>
          <t>02-07-2024</t>
        </is>
      </c>
      <c r="G820" t="n">
        <v>199481</v>
      </c>
      <c r="I820">
        <f>G820</f>
        <v/>
      </c>
      <c r="K820">
        <f>I820-G820</f>
        <v/>
      </c>
      <c r="M820">
        <f>R820=E820</f>
        <v/>
      </c>
      <c r="N820">
        <f>AND(MONTH(F820)=MONTH(Q820), YEAR(F820)=YEAR(Q820))</f>
        <v/>
      </c>
      <c r="O820">
        <f>"L001-902303751"=S820</f>
        <v/>
      </c>
      <c r="P820">
        <f>G820-U820</f>
        <v/>
      </c>
      <c r="Q820" s="35" t="n">
        <v>45391</v>
      </c>
      <c r="R820" t="n">
        <v>176592</v>
      </c>
      <c r="S820" t="inlineStr">
        <is>
          <t>L001-100045340</t>
        </is>
      </c>
      <c r="T820" t="inlineStr">
        <is>
          <t xml:space="preserve">ស៊ីវ៉ា អ៊ែរ អ៊ែន អូសៀន (ខេមបូឌា) ឯ.ក </t>
        </is>
      </c>
      <c r="U820" t="n">
        <v>176592</v>
      </c>
      <c r="V820" t="n">
        <v>0</v>
      </c>
    </row>
    <row r="821">
      <c r="A821" t="n">
        <v>820</v>
      </c>
      <c r="B821" t="inlineStr">
        <is>
          <t>Documentation Origin, Late SI Fee, Handling Charges Origin, Entry Summery Declaration, Terminal Handling Charge Origin, Seal Surcharge and VGM Processing Fee</t>
        </is>
      </c>
      <c r="C821" t="inlineStr">
        <is>
          <t>ឌីប៊ី សេនឃើរ (ខេមបូឌា) លីមីធីត</t>
        </is>
      </c>
      <c r="D821" t="inlineStr">
        <is>
          <t>L001-107041723</t>
        </is>
      </c>
      <c r="E821" t="inlineStr">
        <is>
          <t>2400005308</t>
        </is>
      </c>
      <c r="F821" t="inlineStr">
        <is>
          <t>02-07-2024</t>
        </is>
      </c>
      <c r="G821" t="n">
        <v>199481</v>
      </c>
      <c r="I821">
        <f>G821</f>
        <v/>
      </c>
      <c r="K821">
        <f>I821-G821</f>
        <v/>
      </c>
      <c r="M821">
        <f>R821=E821</f>
        <v/>
      </c>
      <c r="N821">
        <f>AND(MONTH(F821)=MONTH(Q821), YEAR(F821)=YEAR(Q821))</f>
        <v/>
      </c>
      <c r="O821">
        <f>"L001-902303751"=S821</f>
        <v/>
      </c>
      <c r="P821">
        <f>G821-U821</f>
        <v/>
      </c>
      <c r="Q821" s="35" t="n">
        <v>45391</v>
      </c>
      <c r="R821" t="inlineStr"/>
      <c r="S821" t="inlineStr">
        <is>
          <t>K005-901501155</t>
        </is>
      </c>
      <c r="T821" t="inlineStr">
        <is>
          <t>ផេនដា គ្លូប៊ល ឡូជីស្ទីក (ខេមបូឌា)</t>
        </is>
      </c>
      <c r="U821" t="n">
        <v>0</v>
      </c>
      <c r="V821" t="n">
        <v>0</v>
      </c>
    </row>
    <row r="822">
      <c r="A822" t="n">
        <v>821</v>
      </c>
      <c r="B822" t="inlineStr">
        <is>
          <t>Export Administration Fee, Port Formality and Service Charge</t>
        </is>
      </c>
      <c r="C822" t="inlineStr">
        <is>
          <t>ឆាយ ដា ឡូយីស្ទីក</t>
        </is>
      </c>
      <c r="D822" t="inlineStr">
        <is>
          <t>L001-100063098</t>
        </is>
      </c>
      <c r="E822" t="inlineStr">
        <is>
          <t>2407009322</t>
        </is>
      </c>
      <c r="F822" t="inlineStr">
        <is>
          <t>02-07-2024</t>
        </is>
      </c>
      <c r="G822" t="n">
        <v>77736</v>
      </c>
      <c r="I822">
        <f>G822</f>
        <v/>
      </c>
      <c r="K822">
        <f>I822-G822</f>
        <v/>
      </c>
      <c r="M822">
        <f>R822=E822</f>
        <v/>
      </c>
      <c r="N822">
        <f>AND(MONTH(F822)=MONTH(Q822), YEAR(F822)=YEAR(Q822))</f>
        <v/>
      </c>
      <c r="O822">
        <f>"L001-902303751"=S822</f>
        <v/>
      </c>
      <c r="P822">
        <f>G822-U822</f>
        <v/>
      </c>
      <c r="Q822" s="35" t="n">
        <v>45391</v>
      </c>
      <c r="R822" t="inlineStr"/>
      <c r="S822" t="inlineStr">
        <is>
          <t>K003-901635943</t>
        </is>
      </c>
      <c r="T822" t="inlineStr">
        <is>
          <t>អ៊ីឃ្យូឡាញ វើលវ៉ាយដ៍ ឡូជីស្ទីក</t>
        </is>
      </c>
      <c r="U822" t="n">
        <v>0</v>
      </c>
      <c r="V822" t="n">
        <v>0</v>
      </c>
    </row>
    <row r="823">
      <c r="A823" t="n">
        <v>822</v>
      </c>
      <c r="B823" t="inlineStr">
        <is>
          <t>Export Administration Fee, Port Formality and Service Charge</t>
        </is>
      </c>
      <c r="C823" t="inlineStr">
        <is>
          <t>ឆាយ ដា ឡូយីស្ទីក</t>
        </is>
      </c>
      <c r="D823" t="inlineStr">
        <is>
          <t>L001-100063098</t>
        </is>
      </c>
      <c r="E823" t="inlineStr">
        <is>
          <t>2407009613</t>
        </is>
      </c>
      <c r="F823" t="inlineStr">
        <is>
          <t>09-07-2024</t>
        </is>
      </c>
      <c r="G823" t="n">
        <v>77792</v>
      </c>
      <c r="I823">
        <f>G823</f>
        <v/>
      </c>
      <c r="K823">
        <f>I823-G823</f>
        <v/>
      </c>
      <c r="M823">
        <f>R823=E823</f>
        <v/>
      </c>
      <c r="N823">
        <f>AND(MONTH(F823)=MONTH(Q823), YEAR(F823)=YEAR(Q823))</f>
        <v/>
      </c>
      <c r="O823">
        <f>"L001-902303751"=S823</f>
        <v/>
      </c>
      <c r="P823">
        <f>G823-U823</f>
        <v/>
      </c>
      <c r="Q823" s="35" t="n">
        <v>45399</v>
      </c>
      <c r="R823" t="n">
        <v>111210</v>
      </c>
      <c r="S823" t="inlineStr">
        <is>
          <t>L001-107032791</t>
        </is>
      </c>
      <c r="T823" t="inlineStr">
        <is>
          <t>នីបផន អិចប្រេស (ខេមបូឌា) ខូ អិលធីឌី</t>
        </is>
      </c>
      <c r="U823" t="n">
        <v>111210</v>
      </c>
      <c r="V823" t="n">
        <v>0</v>
      </c>
    </row>
    <row r="824">
      <c r="A824" t="n">
        <v>823</v>
      </c>
      <c r="B824" t="inlineStr">
        <is>
          <t>Export Administration Fee, Port Formality, Service Charge, Overtime Inspection, Late Gate Container and Late Gate Document</t>
        </is>
      </c>
      <c r="C824" t="inlineStr">
        <is>
          <t>ឆាយ ដា ឡូយីស្ទីក</t>
        </is>
      </c>
      <c r="D824" t="inlineStr">
        <is>
          <t>L001-100063098</t>
        </is>
      </c>
      <c r="E824" t="inlineStr">
        <is>
          <t>2407009630</t>
        </is>
      </c>
      <c r="F824" t="inlineStr">
        <is>
          <t>09-07-2024</t>
        </is>
      </c>
      <c r="G824" t="n">
        <v>182750</v>
      </c>
      <c r="I824">
        <f>G824</f>
        <v/>
      </c>
      <c r="K824">
        <f>I824-G824</f>
        <v/>
      </c>
      <c r="M824">
        <f>R824=E824</f>
        <v/>
      </c>
      <c r="N824">
        <f>AND(MONTH(F824)=MONTH(Q824), YEAR(F824)=YEAR(Q824))</f>
        <v/>
      </c>
      <c r="O824">
        <f>"L001-902303751"=S824</f>
        <v/>
      </c>
      <c r="P824">
        <f>G824-U824</f>
        <v/>
      </c>
      <c r="Q824" s="35" t="n">
        <v>45411</v>
      </c>
      <c r="R824" t="inlineStr"/>
      <c r="S824" t="inlineStr">
        <is>
          <t>K003-901635943</t>
        </is>
      </c>
      <c r="T824" t="inlineStr">
        <is>
          <t>អ៊ីឃ្យូឡាញ វើលវ៉ាយដ៍ ឡូជីស្ទីក</t>
        </is>
      </c>
      <c r="U824" t="n">
        <v>0</v>
      </c>
      <c r="V824" t="n">
        <v>0</v>
      </c>
    </row>
    <row r="825">
      <c r="A825" t="n">
        <v>824</v>
      </c>
      <c r="B825" t="inlineStr">
        <is>
          <t>Export Customs Clearance</t>
        </is>
      </c>
      <c r="C825" t="inlineStr">
        <is>
          <t>អ៊ីឃ្យូឡាញ វើលវ៉ាយដ៍ ឡូជីស្ទីក</t>
        </is>
      </c>
      <c r="D825" t="inlineStr">
        <is>
          <t>K003-901635943</t>
        </is>
      </c>
      <c r="E825" t="inlineStr">
        <is>
          <t>PPTI24/003502</t>
        </is>
      </c>
      <c r="F825" t="inlineStr">
        <is>
          <t>09-07-2024</t>
        </is>
      </c>
      <c r="G825" t="n">
        <v>65856</v>
      </c>
      <c r="I825">
        <f>G825</f>
        <v/>
      </c>
      <c r="K825">
        <f>I825-G825</f>
        <v/>
      </c>
      <c r="M825">
        <f>R825=E825</f>
        <v/>
      </c>
      <c r="N825">
        <f>AND(MONTH(F825)=MONTH(Q825), YEAR(F825)=YEAR(Q825))</f>
        <v/>
      </c>
      <c r="O825">
        <f>"L001-902303751"=S825</f>
        <v/>
      </c>
      <c r="P825">
        <f>G825-U825</f>
        <v/>
      </c>
      <c r="Q825" s="35" t="n">
        <v>45404</v>
      </c>
      <c r="R825" t="n">
        <v>2320138</v>
      </c>
      <c r="S825" t="inlineStr">
        <is>
          <t>K004-105012505</t>
        </is>
      </c>
      <c r="T825" t="inlineStr">
        <is>
          <t>អេស៊ាន ហ្វ្រេត (ខេមបូឌា)</t>
        </is>
      </c>
      <c r="U825" t="n">
        <v>2320138</v>
      </c>
      <c r="V825" t="n">
        <v>0</v>
      </c>
    </row>
    <row r="826">
      <c r="A826" t="n">
        <v>825</v>
      </c>
      <c r="B826" t="inlineStr">
        <is>
          <t>Documentation Origin, Handling Charges Origin, PLACI Fee and HAWB Transmission Fee</t>
        </is>
      </c>
      <c r="C826" t="inlineStr">
        <is>
          <t>ឌីប៊ី សេនឃើរ (ខេមបូឌា) លីមីធីត</t>
        </is>
      </c>
      <c r="D826" t="inlineStr">
        <is>
          <t>L001-107041723</t>
        </is>
      </c>
      <c r="E826" t="inlineStr">
        <is>
          <t>2400005607</t>
        </is>
      </c>
      <c r="F826" t="inlineStr">
        <is>
          <t>13-07-2024</t>
        </is>
      </c>
      <c r="G826" t="n">
        <v>50504</v>
      </c>
      <c r="I826">
        <f>G826</f>
        <v/>
      </c>
      <c r="K826">
        <f>I826-G826</f>
        <v/>
      </c>
      <c r="M826">
        <f>R826=E826</f>
        <v/>
      </c>
      <c r="N826">
        <f>AND(MONTH(F826)=MONTH(Q826), YEAR(F826)=YEAR(Q826))</f>
        <v/>
      </c>
      <c r="O826">
        <f>"L001-902303751"=S826</f>
        <v/>
      </c>
      <c r="P826">
        <f>G826-U826</f>
        <v/>
      </c>
      <c r="Q826" s="35" t="n">
        <v>45399</v>
      </c>
      <c r="R826" t="inlineStr"/>
      <c r="S826" t="inlineStr">
        <is>
          <t>K003-901635943</t>
        </is>
      </c>
      <c r="T826" t="inlineStr">
        <is>
          <t>អ៊ីឃ្យូឡាញ វើលវ៉ាយដ៍ ឡូជីស្ទីក</t>
        </is>
      </c>
      <c r="U826" t="n">
        <v>0</v>
      </c>
      <c r="V826" t="n">
        <v>0</v>
      </c>
    </row>
    <row r="827">
      <c r="A827" t="n">
        <v>826</v>
      </c>
      <c r="B827" t="inlineStr">
        <is>
          <t>Export Administration Fee, Port Formality and Service Charge</t>
        </is>
      </c>
      <c r="C827" t="inlineStr">
        <is>
          <t>ឆាយ ដា ឡូយីស្ទីក</t>
        </is>
      </c>
      <c r="D827" t="inlineStr">
        <is>
          <t>L001-100063098</t>
        </is>
      </c>
      <c r="E827" t="inlineStr">
        <is>
          <t>2407010027</t>
        </is>
      </c>
      <c r="F827" t="inlineStr">
        <is>
          <t>16-07-2024</t>
        </is>
      </c>
      <c r="G827" t="n">
        <v>77603</v>
      </c>
      <c r="I827">
        <f>G827</f>
        <v/>
      </c>
      <c r="K827">
        <f>I827-G827</f>
        <v/>
      </c>
      <c r="M827">
        <f>R827=E827</f>
        <v/>
      </c>
      <c r="N827">
        <f>AND(MONTH(F827)=MONTH(Q827), YEAR(F827)=YEAR(Q827))</f>
        <v/>
      </c>
      <c r="O827">
        <f>"L001-902303751"=S827</f>
        <v/>
      </c>
      <c r="P827">
        <f>G827-U827</f>
        <v/>
      </c>
      <c r="Q827" s="35" t="n">
        <v>45399</v>
      </c>
      <c r="R827" t="n">
        <v>111210</v>
      </c>
      <c r="S827" t="inlineStr">
        <is>
          <t>L001-107032791</t>
        </is>
      </c>
      <c r="T827" t="inlineStr">
        <is>
          <t>នីបផន អិចប្រេស (ខេមបូឌា) ខូ អិលធីឌី</t>
        </is>
      </c>
      <c r="U827" t="n">
        <v>111210</v>
      </c>
      <c r="V827" t="n">
        <v>0</v>
      </c>
    </row>
    <row r="828">
      <c r="A828" t="n">
        <v>827</v>
      </c>
      <c r="B828" t="inlineStr">
        <is>
          <t>Export Administration Fee, Port Formality and Service Charge</t>
        </is>
      </c>
      <c r="C828" t="inlineStr">
        <is>
          <t>ឆាយ ដា ឡូយីស្ទីក</t>
        </is>
      </c>
      <c r="D828" t="inlineStr">
        <is>
          <t>L001-100063098</t>
        </is>
      </c>
      <c r="E828" t="inlineStr">
        <is>
          <t>2407010084</t>
        </is>
      </c>
      <c r="F828" t="inlineStr">
        <is>
          <t>16-07-2024</t>
        </is>
      </c>
      <c r="G828" t="n">
        <v>77603</v>
      </c>
      <c r="I828">
        <f>G828</f>
        <v/>
      </c>
      <c r="K828">
        <f>I828-G828</f>
        <v/>
      </c>
      <c r="M828">
        <f>R828=E828</f>
        <v/>
      </c>
      <c r="N828">
        <f>AND(MONTH(F828)=MONTH(Q828), YEAR(F828)=YEAR(Q828))</f>
        <v/>
      </c>
      <c r="O828">
        <f>"L001-902303751"=S828</f>
        <v/>
      </c>
      <c r="P828">
        <f>G828-U828</f>
        <v/>
      </c>
      <c r="Q828" s="35" t="n">
        <v>45404</v>
      </c>
      <c r="R828" t="n">
        <v>83312</v>
      </c>
      <c r="S828" t="inlineStr">
        <is>
          <t>L001-107032791</t>
        </is>
      </c>
      <c r="T828" t="inlineStr">
        <is>
          <t>នីបផន អិចប្រេស (ខេមបូឌា) ខូ អិលធីឌី</t>
        </is>
      </c>
      <c r="U828" t="n">
        <v>83312</v>
      </c>
      <c r="V828" t="n">
        <v>0</v>
      </c>
    </row>
    <row r="829">
      <c r="A829" t="n">
        <v>828</v>
      </c>
      <c r="B829" t="inlineStr">
        <is>
          <t>Late SI Fee, Documentation Origin, Handling Charges Origin, Entry Summary Declaration, Terminal Handling Charge Origin, Seal Surcharge and VGM Processing Fee</t>
        </is>
      </c>
      <c r="C829" t="inlineStr">
        <is>
          <t>ឌីប៊ី សេនឃើរ (ខេមបូឌា) លីមីធីត</t>
        </is>
      </c>
      <c r="D829" t="inlineStr">
        <is>
          <t>L001-107041723</t>
        </is>
      </c>
      <c r="E829" t="inlineStr">
        <is>
          <t>2400005689</t>
        </is>
      </c>
      <c r="F829" t="inlineStr">
        <is>
          <t>17-07-2024</t>
        </is>
      </c>
      <c r="G829" t="n">
        <v>199190</v>
      </c>
      <c r="I829">
        <f>G829</f>
        <v/>
      </c>
      <c r="K829">
        <f>I829-G829</f>
        <v/>
      </c>
      <c r="M829">
        <f>R829=E829</f>
        <v/>
      </c>
      <c r="N829">
        <f>AND(MONTH(F829)=MONTH(Q829), YEAR(F829)=YEAR(Q829))</f>
        <v/>
      </c>
      <c r="O829">
        <f>"L001-902303751"=S829</f>
        <v/>
      </c>
      <c r="P829">
        <f>G829-U829</f>
        <v/>
      </c>
      <c r="Q829" s="35" t="n">
        <v>45391</v>
      </c>
      <c r="R829" t="n">
        <v>85265</v>
      </c>
      <c r="S829" t="inlineStr">
        <is>
          <t>K005-901805913</t>
        </is>
      </c>
      <c r="T829" t="inlineStr">
        <is>
          <t>ស្តារ ខង់ខដ (ខេមបូឌា) ឯ.ក</t>
        </is>
      </c>
      <c r="U829" t="n">
        <v>85265</v>
      </c>
      <c r="V829" t="n">
        <v>0</v>
      </c>
    </row>
    <row r="830">
      <c r="A830" t="n">
        <v>829</v>
      </c>
      <c r="B830" t="inlineStr">
        <is>
          <t>Customs Clearance of LCL shipment, THC Charge of LCL, CFS Charge of LCL, Trucking Fee of LCL, Cargo Handling Fee and Bill Fee or Document Fee</t>
        </is>
      </c>
      <c r="C830" t="inlineStr">
        <is>
          <t>អេវើរស្តារ ស៊ីលែនឌែរ</t>
        </is>
      </c>
      <c r="D830" t="inlineStr">
        <is>
          <t>K002-100160492</t>
        </is>
      </c>
      <c r="E830" t="inlineStr">
        <is>
          <t>TI-2024-041</t>
        </is>
      </c>
      <c r="F830" t="inlineStr">
        <is>
          <t>08-07-2024</t>
        </is>
      </c>
      <c r="G830" t="n">
        <v>112037</v>
      </c>
      <c r="I830">
        <f>G830</f>
        <v/>
      </c>
      <c r="K830">
        <f>I830-G830</f>
        <v/>
      </c>
      <c r="M830">
        <f>R830=E830</f>
        <v/>
      </c>
      <c r="N830">
        <f>AND(MONTH(F830)=MONTH(Q830), YEAR(F830)=YEAR(Q830))</f>
        <v/>
      </c>
      <c r="O830">
        <f>"L001-902303751"=S830</f>
        <v/>
      </c>
      <c r="P830">
        <f>G830-U830</f>
        <v/>
      </c>
      <c r="Q830" s="35" t="n">
        <v>45383</v>
      </c>
      <c r="R830" t="inlineStr"/>
      <c r="S830" t="inlineStr">
        <is>
          <t>L001-100074669</t>
        </is>
      </c>
      <c r="T830" t="inlineStr">
        <is>
          <t>ខេអិលអិន ហ្វ្រេត (ខេមបូឌា) ឯ.ក</t>
        </is>
      </c>
      <c r="U830" t="n">
        <v>0</v>
      </c>
      <c r="V830" t="n">
        <v>0</v>
      </c>
    </row>
    <row r="831">
      <c r="A831" t="n">
        <v>830</v>
      </c>
      <c r="B831" t="inlineStr">
        <is>
          <t>Customs Clearance of LCL shipment, THC Charge of LCL, CFS Charge of LCL, Trucking Fee of LCL, Cargo Handling Fee and Bill Fee or Document Fee</t>
        </is>
      </c>
      <c r="C831" t="inlineStr">
        <is>
          <t>អេវើរស្តារ ស៊ីលែនឌែរ</t>
        </is>
      </c>
      <c r="D831" t="inlineStr">
        <is>
          <t>K002-100160492</t>
        </is>
      </c>
      <c r="E831" t="inlineStr">
        <is>
          <t>TI-2024-044</t>
        </is>
      </c>
      <c r="F831" t="inlineStr">
        <is>
          <t>15-07-2024</t>
        </is>
      </c>
      <c r="G831" t="n">
        <v>114483</v>
      </c>
      <c r="I831">
        <f>G831</f>
        <v/>
      </c>
      <c r="K831">
        <f>I831-G831</f>
        <v/>
      </c>
      <c r="M831">
        <f>R831=E831</f>
        <v/>
      </c>
      <c r="N831">
        <f>AND(MONTH(F831)=MONTH(Q831), YEAR(F831)=YEAR(Q831))</f>
        <v/>
      </c>
      <c r="O831">
        <f>"L001-902303751"=S831</f>
        <v/>
      </c>
      <c r="P831">
        <f>G831-U831</f>
        <v/>
      </c>
      <c r="Q831" s="35" t="n">
        <v>45383</v>
      </c>
      <c r="R831" t="n">
        <v>111045</v>
      </c>
      <c r="S831" t="inlineStr">
        <is>
          <t>L001-107032791</t>
        </is>
      </c>
      <c r="T831" t="inlineStr">
        <is>
          <t>នីបផន អិចប្រេស (ខេមបូឌា) ខូ អិលធីឌី</t>
        </is>
      </c>
      <c r="U831" t="n">
        <v>111045</v>
      </c>
      <c r="V831" t="n">
        <v>0</v>
      </c>
    </row>
    <row r="832">
      <c r="A832" t="n">
        <v>831</v>
      </c>
      <c r="B832" t="inlineStr">
        <is>
          <t>AWB FEE, OM FORWARDING FEE AND H/C</t>
        </is>
      </c>
      <c r="C832" t="inlineStr">
        <is>
          <t>អ៊ិចស្ពែឌីធ័រ ខេមបូឌា អិលធីឌី</t>
        </is>
      </c>
      <c r="D832" t="inlineStr">
        <is>
          <t>L001-100045898</t>
        </is>
      </c>
      <c r="E832" t="inlineStr">
        <is>
          <t>TI-0280933</t>
        </is>
      </c>
      <c r="F832" t="inlineStr">
        <is>
          <t>17-07-2024</t>
        </is>
      </c>
      <c r="G832" t="n">
        <v>47231</v>
      </c>
      <c r="I832">
        <f>G832</f>
        <v/>
      </c>
      <c r="K832">
        <f>I832-G832</f>
        <v/>
      </c>
      <c r="M832">
        <f>R832=E832</f>
        <v/>
      </c>
      <c r="N832">
        <f>AND(MONTH(F832)=MONTH(Q832), YEAR(F832)=YEAR(Q832))</f>
        <v/>
      </c>
      <c r="O832">
        <f>"L001-902303751"=S832</f>
        <v/>
      </c>
      <c r="P832">
        <f>G832-U832</f>
        <v/>
      </c>
      <c r="Q832" s="35" t="n">
        <v>45392</v>
      </c>
      <c r="R832" t="inlineStr"/>
      <c r="S832" t="inlineStr">
        <is>
          <t>K009-902302542</t>
        </is>
      </c>
      <c r="T832" t="inlineStr">
        <is>
          <t>ឡូជីម៉ាក អ៊ិនធើណេសិនណល ឯ.ក</t>
        </is>
      </c>
      <c r="U832" t="n">
        <v>0</v>
      </c>
      <c r="V832" t="n">
        <v>0</v>
      </c>
    </row>
    <row r="833">
      <c r="A833" t="n">
        <v>832</v>
      </c>
      <c r="B833" t="inlineStr">
        <is>
          <t>AWB FEE, OM FORWARDING FEE AND H/C</t>
        </is>
      </c>
      <c r="C833" t="inlineStr">
        <is>
          <t>អ៊ិចស្ពែឌីធ័រ ខេមបូឌា អិលធីឌី</t>
        </is>
      </c>
      <c r="D833" t="inlineStr">
        <is>
          <t>L001-100045898</t>
        </is>
      </c>
      <c r="E833" t="inlineStr">
        <is>
          <t>TI-0281771</t>
        </is>
      </c>
      <c r="F833" t="inlineStr">
        <is>
          <t>23-07-2024</t>
        </is>
      </c>
      <c r="G833" t="n">
        <v>47242</v>
      </c>
      <c r="I833">
        <f>G833</f>
        <v/>
      </c>
      <c r="K833">
        <f>I833-G833</f>
        <v/>
      </c>
      <c r="M833">
        <f>R833=E833</f>
        <v/>
      </c>
      <c r="N833">
        <f>AND(MONTH(F833)=MONTH(Q833), YEAR(F833)=YEAR(Q833))</f>
        <v/>
      </c>
      <c r="O833">
        <f>"L001-902303751"=S833</f>
        <v/>
      </c>
      <c r="P833">
        <f>G833-U833</f>
        <v/>
      </c>
      <c r="Q833" s="35" t="n">
        <v>45399</v>
      </c>
      <c r="R833" t="n">
        <v>82902</v>
      </c>
      <c r="S833" t="inlineStr">
        <is>
          <t>L001-107032791</t>
        </is>
      </c>
      <c r="T833" t="inlineStr">
        <is>
          <t>នីបផន អិចប្រេស (ខេមបូឌា) ខូ អិលធីឌី</t>
        </is>
      </c>
      <c r="U833" t="n">
        <v>82902</v>
      </c>
      <c r="V833" t="n">
        <v>0</v>
      </c>
    </row>
    <row r="834">
      <c r="A834" t="n">
        <v>833</v>
      </c>
      <c r="B834" t="inlineStr">
        <is>
          <t>AWB FEE, OM FORWARDING FEE AND H/C</t>
        </is>
      </c>
      <c r="C834" t="inlineStr">
        <is>
          <t>អ៊ិចស្ពែឌីធ័រ ខេមបូឌា អិលធីឌី</t>
        </is>
      </c>
      <c r="D834" t="inlineStr">
        <is>
          <t>L001-100045898</t>
        </is>
      </c>
      <c r="E834" t="inlineStr">
        <is>
          <t>TI-0281775</t>
        </is>
      </c>
      <c r="F834" t="inlineStr">
        <is>
          <t>23-07-2024</t>
        </is>
      </c>
      <c r="G834" t="n">
        <v>47242</v>
      </c>
      <c r="I834">
        <f>G834</f>
        <v/>
      </c>
      <c r="K834">
        <f>I834-G834</f>
        <v/>
      </c>
      <c r="M834">
        <f>R834=E834</f>
        <v/>
      </c>
      <c r="N834">
        <f>AND(MONTH(F834)=MONTH(Q834), YEAR(F834)=YEAR(Q834))</f>
        <v/>
      </c>
      <c r="O834">
        <f>"L001-902303751"=S834</f>
        <v/>
      </c>
      <c r="P834">
        <f>G834-U834</f>
        <v/>
      </c>
      <c r="Q834" s="35" t="n">
        <v>45399</v>
      </c>
      <c r="R834" t="n">
        <v>176723</v>
      </c>
      <c r="S834" t="inlineStr">
        <is>
          <t>K005-901805913</t>
        </is>
      </c>
      <c r="T834" t="inlineStr">
        <is>
          <t>ស្តារ ខង់ខដ (ខេមបូឌា) ឯ.ក</t>
        </is>
      </c>
      <c r="U834" t="n">
        <v>176723</v>
      </c>
      <c r="V834" t="n">
        <v>0</v>
      </c>
    </row>
    <row r="835">
      <c r="A835" t="n">
        <v>834</v>
      </c>
      <c r="B835" t="inlineStr">
        <is>
          <t>Export Customs Clearance</t>
        </is>
      </c>
      <c r="C835" t="inlineStr">
        <is>
          <t>អ៊ីឃ្យូឡាញ វើលវ៉ាយដ៍ ឡូជីស្ទីក</t>
        </is>
      </c>
      <c r="D835" t="inlineStr">
        <is>
          <t>K003-901635943</t>
        </is>
      </c>
      <c r="E835" t="inlineStr">
        <is>
          <t>PPTI24/003780</t>
        </is>
      </c>
      <c r="F835" t="inlineStr">
        <is>
          <t>23-07-2024</t>
        </is>
      </c>
      <c r="G835" t="n">
        <v>65728</v>
      </c>
      <c r="I835">
        <f>G835</f>
        <v/>
      </c>
      <c r="K835">
        <f>I835-G835</f>
        <v/>
      </c>
      <c r="M835">
        <f>R835=E835</f>
        <v/>
      </c>
      <c r="N835">
        <f>AND(MONTH(F835)=MONTH(Q835), YEAR(F835)=YEAR(Q835))</f>
        <v/>
      </c>
      <c r="O835">
        <f>"L001-902303751"=S835</f>
        <v/>
      </c>
      <c r="P835">
        <f>G835-U835</f>
        <v/>
      </c>
      <c r="Q835" s="35" t="n">
        <v>45399</v>
      </c>
      <c r="R835" t="inlineStr"/>
      <c r="S835" t="inlineStr">
        <is>
          <t>L001-107032791</t>
        </is>
      </c>
      <c r="T835" t="inlineStr">
        <is>
          <t>នីបផន អិចប្រេស (ខេមបូឌា) ខូ អិលធីឌី</t>
        </is>
      </c>
      <c r="U835" t="n">
        <v>0</v>
      </c>
      <c r="V835" t="n">
        <v>0</v>
      </c>
    </row>
    <row r="836">
      <c r="A836" t="n">
        <v>835</v>
      </c>
      <c r="B836" t="inlineStr">
        <is>
          <t>Export Custom Clearance and Overtime Charges</t>
        </is>
      </c>
      <c r="C836" t="inlineStr">
        <is>
          <t>អ៊ីឃ្យូឡាញ វើលវ៉ាយដ៍ ឡូជីស្ទីក</t>
        </is>
      </c>
      <c r="D836" t="inlineStr">
        <is>
          <t>K003-901635943</t>
        </is>
      </c>
      <c r="E836" t="inlineStr">
        <is>
          <t>PPTI24/003284</t>
        </is>
      </c>
      <c r="F836" t="inlineStr">
        <is>
          <t>03-07-2024</t>
        </is>
      </c>
      <c r="G836" t="n">
        <v>189428</v>
      </c>
      <c r="I836">
        <f>G836</f>
        <v/>
      </c>
      <c r="K836">
        <f>I836-G836</f>
        <v/>
      </c>
      <c r="M836">
        <f>R836=E836</f>
        <v/>
      </c>
      <c r="N836">
        <f>AND(MONTH(F836)=MONTH(Q836), YEAR(F836)=YEAR(Q836))</f>
        <v/>
      </c>
      <c r="O836">
        <f>"L001-902303751"=S836</f>
        <v/>
      </c>
      <c r="P836">
        <f>G836-U836</f>
        <v/>
      </c>
      <c r="Q836" s="35" t="n">
        <v>45404</v>
      </c>
      <c r="R836" t="inlineStr"/>
      <c r="S836" t="inlineStr">
        <is>
          <t>L001-100045340</t>
        </is>
      </c>
      <c r="T836" t="inlineStr">
        <is>
          <t xml:space="preserve">ស៊ីវ៉ា អ៊ែរ អ៊ែន អូសៀន (ខេមបូឌា) ឯ.ក </t>
        </is>
      </c>
      <c r="U836" t="n">
        <v>0</v>
      </c>
      <c r="V836" t="n">
        <v>0</v>
      </c>
    </row>
    <row r="837">
      <c r="A837" t="n">
        <v>836</v>
      </c>
      <c r="B837" t="inlineStr">
        <is>
          <t>Documentation Origin, Late SI Fee, Handling Charges Origin, Entry Suumary Declaration, Terminal Handling Charge Origin, Seal Surcharge and VGM Processing Fee</t>
        </is>
      </c>
      <c r="C837" t="inlineStr">
        <is>
          <t>ឌីប៊ី សេនឃើរ (ខេមបូឌា) លីមីធីត</t>
        </is>
      </c>
      <c r="D837" t="inlineStr">
        <is>
          <t>L001-107041723</t>
        </is>
      </c>
      <c r="E837" t="inlineStr">
        <is>
          <t>2400005432</t>
        </is>
      </c>
      <c r="F837" t="inlineStr">
        <is>
          <t>06-07-2024</t>
        </is>
      </c>
      <c r="G837" t="n">
        <v>471397</v>
      </c>
      <c r="I837">
        <f>G837</f>
        <v/>
      </c>
      <c r="K837">
        <f>I837-G837</f>
        <v/>
      </c>
      <c r="M837">
        <f>R837=E837</f>
        <v/>
      </c>
      <c r="N837">
        <f>AND(MONTH(F837)=MONTH(Q837), YEAR(F837)=YEAR(Q837))</f>
        <v/>
      </c>
      <c r="O837">
        <f>"L001-902303751"=S837</f>
        <v/>
      </c>
      <c r="P837">
        <f>G837-U837</f>
        <v/>
      </c>
      <c r="Q837" s="35" t="n">
        <v>45435</v>
      </c>
      <c r="R837" t="inlineStr"/>
      <c r="S837" t="inlineStr">
        <is>
          <t>K005-100059945</t>
        </is>
      </c>
      <c r="T837" t="inlineStr">
        <is>
          <t>អ៊ែតវ៉ានស៍ គ្លរី ឡូជីស្ទីក (ខេមបូឌា) (អេ ជី អិល)</t>
        </is>
      </c>
      <c r="U837" t="n">
        <v>0</v>
      </c>
      <c r="V837" t="n">
        <v>0</v>
      </c>
    </row>
    <row r="838">
      <c r="A838" t="n">
        <v>837</v>
      </c>
      <c r="B838" t="inlineStr">
        <is>
          <t>Cargo Terminal</t>
        </is>
      </c>
      <c r="C838" t="inlineStr">
        <is>
          <t>សូស៊ីយេតេ កុងសេស្យូនែរ ដឺ ឡាអេរ៉ូព័រ</t>
        </is>
      </c>
      <c r="D838" t="inlineStr">
        <is>
          <t>L001-100047300</t>
        </is>
      </c>
      <c r="E838" t="inlineStr">
        <is>
          <t>2400-059789</t>
        </is>
      </c>
      <c r="F838" t="inlineStr">
        <is>
          <t>30-07-2024</t>
        </is>
      </c>
      <c r="G838" t="n">
        <v>3024</v>
      </c>
      <c r="I838">
        <f>G838</f>
        <v/>
      </c>
      <c r="K838">
        <f>I838-G838</f>
        <v/>
      </c>
      <c r="M838">
        <f>R838=E838</f>
        <v/>
      </c>
      <c r="N838">
        <f>AND(MONTH(F838)=MONTH(Q838), YEAR(F838)=YEAR(Q838))</f>
        <v/>
      </c>
      <c r="O838">
        <f>"L001-902303751"=S838</f>
        <v/>
      </c>
      <c r="P838">
        <f>G838-U838</f>
        <v/>
      </c>
      <c r="Q838" s="35" t="n">
        <v>45439</v>
      </c>
      <c r="R838" t="n">
        <v>83661</v>
      </c>
      <c r="S838" t="inlineStr">
        <is>
          <t>L001-107032791</t>
        </is>
      </c>
      <c r="T838" t="inlineStr">
        <is>
          <t>នីបផន អិចប្រេស (ខេមបូឌា) ខូ អិលធីឌី</t>
        </is>
      </c>
      <c r="U838" t="n">
        <v>83661</v>
      </c>
      <c r="V838" t="n">
        <v>0</v>
      </c>
    </row>
    <row r="839">
      <c r="A839" t="n">
        <v>838</v>
      </c>
      <c r="B839" t="inlineStr">
        <is>
          <t>Document Fee and Agency Fee</t>
        </is>
      </c>
      <c r="C839" t="inlineStr">
        <is>
          <t>ត្រាយអ៊ែងហ្គល ឡូជីស្ទីក (ខេមបូឌា) ឯ.ក</t>
        </is>
      </c>
      <c r="D839" t="inlineStr">
        <is>
          <t>K010-902101743</t>
        </is>
      </c>
      <c r="E839" t="inlineStr">
        <is>
          <t>TAG-24-00500</t>
        </is>
      </c>
      <c r="F839" t="inlineStr">
        <is>
          <t>29-07-2024</t>
        </is>
      </c>
      <c r="G839" t="n">
        <v>32832</v>
      </c>
      <c r="I839">
        <f>G839</f>
        <v/>
      </c>
      <c r="K839">
        <f>I839-G839</f>
        <v/>
      </c>
      <c r="M839">
        <f>R839=E839</f>
        <v/>
      </c>
      <c r="N839">
        <f>AND(MONTH(F839)=MONTH(Q839), YEAR(F839)=YEAR(Q839))</f>
        <v/>
      </c>
      <c r="O839">
        <f>"L001-902303751"=S839</f>
        <v/>
      </c>
      <c r="P839">
        <f>G839-U839</f>
        <v/>
      </c>
      <c r="Q839" s="35" t="n">
        <v>45439</v>
      </c>
      <c r="R839" t="n">
        <v>83661</v>
      </c>
      <c r="S839" t="inlineStr">
        <is>
          <t>L001-100011888</t>
        </is>
      </c>
      <c r="T839" t="inlineStr">
        <is>
          <t>ត្រេន ស្តារ ហ្រេ្វត</t>
        </is>
      </c>
      <c r="U839" t="n">
        <v>83661</v>
      </c>
      <c r="V839" t="n">
        <v>0</v>
      </c>
    </row>
    <row r="840">
      <c r="A840" t="n">
        <v>839</v>
      </c>
      <c r="B840" t="inlineStr">
        <is>
          <t>Customs Clearance Fee</t>
        </is>
      </c>
      <c r="C840" t="inlineStr">
        <is>
          <t>ត្រាយអ៊ែងហ្គល ឡូជីស្ទីក (ខេមបូឌា) ឯ.ក</t>
        </is>
      </c>
      <c r="D840" t="inlineStr">
        <is>
          <t>K010-902101743</t>
        </is>
      </c>
      <c r="E840" t="inlineStr">
        <is>
          <t>TAG-24-00508</t>
        </is>
      </c>
      <c r="F840" t="inlineStr">
        <is>
          <t>30-07-2024</t>
        </is>
      </c>
      <c r="G840" t="n">
        <v>8214</v>
      </c>
      <c r="I840">
        <f>G840</f>
        <v/>
      </c>
      <c r="K840">
        <f>I840-G840</f>
        <v/>
      </c>
      <c r="M840">
        <f>R840=E840</f>
        <v/>
      </c>
      <c r="N840">
        <f>AND(MONTH(F840)=MONTH(Q840), YEAR(F840)=YEAR(Q840))</f>
        <v/>
      </c>
      <c r="O840">
        <f>"L001-902303751"=S840</f>
        <v/>
      </c>
      <c r="P840">
        <f>G840-U840</f>
        <v/>
      </c>
      <c r="Q840" s="35" t="n">
        <v>45432</v>
      </c>
      <c r="R840" t="n">
        <v>86025</v>
      </c>
      <c r="S840" t="inlineStr">
        <is>
          <t>L001-100045340</t>
        </is>
      </c>
      <c r="T840" t="inlineStr">
        <is>
          <t xml:space="preserve">ស៊ីវ៉ា អ៊ែរ អ៊ែន អូសៀន (ខេមបូឌា) ឯ.ក </t>
        </is>
      </c>
      <c r="U840" t="n">
        <v>86025</v>
      </c>
      <c r="V840" t="n">
        <v>0</v>
      </c>
    </row>
    <row r="841">
      <c r="A841" t="n">
        <v>840</v>
      </c>
      <c r="B841" t="inlineStr">
        <is>
          <t>Customs Clearance &amp; Trucking Fee and Extral Trucking Fee</t>
        </is>
      </c>
      <c r="C841" t="inlineStr">
        <is>
          <t>ត្រាយអ៊ែងហ្គល ឡូជីស្ទីក (ខេមបូឌា) ឯ.ក</t>
        </is>
      </c>
      <c r="D841" t="inlineStr">
        <is>
          <t>K010-902101743</t>
        </is>
      </c>
      <c r="E841" t="inlineStr">
        <is>
          <t>TAG-24-00510</t>
        </is>
      </c>
      <c r="F841" t="inlineStr">
        <is>
          <t>30-07-2024</t>
        </is>
      </c>
      <c r="G841" t="n">
        <v>213564</v>
      </c>
      <c r="I841">
        <f>G841</f>
        <v/>
      </c>
      <c r="K841">
        <f>I841-G841</f>
        <v/>
      </c>
      <c r="M841">
        <f>R841=E841</f>
        <v/>
      </c>
      <c r="N841">
        <f>AND(MONTH(F841)=MONTH(Q841), YEAR(F841)=YEAR(Q841))</f>
        <v/>
      </c>
      <c r="O841">
        <f>"L001-902303751"=S841</f>
        <v/>
      </c>
      <c r="P841">
        <f>G841-U841</f>
        <v/>
      </c>
      <c r="Q841" s="35" t="n">
        <v>45432</v>
      </c>
      <c r="R841" t="inlineStr"/>
      <c r="S841" t="inlineStr">
        <is>
          <t>L001-107032791</t>
        </is>
      </c>
      <c r="T841" t="inlineStr">
        <is>
          <t>នីបផន អិចប្រេស (ខេមបូឌា) ខូ អិលធីឌី</t>
        </is>
      </c>
      <c r="U841" t="n">
        <v>0</v>
      </c>
      <c r="V841" t="n">
        <v>0</v>
      </c>
    </row>
    <row r="842">
      <c r="A842" t="n">
        <v>841</v>
      </c>
      <c r="B842" t="inlineStr">
        <is>
          <t>Documentation Origin, Handling Charges Origin, PLACI Fee and HAWB Transmission Fee</t>
        </is>
      </c>
      <c r="C842" t="inlineStr">
        <is>
          <t>ឌីប៊ី សេនឃើរ (ខេមបូឌា) លីមីធីត</t>
        </is>
      </c>
      <c r="D842" t="inlineStr">
        <is>
          <t>L001-107041723</t>
        </is>
      </c>
      <c r="E842" t="inlineStr">
        <is>
          <t>2400005281</t>
        </is>
      </c>
      <c r="F842" t="inlineStr">
        <is>
          <t>02-07-2024</t>
        </is>
      </c>
      <c r="G842" t="n">
        <v>50590</v>
      </c>
      <c r="I842">
        <f>G842</f>
        <v/>
      </c>
      <c r="K842">
        <f>I842-G842</f>
        <v/>
      </c>
      <c r="M842">
        <f>R842=E842</f>
        <v/>
      </c>
      <c r="N842">
        <f>AND(MONTH(F842)=MONTH(Q842), YEAR(F842)=YEAR(Q842))</f>
        <v/>
      </c>
      <c r="O842">
        <f>"L001-902303751"=S842</f>
        <v/>
      </c>
      <c r="P842">
        <f>G842-U842</f>
        <v/>
      </c>
      <c r="Q842" s="35" t="n">
        <v>45427</v>
      </c>
      <c r="R842" t="n">
        <v>83620</v>
      </c>
      <c r="S842" t="inlineStr">
        <is>
          <t>L001-107032791</t>
        </is>
      </c>
      <c r="T842" t="inlineStr">
        <is>
          <t>នីបផន អិចប្រេស (ខេមបូឌា) ខូ អិលធីឌី</t>
        </is>
      </c>
      <c r="U842" t="n">
        <v>83620</v>
      </c>
      <c r="V842" t="n">
        <v>0</v>
      </c>
    </row>
    <row r="843">
      <c r="A843" t="n">
        <v>842</v>
      </c>
      <c r="B843" t="inlineStr">
        <is>
          <t>Send document</t>
        </is>
      </c>
      <c r="C843" t="inlineStr">
        <is>
          <t>ឌី អេច អិល អិចប្រេស (ខេមបូឌា)</t>
        </is>
      </c>
      <c r="D843" t="inlineStr">
        <is>
          <t>L001-100045197</t>
        </is>
      </c>
      <c r="E843" t="inlineStr">
        <is>
          <t>PNHIR00228480</t>
        </is>
      </c>
      <c r="F843" t="inlineStr">
        <is>
          <t>08-07-2024</t>
        </is>
      </c>
      <c r="G843" t="n">
        <v>18535</v>
      </c>
      <c r="I843">
        <f>G843</f>
        <v/>
      </c>
      <c r="K843">
        <f>I843-G843</f>
        <v/>
      </c>
      <c r="M843">
        <f>R843=E843</f>
        <v/>
      </c>
      <c r="N843">
        <f>AND(MONTH(F843)=MONTH(Q843), YEAR(F843)=YEAR(Q843))</f>
        <v/>
      </c>
      <c r="O843">
        <f>"L001-902303751"=S843</f>
        <v/>
      </c>
      <c r="P843">
        <f>G843-U843</f>
        <v/>
      </c>
      <c r="Q843" s="35" t="n">
        <v>45429</v>
      </c>
      <c r="R843" t="n">
        <v>83599</v>
      </c>
      <c r="S843" t="inlineStr">
        <is>
          <t>L001-901500191</t>
        </is>
      </c>
      <c r="T843" t="inlineStr">
        <is>
          <t>អ.អិន.វ៉ាយ ត្រេនស្ព័ត</t>
        </is>
      </c>
      <c r="U843" t="n">
        <v>83599</v>
      </c>
      <c r="V843" t="n">
        <v>0</v>
      </c>
    </row>
    <row r="844">
      <c r="A844" t="n">
        <v>843</v>
      </c>
      <c r="B844" t="inlineStr">
        <is>
          <t>CFS CHARGES, BILL OF LADING FEE AND THC CHARGES</t>
        </is>
      </c>
      <c r="C844" t="inlineStr">
        <is>
          <t>អ៊ិចស្ពែឌីធ័រ ខេមបូឌា អិលធីឌី</t>
        </is>
      </c>
      <c r="D844" t="inlineStr">
        <is>
          <t>L001-100045898</t>
        </is>
      </c>
      <c r="E844" t="inlineStr">
        <is>
          <t>TI-0278997</t>
        </is>
      </c>
      <c r="F844" t="inlineStr">
        <is>
          <t>03-07-2024</t>
        </is>
      </c>
      <c r="G844" t="n">
        <v>47754</v>
      </c>
      <c r="I844">
        <f>G844</f>
        <v/>
      </c>
      <c r="K844">
        <f>I844-G844</f>
        <v/>
      </c>
      <c r="M844">
        <f>R844=E844</f>
        <v/>
      </c>
      <c r="N844">
        <f>AND(MONTH(F844)=MONTH(Q844), YEAR(F844)=YEAR(Q844))</f>
        <v/>
      </c>
      <c r="O844">
        <f>"L001-902303751"=S844</f>
        <v/>
      </c>
      <c r="P844">
        <f>G844-U844</f>
        <v/>
      </c>
      <c r="Q844" s="35" t="n">
        <v>45432</v>
      </c>
      <c r="R844" t="n">
        <v>126795</v>
      </c>
      <c r="S844" t="inlineStr">
        <is>
          <t>L001-100045340</t>
        </is>
      </c>
      <c r="T844" t="inlineStr">
        <is>
          <t xml:space="preserve">ស៊ីវ៉ា អ៊ែរ អ៊ែន អូសៀន (ខេមបូឌា) ឯ.ក </t>
        </is>
      </c>
      <c r="U844" t="n">
        <v>126795</v>
      </c>
      <c r="V844" t="n">
        <v>0</v>
      </c>
    </row>
    <row r="845">
      <c r="A845" t="n">
        <v>844</v>
      </c>
      <c r="B845" t="inlineStr">
        <is>
          <t>AWB FEE AND H/C</t>
        </is>
      </c>
      <c r="C845" t="inlineStr">
        <is>
          <t>អ៊ិចស្ពែឌីធ័រ ខេមបូឌា អិលធីឌី</t>
        </is>
      </c>
      <c r="D845" t="inlineStr">
        <is>
          <t>L001-100045898</t>
        </is>
      </c>
      <c r="E845" t="inlineStr">
        <is>
          <t>TI-0278950</t>
        </is>
      </c>
      <c r="F845" t="inlineStr">
        <is>
          <t>02-07-2024</t>
        </is>
      </c>
      <c r="G845" t="n">
        <v>26735</v>
      </c>
      <c r="I845">
        <f>G845</f>
        <v/>
      </c>
      <c r="K845">
        <f>I845-G845</f>
        <v/>
      </c>
      <c r="M845">
        <f>R845=E845</f>
        <v/>
      </c>
      <c r="N845">
        <f>AND(MONTH(F845)=MONTH(Q845), YEAR(F845)=YEAR(Q845))</f>
        <v/>
      </c>
      <c r="O845">
        <f>"L001-902303751"=S845</f>
        <v/>
      </c>
      <c r="P845">
        <f>G845-U845</f>
        <v/>
      </c>
      <c r="Q845" s="35" t="n">
        <v>45432</v>
      </c>
      <c r="R845" t="inlineStr"/>
      <c r="S845" t="inlineStr">
        <is>
          <t>L001-107032791</t>
        </is>
      </c>
      <c r="T845" t="inlineStr">
        <is>
          <t>នីបផន អិចប្រេស (ខេមបូឌា) ខូ អិលធីឌី</t>
        </is>
      </c>
      <c r="U845" t="n">
        <v>0</v>
      </c>
      <c r="V845" t="n">
        <v>0</v>
      </c>
    </row>
    <row r="846">
      <c r="A846" t="n">
        <v>845</v>
      </c>
      <c r="B846" t="inlineStr">
        <is>
          <t>Customs Clearance of LCL shipment, THC Charge of LCL, CFS Charge of LCL, Trucking Fee of LCL, Cargo Handling Fee and Bill Fee or Document Fee</t>
        </is>
      </c>
      <c r="C846" t="inlineStr">
        <is>
          <t>អេវើរស្តារ ស៊ីលែនឌែរ</t>
        </is>
      </c>
      <c r="D846" t="inlineStr">
        <is>
          <t>K002-100160492</t>
        </is>
      </c>
      <c r="E846" t="inlineStr">
        <is>
          <t>TI-2024-038</t>
        </is>
      </c>
      <c r="F846" t="inlineStr">
        <is>
          <t>01-07-2024</t>
        </is>
      </c>
      <c r="G846" t="n">
        <v>114741</v>
      </c>
      <c r="I846">
        <f>G846</f>
        <v/>
      </c>
      <c r="K846">
        <f>I846-G846</f>
        <v/>
      </c>
      <c r="M846">
        <f>R846=E846</f>
        <v/>
      </c>
      <c r="N846">
        <f>AND(MONTH(F846)=MONTH(Q846), YEAR(F846)=YEAR(Q846))</f>
        <v/>
      </c>
      <c r="O846">
        <f>"L001-902303751"=S846</f>
        <v/>
      </c>
      <c r="P846">
        <f>G846-U846</f>
        <v/>
      </c>
      <c r="Q846" s="35" t="n">
        <v>45432</v>
      </c>
      <c r="R846" t="n">
        <v>112118</v>
      </c>
      <c r="S846" t="inlineStr">
        <is>
          <t>L001-107032791</t>
        </is>
      </c>
      <c r="T846" t="inlineStr">
        <is>
          <t>នីបផន អិចប្រេស (ខេមបូឌា) ខូ អិលធីឌី</t>
        </is>
      </c>
      <c r="U846" t="n">
        <v>112118</v>
      </c>
      <c r="V846" t="n">
        <v>0</v>
      </c>
    </row>
    <row r="847">
      <c r="A847" t="n">
        <v>846</v>
      </c>
      <c r="B847" t="inlineStr">
        <is>
          <t>OM FORWARDING FEE, H/C AND AWB FEE</t>
        </is>
      </c>
      <c r="C847" t="inlineStr">
        <is>
          <t>អ៊ិចស្ពែឌីធ័រ ខេមបូឌា អិលធីឌី</t>
        </is>
      </c>
      <c r="D847" t="inlineStr">
        <is>
          <t>L001-100045898</t>
        </is>
      </c>
      <c r="E847" t="inlineStr">
        <is>
          <t>TI-0280796</t>
        </is>
      </c>
      <c r="F847" t="inlineStr">
        <is>
          <t>17-07-2024</t>
        </is>
      </c>
      <c r="G847" t="n">
        <v>47231</v>
      </c>
      <c r="I847">
        <f>G847</f>
        <v/>
      </c>
      <c r="K847">
        <f>I847-G847</f>
        <v/>
      </c>
      <c r="M847">
        <f>R847=E847</f>
        <v/>
      </c>
      <c r="N847">
        <f>AND(MONTH(F847)=MONTH(Q847), YEAR(F847)=YEAR(Q847))</f>
        <v/>
      </c>
      <c r="O847">
        <f>"L001-902303751"=S847</f>
        <v/>
      </c>
      <c r="P847">
        <f>G847-U847</f>
        <v/>
      </c>
      <c r="Q847" s="35" t="n">
        <v>45427</v>
      </c>
      <c r="R847" t="n">
        <v>83620</v>
      </c>
      <c r="S847" t="inlineStr">
        <is>
          <t>L001-107032791</t>
        </is>
      </c>
      <c r="T847" t="inlineStr">
        <is>
          <t>នីបផន អិចប្រេស (ខេមបូឌា) ខូ អិលធីឌី</t>
        </is>
      </c>
      <c r="U847" t="n">
        <v>83620</v>
      </c>
      <c r="V847" t="n">
        <v>0</v>
      </c>
    </row>
    <row r="848">
      <c r="A848" t="n">
        <v>847</v>
      </c>
      <c r="B848" t="inlineStr">
        <is>
          <t>OM FORWARDING FEE, TERMINAL HANDLING, CARRIER BL, DOCUMENT ASSEMBLY, HANDLING FEE, VGM ADMIN FEE (FCL), CONTAINER SEAL AND MANIFEST FEE</t>
        </is>
      </c>
      <c r="C848" t="inlineStr">
        <is>
          <t>អ៊ិចស្ពែឌីធ័រ ខេមបូឌា អិលធីឌី</t>
        </is>
      </c>
      <c r="D848" t="inlineStr">
        <is>
          <t>L001-100045898</t>
        </is>
      </c>
      <c r="E848" t="inlineStr">
        <is>
          <t>TI-0279629</t>
        </is>
      </c>
      <c r="F848" t="inlineStr">
        <is>
          <t>08-07-2024</t>
        </is>
      </c>
      <c r="G848" t="n">
        <v>218719</v>
      </c>
      <c r="I848">
        <f>G848</f>
        <v/>
      </c>
      <c r="K848">
        <f>I848-G848</f>
        <v/>
      </c>
      <c r="M848">
        <f>R848=E848</f>
        <v/>
      </c>
      <c r="N848">
        <f>AND(MONTH(F848)=MONTH(Q848), YEAR(F848)=YEAR(Q848))</f>
        <v/>
      </c>
      <c r="O848">
        <f>"L001-902303751"=S848</f>
        <v/>
      </c>
      <c r="P848">
        <f>G848-U848</f>
        <v/>
      </c>
      <c r="Q848" s="35" t="n">
        <v>45429</v>
      </c>
      <c r="R848" t="inlineStr"/>
      <c r="S848" t="inlineStr">
        <is>
          <t>K009-107034735</t>
        </is>
      </c>
      <c r="T848" t="inlineStr">
        <is>
          <t>ស៊ីប៊ីជី ឡូជីស្ទីក (ខេមបូឌា)</t>
        </is>
      </c>
      <c r="U848" t="n">
        <v>0</v>
      </c>
      <c r="V848" t="n">
        <v>0</v>
      </c>
    </row>
    <row r="849">
      <c r="A849" t="n">
        <v>848</v>
      </c>
      <c r="B849" t="inlineStr">
        <is>
          <t>Send Sample</t>
        </is>
      </c>
      <c r="C849" t="inlineStr">
        <is>
          <t>ឌី អេច អិល អិចប្រេស (ខេមបូឌា)</t>
        </is>
      </c>
      <c r="D849" t="inlineStr">
        <is>
          <t>L001-100045197</t>
        </is>
      </c>
      <c r="E849" t="inlineStr">
        <is>
          <t>PNHIR00228309</t>
        </is>
      </c>
      <c r="F849" t="inlineStr">
        <is>
          <t>03-07-2024</t>
        </is>
      </c>
      <c r="G849" t="n">
        <v>8236</v>
      </c>
      <c r="I849">
        <f>G849</f>
        <v/>
      </c>
      <c r="K849">
        <f>I849-G849</f>
        <v/>
      </c>
      <c r="M849">
        <f>R849=E849</f>
        <v/>
      </c>
      <c r="N849">
        <f>AND(MONTH(F849)=MONTH(Q849), YEAR(F849)=YEAR(Q849))</f>
        <v/>
      </c>
      <c r="O849">
        <f>"L001-902303751"=S849</f>
        <v/>
      </c>
      <c r="P849">
        <f>G849-U849</f>
        <v/>
      </c>
      <c r="Q849" s="35" t="n">
        <v>45419</v>
      </c>
      <c r="R849" t="inlineStr"/>
      <c r="S849" t="inlineStr">
        <is>
          <t>L001-107032791</t>
        </is>
      </c>
      <c r="T849" t="inlineStr">
        <is>
          <t>នីបផន អិចប្រេស (ខេមបូឌា) ខូ អិលធីឌី</t>
        </is>
      </c>
      <c r="U849" t="n">
        <v>0</v>
      </c>
      <c r="V849" t="n">
        <v>0</v>
      </c>
    </row>
    <row r="850">
      <c r="A850" t="n">
        <v>849</v>
      </c>
      <c r="B850" t="inlineStr">
        <is>
          <t>Send Sample</t>
        </is>
      </c>
      <c r="C850" t="inlineStr">
        <is>
          <t>ឌី អេច អិល អិចប្រេស (ខេមបូឌា)</t>
        </is>
      </c>
      <c r="D850" t="inlineStr">
        <is>
          <t>L001-100045197</t>
        </is>
      </c>
      <c r="E850" t="inlineStr">
        <is>
          <t>PNHIR00228481</t>
        </is>
      </c>
      <c r="F850" t="inlineStr">
        <is>
          <t>08-07-2024</t>
        </is>
      </c>
      <c r="G850" t="n">
        <v>8238</v>
      </c>
      <c r="I850">
        <f>G850</f>
        <v/>
      </c>
      <c r="K850">
        <f>I850-G850</f>
        <v/>
      </c>
      <c r="M850">
        <f>R850=E850</f>
        <v/>
      </c>
      <c r="N850">
        <f>AND(MONTH(F850)=MONTH(Q850), YEAR(F850)=YEAR(Q850))</f>
        <v/>
      </c>
      <c r="O850">
        <f>"L001-902303751"=S850</f>
        <v/>
      </c>
      <c r="P850">
        <f>G850-U850</f>
        <v/>
      </c>
      <c r="Q850" s="35" t="n">
        <v>45419</v>
      </c>
      <c r="R850" t="n">
        <v>112063</v>
      </c>
      <c r="S850" t="inlineStr">
        <is>
          <t>L001-107032791</t>
        </is>
      </c>
      <c r="T850" t="inlineStr">
        <is>
          <t>នីបផន អិចប្រេស (ខេមបូឌា) ខូ អិលធីឌី</t>
        </is>
      </c>
      <c r="U850" t="n">
        <v>112063</v>
      </c>
      <c r="V850" t="n">
        <v>0</v>
      </c>
    </row>
    <row r="851">
      <c r="A851" t="n">
        <v>850</v>
      </c>
      <c r="B851" t="inlineStr">
        <is>
          <t>Send Sample</t>
        </is>
      </c>
      <c r="C851" t="inlineStr">
        <is>
          <t>ឌី អេច អិល អិចប្រេស (ខេមបូឌា)</t>
        </is>
      </c>
      <c r="D851" t="inlineStr">
        <is>
          <t>L001-100045197</t>
        </is>
      </c>
      <c r="E851" t="inlineStr">
        <is>
          <t>PNHIR00229472</t>
        </is>
      </c>
      <c r="F851" t="inlineStr">
        <is>
          <t>11-07-2024</t>
        </is>
      </c>
      <c r="G851" t="n">
        <v>8220</v>
      </c>
      <c r="I851">
        <f>G851</f>
        <v/>
      </c>
      <c r="K851">
        <f>I851-G851</f>
        <v/>
      </c>
      <c r="M851">
        <f>R851=E851</f>
        <v/>
      </c>
      <c r="N851">
        <f>AND(MONTH(F851)=MONTH(Q851), YEAR(F851)=YEAR(Q851))</f>
        <v/>
      </c>
      <c r="O851">
        <f>"L001-902303751"=S851</f>
        <v/>
      </c>
      <c r="P851">
        <f>G851-U851</f>
        <v/>
      </c>
      <c r="Q851" s="35" t="n">
        <v>45419</v>
      </c>
      <c r="R851" t="n">
        <v>126733</v>
      </c>
      <c r="S851" t="inlineStr">
        <is>
          <t>L001-100045340</t>
        </is>
      </c>
      <c r="T851" t="inlineStr">
        <is>
          <t xml:space="preserve">ស៊ីវ៉ា អ៊ែរ អ៊ែន អូសៀន (ខេមបូឌា) ឯ.ក </t>
        </is>
      </c>
      <c r="U851" t="n">
        <v>126733</v>
      </c>
      <c r="V851" t="n">
        <v>0</v>
      </c>
    </row>
    <row r="852">
      <c r="A852" t="n">
        <v>851</v>
      </c>
      <c r="B852" t="inlineStr">
        <is>
          <t>Send Sample</t>
        </is>
      </c>
      <c r="C852" t="inlineStr">
        <is>
          <t>ឌី អេច អិល អិចប្រេស (ខេមបូឌា)</t>
        </is>
      </c>
      <c r="D852" t="inlineStr">
        <is>
          <t>L001-100045197</t>
        </is>
      </c>
      <c r="E852" t="inlineStr">
        <is>
          <t>PNHIR00229960</t>
        </is>
      </c>
      <c r="F852" t="inlineStr">
        <is>
          <t>15-07-2024</t>
        </is>
      </c>
      <c r="G852" t="n">
        <v>8212</v>
      </c>
      <c r="I852">
        <f>G852</f>
        <v/>
      </c>
      <c r="K852">
        <f>I852-G852</f>
        <v/>
      </c>
      <c r="M852">
        <f>R852=E852</f>
        <v/>
      </c>
      <c r="N852">
        <f>AND(MONTH(F852)=MONTH(Q852), YEAR(F852)=YEAR(Q852))</f>
        <v/>
      </c>
      <c r="O852">
        <f>"L001-902303751"=S852</f>
        <v/>
      </c>
      <c r="P852">
        <f>G852-U852</f>
        <v/>
      </c>
      <c r="Q852" s="35" t="n">
        <v>45413</v>
      </c>
      <c r="R852" t="n">
        <v>111760</v>
      </c>
      <c r="S852" t="inlineStr">
        <is>
          <t>L001-100045995</t>
        </is>
      </c>
      <c r="T852" t="inlineStr">
        <is>
          <t>ឌីអេចអិល ឡូជីស្ទីក (ខេមបូឌា)</t>
        </is>
      </c>
      <c r="U852" t="n">
        <v>111760</v>
      </c>
      <c r="V852" t="n">
        <v>0</v>
      </c>
    </row>
    <row r="853">
      <c r="A853" t="n">
        <v>852</v>
      </c>
      <c r="B853" t="inlineStr">
        <is>
          <t>Send Sample</t>
        </is>
      </c>
      <c r="C853" t="inlineStr">
        <is>
          <t>ឌី អេច អិល អិចប្រេស (ខេមបូឌា)</t>
        </is>
      </c>
      <c r="D853" t="inlineStr">
        <is>
          <t>L001-100045197</t>
        </is>
      </c>
      <c r="E853" t="inlineStr">
        <is>
          <t>PNHIR00230804</t>
        </is>
      </c>
      <c r="F853" t="inlineStr">
        <is>
          <t>19-07-2024</t>
        </is>
      </c>
      <c r="G853" t="n">
        <v>8218</v>
      </c>
      <c r="I853">
        <f>G853</f>
        <v/>
      </c>
      <c r="K853">
        <f>I853-G853</f>
        <v/>
      </c>
      <c r="M853">
        <f>R853=E853</f>
        <v/>
      </c>
      <c r="N853">
        <f>AND(MONTH(F853)=MONTH(Q853), YEAR(F853)=YEAR(Q853))</f>
        <v/>
      </c>
      <c r="O853">
        <f>"L001-902303751"=S853</f>
        <v/>
      </c>
      <c r="P853">
        <f>G853-U853</f>
        <v/>
      </c>
      <c r="Q853" s="35" t="n">
        <v>45439</v>
      </c>
      <c r="R853" t="n">
        <v>114676</v>
      </c>
      <c r="S853" t="inlineStr">
        <is>
          <t>K005-901805913</t>
        </is>
      </c>
      <c r="T853" t="inlineStr">
        <is>
          <t>ស្តារ ខង់ខដ (ខេមបូឌា) ឯ.ក</t>
        </is>
      </c>
      <c r="U853" t="n">
        <v>114676</v>
      </c>
      <c r="V853" t="n">
        <v>0</v>
      </c>
    </row>
    <row r="854">
      <c r="A854" t="n">
        <v>853</v>
      </c>
      <c r="B854" t="inlineStr">
        <is>
          <t>HAWB FREIGHT, H/C AND AWB FEE</t>
        </is>
      </c>
      <c r="C854" t="inlineStr">
        <is>
          <t>អ៊ិចស្ពែឌីធ័រ ខេមបូឌា អិលធីឌី</t>
        </is>
      </c>
      <c r="D854" t="inlineStr">
        <is>
          <t>L001-100045898</t>
        </is>
      </c>
      <c r="E854" t="inlineStr">
        <is>
          <t>TI-0278762</t>
        </is>
      </c>
      <c r="F854" t="inlineStr">
        <is>
          <t>01-07-2024</t>
        </is>
      </c>
      <c r="G854" t="n">
        <v>26728</v>
      </c>
      <c r="I854">
        <f>G854</f>
        <v/>
      </c>
      <c r="K854">
        <f>I854-G854</f>
        <v/>
      </c>
      <c r="M854">
        <f>R854=E854</f>
        <v/>
      </c>
      <c r="N854">
        <f>AND(MONTH(F854)=MONTH(Q854), YEAR(F854)=YEAR(Q854))</f>
        <v/>
      </c>
      <c r="O854">
        <f>"L001-902303751"=S854</f>
        <v/>
      </c>
      <c r="P854">
        <f>G854-U854</f>
        <v/>
      </c>
      <c r="Q854" s="35" t="n">
        <v>45439</v>
      </c>
      <c r="R854" t="inlineStr"/>
      <c r="S854" t="inlineStr">
        <is>
          <t>L001-107032791</t>
        </is>
      </c>
      <c r="T854" t="inlineStr">
        <is>
          <t>នីបផន អិចប្រេស (ខេមបូឌា) ខូ អិលធីឌី</t>
        </is>
      </c>
      <c r="U854" t="n">
        <v>0</v>
      </c>
      <c r="V854" t="n">
        <v>0</v>
      </c>
    </row>
    <row r="855">
      <c r="A855" t="n">
        <v>854</v>
      </c>
      <c r="B855" t="inlineStr">
        <is>
          <t>HAWB FREIGHT, OM FORWARDING FEE, H/C AND AWB FEE</t>
        </is>
      </c>
      <c r="C855" t="inlineStr">
        <is>
          <t>អ៊ិចស្ពែឌីធ័រ ខេមបូឌា អិលធីឌី</t>
        </is>
      </c>
      <c r="D855" t="inlineStr">
        <is>
          <t>L001-100045898</t>
        </is>
      </c>
      <c r="E855" t="inlineStr">
        <is>
          <t>TI-0278952</t>
        </is>
      </c>
      <c r="F855" t="inlineStr">
        <is>
          <t>02-07-2024</t>
        </is>
      </c>
      <c r="G855" t="n">
        <v>47299</v>
      </c>
      <c r="I855">
        <f>G855</f>
        <v/>
      </c>
      <c r="K855">
        <f>I855-G855</f>
        <v/>
      </c>
      <c r="M855">
        <f>R855=E855</f>
        <v/>
      </c>
      <c r="N855">
        <f>AND(MONTH(F855)=MONTH(Q855), YEAR(F855)=YEAR(Q855))</f>
        <v/>
      </c>
      <c r="O855">
        <f>"L001-902303751"=S855</f>
        <v/>
      </c>
      <c r="P855">
        <f>G855-U855</f>
        <v/>
      </c>
      <c r="Q855" s="35" t="n">
        <v>45432</v>
      </c>
      <c r="R855" t="inlineStr"/>
      <c r="S855" t="inlineStr">
        <is>
          <t>L001-100074669</t>
        </is>
      </c>
      <c r="T855" t="inlineStr">
        <is>
          <t>ខេអិលអិន ហ្វ្រេត (ខេមបូឌា) ឯ.ក</t>
        </is>
      </c>
      <c r="U855" t="n">
        <v>0</v>
      </c>
      <c r="V855" t="n">
        <v>0</v>
      </c>
    </row>
    <row r="856">
      <c r="A856" t="n">
        <v>855</v>
      </c>
      <c r="B856" t="inlineStr">
        <is>
          <t>OM FORWARDING FEE, TERMINAL HANDLING, CARRIER BL, DOCUMENT ASSEMBLY, HANDLING FEE, VGM ADMIN FEE (FCL), CONTAINER SEAL, TELEX RELEASE MANIFEST</t>
        </is>
      </c>
      <c r="C856" t="inlineStr">
        <is>
          <t>អ៊ិចស្ពែឌីធ័រ ខេមបូឌា អិលធីឌី</t>
        </is>
      </c>
      <c r="D856" t="inlineStr">
        <is>
          <t>L001-100045898</t>
        </is>
      </c>
      <c r="E856" t="inlineStr">
        <is>
          <t>TI-0279630</t>
        </is>
      </c>
      <c r="F856" t="inlineStr">
        <is>
          <t>08-07-2024</t>
        </is>
      </c>
      <c r="G856" t="n">
        <v>194005</v>
      </c>
      <c r="I856">
        <f>G856</f>
        <v/>
      </c>
      <c r="K856">
        <f>I856-G856</f>
        <v/>
      </c>
      <c r="M856">
        <f>R856=E856</f>
        <v/>
      </c>
      <c r="N856">
        <f>AND(MONTH(F856)=MONTH(Q856), YEAR(F856)=YEAR(Q856))</f>
        <v/>
      </c>
      <c r="O856">
        <f>"L001-902303751"=S856</f>
        <v/>
      </c>
      <c r="P856">
        <f>G856-U856</f>
        <v/>
      </c>
      <c r="Q856" s="35" t="n">
        <v>45432</v>
      </c>
      <c r="R856" t="inlineStr"/>
      <c r="S856" t="inlineStr">
        <is>
          <t>L001-104015799</t>
        </is>
      </c>
      <c r="T856" t="inlineStr">
        <is>
          <t>យូសេន ឡូជីស្ទីក (ខេមបូឌា) ខូ អិលធីឌី</t>
        </is>
      </c>
      <c r="U856" t="n">
        <v>0</v>
      </c>
      <c r="V856" t="n">
        <v>0</v>
      </c>
    </row>
    <row r="857">
      <c r="A857" t="n">
        <v>856</v>
      </c>
      <c r="B857" t="inlineStr">
        <is>
          <t>CFS HANDLING, CARRIER BL, DOCUMENT ASSEMBLY, TERMINAL HANDLING, HANDLING FEE, VGM WEIGHING FEE-CFS AND FUEL SURCHANRGE</t>
        </is>
      </c>
      <c r="C857" t="inlineStr">
        <is>
          <t>អ៊ិចស្ពែឌីធ័រ ខេមបូឌា អិលធីឌី</t>
        </is>
      </c>
      <c r="D857" t="inlineStr">
        <is>
          <t>L001-100045898</t>
        </is>
      </c>
      <c r="E857" t="inlineStr">
        <is>
          <t>TI-0279638</t>
        </is>
      </c>
      <c r="F857" t="inlineStr">
        <is>
          <t>08-07-2024</t>
        </is>
      </c>
      <c r="G857" t="n">
        <v>120844</v>
      </c>
      <c r="I857">
        <f>G857</f>
        <v/>
      </c>
      <c r="K857">
        <f>I857-G857</f>
        <v/>
      </c>
      <c r="M857">
        <f>R857=E857</f>
        <v/>
      </c>
      <c r="N857">
        <f>AND(MONTH(F857)=MONTH(Q857), YEAR(F857)=YEAR(Q857))</f>
        <v/>
      </c>
      <c r="O857">
        <f>"L001-902303751"=S857</f>
        <v/>
      </c>
      <c r="P857">
        <f>G857-U857</f>
        <v/>
      </c>
      <c r="Q857" s="35" t="n">
        <v>45432</v>
      </c>
      <c r="R857" t="inlineStr"/>
      <c r="S857" t="inlineStr">
        <is>
          <t>L001-100045340</t>
        </is>
      </c>
      <c r="T857" t="inlineStr">
        <is>
          <t xml:space="preserve">ស៊ីវ៉ា អ៊ែរ អ៊ែន អូសៀន (ខេមបូឌា) ឯ.ក </t>
        </is>
      </c>
      <c r="U857" t="n">
        <v>0</v>
      </c>
      <c r="V857" t="n">
        <v>0</v>
      </c>
    </row>
    <row r="858">
      <c r="A858" t="n">
        <v>857</v>
      </c>
      <c r="B858" t="inlineStr">
        <is>
          <t>CFS HANDLING, CARRIER BL, DOCUMENT ASSEMBLY, TERMINAL HANDLING, HANDLING FEE, VGM PROCESSING FEE AND MANIFEST FEE</t>
        </is>
      </c>
      <c r="C858" t="inlineStr">
        <is>
          <t>អ៊ិចស្ពែឌីធ័រ ខេមបូឌា អិលធីឌី</t>
        </is>
      </c>
      <c r="D858" t="inlineStr">
        <is>
          <t>L001-100045898</t>
        </is>
      </c>
      <c r="E858" t="inlineStr">
        <is>
          <t>TI-0279626</t>
        </is>
      </c>
      <c r="F858" t="inlineStr">
        <is>
          <t>08-07-2024</t>
        </is>
      </c>
      <c r="G858" t="n">
        <v>84851</v>
      </c>
      <c r="I858">
        <f>G858</f>
        <v/>
      </c>
      <c r="K858">
        <f>I858-G858</f>
        <v/>
      </c>
      <c r="M858">
        <f>R858=E858</f>
        <v/>
      </c>
      <c r="N858">
        <f>AND(MONTH(F858)=MONTH(Q858), YEAR(F858)=YEAR(Q858))</f>
        <v/>
      </c>
      <c r="O858">
        <f>"L001-902303751"=S858</f>
        <v/>
      </c>
      <c r="P858">
        <f>G858-U858</f>
        <v/>
      </c>
      <c r="Q858" s="35" t="n">
        <v>45432</v>
      </c>
      <c r="R858" t="inlineStr"/>
      <c r="S858" t="inlineStr">
        <is>
          <t>L001-100045340</t>
        </is>
      </c>
      <c r="T858" t="inlineStr">
        <is>
          <t xml:space="preserve">ស៊ីវ៉ា អ៊ែរ អ៊ែន អូសៀន (ខេមបូឌា) ឯ.ក </t>
        </is>
      </c>
      <c r="U858" t="n">
        <v>0</v>
      </c>
      <c r="V858" t="n">
        <v>0</v>
      </c>
    </row>
    <row r="859">
      <c r="A859" t="n">
        <v>858</v>
      </c>
      <c r="B859" t="inlineStr">
        <is>
          <t>CFS HANDLING, CARRIER BL, DOCUMENT ASSEMBLY, TERMINAL HANDLING, HANDLING FEE, VGM PROCESSING FEE AND MANIFEST FEE</t>
        </is>
      </c>
      <c r="C859" t="inlineStr">
        <is>
          <t>អ៊ិចស្ពែឌីធ័រ ខេមបូឌា អិលធីឌី</t>
        </is>
      </c>
      <c r="D859" t="inlineStr">
        <is>
          <t>L001-100045898</t>
        </is>
      </c>
      <c r="E859" t="inlineStr">
        <is>
          <t>TI-0279634</t>
        </is>
      </c>
      <c r="F859" t="inlineStr">
        <is>
          <t>08-07-2024</t>
        </is>
      </c>
      <c r="G859" t="n">
        <v>146127</v>
      </c>
      <c r="I859">
        <f>G859</f>
        <v/>
      </c>
      <c r="K859">
        <f>I859-G859</f>
        <v/>
      </c>
      <c r="M859">
        <f>R859=E859</f>
        <v/>
      </c>
      <c r="N859">
        <f>AND(MONTH(F859)=MONTH(Q859), YEAR(F859)=YEAR(Q859))</f>
        <v/>
      </c>
      <c r="O859">
        <f>"L001-902303751"=S859</f>
        <v/>
      </c>
      <c r="P859">
        <f>G859-U859</f>
        <v/>
      </c>
      <c r="Q859" s="35" t="n">
        <v>45432</v>
      </c>
      <c r="R859" t="n">
        <v>112118</v>
      </c>
      <c r="S859" t="inlineStr">
        <is>
          <t>L001-107032791</t>
        </is>
      </c>
      <c r="T859" t="inlineStr">
        <is>
          <t>នីបផន អិចប្រេស (ខេមបូឌា) ខូ អិលធីឌី</t>
        </is>
      </c>
      <c r="U859" t="n">
        <v>112118</v>
      </c>
      <c r="V859" t="n">
        <v>0</v>
      </c>
    </row>
    <row r="860">
      <c r="A860" t="n">
        <v>859</v>
      </c>
      <c r="B860" t="inlineStr">
        <is>
          <t>CFS HANDLING, CARRIER BL, DOCUMENT ASSEMBLY, TERMINAL HANDLING, HANDLING FEE, VGM PROCESSING FEE AND MANIFEST FEE</t>
        </is>
      </c>
      <c r="C860" t="inlineStr">
        <is>
          <t>អ៊ិចស្ពែឌីធ័រ ខេមបូឌា អិលធីឌី</t>
        </is>
      </c>
      <c r="D860" t="inlineStr">
        <is>
          <t>L001-100045898</t>
        </is>
      </c>
      <c r="E860" t="inlineStr">
        <is>
          <t>TI-0279633</t>
        </is>
      </c>
      <c r="F860" t="inlineStr">
        <is>
          <t>08-07-2024</t>
        </is>
      </c>
      <c r="G860" t="n">
        <v>100882</v>
      </c>
      <c r="I860">
        <f>G860</f>
        <v/>
      </c>
      <c r="K860">
        <f>I860-G860</f>
        <v/>
      </c>
      <c r="M860">
        <f>R860=E860</f>
        <v/>
      </c>
      <c r="N860">
        <f>AND(MONTH(F860)=MONTH(Q860), YEAR(F860)=YEAR(Q860))</f>
        <v/>
      </c>
      <c r="O860">
        <f>"L001-902303751"=S860</f>
        <v/>
      </c>
      <c r="P860">
        <f>G860-U860</f>
        <v/>
      </c>
      <c r="Q860" s="35" t="n">
        <v>45427</v>
      </c>
      <c r="R860" t="inlineStr"/>
      <c r="S860" t="inlineStr">
        <is>
          <t>L001-107032791</t>
        </is>
      </c>
      <c r="T860" t="inlineStr">
        <is>
          <t>នីបផន អិចប្រេស (ខេមបូឌា) ខូ អិលធីឌី</t>
        </is>
      </c>
      <c r="U860" t="n">
        <v>0</v>
      </c>
      <c r="V860" t="n">
        <v>0</v>
      </c>
    </row>
    <row r="861">
      <c r="A861" t="n">
        <v>860</v>
      </c>
      <c r="B861" t="inlineStr">
        <is>
          <t>OM FORWARDING FEE, TERMINAL HANDLING, CARRIER BL, DOCUMENT ASSEMBLY, HANDLING FEE, VGM ADMIN FEE (FCL), CONTAINER SEAL AND MANIFEST FEE</t>
        </is>
      </c>
      <c r="C861" t="inlineStr">
        <is>
          <t>អ៊ិចស្ពែឌីធ័រ ខេមបូឌា អិលធីឌី</t>
        </is>
      </c>
      <c r="D861" t="inlineStr">
        <is>
          <t>L001-100045898</t>
        </is>
      </c>
      <c r="E861" t="inlineStr">
        <is>
          <t>TI-0279627</t>
        </is>
      </c>
      <c r="F861" t="inlineStr">
        <is>
          <t>08-07-2024</t>
        </is>
      </c>
      <c r="G861" t="n">
        <v>194005</v>
      </c>
      <c r="I861">
        <f>G861</f>
        <v/>
      </c>
      <c r="K861">
        <f>I861-G861</f>
        <v/>
      </c>
      <c r="M861">
        <f>R861=E861</f>
        <v/>
      </c>
      <c r="N861">
        <f>AND(MONTH(F861)=MONTH(Q861), YEAR(F861)=YEAR(Q861))</f>
        <v/>
      </c>
      <c r="O861">
        <f>"L001-902303751"=S861</f>
        <v/>
      </c>
      <c r="P861">
        <f>G861-U861</f>
        <v/>
      </c>
      <c r="Q861" s="35" t="n">
        <v>45413</v>
      </c>
      <c r="R861" t="n">
        <v>97942</v>
      </c>
      <c r="S861" t="inlineStr">
        <is>
          <t>L001-100045340</t>
        </is>
      </c>
      <c r="T861" t="inlineStr">
        <is>
          <t xml:space="preserve">ស៊ីវ៉ា អ៊ែរ អ៊ែន អូសៀន (ខេមបូឌា) ឯ.ក </t>
        </is>
      </c>
      <c r="U861" t="n">
        <v>97942</v>
      </c>
      <c r="V861" t="n">
        <v>0</v>
      </c>
    </row>
    <row r="862">
      <c r="A862" t="n">
        <v>861</v>
      </c>
      <c r="B862" t="inlineStr">
        <is>
          <t>CFS HANDLING, CARRIER BL, DOCUMENT ASSEMBLY, TERMINAL HANDLING, HANDLING FEE, VGM PROCESSING FEE AND MANIFEST FEE</t>
        </is>
      </c>
      <c r="C862" t="inlineStr">
        <is>
          <t>អ៊ិចស្ពែឌីធ័រ ខេមបូឌា អិលធីឌី</t>
        </is>
      </c>
      <c r="D862" t="inlineStr">
        <is>
          <t>L001-100045898</t>
        </is>
      </c>
      <c r="E862" t="inlineStr">
        <is>
          <t>TI-0279625</t>
        </is>
      </c>
      <c r="F862" t="inlineStr">
        <is>
          <t>08-07-2024</t>
        </is>
      </c>
      <c r="G862" t="n">
        <v>154167</v>
      </c>
      <c r="I862">
        <f>G862</f>
        <v/>
      </c>
      <c r="K862">
        <f>I862-G862</f>
        <v/>
      </c>
      <c r="M862">
        <f>R862=E862</f>
        <v/>
      </c>
      <c r="N862">
        <f>AND(MONTH(F862)=MONTH(Q862), YEAR(F862)=YEAR(Q862))</f>
        <v/>
      </c>
      <c r="O862">
        <f>"L001-902303751"=S862</f>
        <v/>
      </c>
      <c r="P862">
        <f>G862-U862</f>
        <v/>
      </c>
      <c r="Q862" s="35" t="n">
        <v>45419</v>
      </c>
      <c r="R862" t="inlineStr"/>
      <c r="S862" t="inlineStr">
        <is>
          <t>L001-107032791</t>
        </is>
      </c>
      <c r="T862" t="inlineStr">
        <is>
          <t>នីបផន អិចប្រេស (ខេមបូឌា) ខូ អិលធីឌី</t>
        </is>
      </c>
      <c r="U862" t="n">
        <v>0</v>
      </c>
      <c r="V862" t="n">
        <v>0</v>
      </c>
    </row>
    <row r="863">
      <c r="A863" t="n">
        <v>862</v>
      </c>
      <c r="B863" t="inlineStr">
        <is>
          <t>Export Adminstration Fee and Customs Processing Fee</t>
        </is>
      </c>
      <c r="C863" t="inlineStr">
        <is>
          <t>ជី លីង អិចប្រេស ឡូជីស្ទីក (ខេមបូឌា) លីមីធីត</t>
        </is>
      </c>
      <c r="D863" t="inlineStr">
        <is>
          <t>L001-100044956</t>
        </is>
      </c>
      <c r="E863" t="inlineStr">
        <is>
          <t>24155965</t>
        </is>
      </c>
      <c r="F863" t="inlineStr">
        <is>
          <t>04-07-2024</t>
        </is>
      </c>
      <c r="G863" t="n">
        <v>65888</v>
      </c>
      <c r="I863">
        <f>G863</f>
        <v/>
      </c>
      <c r="K863">
        <f>I863-G863</f>
        <v/>
      </c>
      <c r="M863">
        <f>R863=E863</f>
        <v/>
      </c>
      <c r="N863">
        <f>AND(MONTH(F863)=MONTH(Q863), YEAR(F863)=YEAR(Q863))</f>
        <v/>
      </c>
      <c r="O863">
        <f>"L001-902303751"=S863</f>
        <v/>
      </c>
      <c r="P863">
        <f>G863-U863</f>
        <v/>
      </c>
      <c r="Q863" s="35" t="n">
        <v>45439</v>
      </c>
      <c r="R863" t="inlineStr"/>
      <c r="S863" t="inlineStr">
        <is>
          <t>K005-901805913</t>
        </is>
      </c>
      <c r="T863" t="inlineStr">
        <is>
          <t>ស្តារ ខង់ខដ (ខេមបូឌា) ឯ.ក</t>
        </is>
      </c>
      <c r="U863" t="n">
        <v>0</v>
      </c>
      <c r="V863" t="n">
        <v>0</v>
      </c>
    </row>
    <row r="864">
      <c r="A864" t="n">
        <v>863</v>
      </c>
      <c r="B864" t="inlineStr">
        <is>
          <t>Export Adminstration Fee and Customs Processing Fee</t>
        </is>
      </c>
      <c r="C864" t="inlineStr">
        <is>
          <t>ជី លីង អិចប្រេស ឡូជីស្ទីក (ខេមបូឌា) លីមីធីត</t>
        </is>
      </c>
      <c r="D864" t="inlineStr">
        <is>
          <t>L001-100044956</t>
        </is>
      </c>
      <c r="E864" t="inlineStr">
        <is>
          <t>24156231</t>
        </is>
      </c>
      <c r="F864" t="inlineStr">
        <is>
          <t>15-07-2024</t>
        </is>
      </c>
      <c r="G864" t="n">
        <v>65696</v>
      </c>
      <c r="I864">
        <f>G864</f>
        <v/>
      </c>
      <c r="K864">
        <f>I864-G864</f>
        <v/>
      </c>
      <c r="M864">
        <f>R864=E864</f>
        <v/>
      </c>
      <c r="N864">
        <f>AND(MONTH(F864)=MONTH(Q864), YEAR(F864)=YEAR(Q864))</f>
        <v/>
      </c>
      <c r="O864">
        <f>"L001-902303751"=S864</f>
        <v/>
      </c>
      <c r="P864">
        <f>G864-U864</f>
        <v/>
      </c>
      <c r="Q864" s="35" t="n">
        <v>45439</v>
      </c>
      <c r="R864" t="inlineStr"/>
      <c r="S864" t="inlineStr">
        <is>
          <t>L001-104015799</t>
        </is>
      </c>
      <c r="T864" t="inlineStr">
        <is>
          <t>យូសេន ឡូជីស្ទីក (ខេមបូឌា) ខូ អិលធីឌី</t>
        </is>
      </c>
      <c r="U864" t="n">
        <v>0</v>
      </c>
      <c r="V864" t="n">
        <v>0</v>
      </c>
    </row>
    <row r="865">
      <c r="A865" t="n">
        <v>864</v>
      </c>
      <c r="B865" t="inlineStr">
        <is>
          <t>Documentation Origin, Handling Charges Origin, PLACI Fee, Airfreight and HAWB Transmission Fee</t>
        </is>
      </c>
      <c r="C865" t="inlineStr">
        <is>
          <t>ឌីប៊ី សេនឃើរ (ខេមបូឌា) លីមីធីត</t>
        </is>
      </c>
      <c r="D865" t="inlineStr">
        <is>
          <t>L001-107041723</t>
        </is>
      </c>
      <c r="E865" t="inlineStr">
        <is>
          <t>2400005531</t>
        </is>
      </c>
      <c r="F865" t="inlineStr">
        <is>
          <t>10-07-2024</t>
        </is>
      </c>
      <c r="G865" t="n">
        <v>50553</v>
      </c>
      <c r="I865">
        <f>G865</f>
        <v/>
      </c>
      <c r="K865">
        <f>I865-G865</f>
        <v/>
      </c>
      <c r="M865">
        <f>R865=E865</f>
        <v/>
      </c>
      <c r="N865">
        <f>AND(MONTH(F865)=MONTH(Q865), YEAR(F865)=YEAR(Q865))</f>
        <v/>
      </c>
      <c r="O865">
        <f>"L001-902303751"=S865</f>
        <v/>
      </c>
      <c r="P865">
        <f>G865-U865</f>
        <v/>
      </c>
      <c r="Q865" s="35" t="n">
        <v>45441</v>
      </c>
      <c r="R865" t="n">
        <v>112338</v>
      </c>
      <c r="S865" t="inlineStr">
        <is>
          <t>K005-100059945</t>
        </is>
      </c>
      <c r="T865" t="inlineStr">
        <is>
          <t>អ៊ែតវ៉ានស៍ គ្លរី ឡូជីស្ទីក (ខេមបូឌា) (អេ ជី អិល)</t>
        </is>
      </c>
      <c r="U865" t="n">
        <v>112338</v>
      </c>
      <c r="V865" t="n">
        <v>0</v>
      </c>
    </row>
    <row r="866">
      <c r="A866" t="n">
        <v>865</v>
      </c>
      <c r="B866" t="inlineStr">
        <is>
          <t>Documentation Origin, Handling Charges Origin, PLACI Fee, Airfreight and HAWB Transmission Fee</t>
        </is>
      </c>
      <c r="C866" t="inlineStr">
        <is>
          <t>ឌីប៊ី សេនឃើរ (ខេមបូឌា) លីមីធីត</t>
        </is>
      </c>
      <c r="D866" t="inlineStr">
        <is>
          <t>L001-107041723</t>
        </is>
      </c>
      <c r="E866" t="inlineStr">
        <is>
          <t>2400005606</t>
        </is>
      </c>
      <c r="F866" t="inlineStr">
        <is>
          <t>13-07-2024</t>
        </is>
      </c>
      <c r="G866" t="n">
        <v>50504</v>
      </c>
      <c r="I866">
        <f>G866</f>
        <v/>
      </c>
      <c r="K866">
        <f>I866-G866</f>
        <v/>
      </c>
      <c r="M866">
        <f>R866=E866</f>
        <v/>
      </c>
      <c r="N866">
        <f>AND(MONTH(F866)=MONTH(Q866), YEAR(F866)=YEAR(Q866))</f>
        <v/>
      </c>
      <c r="O866">
        <f>"L001-902303751"=S866</f>
        <v/>
      </c>
      <c r="P866">
        <f>G866-U866</f>
        <v/>
      </c>
      <c r="Q866" s="35" t="n">
        <v>45439</v>
      </c>
      <c r="R866" t="inlineStr"/>
      <c r="S866" t="inlineStr">
        <is>
          <t>K005-100150195</t>
        </is>
      </c>
      <c r="T866" t="inlineStr">
        <is>
          <t>អេស អ វី ស៊ី ហ្វ្រេត សឺវីស (ខេមបូឌា) ខូ អិលធីឌី</t>
        </is>
      </c>
      <c r="U866" t="n">
        <v>0</v>
      </c>
      <c r="V866" t="n">
        <v>0</v>
      </c>
    </row>
    <row r="867">
      <c r="A867" t="n">
        <v>866</v>
      </c>
      <c r="B867" t="inlineStr">
        <is>
          <t>HAWB FREIGHT, AWB FEE, OM FORWARDING FEE AND H/C</t>
        </is>
      </c>
      <c r="C867" t="inlineStr">
        <is>
          <t>អ៊ិចស្ពែឌីធ័រ ខេមបូឌា អិលធីឌី</t>
        </is>
      </c>
      <c r="D867" t="inlineStr">
        <is>
          <t>L001-100045898</t>
        </is>
      </c>
      <c r="E867" t="inlineStr">
        <is>
          <t>TI-0280303</t>
        </is>
      </c>
      <c r="F867" t="inlineStr">
        <is>
          <t>12-07-2024</t>
        </is>
      </c>
      <c r="G867" t="n">
        <v>47219</v>
      </c>
      <c r="I867">
        <f>G867</f>
        <v/>
      </c>
      <c r="K867">
        <f>I867-G867</f>
        <v/>
      </c>
      <c r="M867">
        <f>R867=E867</f>
        <v/>
      </c>
      <c r="N867">
        <f>AND(MONTH(F867)=MONTH(Q867), YEAR(F867)=YEAR(Q867))</f>
        <v/>
      </c>
      <c r="O867">
        <f>"L001-902303751"=S867</f>
        <v/>
      </c>
      <c r="P867">
        <f>G867-U867</f>
        <v/>
      </c>
      <c r="Q867" s="35" t="n">
        <v>45439</v>
      </c>
      <c r="R867" t="n">
        <v>112228</v>
      </c>
      <c r="S867" t="inlineStr">
        <is>
          <t>L001-107032791</t>
        </is>
      </c>
      <c r="T867" t="inlineStr">
        <is>
          <t>នីបផន អិចប្រេស (ខេមបូឌា) ខូ អិលធីឌី</t>
        </is>
      </c>
      <c r="U867" t="n">
        <v>112228</v>
      </c>
      <c r="V867" t="n">
        <v>0</v>
      </c>
    </row>
    <row r="868">
      <c r="A868" t="n">
        <v>867</v>
      </c>
      <c r="B868" t="inlineStr">
        <is>
          <t>Documentation Origin, Handling Charges Origin, Airfreight, PLACI Fee, and HAWB Transmission Fee</t>
        </is>
      </c>
      <c r="C868" t="inlineStr">
        <is>
          <t>ឌីប៊ី សេនឃើរ (ខេមបូឌា) លីមីធីត</t>
        </is>
      </c>
      <c r="D868" t="inlineStr">
        <is>
          <t>L001-107041723</t>
        </is>
      </c>
      <c r="E868" t="inlineStr">
        <is>
          <t>2400005692</t>
        </is>
      </c>
      <c r="F868" t="inlineStr">
        <is>
          <t>17-07-2024</t>
        </is>
      </c>
      <c r="G868" t="n">
        <v>50516</v>
      </c>
      <c r="I868">
        <f>G868</f>
        <v/>
      </c>
      <c r="K868">
        <f>I868-G868</f>
        <v/>
      </c>
      <c r="M868">
        <f>R868=E868</f>
        <v/>
      </c>
      <c r="N868">
        <f>AND(MONTH(F868)=MONTH(Q868), YEAR(F868)=YEAR(Q868))</f>
        <v/>
      </c>
      <c r="O868">
        <f>"L001-902303751"=S868</f>
        <v/>
      </c>
      <c r="P868">
        <f>G868-U868</f>
        <v/>
      </c>
      <c r="Q868" s="35" t="n">
        <v>45439</v>
      </c>
      <c r="R868" t="inlineStr"/>
      <c r="S868" t="inlineStr">
        <is>
          <t>L001-100011888</t>
        </is>
      </c>
      <c r="T868" t="inlineStr">
        <is>
          <t>ត្រេន ស្តារ ហ្រេ្វត</t>
        </is>
      </c>
      <c r="U868" t="n">
        <v>0</v>
      </c>
      <c r="V868" t="n">
        <v>0</v>
      </c>
    </row>
    <row r="869">
      <c r="A869" t="n">
        <v>868</v>
      </c>
      <c r="B869" t="inlineStr">
        <is>
          <t>HAWB FREIGHT, OM FORWARDING FEE, H/C AND AWB FEE</t>
        </is>
      </c>
      <c r="C869" t="inlineStr">
        <is>
          <t>អ៊ិចស្ពែឌីធ័រ ខេមបូឌា អិលធីឌី</t>
        </is>
      </c>
      <c r="D869" t="inlineStr">
        <is>
          <t>L001-100045898</t>
        </is>
      </c>
      <c r="E869" t="inlineStr">
        <is>
          <t>TI-0280709</t>
        </is>
      </c>
      <c r="F869" t="inlineStr">
        <is>
          <t>16-07-2024</t>
        </is>
      </c>
      <c r="G869" t="n">
        <v>47219</v>
      </c>
      <c r="I869">
        <f>G869</f>
        <v/>
      </c>
      <c r="K869">
        <f>I869-G869</f>
        <v/>
      </c>
      <c r="M869">
        <f>R869=E869</f>
        <v/>
      </c>
      <c r="N869">
        <f>AND(MONTH(F869)=MONTH(Q869), YEAR(F869)=YEAR(Q869))</f>
        <v/>
      </c>
      <c r="O869">
        <f>"L001-902303751"=S869</f>
        <v/>
      </c>
      <c r="P869">
        <f>G869-U869</f>
        <v/>
      </c>
      <c r="Q869" s="35" t="n">
        <v>45432</v>
      </c>
      <c r="R869" t="n">
        <v>298844</v>
      </c>
      <c r="S869" t="inlineStr">
        <is>
          <t>L001-100074669</t>
        </is>
      </c>
      <c r="T869" t="inlineStr">
        <is>
          <t>ខេអិលអិន ហ្វ្រេត (ខេមបូឌា) ឯ.ក</t>
        </is>
      </c>
      <c r="U869" t="n">
        <v>298844</v>
      </c>
      <c r="V869" t="n">
        <v>0</v>
      </c>
    </row>
    <row r="870">
      <c r="A870" t="n">
        <v>869</v>
      </c>
      <c r="B870" t="inlineStr">
        <is>
          <t>Documentation Origin, Handling Charges Origin, Airfreight, PLACI Fee, and HAWB Transmission Fee</t>
        </is>
      </c>
      <c r="C870" t="inlineStr">
        <is>
          <t>ឌីប៊ី សេនឃើរ (ខេមបូឌា) លីមីធីត</t>
        </is>
      </c>
      <c r="D870" t="inlineStr">
        <is>
          <t>L001-107041723</t>
        </is>
      </c>
      <c r="E870" t="inlineStr">
        <is>
          <t>2400005522</t>
        </is>
      </c>
      <c r="F870" t="inlineStr">
        <is>
          <t>10-07-2024</t>
        </is>
      </c>
      <c r="G870" t="n">
        <v>50553</v>
      </c>
      <c r="I870">
        <f>G870</f>
        <v/>
      </c>
      <c r="K870">
        <f>I870-G870</f>
        <v/>
      </c>
      <c r="M870">
        <f>R870=E870</f>
        <v/>
      </c>
      <c r="N870">
        <f>AND(MONTH(F870)=MONTH(Q870), YEAR(F870)=YEAR(Q870))</f>
        <v/>
      </c>
      <c r="O870">
        <f>"L001-902303751"=S870</f>
        <v/>
      </c>
      <c r="P870">
        <f>G870-U870</f>
        <v/>
      </c>
      <c r="Q870" s="35" t="n">
        <v>45432</v>
      </c>
      <c r="R870" t="n">
        <v>201812</v>
      </c>
      <c r="S870" t="inlineStr">
        <is>
          <t>K005-100099521</t>
        </is>
      </c>
      <c r="T870" t="inlineStr">
        <is>
          <t>ខាហ្គោផត (ខេមបូឌា)</t>
        </is>
      </c>
      <c r="U870" t="n">
        <v>201812</v>
      </c>
      <c r="V870" t="n">
        <v>0</v>
      </c>
    </row>
    <row r="871">
      <c r="A871" t="n">
        <v>870</v>
      </c>
      <c r="B871" t="inlineStr">
        <is>
          <t>HAWB FREIGHT, OM FORWARDING FEE, H/C AND AWB FEE</t>
        </is>
      </c>
      <c r="C871" t="inlineStr">
        <is>
          <t>អ៊ិចស្ពែឌីធ័រ ខេមបូឌា អិលធីឌី</t>
        </is>
      </c>
      <c r="D871" t="inlineStr">
        <is>
          <t>L001-100045898</t>
        </is>
      </c>
      <c r="E871" t="inlineStr">
        <is>
          <t>TI-0280758</t>
        </is>
      </c>
      <c r="F871" t="inlineStr">
        <is>
          <t>16-07-2024</t>
        </is>
      </c>
      <c r="G871" t="n">
        <v>47219</v>
      </c>
      <c r="I871">
        <f>G871</f>
        <v/>
      </c>
      <c r="K871">
        <f>I871-G871</f>
        <v/>
      </c>
      <c r="M871">
        <f>R871=E871</f>
        <v/>
      </c>
      <c r="N871">
        <f>AND(MONTH(F871)=MONTH(Q871), YEAR(F871)=YEAR(Q871))</f>
        <v/>
      </c>
      <c r="O871">
        <f>"L001-902303751"=S871</f>
        <v/>
      </c>
      <c r="P871">
        <f>G871-U871</f>
        <v/>
      </c>
      <c r="Q871" s="35" t="n">
        <v>45432</v>
      </c>
      <c r="R871" t="inlineStr"/>
      <c r="S871" t="inlineStr">
        <is>
          <t>K005-901805913</t>
        </is>
      </c>
      <c r="T871" t="inlineStr">
        <is>
          <t>ស្តារ ខង់ខដ (ខេមបូឌា) ឯ.ក</t>
        </is>
      </c>
      <c r="U871" t="n">
        <v>0</v>
      </c>
      <c r="V871" t="n">
        <v>0</v>
      </c>
    </row>
    <row r="872">
      <c r="A872" t="n">
        <v>871</v>
      </c>
      <c r="B872" t="inlineStr">
        <is>
          <t>Documentation Origin, Handling Charges Origin, Airfreight, PLACI Fee and HAWB Transmission Fee</t>
        </is>
      </c>
      <c r="C872" t="inlineStr">
        <is>
          <t>ឌីប៊ី សេនឃើរ (ខេមបូឌា) លីមីធីត</t>
        </is>
      </c>
      <c r="D872" t="inlineStr">
        <is>
          <t>L001-107041723</t>
        </is>
      </c>
      <c r="E872" t="inlineStr">
        <is>
          <t>2400005913</t>
        </is>
      </c>
      <c r="F872" t="inlineStr">
        <is>
          <t>24-07-2024</t>
        </is>
      </c>
      <c r="G872" t="n">
        <v>50516</v>
      </c>
      <c r="I872">
        <f>G872</f>
        <v/>
      </c>
      <c r="K872">
        <f>I872-G872</f>
        <v/>
      </c>
      <c r="M872">
        <f>R872=E872</f>
        <v/>
      </c>
      <c r="N872">
        <f>AND(MONTH(F872)=MONTH(Q872), YEAR(F872)=YEAR(Q872))</f>
        <v/>
      </c>
      <c r="O872">
        <f>"L001-902303751"=S872</f>
        <v/>
      </c>
      <c r="P872">
        <f>G872-U872</f>
        <v/>
      </c>
      <c r="Q872" s="35" t="n">
        <v>45429</v>
      </c>
      <c r="R872" t="inlineStr"/>
      <c r="S872" t="inlineStr">
        <is>
          <t>L001-901500191</t>
        </is>
      </c>
      <c r="T872" t="inlineStr">
        <is>
          <t>អ.អិន.វ៉ាយ ត្រេនស្ព័ត</t>
        </is>
      </c>
      <c r="U872" t="n">
        <v>0</v>
      </c>
      <c r="V872" t="n">
        <v>0</v>
      </c>
    </row>
    <row r="873">
      <c r="A873" t="n">
        <v>872</v>
      </c>
      <c r="B873" t="inlineStr">
        <is>
          <t>Documentation Origin, Handling Charges Origin, Airfreight, PLACI Fee and HAWB Transmission Fee</t>
        </is>
      </c>
      <c r="C873" t="inlineStr">
        <is>
          <t>ឌីប៊ី សេនឃើរ (ខេមបូឌា) លីមីធីត</t>
        </is>
      </c>
      <c r="D873" t="inlineStr">
        <is>
          <t>L001-107041723</t>
        </is>
      </c>
      <c r="E873" t="inlineStr">
        <is>
          <t>2400005896</t>
        </is>
      </c>
      <c r="F873" t="inlineStr">
        <is>
          <t>24-07-2024</t>
        </is>
      </c>
      <c r="G873" t="n">
        <v>50516</v>
      </c>
      <c r="I873">
        <f>G873</f>
        <v/>
      </c>
      <c r="K873">
        <f>I873-G873</f>
        <v/>
      </c>
      <c r="M873">
        <f>R873=E873</f>
        <v/>
      </c>
      <c r="N873">
        <f>AND(MONTH(F873)=MONTH(Q873), YEAR(F873)=YEAR(Q873))</f>
        <v/>
      </c>
      <c r="O873">
        <f>"L001-902303751"=S873</f>
        <v/>
      </c>
      <c r="P873">
        <f>G873-U873</f>
        <v/>
      </c>
      <c r="Q873" s="35" t="n">
        <v>45432</v>
      </c>
      <c r="R873" t="n">
        <v>112118</v>
      </c>
      <c r="S873" t="inlineStr">
        <is>
          <t>L001-107032791</t>
        </is>
      </c>
      <c r="T873" t="inlineStr">
        <is>
          <t>នីបផន អិចប្រេស (ខេមបូឌា) ខូ អិលធីឌី</t>
        </is>
      </c>
      <c r="U873" t="n">
        <v>112118</v>
      </c>
      <c r="V873" t="n">
        <v>0</v>
      </c>
    </row>
    <row r="874">
      <c r="A874" t="n">
        <v>873</v>
      </c>
      <c r="B874" t="inlineStr">
        <is>
          <t>Documentation Origin, Handling Charges Origin, Airfreight, PLACI Fee and HAWB Transmission Fee</t>
        </is>
      </c>
      <c r="C874" t="inlineStr">
        <is>
          <t>ឌីប៊ី សេនឃើរ (ខេមបូឌា) លីមីធីត</t>
        </is>
      </c>
      <c r="D874" t="inlineStr">
        <is>
          <t>L001-107041723</t>
        </is>
      </c>
      <c r="E874" t="inlineStr">
        <is>
          <t>2400006150</t>
        </is>
      </c>
      <c r="F874" t="inlineStr">
        <is>
          <t>30-07-2024</t>
        </is>
      </c>
      <c r="G874" t="n">
        <v>50516</v>
      </c>
      <c r="I874">
        <f>G874</f>
        <v/>
      </c>
      <c r="K874">
        <f>I874-G874</f>
        <v/>
      </c>
      <c r="M874">
        <f>R874=E874</f>
        <v/>
      </c>
      <c r="N874">
        <f>AND(MONTH(F874)=MONTH(Q874), YEAR(F874)=YEAR(Q874))</f>
        <v/>
      </c>
      <c r="O874">
        <f>"L001-902303751"=S874</f>
        <v/>
      </c>
      <c r="P874">
        <f>G874-U874</f>
        <v/>
      </c>
      <c r="Q874" s="35" t="n">
        <v>45427</v>
      </c>
      <c r="R874" t="inlineStr"/>
      <c r="S874" t="inlineStr">
        <is>
          <t>L001-107032791</t>
        </is>
      </c>
      <c r="T874" t="inlineStr">
        <is>
          <t>នីបផន អិចប្រេស (ខេមបូឌា) ខូ អិលធីឌី</t>
        </is>
      </c>
      <c r="U874" t="n">
        <v>0</v>
      </c>
      <c r="V874" t="n">
        <v>0</v>
      </c>
    </row>
    <row r="875">
      <c r="A875" t="n">
        <v>874</v>
      </c>
      <c r="B875" t="inlineStr">
        <is>
          <t>AWB FEE, OM FORWARDING FEE AND H/C</t>
        </is>
      </c>
      <c r="C875" t="inlineStr">
        <is>
          <t>អ៊ិចស្ពែឌីធ័រ ខេមបូឌា អិលធីឌី</t>
        </is>
      </c>
      <c r="D875" t="inlineStr">
        <is>
          <t>L001-100045898</t>
        </is>
      </c>
      <c r="E875" t="inlineStr">
        <is>
          <t>TI-0279426</t>
        </is>
      </c>
      <c r="F875" t="inlineStr">
        <is>
          <t>05-07-2024</t>
        </is>
      </c>
      <c r="G875" t="n">
        <v>47346</v>
      </c>
      <c r="I875">
        <f>G875</f>
        <v/>
      </c>
      <c r="K875">
        <f>I875-G875</f>
        <v/>
      </c>
      <c r="M875">
        <f>R875=E875</f>
        <v/>
      </c>
      <c r="N875">
        <f>AND(MONTH(F875)=MONTH(Q875), YEAR(F875)=YEAR(Q875))</f>
        <v/>
      </c>
      <c r="O875">
        <f>"L001-902303751"=S875</f>
        <v/>
      </c>
      <c r="P875">
        <f>G875-U875</f>
        <v/>
      </c>
      <c r="Q875" s="35" t="n">
        <v>45427</v>
      </c>
      <c r="R875" t="n">
        <v>112173</v>
      </c>
      <c r="S875" t="inlineStr">
        <is>
          <t>L001-107032791</t>
        </is>
      </c>
      <c r="T875" t="inlineStr">
        <is>
          <t>នីបផន អិចប្រេស (ខេមបូឌា) ខូ អិលធីឌី</t>
        </is>
      </c>
      <c r="U875" t="n">
        <v>112173</v>
      </c>
      <c r="V875" t="n">
        <v>0</v>
      </c>
    </row>
    <row r="876">
      <c r="A876" t="n">
        <v>875</v>
      </c>
      <c r="B876" t="inlineStr">
        <is>
          <t>Documentation Origin, Handling Charges Origin, PLACI Fee and HAWB Transmission Fee</t>
        </is>
      </c>
      <c r="C876" t="inlineStr">
        <is>
          <t>ឌីប៊ី សេនឃើរ (ខេមបូឌា) លីមីធីត</t>
        </is>
      </c>
      <c r="D876" t="inlineStr">
        <is>
          <t>L001-107041723</t>
        </is>
      </c>
      <c r="E876" t="inlineStr">
        <is>
          <t>2400005914</t>
        </is>
      </c>
      <c r="F876" t="inlineStr">
        <is>
          <t>24-07-2024</t>
        </is>
      </c>
      <c r="G876" t="n">
        <v>50516</v>
      </c>
      <c r="I876">
        <f>G876</f>
        <v/>
      </c>
      <c r="K876">
        <f>I876-G876</f>
        <v/>
      </c>
      <c r="M876">
        <f>R876=E876</f>
        <v/>
      </c>
      <c r="N876">
        <f>AND(MONTH(F876)=MONTH(Q876), YEAR(F876)=YEAR(Q876))</f>
        <v/>
      </c>
      <c r="O876">
        <f>"L001-902303751"=S876</f>
        <v/>
      </c>
      <c r="P876">
        <f>G876-U876</f>
        <v/>
      </c>
      <c r="Q876" s="35" t="n">
        <v>45427</v>
      </c>
      <c r="R876" t="n">
        <v>114620</v>
      </c>
      <c r="S876" t="inlineStr">
        <is>
          <t>K005-901805913</t>
        </is>
      </c>
      <c r="T876" t="inlineStr">
        <is>
          <t>ស្តារ ខង់ខដ (ខេមបូឌា) ឯ.ក</t>
        </is>
      </c>
      <c r="U876" t="n">
        <v>114620</v>
      </c>
      <c r="V876" t="n">
        <v>0</v>
      </c>
    </row>
    <row r="877">
      <c r="A877" t="n">
        <v>876</v>
      </c>
      <c r="B877" t="inlineStr">
        <is>
          <t>Documentation Origin, Handling Charges Origin, PLACI Fee and HAWB Transmission Fee</t>
        </is>
      </c>
      <c r="C877" t="inlineStr">
        <is>
          <t>ឌីប៊ី សេនឃើរ (ខេមបូឌា) លីមីធីត</t>
        </is>
      </c>
      <c r="D877" t="inlineStr">
        <is>
          <t>L001-107041723</t>
        </is>
      </c>
      <c r="E877" t="inlineStr">
        <is>
          <t>2400005901</t>
        </is>
      </c>
      <c r="F877" t="inlineStr">
        <is>
          <t>24-07-2024</t>
        </is>
      </c>
      <c r="G877" t="n">
        <v>50516</v>
      </c>
      <c r="I877">
        <f>G877</f>
        <v/>
      </c>
      <c r="K877">
        <f>I877-G877</f>
        <v/>
      </c>
      <c r="M877">
        <f>R877=E877</f>
        <v/>
      </c>
      <c r="N877">
        <f>AND(MONTH(F877)=MONTH(Q877), YEAR(F877)=YEAR(Q877))</f>
        <v/>
      </c>
      <c r="O877">
        <f>"L001-902303751"=S877</f>
        <v/>
      </c>
      <c r="P877">
        <f>G877-U877</f>
        <v/>
      </c>
      <c r="Q877" s="35" t="n">
        <v>45419</v>
      </c>
      <c r="R877" t="inlineStr"/>
      <c r="S877" t="inlineStr">
        <is>
          <t>K005-901805913</t>
        </is>
      </c>
      <c r="T877" t="inlineStr">
        <is>
          <t>ស្តារ ខង់ខដ (ខេមបូឌា) ឯ.ក</t>
        </is>
      </c>
      <c r="U877" t="n">
        <v>0</v>
      </c>
      <c r="V877" t="n">
        <v>0</v>
      </c>
    </row>
    <row r="878">
      <c r="A878" t="n">
        <v>877</v>
      </c>
      <c r="B878" t="inlineStr">
        <is>
          <t>Export Administration Fee, Port Formality and Service Charge</t>
        </is>
      </c>
      <c r="C878" t="inlineStr">
        <is>
          <t>ឆាយ ដា ឡូយីស្ទីក</t>
        </is>
      </c>
      <c r="D878" t="inlineStr">
        <is>
          <t>L001-100063098</t>
        </is>
      </c>
      <c r="E878" t="inlineStr">
        <is>
          <t>2407010509</t>
        </is>
      </c>
      <c r="F878" t="inlineStr">
        <is>
          <t>24-07-2024</t>
        </is>
      </c>
      <c r="G878" t="n">
        <v>77622</v>
      </c>
      <c r="I878">
        <f>G878</f>
        <v/>
      </c>
      <c r="K878">
        <f>I878-G878</f>
        <v/>
      </c>
      <c r="M878">
        <f>R878=E878</f>
        <v/>
      </c>
      <c r="N878">
        <f>AND(MONTH(F878)=MONTH(Q878), YEAR(F878)=YEAR(Q878))</f>
        <v/>
      </c>
      <c r="O878">
        <f>"L001-902303751"=S878</f>
        <v/>
      </c>
      <c r="P878">
        <f>G878-U878</f>
        <v/>
      </c>
      <c r="Q878" s="35" t="n">
        <v>45419</v>
      </c>
      <c r="R878" t="n">
        <v>83538</v>
      </c>
      <c r="S878" t="inlineStr">
        <is>
          <t>L001-107032791</t>
        </is>
      </c>
      <c r="T878" t="inlineStr">
        <is>
          <t>នីបផន អិចប្រេស (ខេមបូឌា) ខូ អិលធីឌី</t>
        </is>
      </c>
      <c r="U878" t="n">
        <v>83538</v>
      </c>
      <c r="V878" t="n">
        <v>0</v>
      </c>
    </row>
    <row r="879">
      <c r="A879" t="n">
        <v>878</v>
      </c>
      <c r="B879" t="inlineStr">
        <is>
          <t>Export Administration Fee, Port Formality and Service Charge</t>
        </is>
      </c>
      <c r="C879" t="inlineStr">
        <is>
          <t>ឆាយ ដា ឡូយីស្ទីក</t>
        </is>
      </c>
      <c r="D879" t="inlineStr">
        <is>
          <t>L001-100063098</t>
        </is>
      </c>
      <c r="E879" t="inlineStr">
        <is>
          <t>2407010560</t>
        </is>
      </c>
      <c r="F879" t="inlineStr">
        <is>
          <t>24-07-2024</t>
        </is>
      </c>
      <c r="G879" t="n">
        <v>77622</v>
      </c>
      <c r="I879">
        <f>G879</f>
        <v/>
      </c>
      <c r="K879">
        <f>I879-G879</f>
        <v/>
      </c>
      <c r="M879">
        <f>R879=E879</f>
        <v/>
      </c>
      <c r="N879">
        <f>AND(MONTH(F879)=MONTH(Q879), YEAR(F879)=YEAR(Q879))</f>
        <v/>
      </c>
      <c r="O879">
        <f>"L001-902303751"=S879</f>
        <v/>
      </c>
      <c r="P879">
        <f>G879-U879</f>
        <v/>
      </c>
      <c r="Q879" s="35" t="n">
        <v>45427</v>
      </c>
      <c r="R879" t="inlineStr"/>
      <c r="S879" t="inlineStr">
        <is>
          <t>K002-901800477</t>
        </is>
      </c>
      <c r="T879" t="inlineStr">
        <is>
          <t>អាយធីអាយ អ៊ិនធើណេសិនណល ត្រេនស័្ពរថេសិន (ខេមបូឌា) ឯ.ក</t>
        </is>
      </c>
      <c r="U879" t="n">
        <v>0</v>
      </c>
      <c r="V879" t="n">
        <v>0</v>
      </c>
    </row>
    <row r="880">
      <c r="A880" t="n">
        <v>879</v>
      </c>
      <c r="B880" t="inlineStr">
        <is>
          <t>CFS CHARGES, BILL OF LADING FEE, THC CHARGES AND FCR FEE</t>
        </is>
      </c>
      <c r="C880" t="inlineStr">
        <is>
          <t>អ៊ិចស្ពែឌីធ័រ ខេមបូឌា អិលធីឌី</t>
        </is>
      </c>
      <c r="D880" t="inlineStr">
        <is>
          <t>L001-100045898</t>
        </is>
      </c>
      <c r="E880" t="inlineStr">
        <is>
          <t>TI-0281946</t>
        </is>
      </c>
      <c r="F880" t="inlineStr">
        <is>
          <t>25-07-2024</t>
        </is>
      </c>
      <c r="G880" t="n">
        <v>86813</v>
      </c>
      <c r="I880">
        <f>G880</f>
        <v/>
      </c>
      <c r="K880">
        <f>I880-G880</f>
        <v/>
      </c>
      <c r="M880">
        <f>R880=E880</f>
        <v/>
      </c>
      <c r="N880">
        <f>AND(MONTH(F880)=MONTH(Q880), YEAR(F880)=YEAR(Q880))</f>
        <v/>
      </c>
      <c r="O880">
        <f>"L001-902303751"=S880</f>
        <v/>
      </c>
      <c r="P880">
        <f>G880-U880</f>
        <v/>
      </c>
      <c r="Q880" s="35" t="n">
        <v>45427</v>
      </c>
      <c r="R880" t="n">
        <v>83620</v>
      </c>
      <c r="S880" t="inlineStr">
        <is>
          <t>K002-901800477</t>
        </is>
      </c>
      <c r="T880" t="inlineStr">
        <is>
          <t>អាយធីអាយ អ៊ិនធើណេសិនណល ត្រេនស័្ពរថេសិន (ខេមបូឌា) ឯ.ក</t>
        </is>
      </c>
      <c r="U880" t="n">
        <v>83620</v>
      </c>
      <c r="V880" t="n">
        <v>0</v>
      </c>
    </row>
    <row r="881">
      <c r="A881" t="n">
        <v>880</v>
      </c>
      <c r="B881" t="inlineStr">
        <is>
          <t>Documentation Origin, Handling Charges Origin, Overtime standby Fee, PLACI Fee and HAWB Transmission Fee</t>
        </is>
      </c>
      <c r="C881" t="inlineStr">
        <is>
          <t>ឌីប៊ី សេនឃើរ (ខេមបូឌា) លីមីធីត</t>
        </is>
      </c>
      <c r="D881" t="inlineStr">
        <is>
          <t>L001-107041723</t>
        </is>
      </c>
      <c r="E881" t="inlineStr">
        <is>
          <t>2400006057</t>
        </is>
      </c>
      <c r="F881" t="inlineStr">
        <is>
          <t>26-07-2024</t>
        </is>
      </c>
      <c r="G881" t="n">
        <v>70965</v>
      </c>
      <c r="I881">
        <f>G881</f>
        <v/>
      </c>
      <c r="K881">
        <f>I881-G881</f>
        <v/>
      </c>
      <c r="M881">
        <f>R881=E881</f>
        <v/>
      </c>
      <c r="N881">
        <f>AND(MONTH(F881)=MONTH(Q881), YEAR(F881)=YEAR(Q881))</f>
        <v/>
      </c>
      <c r="O881">
        <f>"L001-902303751"=S881</f>
        <v/>
      </c>
      <c r="P881">
        <f>G881-U881</f>
        <v/>
      </c>
      <c r="Q881" s="35" t="n">
        <v>45441</v>
      </c>
      <c r="R881" t="inlineStr"/>
      <c r="S881" t="inlineStr">
        <is>
          <t>K005-100059945</t>
        </is>
      </c>
      <c r="T881" t="inlineStr">
        <is>
          <t>អ៊ែតវ៉ានស៍ គ្លរី ឡូជីស្ទីក (ខេមបូឌា) (អេ ជី អិល)</t>
        </is>
      </c>
      <c r="U881" t="n">
        <v>0</v>
      </c>
      <c r="V881" t="n">
        <v>0</v>
      </c>
    </row>
    <row r="882">
      <c r="A882" t="n">
        <v>881</v>
      </c>
      <c r="B882" t="inlineStr">
        <is>
          <t>Customs Clearance of LCL shipment, THC Charge of LCL, CFS Charge of LCL, Trucking Fee of LCL, Cargo Handling Fee and Bill Fee or Document Fee</t>
        </is>
      </c>
      <c r="C882" t="inlineStr">
        <is>
          <t>អេវើរស្តារ ស៊ីលែនឌែរ</t>
        </is>
      </c>
      <c r="D882" t="inlineStr">
        <is>
          <t>K002-100160492</t>
        </is>
      </c>
      <c r="E882" t="inlineStr">
        <is>
          <t>TI-2024-045</t>
        </is>
      </c>
      <c r="F882" t="inlineStr">
        <is>
          <t>29-07-2024</t>
        </is>
      </c>
      <c r="G882" t="n">
        <v>118671</v>
      </c>
      <c r="I882">
        <f>G882</f>
        <v/>
      </c>
      <c r="K882">
        <f>I882-G882</f>
        <v/>
      </c>
      <c r="M882">
        <f>R882=E882</f>
        <v/>
      </c>
      <c r="N882">
        <f>AND(MONTH(F882)=MONTH(Q882), YEAR(F882)=YEAR(Q882))</f>
        <v/>
      </c>
      <c r="O882">
        <f>"L001-902303751"=S882</f>
        <v/>
      </c>
      <c r="P882">
        <f>G882-U882</f>
        <v/>
      </c>
      <c r="Q882" s="35" t="n">
        <v>45429</v>
      </c>
      <c r="R882" t="inlineStr"/>
      <c r="S882" t="inlineStr">
        <is>
          <t>K003-901635943</t>
        </is>
      </c>
      <c r="T882" t="inlineStr">
        <is>
          <t>អ៊ីឃ្យូឡាញ វើលវ៉ាយដ៍ ឡូជីស្ទីក</t>
        </is>
      </c>
      <c r="U882" t="n">
        <v>0</v>
      </c>
      <c r="V882" t="n">
        <v>0</v>
      </c>
    </row>
    <row r="883">
      <c r="A883" t="n">
        <v>882</v>
      </c>
      <c r="B883" t="inlineStr">
        <is>
          <t>CFS HANDLING, CARRIER BL, DOCUMENT ASSEMBLY, TERMINAL HANDLING, HANDLING FEE, VGM WEIGHING FEE-CFS AND FUEL SURCHARGE</t>
        </is>
      </c>
      <c r="C883" t="inlineStr">
        <is>
          <t>អ៊ិចស្ពែឌីធ័រ ខេមបូឌា អិលធីឌី</t>
        </is>
      </c>
      <c r="D883" t="inlineStr">
        <is>
          <t>L001-100045898</t>
        </is>
      </c>
      <c r="E883" t="inlineStr">
        <is>
          <t>TI-0282369</t>
        </is>
      </c>
      <c r="F883" t="inlineStr">
        <is>
          <t>28-07-2024</t>
        </is>
      </c>
      <c r="G883" t="n">
        <v>568071</v>
      </c>
      <c r="I883">
        <f>G883</f>
        <v/>
      </c>
      <c r="K883">
        <f>I883-G883</f>
        <v/>
      </c>
      <c r="M883">
        <f>R883=E883</f>
        <v/>
      </c>
      <c r="N883">
        <f>AND(MONTH(F883)=MONTH(Q883), YEAR(F883)=YEAR(Q883))</f>
        <v/>
      </c>
      <c r="O883">
        <f>"L001-902303751"=S883</f>
        <v/>
      </c>
      <c r="P883">
        <f>G883-U883</f>
        <v/>
      </c>
      <c r="Q883" s="35" t="n">
        <v>45432</v>
      </c>
      <c r="R883" t="n">
        <v>2870208</v>
      </c>
      <c r="S883" t="inlineStr">
        <is>
          <t>K004-105012505</t>
        </is>
      </c>
      <c r="T883" t="inlineStr">
        <is>
          <t>អេស៊ាន ហ្វ្រេត (ខេមបូឌា)</t>
        </is>
      </c>
      <c r="U883" t="n">
        <v>2870208</v>
      </c>
      <c r="V883" t="n">
        <v>0</v>
      </c>
    </row>
    <row r="884">
      <c r="A884" t="n">
        <v>883</v>
      </c>
      <c r="B884" t="inlineStr">
        <is>
          <t>Customs Clearance Fee</t>
        </is>
      </c>
      <c r="C884" t="inlineStr">
        <is>
          <t>ត្រាយអ៊ែងហ្គល ឡូជីស្ទីក (ខេមបូឌា) ឯ.ក</t>
        </is>
      </c>
      <c r="D884" t="inlineStr">
        <is>
          <t>K010-902101743</t>
        </is>
      </c>
      <c r="E884" t="inlineStr">
        <is>
          <t>TAG-24-00502</t>
        </is>
      </c>
      <c r="F884" t="inlineStr">
        <is>
          <t>30-07-2024</t>
        </is>
      </c>
      <c r="G884" t="n">
        <v>8214</v>
      </c>
      <c r="I884">
        <f>G884</f>
        <v/>
      </c>
      <c r="K884">
        <f>I884-G884</f>
        <v/>
      </c>
      <c r="M884">
        <f>R884=E884</f>
        <v/>
      </c>
      <c r="N884">
        <f>AND(MONTH(F884)=MONTH(Q884), YEAR(F884)=YEAR(Q884))</f>
        <v/>
      </c>
      <c r="O884">
        <f>"L001-902303751"=S884</f>
        <v/>
      </c>
      <c r="P884">
        <f>G884-U884</f>
        <v/>
      </c>
      <c r="Q884" s="35" t="n">
        <v>45427</v>
      </c>
      <c r="R884" t="n">
        <v>98304</v>
      </c>
      <c r="S884" t="inlineStr">
        <is>
          <t>L001-100045340</t>
        </is>
      </c>
      <c r="T884" t="inlineStr">
        <is>
          <t xml:space="preserve">ស៊ីវ៉ា អ៊ែរ អ៊ែន អូសៀន (ខេមបូឌា) ឯ.ក </t>
        </is>
      </c>
      <c r="U884" t="n">
        <v>98304</v>
      </c>
      <c r="V884" t="n">
        <v>0</v>
      </c>
    </row>
    <row r="885">
      <c r="A885" t="n">
        <v>884</v>
      </c>
      <c r="B885" t="inlineStr">
        <is>
          <t>Cargo Terminal</t>
        </is>
      </c>
      <c r="C885" t="inlineStr">
        <is>
          <t>សូស៊ីយេតេ កុងសេស្យូនែរ ដឺ ឡាអេរ៉ូព័រ</t>
        </is>
      </c>
      <c r="D885" t="inlineStr">
        <is>
          <t>L001-100047300</t>
        </is>
      </c>
      <c r="E885" t="inlineStr">
        <is>
          <t>2400-052767</t>
        </is>
      </c>
      <c r="F885" t="inlineStr">
        <is>
          <t>08-07-2024</t>
        </is>
      </c>
      <c r="G885" t="n">
        <v>1483</v>
      </c>
      <c r="I885">
        <f>G885</f>
        <v/>
      </c>
      <c r="K885">
        <f>I885-G885</f>
        <v/>
      </c>
      <c r="M885">
        <f>R885=E885</f>
        <v/>
      </c>
      <c r="N885">
        <f>AND(MONTH(F885)=MONTH(Q885), YEAR(F885)=YEAR(Q885))</f>
        <v/>
      </c>
      <c r="O885">
        <f>"L001-902303751"=S885</f>
        <v/>
      </c>
      <c r="P885">
        <f>G885-U885</f>
        <v/>
      </c>
      <c r="Q885" s="35" t="n">
        <v>45427</v>
      </c>
      <c r="R885" t="inlineStr"/>
      <c r="S885" t="inlineStr">
        <is>
          <t>K005-901805913</t>
        </is>
      </c>
      <c r="T885" t="inlineStr">
        <is>
          <t>ស្តារ ខង់ខដ (ខេមបូឌា) ឯ.ក</t>
        </is>
      </c>
      <c r="U885" t="n">
        <v>0</v>
      </c>
      <c r="V885" t="n">
        <v>0</v>
      </c>
    </row>
    <row r="886">
      <c r="A886" t="n">
        <v>885</v>
      </c>
      <c r="B886" t="inlineStr">
        <is>
          <t>Customs Clearance Fee</t>
        </is>
      </c>
      <c r="C886" t="inlineStr">
        <is>
          <t>ត្រាយអ៊ែងហ្គល ឡូជីស្ទីក (ខេមបូឌា) ឯ.ក</t>
        </is>
      </c>
      <c r="D886" t="inlineStr">
        <is>
          <t>K010-902101743</t>
        </is>
      </c>
      <c r="E886" t="inlineStr">
        <is>
          <t>TAG-24-00456</t>
        </is>
      </c>
      <c r="F886" t="inlineStr">
        <is>
          <t>09-07-2024</t>
        </is>
      </c>
      <c r="G886" t="n">
        <v>8232</v>
      </c>
      <c r="I886">
        <f>G886</f>
        <v/>
      </c>
      <c r="K886">
        <f>I886-G886</f>
        <v/>
      </c>
      <c r="M886">
        <f>R886=E886</f>
        <v/>
      </c>
      <c r="N886">
        <f>AND(MONTH(F886)=MONTH(Q886), YEAR(F886)=YEAR(Q886))</f>
        <v/>
      </c>
      <c r="O886">
        <f>"L001-902303751"=S886</f>
        <v/>
      </c>
      <c r="P886">
        <f>G886-U886</f>
        <v/>
      </c>
      <c r="Q886" s="35" t="n">
        <v>45427</v>
      </c>
      <c r="R886" t="inlineStr"/>
      <c r="S886" t="inlineStr">
        <is>
          <t>L001-107032791</t>
        </is>
      </c>
      <c r="T886" t="inlineStr">
        <is>
          <t>នីបផន អិចប្រេស (ខេមបូឌា) ខូ អិលធីឌី</t>
        </is>
      </c>
      <c r="U886" t="n">
        <v>0</v>
      </c>
      <c r="V886" t="n">
        <v>0</v>
      </c>
    </row>
    <row r="887">
      <c r="A887" t="n">
        <v>886</v>
      </c>
      <c r="B887" t="inlineStr">
        <is>
          <t>Cargo Terminal</t>
        </is>
      </c>
      <c r="C887" t="inlineStr">
        <is>
          <t>សូស៊ីយេតេ កុងសេស្យូនែរ ដឺ ឡាអេរ៉ូព័រ</t>
        </is>
      </c>
      <c r="D887" t="inlineStr">
        <is>
          <t>L001-100047300</t>
        </is>
      </c>
      <c r="E887" t="inlineStr">
        <is>
          <t>2400-052765</t>
        </is>
      </c>
      <c r="F887" t="inlineStr">
        <is>
          <t>08-07-2024</t>
        </is>
      </c>
      <c r="G887" t="n">
        <v>2734</v>
      </c>
      <c r="I887">
        <f>G887</f>
        <v/>
      </c>
      <c r="K887">
        <f>I887-G887</f>
        <v/>
      </c>
      <c r="M887">
        <f>R887=E887</f>
        <v/>
      </c>
      <c r="N887">
        <f>AND(MONTH(F887)=MONTH(Q887), YEAR(F887)=YEAR(Q887))</f>
        <v/>
      </c>
      <c r="O887">
        <f>"L001-902303751"=S887</f>
        <v/>
      </c>
      <c r="P887">
        <f>G887-U887</f>
        <v/>
      </c>
      <c r="Q887" s="35" t="n">
        <v>45413</v>
      </c>
      <c r="R887" t="inlineStr"/>
      <c r="S887" t="inlineStr">
        <is>
          <t>L001-100045995</t>
        </is>
      </c>
      <c r="T887" t="inlineStr">
        <is>
          <t>ឌីអេចអិល ឡូជីស្ទីក (ខេមបូឌា)</t>
        </is>
      </c>
      <c r="U887" t="n">
        <v>0</v>
      </c>
      <c r="V887" t="n">
        <v>0</v>
      </c>
    </row>
    <row r="888">
      <c r="A888" t="n">
        <v>887</v>
      </c>
      <c r="B888" t="inlineStr">
        <is>
          <t>Customs Clearance Fee</t>
        </is>
      </c>
      <c r="C888" t="inlineStr">
        <is>
          <t>ត្រាយអ៊ែងហ្គល ឡូជីស្ទីក (ខេមបូឌា) ឯ.ក</t>
        </is>
      </c>
      <c r="D888" t="inlineStr">
        <is>
          <t>K010-902101743</t>
        </is>
      </c>
      <c r="E888" t="inlineStr">
        <is>
          <t>TAG-24-00457</t>
        </is>
      </c>
      <c r="F888" t="inlineStr">
        <is>
          <t>09-07-2024</t>
        </is>
      </c>
      <c r="G888" t="n">
        <v>8232</v>
      </c>
      <c r="I888">
        <f>G888</f>
        <v/>
      </c>
      <c r="K888">
        <f>I888-G888</f>
        <v/>
      </c>
      <c r="M888">
        <f>R888=E888</f>
        <v/>
      </c>
      <c r="N888">
        <f>AND(MONTH(F888)=MONTH(Q888), YEAR(F888)=YEAR(Q888))</f>
        <v/>
      </c>
      <c r="O888">
        <f>"L001-902303751"=S888</f>
        <v/>
      </c>
      <c r="P888">
        <f>G888-U888</f>
        <v/>
      </c>
      <c r="Q888" s="35" t="n">
        <v>45419</v>
      </c>
      <c r="R888" t="n">
        <v>206603</v>
      </c>
      <c r="S888" t="inlineStr">
        <is>
          <t>L001-100074669</t>
        </is>
      </c>
      <c r="T888" t="inlineStr">
        <is>
          <t>ខេអិលអិន ហ្វ្រេត (ខេមបូឌា) ឯ.ក</t>
        </is>
      </c>
      <c r="U888" t="n">
        <v>206603</v>
      </c>
      <c r="V888" t="n">
        <v>0</v>
      </c>
    </row>
    <row r="889">
      <c r="A889" t="n">
        <v>888</v>
      </c>
      <c r="B889" t="inlineStr">
        <is>
          <t>Cargo Terminal</t>
        </is>
      </c>
      <c r="C889" t="inlineStr">
        <is>
          <t>សូស៊ីយេតេ កុងសេស្យូនែរ ដឺ ឡាអេរ៉ូព័រ</t>
        </is>
      </c>
      <c r="D889" t="inlineStr">
        <is>
          <t>L001-100047300</t>
        </is>
      </c>
      <c r="E889" t="inlineStr">
        <is>
          <t>2400-052766</t>
        </is>
      </c>
      <c r="F889" t="inlineStr">
        <is>
          <t>08-07-2024</t>
        </is>
      </c>
      <c r="G889" t="n">
        <v>6755</v>
      </c>
      <c r="I889">
        <f>G889</f>
        <v/>
      </c>
      <c r="K889">
        <f>I889-G889</f>
        <v/>
      </c>
      <c r="M889">
        <f>R889=E889</f>
        <v/>
      </c>
      <c r="N889">
        <f>AND(MONTH(F889)=MONTH(Q889), YEAR(F889)=YEAR(Q889))</f>
        <v/>
      </c>
      <c r="O889">
        <f>"L001-902303751"=S889</f>
        <v/>
      </c>
      <c r="P889">
        <f>G889-U889</f>
        <v/>
      </c>
      <c r="Q889" s="35" t="n">
        <v>45439</v>
      </c>
      <c r="R889" t="inlineStr"/>
      <c r="S889" t="inlineStr">
        <is>
          <t>K005-901805913</t>
        </is>
      </c>
      <c r="T889" t="inlineStr">
        <is>
          <t>ស្តារ ខង់ខដ (ខេមបូឌា) ឯ.ក</t>
        </is>
      </c>
      <c r="U889" t="n">
        <v>0</v>
      </c>
      <c r="V889" t="n">
        <v>0</v>
      </c>
    </row>
    <row r="890">
      <c r="A890" t="n">
        <v>889</v>
      </c>
      <c r="B890" t="inlineStr">
        <is>
          <t>Customs Clearance Fee</t>
        </is>
      </c>
      <c r="C890" t="inlineStr">
        <is>
          <t>ត្រាយអ៊ែងហ្គល ឡូជីស្ទីក (ខេមបូឌា) ឯ.ក</t>
        </is>
      </c>
      <c r="D890" t="inlineStr">
        <is>
          <t>K010-902101743</t>
        </is>
      </c>
      <c r="E890" t="inlineStr">
        <is>
          <t>TAG-24-00458</t>
        </is>
      </c>
      <c r="F890" t="inlineStr">
        <is>
          <t>09-07-2024</t>
        </is>
      </c>
      <c r="G890" t="n">
        <v>8232</v>
      </c>
      <c r="I890">
        <f>G890</f>
        <v/>
      </c>
      <c r="K890">
        <f>I890-G890</f>
        <v/>
      </c>
      <c r="M890">
        <f>R890=E890</f>
        <v/>
      </c>
      <c r="N890">
        <f>AND(MONTH(F890)=MONTH(Q890), YEAR(F890)=YEAR(Q890))</f>
        <v/>
      </c>
      <c r="O890">
        <f>"L001-902303751"=S890</f>
        <v/>
      </c>
      <c r="P890">
        <f>G890-U890</f>
        <v/>
      </c>
      <c r="Q890" s="35" t="n">
        <v>45432</v>
      </c>
      <c r="R890" t="inlineStr"/>
      <c r="S890" t="inlineStr">
        <is>
          <t>L001-104015799</t>
        </is>
      </c>
      <c r="T890" t="inlineStr">
        <is>
          <t>យូសេន ឡូជីស្ទីក (ខេមបូឌា) ខូ អិលធីឌី</t>
        </is>
      </c>
      <c r="U890" t="n">
        <v>0</v>
      </c>
      <c r="V890" t="n">
        <v>0</v>
      </c>
    </row>
    <row r="891">
      <c r="A891" t="n">
        <v>890</v>
      </c>
      <c r="B891" t="inlineStr">
        <is>
          <t>Cargo Terminal</t>
        </is>
      </c>
      <c r="C891" t="inlineStr">
        <is>
          <t>សូស៊ីយេតេ កុងសេស្យូនែរ ដឺ ឡាអេរ៉ូព័រ</t>
        </is>
      </c>
      <c r="D891" t="inlineStr">
        <is>
          <t>L001-100047300</t>
        </is>
      </c>
      <c r="E891" t="inlineStr">
        <is>
          <t>2400-053128</t>
        </is>
      </c>
      <c r="F891" t="inlineStr">
        <is>
          <t>09-07-2024</t>
        </is>
      </c>
      <c r="G891" t="n">
        <v>2503</v>
      </c>
      <c r="I891">
        <f>G891</f>
        <v/>
      </c>
      <c r="K891">
        <f>I891-G891</f>
        <v/>
      </c>
      <c r="M891">
        <f>R891=E891</f>
        <v/>
      </c>
      <c r="N891">
        <f>AND(MONTH(F891)=MONTH(Q891), YEAR(F891)=YEAR(Q891))</f>
        <v/>
      </c>
      <c r="O891">
        <f>"L001-902303751"=S891</f>
        <v/>
      </c>
      <c r="P891">
        <f>G891-U891</f>
        <v/>
      </c>
      <c r="Q891" s="35" t="n">
        <v>45432</v>
      </c>
      <c r="R891" t="n">
        <v>86025</v>
      </c>
      <c r="S891" t="inlineStr">
        <is>
          <t>L001-100045340</t>
        </is>
      </c>
      <c r="T891" t="inlineStr">
        <is>
          <t xml:space="preserve">ស៊ីវ៉ា អ៊ែរ អ៊ែន អូសៀន (ខេមបូឌា) ឯ.ក </t>
        </is>
      </c>
      <c r="U891" t="n">
        <v>86025</v>
      </c>
      <c r="V891" t="n">
        <v>0</v>
      </c>
    </row>
    <row r="892">
      <c r="A892" t="n">
        <v>891</v>
      </c>
      <c r="B892" t="inlineStr">
        <is>
          <t>Customs Clearance Fee</t>
        </is>
      </c>
      <c r="C892" t="inlineStr">
        <is>
          <t>ត្រាយអ៊ែងហ្គល ឡូជីស្ទីក (ខេមបូឌា) ឯ.ក</t>
        </is>
      </c>
      <c r="D892" t="inlineStr">
        <is>
          <t>K010-902101743</t>
        </is>
      </c>
      <c r="E892" t="inlineStr">
        <is>
          <t>TAG-24-00459</t>
        </is>
      </c>
      <c r="F892" t="inlineStr">
        <is>
          <t>09-07-2024</t>
        </is>
      </c>
      <c r="G892" t="n">
        <v>8232</v>
      </c>
      <c r="I892">
        <f>G892</f>
        <v/>
      </c>
      <c r="K892">
        <f>I892-G892</f>
        <v/>
      </c>
      <c r="M892">
        <f>R892=E892</f>
        <v/>
      </c>
      <c r="N892">
        <f>AND(MONTH(F892)=MONTH(Q892), YEAR(F892)=YEAR(Q892))</f>
        <v/>
      </c>
      <c r="O892">
        <f>"L001-902303751"=S892</f>
        <v/>
      </c>
      <c r="P892">
        <f>G892-U892</f>
        <v/>
      </c>
      <c r="Q892" s="35" t="n">
        <v>45427</v>
      </c>
      <c r="R892" t="inlineStr"/>
      <c r="S892" t="inlineStr">
        <is>
          <t>L001-107032791</t>
        </is>
      </c>
      <c r="T892" t="inlineStr">
        <is>
          <t>នីបផន អិចប្រេស (ខេមបូឌា) ខូ អិលធីឌី</t>
        </is>
      </c>
      <c r="U892" t="n">
        <v>0</v>
      </c>
      <c r="V892" t="n">
        <v>0</v>
      </c>
    </row>
    <row r="893">
      <c r="A893" t="n">
        <v>892</v>
      </c>
      <c r="B893" t="inlineStr">
        <is>
          <t>Cargo Terminal</t>
        </is>
      </c>
      <c r="C893" t="inlineStr">
        <is>
          <t>សូស៊ីយេតេ កុងសេស្យូនែរ ដឺ ឡាអេរ៉ូព័រ</t>
        </is>
      </c>
      <c r="D893" t="inlineStr">
        <is>
          <t>L001-100047300</t>
        </is>
      </c>
      <c r="E893" t="inlineStr">
        <is>
          <t>2400-053127</t>
        </is>
      </c>
      <c r="F893" t="inlineStr">
        <is>
          <t>09-07-2024</t>
        </is>
      </c>
      <c r="G893" t="n">
        <v>3061</v>
      </c>
      <c r="I893">
        <f>G893</f>
        <v/>
      </c>
      <c r="K893">
        <f>I893-G893</f>
        <v/>
      </c>
      <c r="M893">
        <f>R893=E893</f>
        <v/>
      </c>
      <c r="N893">
        <f>AND(MONTH(F893)=MONTH(Q893), YEAR(F893)=YEAR(Q893))</f>
        <v/>
      </c>
      <c r="O893">
        <f>"L001-902303751"=S893</f>
        <v/>
      </c>
      <c r="P893">
        <f>G893-U893</f>
        <v/>
      </c>
      <c r="Q893" s="35" t="n">
        <v>45419</v>
      </c>
      <c r="R893" t="inlineStr"/>
      <c r="S893" t="inlineStr">
        <is>
          <t>L001-107032791</t>
        </is>
      </c>
      <c r="T893" t="inlineStr">
        <is>
          <t>នីបផន អិចប្រេស (ខេមបូឌា) ខូ អិលធីឌី</t>
        </is>
      </c>
      <c r="U893" t="n">
        <v>0</v>
      </c>
      <c r="V893" t="n">
        <v>0</v>
      </c>
    </row>
    <row r="894">
      <c r="A894" t="n">
        <v>893</v>
      </c>
      <c r="B894" t="inlineStr">
        <is>
          <t>Customs Clearance Fee</t>
        </is>
      </c>
      <c r="C894" t="inlineStr">
        <is>
          <t>ត្រាយអ៊ែងហ្គល ឡូជីស្ទីក (ខេមបូឌា) ឯ.ក</t>
        </is>
      </c>
      <c r="D894" t="inlineStr">
        <is>
          <t>K010-902101743</t>
        </is>
      </c>
      <c r="E894" t="inlineStr">
        <is>
          <t>TAG-24-00462</t>
        </is>
      </c>
      <c r="F894" t="inlineStr">
        <is>
          <t>11-07-2024</t>
        </is>
      </c>
      <c r="G894" t="n">
        <v>8220</v>
      </c>
      <c r="I894">
        <f>G894</f>
        <v/>
      </c>
      <c r="K894">
        <f>I894-G894</f>
        <v/>
      </c>
      <c r="M894">
        <f>R894=E894</f>
        <v/>
      </c>
      <c r="N894">
        <f>AND(MONTH(F894)=MONTH(Q894), YEAR(F894)=YEAR(Q894))</f>
        <v/>
      </c>
      <c r="O894">
        <f>"L001-902303751"=S894</f>
        <v/>
      </c>
      <c r="P894">
        <f>G894-U894</f>
        <v/>
      </c>
      <c r="Q894" s="35" t="n">
        <v>45413</v>
      </c>
      <c r="R894" t="n">
        <v>240668</v>
      </c>
      <c r="S894" t="inlineStr">
        <is>
          <t>K009-107034735</t>
        </is>
      </c>
      <c r="T894" t="inlineStr">
        <is>
          <t>ស៊ីប៊ីជី ឡូជីស្ទីក (ខេមបូឌា)</t>
        </is>
      </c>
      <c r="U894" t="n">
        <v>240668</v>
      </c>
      <c r="V894" t="n">
        <v>0</v>
      </c>
    </row>
    <row r="895">
      <c r="A895" t="n">
        <v>894</v>
      </c>
      <c r="B895" t="inlineStr">
        <is>
          <t>Cargo Terminal</t>
        </is>
      </c>
      <c r="C895" t="inlineStr">
        <is>
          <t>សូស៊ីយេតេ កុងសេស្យូនែរ ដឺ ឡាអេរ៉ូព័រ</t>
        </is>
      </c>
      <c r="D895" t="inlineStr">
        <is>
          <t>L001-100047300</t>
        </is>
      </c>
      <c r="E895" t="inlineStr">
        <is>
          <t>2400-053798</t>
        </is>
      </c>
      <c r="F895" t="inlineStr">
        <is>
          <t>11-07-2024</t>
        </is>
      </c>
      <c r="G895" t="n">
        <v>2862</v>
      </c>
      <c r="I895">
        <f>G895</f>
        <v/>
      </c>
      <c r="K895">
        <f>I895-G895</f>
        <v/>
      </c>
      <c r="M895">
        <f>R895=E895</f>
        <v/>
      </c>
      <c r="N895">
        <f>AND(MONTH(F895)=MONTH(Q895), YEAR(F895)=YEAR(Q895))</f>
        <v/>
      </c>
      <c r="O895">
        <f>"L001-902303751"=S895</f>
        <v/>
      </c>
      <c r="P895">
        <f>G895-U895</f>
        <v/>
      </c>
      <c r="Q895" s="35" t="n">
        <v>45439</v>
      </c>
      <c r="R895" t="inlineStr"/>
      <c r="S895" t="inlineStr">
        <is>
          <t>L001-100074669</t>
        </is>
      </c>
      <c r="T895" t="inlineStr">
        <is>
          <t>ខេអិលអិន ហ្វ្រេត (ខេមបូឌា) ឯ.ក</t>
        </is>
      </c>
      <c r="U895" t="n">
        <v>0</v>
      </c>
      <c r="V895" t="n">
        <v>0</v>
      </c>
    </row>
    <row r="896">
      <c r="A896" t="n">
        <v>895</v>
      </c>
      <c r="B896" t="inlineStr">
        <is>
          <t>Customs Clearance Fee</t>
        </is>
      </c>
      <c r="C896" t="inlineStr">
        <is>
          <t>ត្រាយអ៊ែងហ្គល ឡូជីស្ទីក (ខេមបូឌា) ឯ.ក</t>
        </is>
      </c>
      <c r="D896" t="inlineStr">
        <is>
          <t>K010-902101743</t>
        </is>
      </c>
      <c r="E896" t="inlineStr">
        <is>
          <t>TAG-24-00463</t>
        </is>
      </c>
      <c r="F896" t="inlineStr">
        <is>
          <t>12-07-2024</t>
        </is>
      </c>
      <c r="G896" t="n">
        <v>8212</v>
      </c>
      <c r="I896">
        <f>G896</f>
        <v/>
      </c>
      <c r="K896">
        <f>I896-G896</f>
        <v/>
      </c>
      <c r="M896">
        <f>R896=E896</f>
        <v/>
      </c>
      <c r="N896">
        <f>AND(MONTH(F896)=MONTH(Q896), YEAR(F896)=YEAR(Q896))</f>
        <v/>
      </c>
      <c r="O896">
        <f>"L001-902303751"=S896</f>
        <v/>
      </c>
      <c r="P896">
        <f>G896-U896</f>
        <v/>
      </c>
      <c r="Q896" s="35" t="n">
        <v>45439</v>
      </c>
      <c r="R896" t="inlineStr"/>
      <c r="S896" t="inlineStr">
        <is>
          <t>L001-107032791</t>
        </is>
      </c>
      <c r="T896" t="inlineStr">
        <is>
          <t>នីបផន អិចប្រេស (ខេមបូឌា) ខូ អិលធីឌី</t>
        </is>
      </c>
      <c r="U896" t="n">
        <v>0</v>
      </c>
      <c r="V896" t="n">
        <v>0</v>
      </c>
    </row>
    <row r="897">
      <c r="A897" t="n">
        <v>896</v>
      </c>
      <c r="B897" t="inlineStr">
        <is>
          <t>Cargo Terminal</t>
        </is>
      </c>
      <c r="C897" t="inlineStr">
        <is>
          <t>សូស៊ីយេតេ កុងសេស្យូនែរ ដឺ ឡាអេរ៉ូព័រ</t>
        </is>
      </c>
      <c r="D897" t="inlineStr">
        <is>
          <t>L001-100047300</t>
        </is>
      </c>
      <c r="E897" t="inlineStr">
        <is>
          <t>2400-054129</t>
        </is>
      </c>
      <c r="F897" t="inlineStr">
        <is>
          <t>12-07-2024</t>
        </is>
      </c>
      <c r="G897" t="n">
        <v>4140</v>
      </c>
      <c r="I897">
        <f>G897</f>
        <v/>
      </c>
      <c r="K897">
        <f>I897-G897</f>
        <v/>
      </c>
      <c r="M897">
        <f>R897=E897</f>
        <v/>
      </c>
      <c r="N897">
        <f>AND(MONTH(F897)=MONTH(Q897), YEAR(F897)=YEAR(Q897))</f>
        <v/>
      </c>
      <c r="O897">
        <f>"L001-902303751"=S897</f>
        <v/>
      </c>
      <c r="P897">
        <f>G897-U897</f>
        <v/>
      </c>
      <c r="Q897" s="35" t="n">
        <v>45439</v>
      </c>
      <c r="R897" t="n">
        <v>112228</v>
      </c>
      <c r="S897" t="inlineStr">
        <is>
          <t>L001-107032791</t>
        </is>
      </c>
      <c r="T897" t="inlineStr">
        <is>
          <t>នីបផន អិចប្រេស (ខេមបូឌា) ខូ អិលធីឌី</t>
        </is>
      </c>
      <c r="U897" t="n">
        <v>112228</v>
      </c>
      <c r="V897" t="n">
        <v>0</v>
      </c>
    </row>
    <row r="898">
      <c r="A898" t="n">
        <v>897</v>
      </c>
      <c r="B898" t="inlineStr">
        <is>
          <t>Customs Clearance Fee</t>
        </is>
      </c>
      <c r="C898" t="inlineStr">
        <is>
          <t>ត្រាយអ៊ែងហ្គល ឡូជីស្ទីក (ខេមបូឌា) ឯ.ក</t>
        </is>
      </c>
      <c r="D898" t="inlineStr">
        <is>
          <t>K010-902101743</t>
        </is>
      </c>
      <c r="E898" t="inlineStr">
        <is>
          <t>TAG-24-00464</t>
        </is>
      </c>
      <c r="F898" t="inlineStr">
        <is>
          <t>12-07-2024</t>
        </is>
      </c>
      <c r="G898" t="n">
        <v>8212</v>
      </c>
      <c r="I898">
        <f>G898</f>
        <v/>
      </c>
      <c r="K898">
        <f>I898-G898</f>
        <v/>
      </c>
      <c r="M898">
        <f>R898=E898</f>
        <v/>
      </c>
      <c r="N898">
        <f>AND(MONTH(F898)=MONTH(Q898), YEAR(F898)=YEAR(Q898))</f>
        <v/>
      </c>
      <c r="O898">
        <f>"L001-902303751"=S898</f>
        <v/>
      </c>
      <c r="P898">
        <f>G898-U898</f>
        <v/>
      </c>
      <c r="Q898" s="35" t="n">
        <v>45429</v>
      </c>
      <c r="R898" t="n">
        <v>83599</v>
      </c>
      <c r="S898" t="inlineStr">
        <is>
          <t>K005-100099521</t>
        </is>
      </c>
      <c r="T898" t="inlineStr">
        <is>
          <t>ខាហ្គោផត (ខេមបូឌា)</t>
        </is>
      </c>
      <c r="U898" t="n">
        <v>83599</v>
      </c>
      <c r="V898" t="n">
        <v>0</v>
      </c>
    </row>
    <row r="899">
      <c r="A899" t="n">
        <v>898</v>
      </c>
      <c r="B899" t="inlineStr">
        <is>
          <t>Cargo Terminal</t>
        </is>
      </c>
      <c r="C899" t="inlineStr">
        <is>
          <t>សូស៊ីយេតេ កុងសេស្យូនែរ ដឺ ឡាអេរ៉ូព័រ</t>
        </is>
      </c>
      <c r="D899" t="inlineStr">
        <is>
          <t>L001-100047300</t>
        </is>
      </c>
      <c r="E899" t="inlineStr">
        <is>
          <t>2400-055463</t>
        </is>
      </c>
      <c r="F899" t="inlineStr">
        <is>
          <t>16-07-2024</t>
        </is>
      </c>
      <c r="G899" t="n">
        <v>2758</v>
      </c>
      <c r="I899">
        <f>G899</f>
        <v/>
      </c>
      <c r="K899">
        <f>I899-G899</f>
        <v/>
      </c>
      <c r="M899">
        <f>R899=E899</f>
        <v/>
      </c>
      <c r="N899">
        <f>AND(MONTH(F899)=MONTH(Q899), YEAR(F899)=YEAR(Q899))</f>
        <v/>
      </c>
      <c r="O899">
        <f>"L001-902303751"=S899</f>
        <v/>
      </c>
      <c r="P899">
        <f>G899-U899</f>
        <v/>
      </c>
      <c r="Q899" s="35" t="n">
        <v>45432</v>
      </c>
      <c r="R899" t="inlineStr"/>
      <c r="S899" t="inlineStr">
        <is>
          <t>L001-107032791</t>
        </is>
      </c>
      <c r="T899" t="inlineStr">
        <is>
          <t>នីបផន អិចប្រេស (ខេមបូឌា) ខូ អិលធីឌី</t>
        </is>
      </c>
      <c r="U899" t="n">
        <v>0</v>
      </c>
      <c r="V899" t="n">
        <v>0</v>
      </c>
    </row>
    <row r="900">
      <c r="A900" t="n">
        <v>899</v>
      </c>
      <c r="B900" t="inlineStr">
        <is>
          <t>Customs Clearance Fee</t>
        </is>
      </c>
      <c r="C900" t="inlineStr">
        <is>
          <t>ត្រាយអ៊ែងហ្គល ឡូជីស្ទីក (ខេមបូឌា) ឯ.ក</t>
        </is>
      </c>
      <c r="D900" t="inlineStr">
        <is>
          <t>K010-902101743</t>
        </is>
      </c>
      <c r="E900" t="inlineStr">
        <is>
          <t>TAG-24-00481</t>
        </is>
      </c>
      <c r="F900" t="inlineStr">
        <is>
          <t>22-07-2024</t>
        </is>
      </c>
      <c r="G900" t="n">
        <v>8218</v>
      </c>
      <c r="I900">
        <f>G900</f>
        <v/>
      </c>
      <c r="K900">
        <f>I900-G900</f>
        <v/>
      </c>
      <c r="M900">
        <f>R900=E900</f>
        <v/>
      </c>
      <c r="N900">
        <f>AND(MONTH(F900)=MONTH(Q900), YEAR(F900)=YEAR(Q900))</f>
        <v/>
      </c>
      <c r="O900">
        <f>"L001-902303751"=S900</f>
        <v/>
      </c>
      <c r="P900">
        <f>G900-U900</f>
        <v/>
      </c>
      <c r="Q900" s="35" t="n">
        <v>45427</v>
      </c>
      <c r="R900" t="n">
        <v>112173</v>
      </c>
      <c r="S900" t="inlineStr">
        <is>
          <t>L001-107032791</t>
        </is>
      </c>
      <c r="T900" t="inlineStr">
        <is>
          <t>នីបផន អិចប្រេស (ខេមបូឌា) ខូ អិលធីឌី</t>
        </is>
      </c>
      <c r="U900" t="n">
        <v>112173</v>
      </c>
      <c r="V900" t="n">
        <v>0</v>
      </c>
    </row>
    <row r="901">
      <c r="A901" t="n">
        <v>900</v>
      </c>
      <c r="B901" t="inlineStr">
        <is>
          <t>Cargo Terminal</t>
        </is>
      </c>
      <c r="C901" t="inlineStr">
        <is>
          <t>សូស៊ីយេតេ កុងសេស្យូនែរ ដឺ ឡាអេរ៉ូព័រ</t>
        </is>
      </c>
      <c r="D901" t="inlineStr">
        <is>
          <t>L001-100047300</t>
        </is>
      </c>
      <c r="E901" t="inlineStr">
        <is>
          <t>2400-055464</t>
        </is>
      </c>
      <c r="F901" t="inlineStr">
        <is>
          <t>16-07-2024</t>
        </is>
      </c>
      <c r="G901" t="n">
        <v>12516</v>
      </c>
      <c r="I901">
        <f>G901</f>
        <v/>
      </c>
      <c r="K901">
        <f>I901-G901</f>
        <v/>
      </c>
      <c r="M901">
        <f>R901=E901</f>
        <v/>
      </c>
      <c r="N901">
        <f>AND(MONTH(F901)=MONTH(Q901), YEAR(F901)=YEAR(Q901))</f>
        <v/>
      </c>
      <c r="O901">
        <f>"L001-902303751"=S901</f>
        <v/>
      </c>
      <c r="P901">
        <f>G901-U901</f>
        <v/>
      </c>
      <c r="Q901" s="35" t="n">
        <v>45419</v>
      </c>
      <c r="R901" t="n">
        <v>4211513</v>
      </c>
      <c r="S901" t="inlineStr">
        <is>
          <t>K004-105012505</t>
        </is>
      </c>
      <c r="T901" t="inlineStr">
        <is>
          <t>អេស៊ាន ហ្វ្រេត (ខេមបូឌា)</t>
        </is>
      </c>
      <c r="U901" t="n">
        <v>4211513</v>
      </c>
      <c r="V901" t="n">
        <v>0</v>
      </c>
    </row>
    <row r="902">
      <c r="A902" t="n">
        <v>901</v>
      </c>
      <c r="B902" t="inlineStr">
        <is>
          <t>Customs Clearance Fee</t>
        </is>
      </c>
      <c r="C902" t="inlineStr">
        <is>
          <t>ត្រាយអ៊ែងហ្គល ឡូជីស្ទីក (ខេមបូឌា) ឯ.ក</t>
        </is>
      </c>
      <c r="D902" t="inlineStr">
        <is>
          <t>K010-902101743</t>
        </is>
      </c>
      <c r="E902" t="inlineStr">
        <is>
          <t>TAG-24-00482</t>
        </is>
      </c>
      <c r="F902" t="inlineStr">
        <is>
          <t>22-07-2024</t>
        </is>
      </c>
      <c r="G902" t="n">
        <v>8218</v>
      </c>
      <c r="I902">
        <f>G902</f>
        <v/>
      </c>
      <c r="K902">
        <f>I902-G902</f>
        <v/>
      </c>
      <c r="M902">
        <f>R902=E902</f>
        <v/>
      </c>
      <c r="N902">
        <f>AND(MONTH(F902)=MONTH(Q902), YEAR(F902)=YEAR(Q902))</f>
        <v/>
      </c>
      <c r="O902">
        <f>"L001-902303751"=S902</f>
        <v/>
      </c>
      <c r="P902">
        <f>G902-U902</f>
        <v/>
      </c>
      <c r="Q902" s="35" t="n">
        <v>45419</v>
      </c>
      <c r="R902" t="inlineStr"/>
      <c r="S902" t="inlineStr">
        <is>
          <t>L001-107032791</t>
        </is>
      </c>
      <c r="T902" t="inlineStr">
        <is>
          <t>នីបផន អិចប្រេស (ខេមបូឌា) ខូ អិលធីឌី</t>
        </is>
      </c>
      <c r="U902" t="n">
        <v>0</v>
      </c>
      <c r="V902" t="n">
        <v>0</v>
      </c>
    </row>
    <row r="903">
      <c r="A903" t="n">
        <v>902</v>
      </c>
      <c r="B903" t="inlineStr">
        <is>
          <t>Cargo Terminal</t>
        </is>
      </c>
      <c r="C903" t="inlineStr">
        <is>
          <t>សូស៊ីយេតេ កុងសេស្យូនែរ ដឺ ឡាអេរ៉ូព័រ</t>
        </is>
      </c>
      <c r="D903" t="inlineStr">
        <is>
          <t>L001-100047300</t>
        </is>
      </c>
      <c r="E903" t="inlineStr">
        <is>
          <t>2400-055908</t>
        </is>
      </c>
      <c r="F903" t="inlineStr">
        <is>
          <t>18-07-2024</t>
        </is>
      </c>
      <c r="G903" t="n">
        <v>1411</v>
      </c>
      <c r="I903">
        <f>G903</f>
        <v/>
      </c>
      <c r="K903">
        <f>I903-G903</f>
        <v/>
      </c>
      <c r="M903">
        <f>R903=E903</f>
        <v/>
      </c>
      <c r="N903">
        <f>AND(MONTH(F903)=MONTH(Q903), YEAR(F903)=YEAR(Q903))</f>
        <v/>
      </c>
      <c r="O903">
        <f>"L001-902303751"=S903</f>
        <v/>
      </c>
      <c r="P903">
        <f>G903-U903</f>
        <v/>
      </c>
      <c r="Q903" s="35" t="n">
        <v>45439</v>
      </c>
      <c r="R903" t="n">
        <v>114676</v>
      </c>
      <c r="S903" t="inlineStr">
        <is>
          <t>L001-100074669</t>
        </is>
      </c>
      <c r="T903" t="inlineStr">
        <is>
          <t>ខេអិលអិន ហ្វ្រេត (ខេមបូឌា) ឯ.ក</t>
        </is>
      </c>
      <c r="U903" t="n">
        <v>114676</v>
      </c>
      <c r="V903" t="n">
        <v>0</v>
      </c>
    </row>
    <row r="904">
      <c r="A904" t="n">
        <v>903</v>
      </c>
      <c r="B904" t="inlineStr">
        <is>
          <t>Customs Clearance Fee</t>
        </is>
      </c>
      <c r="C904" t="inlineStr">
        <is>
          <t>ត្រាយអ៊ែងហ្គល ឡូជីស្ទីក (ខេមបូឌា) ឯ.ក</t>
        </is>
      </c>
      <c r="D904" t="inlineStr">
        <is>
          <t>K010-902101743</t>
        </is>
      </c>
      <c r="E904" t="inlineStr">
        <is>
          <t>TAG-24-00484</t>
        </is>
      </c>
      <c r="F904" t="inlineStr">
        <is>
          <t>24-07-2024</t>
        </is>
      </c>
      <c r="G904" t="n">
        <v>8214</v>
      </c>
      <c r="I904">
        <f>G904</f>
        <v/>
      </c>
      <c r="K904">
        <f>I904-G904</f>
        <v/>
      </c>
      <c r="M904">
        <f>R904=E904</f>
        <v/>
      </c>
      <c r="N904">
        <f>AND(MONTH(F904)=MONTH(Q904), YEAR(F904)=YEAR(Q904))</f>
        <v/>
      </c>
      <c r="O904">
        <f>"L001-902303751"=S904</f>
        <v/>
      </c>
      <c r="P904">
        <f>G904-U904</f>
        <v/>
      </c>
      <c r="Q904" s="35" t="n">
        <v>45439</v>
      </c>
      <c r="R904" t="n">
        <v>83661</v>
      </c>
      <c r="S904" t="inlineStr">
        <is>
          <t>K002-901800477</t>
        </is>
      </c>
      <c r="T904" t="inlineStr">
        <is>
          <t>អាយធីអាយ អ៊ិនធើណេសិនណល ត្រេនស័្ពរថេសិន (ខេមបូឌា) ឯ.ក</t>
        </is>
      </c>
      <c r="U904" t="n">
        <v>83661</v>
      </c>
      <c r="V904" t="n">
        <v>0</v>
      </c>
    </row>
    <row r="905">
      <c r="A905" t="n">
        <v>904</v>
      </c>
      <c r="B905" t="inlineStr">
        <is>
          <t>Cargo Terminal</t>
        </is>
      </c>
      <c r="C905" t="inlineStr">
        <is>
          <t>សូស៊ីយេតេ កុងសេស្យូនែរ ដឺ ឡាអេរ៉ូព័រ</t>
        </is>
      </c>
      <c r="D905" t="inlineStr">
        <is>
          <t>L001-100047300</t>
        </is>
      </c>
      <c r="E905" t="inlineStr">
        <is>
          <t>2400-057671</t>
        </is>
      </c>
      <c r="F905" t="inlineStr">
        <is>
          <t>23-07-2024</t>
        </is>
      </c>
      <c r="G905" t="n">
        <v>2398</v>
      </c>
      <c r="I905">
        <f>G905</f>
        <v/>
      </c>
      <c r="K905">
        <f>I905-G905</f>
        <v/>
      </c>
      <c r="M905">
        <f>R905=E905</f>
        <v/>
      </c>
      <c r="N905">
        <f>AND(MONTH(F905)=MONTH(Q905), YEAR(F905)=YEAR(Q905))</f>
        <v/>
      </c>
      <c r="O905">
        <f>"L001-902303751"=S905</f>
        <v/>
      </c>
      <c r="P905">
        <f>G905-U905</f>
        <v/>
      </c>
      <c r="Q905" s="35" t="n">
        <v>45427</v>
      </c>
      <c r="R905" t="inlineStr"/>
      <c r="S905" t="inlineStr">
        <is>
          <t>L001-100045340</t>
        </is>
      </c>
      <c r="T905" t="inlineStr">
        <is>
          <t xml:space="preserve">ស៊ីវ៉ា អ៊ែរ អ៊ែន អូសៀន (ខេមបូឌា) ឯ.ក </t>
        </is>
      </c>
      <c r="U905" t="n">
        <v>0</v>
      </c>
      <c r="V905" t="n">
        <v>0</v>
      </c>
    </row>
    <row r="906">
      <c r="A906" t="n">
        <v>905</v>
      </c>
      <c r="B906" t="inlineStr">
        <is>
          <t>Customs Clearance Fee</t>
        </is>
      </c>
      <c r="C906" t="inlineStr">
        <is>
          <t>ត្រាយអ៊ែងហ្គល ឡូជីស្ទីក (ខេមបូឌា) ឯ.ក</t>
        </is>
      </c>
      <c r="D906" t="inlineStr">
        <is>
          <t>K010-902101743</t>
        </is>
      </c>
      <c r="E906" t="inlineStr">
        <is>
          <t>TAG-24-00485</t>
        </is>
      </c>
      <c r="F906" t="inlineStr">
        <is>
          <t>24-07-2024</t>
        </is>
      </c>
      <c r="G906" t="n">
        <v>8214</v>
      </c>
      <c r="I906">
        <f>G906</f>
        <v/>
      </c>
      <c r="K906">
        <f>I906-G906</f>
        <v/>
      </c>
      <c r="M906">
        <f>R906=E906</f>
        <v/>
      </c>
      <c r="N906">
        <f>AND(MONTH(F906)=MONTH(Q906), YEAR(F906)=YEAR(Q906))</f>
        <v/>
      </c>
      <c r="O906">
        <f>"L001-902303751"=S906</f>
        <v/>
      </c>
      <c r="P906">
        <f>G906-U906</f>
        <v/>
      </c>
      <c r="Q906" s="35" t="n">
        <v>45429</v>
      </c>
      <c r="R906" t="n">
        <v>83599</v>
      </c>
      <c r="S906" t="inlineStr">
        <is>
          <t>K009-107034735</t>
        </is>
      </c>
      <c r="T906" t="inlineStr">
        <is>
          <t>ស៊ីប៊ីជី ឡូជីស្ទីក (ខេមបូឌា)</t>
        </is>
      </c>
      <c r="U906" t="n">
        <v>83599</v>
      </c>
      <c r="V906" t="n">
        <v>0</v>
      </c>
    </row>
    <row r="907">
      <c r="A907" t="n">
        <v>906</v>
      </c>
      <c r="B907" t="inlineStr">
        <is>
          <t>Cargo Terminal</t>
        </is>
      </c>
      <c r="C907" t="inlineStr">
        <is>
          <t>សូស៊ីយេតេ កុងសេស្យូនែរ ដឺ ឡាអេរ៉ូព័រ</t>
        </is>
      </c>
      <c r="D907" t="inlineStr">
        <is>
          <t>L001-100047300</t>
        </is>
      </c>
      <c r="E907" t="inlineStr">
        <is>
          <t>2400-057669</t>
        </is>
      </c>
      <c r="F907" t="inlineStr">
        <is>
          <t>23-07-2024</t>
        </is>
      </c>
      <c r="G907" t="n">
        <v>10976</v>
      </c>
      <c r="I907">
        <f>G907</f>
        <v/>
      </c>
      <c r="K907">
        <f>I907-G907</f>
        <v/>
      </c>
      <c r="M907">
        <f>R907=E907</f>
        <v/>
      </c>
      <c r="N907">
        <f>AND(MONTH(F907)=MONTH(Q907), YEAR(F907)=YEAR(Q907))</f>
        <v/>
      </c>
      <c r="O907">
        <f>"L001-902303751"=S907</f>
        <v/>
      </c>
      <c r="P907">
        <f>G907-U907</f>
        <v/>
      </c>
      <c r="Q907" s="35" t="n">
        <v>45418</v>
      </c>
      <c r="R907" t="inlineStr"/>
      <c r="S907" t="inlineStr">
        <is>
          <t>K003-901635943</t>
        </is>
      </c>
      <c r="T907" t="inlineStr">
        <is>
          <t>អ៊ីឃ្យូឡាញ វើលវ៉ាយដ៍ ឡូជីស្ទីក</t>
        </is>
      </c>
      <c r="U907" t="n">
        <v>0</v>
      </c>
      <c r="V907" t="n">
        <v>0</v>
      </c>
    </row>
    <row r="908">
      <c r="A908" t="n">
        <v>907</v>
      </c>
      <c r="B908" t="inlineStr">
        <is>
          <t>Customs Clearance Fee</t>
        </is>
      </c>
      <c r="C908" t="inlineStr">
        <is>
          <t>ត្រាយអ៊ែងហ្គល ឡូជីស្ទីក (ខេមបូឌា) ឯ.ក</t>
        </is>
      </c>
      <c r="D908" t="inlineStr">
        <is>
          <t>K010-902101743</t>
        </is>
      </c>
      <c r="E908" t="inlineStr">
        <is>
          <t>TAG-24-00486</t>
        </is>
      </c>
      <c r="F908" t="inlineStr">
        <is>
          <t>24-07-2024</t>
        </is>
      </c>
      <c r="G908" t="n">
        <v>8214</v>
      </c>
      <c r="I908">
        <f>G908</f>
        <v/>
      </c>
      <c r="K908">
        <f>I908-G908</f>
        <v/>
      </c>
      <c r="M908">
        <f>R908=E908</f>
        <v/>
      </c>
      <c r="N908">
        <f>AND(MONTH(F908)=MONTH(Q908), YEAR(F908)=YEAR(Q908))</f>
        <v/>
      </c>
      <c r="O908">
        <f>"L001-902303751"=S908</f>
        <v/>
      </c>
      <c r="P908">
        <f>G908-U908</f>
        <v/>
      </c>
      <c r="Q908" s="35" t="n">
        <v>45413</v>
      </c>
      <c r="R908" t="inlineStr"/>
      <c r="S908" t="inlineStr">
        <is>
          <t>L001-100045340</t>
        </is>
      </c>
      <c r="T908" t="inlineStr">
        <is>
          <t xml:space="preserve">ស៊ីវ៉ា អ៊ែរ អ៊ែន អូសៀន (ខេមបូឌា) ឯ.ក </t>
        </is>
      </c>
      <c r="U908" t="n">
        <v>0</v>
      </c>
      <c r="V908" t="n">
        <v>0</v>
      </c>
    </row>
    <row r="909">
      <c r="A909" t="n">
        <v>908</v>
      </c>
      <c r="B909" t="inlineStr">
        <is>
          <t>Cargo Terminal</t>
        </is>
      </c>
      <c r="C909" t="inlineStr">
        <is>
          <t>សូស៊ីយេតេ កុងសេស្យូនែរ ដឺ ឡាអេរ៉ូព័រ</t>
        </is>
      </c>
      <c r="D909" t="inlineStr">
        <is>
          <t>L001-100047300</t>
        </is>
      </c>
      <c r="E909" t="inlineStr">
        <is>
          <t>2400-057668</t>
        </is>
      </c>
      <c r="F909" t="inlineStr">
        <is>
          <t>23-07-2024</t>
        </is>
      </c>
      <c r="G909" t="n">
        <v>17549</v>
      </c>
      <c r="I909">
        <f>G909</f>
        <v/>
      </c>
      <c r="K909">
        <f>I909-G909</f>
        <v/>
      </c>
      <c r="M909">
        <f>R909=E909</f>
        <v/>
      </c>
      <c r="N909">
        <f>AND(MONTH(F909)=MONTH(Q909), YEAR(F909)=YEAR(Q909))</f>
        <v/>
      </c>
      <c r="O909">
        <f>"L001-902303751"=S909</f>
        <v/>
      </c>
      <c r="P909">
        <f>G909-U909</f>
        <v/>
      </c>
      <c r="Q909" s="35" t="n">
        <v>45413</v>
      </c>
      <c r="R909" t="n">
        <v>126390</v>
      </c>
      <c r="S909" t="inlineStr">
        <is>
          <t>L001-100045340</t>
        </is>
      </c>
      <c r="T909" t="inlineStr">
        <is>
          <t xml:space="preserve">ស៊ីវ៉ា អ៊ែរ អ៊ែន អូសៀន (ខេមបូឌា) ឯ.ក </t>
        </is>
      </c>
      <c r="U909" t="n">
        <v>126390</v>
      </c>
      <c r="V909" t="n">
        <v>0</v>
      </c>
    </row>
    <row r="910">
      <c r="A910" t="n">
        <v>909</v>
      </c>
      <c r="B910" t="inlineStr">
        <is>
          <t>Customs Clearance Fee</t>
        </is>
      </c>
      <c r="C910" t="inlineStr">
        <is>
          <t>ត្រាយអ៊ែងហ្គល ឡូជីស្ទីក (ខេមបូឌា) ឯ.ក</t>
        </is>
      </c>
      <c r="D910" t="inlineStr">
        <is>
          <t>K010-902101743</t>
        </is>
      </c>
      <c r="E910" t="inlineStr">
        <is>
          <t>TAG-24-00487</t>
        </is>
      </c>
      <c r="F910" t="inlineStr">
        <is>
          <t>24-07-2024</t>
        </is>
      </c>
      <c r="G910" t="n">
        <v>8214</v>
      </c>
      <c r="I910">
        <f>G910</f>
        <v/>
      </c>
      <c r="K910">
        <f>I910-G910</f>
        <v/>
      </c>
      <c r="M910">
        <f>R910=E910</f>
        <v/>
      </c>
      <c r="N910">
        <f>AND(MONTH(F910)=MONTH(Q910), YEAR(F910)=YEAR(Q910))</f>
        <v/>
      </c>
      <c r="O910">
        <f>"L001-902303751"=S910</f>
        <v/>
      </c>
      <c r="P910">
        <f>G910-U910</f>
        <v/>
      </c>
      <c r="Q910" s="35" t="n">
        <v>45413</v>
      </c>
      <c r="R910" t="inlineStr"/>
      <c r="S910" t="inlineStr">
        <is>
          <t>L001-100045995</t>
        </is>
      </c>
      <c r="T910" t="inlineStr">
        <is>
          <t>ឌីអេចអិល ឡូជីស្ទីក (ខេមបូឌា)</t>
        </is>
      </c>
      <c r="U910" t="n">
        <v>0</v>
      </c>
      <c r="V910" t="n">
        <v>0</v>
      </c>
    </row>
    <row r="911">
      <c r="A911" t="n">
        <v>910</v>
      </c>
      <c r="B911" t="inlineStr">
        <is>
          <t>Cargo Terminal</t>
        </is>
      </c>
      <c r="C911" t="inlineStr">
        <is>
          <t>សូស៊ីយេតេ កុងសេស្យូនែរ ដឺ ឡាអេរ៉ូព័រ</t>
        </is>
      </c>
      <c r="D911" t="inlineStr">
        <is>
          <t>L001-100047300</t>
        </is>
      </c>
      <c r="E911" t="inlineStr">
        <is>
          <t>2400-057667</t>
        </is>
      </c>
      <c r="F911" t="inlineStr">
        <is>
          <t>23-07-2024</t>
        </is>
      </c>
      <c r="G911" t="n">
        <v>11865</v>
      </c>
      <c r="I911">
        <f>G911</f>
        <v/>
      </c>
      <c r="K911">
        <f>I911-G911</f>
        <v/>
      </c>
      <c r="M911">
        <f>R911=E911</f>
        <v/>
      </c>
      <c r="N911">
        <f>AND(MONTH(F911)=MONTH(Q911), YEAR(F911)=YEAR(Q911))</f>
        <v/>
      </c>
      <c r="O911">
        <f>"L001-902303751"=S911</f>
        <v/>
      </c>
      <c r="P911">
        <f>G911-U911</f>
        <v/>
      </c>
      <c r="Q911" s="35" t="n">
        <v>45413</v>
      </c>
      <c r="R911" t="n">
        <v>111760</v>
      </c>
      <c r="S911" t="inlineStr">
        <is>
          <t>L001-100045995</t>
        </is>
      </c>
      <c r="T911" t="inlineStr">
        <is>
          <t>ឌីអេចអិល ឡូជីស្ទីក (ខេមបូឌា)</t>
        </is>
      </c>
      <c r="U911" t="n">
        <v>111760</v>
      </c>
      <c r="V911" t="n">
        <v>0</v>
      </c>
    </row>
    <row r="912">
      <c r="A912" t="n">
        <v>911</v>
      </c>
      <c r="B912" t="inlineStr">
        <is>
          <t>Customs Clearance Fee</t>
        </is>
      </c>
      <c r="C912" t="inlineStr">
        <is>
          <t>ត្រាយអ៊ែងហ្គល ឡូជីស្ទីក (ខេមបូឌា) ឯ.ក</t>
        </is>
      </c>
      <c r="D912" t="inlineStr">
        <is>
          <t>K010-902101743</t>
        </is>
      </c>
      <c r="E912" t="inlineStr">
        <is>
          <t>TAG-24-00488</t>
        </is>
      </c>
      <c r="F912" t="inlineStr">
        <is>
          <t>24-07-2024</t>
        </is>
      </c>
      <c r="G912" t="n">
        <v>8214</v>
      </c>
      <c r="I912">
        <f>G912</f>
        <v/>
      </c>
      <c r="K912">
        <f>I912-G912</f>
        <v/>
      </c>
      <c r="M912">
        <f>R912=E912</f>
        <v/>
      </c>
      <c r="N912">
        <f>AND(MONTH(F912)=MONTH(Q912), YEAR(F912)=YEAR(Q912))</f>
        <v/>
      </c>
      <c r="O912">
        <f>"L001-902303751"=S912</f>
        <v/>
      </c>
      <c r="P912">
        <f>G912-U912</f>
        <v/>
      </c>
      <c r="Q912" s="35" t="n">
        <v>45427</v>
      </c>
      <c r="R912" t="n">
        <v>206805</v>
      </c>
      <c r="S912" t="inlineStr">
        <is>
          <t>L001-100074669</t>
        </is>
      </c>
      <c r="T912" t="inlineStr">
        <is>
          <t>ខេអិលអិន ហ្វ្រេត (ខេមបូឌា) ឯ.ក</t>
        </is>
      </c>
      <c r="U912" t="n">
        <v>206805</v>
      </c>
      <c r="V912" t="n">
        <v>0</v>
      </c>
    </row>
    <row r="913">
      <c r="A913" t="n">
        <v>912</v>
      </c>
      <c r="B913" t="inlineStr">
        <is>
          <t>Cargo Terminal</t>
        </is>
      </c>
      <c r="C913" t="inlineStr">
        <is>
          <t>សូស៊ីយេតេ កុងសេស្យូនែរ ដឺ ឡាអេរ៉ូព័រ</t>
        </is>
      </c>
      <c r="D913" t="inlineStr">
        <is>
          <t>L001-100047300</t>
        </is>
      </c>
      <c r="E913" t="inlineStr">
        <is>
          <t>2400-057665</t>
        </is>
      </c>
      <c r="F913" t="inlineStr">
        <is>
          <t>23-07-2024</t>
        </is>
      </c>
      <c r="G913" t="n">
        <v>4272</v>
      </c>
      <c r="I913">
        <f>G913</f>
        <v/>
      </c>
      <c r="K913">
        <f>I913-G913</f>
        <v/>
      </c>
      <c r="M913">
        <f>R913=E913</f>
        <v/>
      </c>
      <c r="N913">
        <f>AND(MONTH(F913)=MONTH(Q913), YEAR(F913)=YEAR(Q913))</f>
        <v/>
      </c>
      <c r="O913">
        <f>"L001-902303751"=S913</f>
        <v/>
      </c>
      <c r="P913">
        <f>G913-U913</f>
        <v/>
      </c>
      <c r="Q913" s="35" t="n">
        <v>45441</v>
      </c>
      <c r="R913" t="n">
        <v>112338</v>
      </c>
      <c r="S913" t="inlineStr">
        <is>
          <t>K005-100059945</t>
        </is>
      </c>
      <c r="T913" t="inlineStr">
        <is>
          <t>អ៊ែតវ៉ានស៍ គ្លរី ឡូជីស្ទីក (ខេមបូឌា) (អេ ជី អិល)</t>
        </is>
      </c>
      <c r="U913" t="n">
        <v>112338</v>
      </c>
      <c r="V913" t="n">
        <v>0</v>
      </c>
    </row>
    <row r="914">
      <c r="A914" t="n">
        <v>913</v>
      </c>
      <c r="B914" t="inlineStr">
        <is>
          <t>Customs Clearance Fee</t>
        </is>
      </c>
      <c r="C914" t="inlineStr">
        <is>
          <t>ត្រាយអ៊ែងហ្គល ឡូជីស្ទីក (ខេមបូឌា) ឯ.ក</t>
        </is>
      </c>
      <c r="D914" t="inlineStr">
        <is>
          <t>K010-902101743</t>
        </is>
      </c>
      <c r="E914" t="inlineStr">
        <is>
          <t>TAG-24-00455</t>
        </is>
      </c>
      <c r="F914" t="inlineStr">
        <is>
          <t>09-07-2024</t>
        </is>
      </c>
      <c r="G914" t="n">
        <v>8232</v>
      </c>
      <c r="I914">
        <f>G914</f>
        <v/>
      </c>
      <c r="K914">
        <f>I914-G914</f>
        <v/>
      </c>
      <c r="M914">
        <f>R914=E914</f>
        <v/>
      </c>
      <c r="N914">
        <f>AND(MONTH(F914)=MONTH(Q914), YEAR(F914)=YEAR(Q914))</f>
        <v/>
      </c>
      <c r="O914">
        <f>"L001-902303751"=S914</f>
        <v/>
      </c>
      <c r="P914">
        <f>G914-U914</f>
        <v/>
      </c>
      <c r="Q914" s="35" t="n">
        <v>45439</v>
      </c>
      <c r="R914" t="inlineStr"/>
      <c r="S914" t="inlineStr">
        <is>
          <t>L001-107032791</t>
        </is>
      </c>
      <c r="T914" t="inlineStr">
        <is>
          <t>នីបផន អិចប្រេស (ខេមបូឌា) ខូ អិលធីឌី</t>
        </is>
      </c>
      <c r="U914" t="n">
        <v>0</v>
      </c>
      <c r="V914" t="n">
        <v>0</v>
      </c>
    </row>
    <row r="915">
      <c r="A915" t="n">
        <v>914</v>
      </c>
      <c r="B915" t="inlineStr">
        <is>
          <t>Cargo Terminal</t>
        </is>
      </c>
      <c r="C915" t="inlineStr">
        <is>
          <t>សូស៊ីយេតេ កុងសេស្យូនែរ ដឺ ឡាអេរ៉ូព័រ</t>
        </is>
      </c>
      <c r="D915" t="inlineStr">
        <is>
          <t>L001-100047300</t>
        </is>
      </c>
      <c r="E915" t="inlineStr">
        <is>
          <t>2400-051867</t>
        </is>
      </c>
      <c r="F915" t="inlineStr">
        <is>
          <t>05-07-2024</t>
        </is>
      </c>
      <c r="G915" t="n">
        <v>1119</v>
      </c>
      <c r="I915">
        <f>G915</f>
        <v/>
      </c>
      <c r="K915">
        <f>I915-G915</f>
        <v/>
      </c>
      <c r="M915">
        <f>R915=E915</f>
        <v/>
      </c>
      <c r="N915">
        <f>AND(MONTH(F915)=MONTH(Q915), YEAR(F915)=YEAR(Q915))</f>
        <v/>
      </c>
      <c r="O915">
        <f>"L001-902303751"=S915</f>
        <v/>
      </c>
      <c r="P915">
        <f>G915-U915</f>
        <v/>
      </c>
      <c r="Q915" s="35" t="n">
        <v>45432</v>
      </c>
      <c r="R915" t="inlineStr"/>
      <c r="S915" t="inlineStr">
        <is>
          <t>L001-100045340</t>
        </is>
      </c>
      <c r="T915" t="inlineStr">
        <is>
          <t xml:space="preserve">ស៊ីវ៉ា អ៊ែរ អ៊ែន អូសៀន (ខេមបូឌា) ឯ.ក </t>
        </is>
      </c>
      <c r="U915" t="n">
        <v>0</v>
      </c>
      <c r="V915" t="n">
        <v>0</v>
      </c>
    </row>
    <row r="916">
      <c r="A916" t="n">
        <v>915</v>
      </c>
      <c r="B916" t="inlineStr">
        <is>
          <t>Customs Clearance Fee</t>
        </is>
      </c>
      <c r="C916" t="inlineStr">
        <is>
          <t>ត្រាយអ៊ែងហ្គល ឡូជីស្ទីក (ខេមបូឌា) ឯ.ក</t>
        </is>
      </c>
      <c r="D916" t="inlineStr">
        <is>
          <t>K010-902101743</t>
        </is>
      </c>
      <c r="E916" t="inlineStr">
        <is>
          <t>TAG-24-00454</t>
        </is>
      </c>
      <c r="F916" t="inlineStr">
        <is>
          <t>09-07-2024</t>
        </is>
      </c>
      <c r="G916" t="n">
        <v>8232</v>
      </c>
      <c r="I916">
        <f>G916</f>
        <v/>
      </c>
      <c r="K916">
        <f>I916-G916</f>
        <v/>
      </c>
      <c r="M916">
        <f>R916=E916</f>
        <v/>
      </c>
      <c r="N916">
        <f>AND(MONTH(F916)=MONTH(Q916), YEAR(F916)=YEAR(Q916))</f>
        <v/>
      </c>
      <c r="O916">
        <f>"L001-902303751"=S916</f>
        <v/>
      </c>
      <c r="P916">
        <f>G916-U916</f>
        <v/>
      </c>
      <c r="Q916" s="35" t="n">
        <v>45429</v>
      </c>
      <c r="R916" t="inlineStr"/>
      <c r="S916" t="inlineStr">
        <is>
          <t>K005-100059945</t>
        </is>
      </c>
      <c r="T916" t="inlineStr">
        <is>
          <t>អ៊ែតវ៉ានស៍ គ្លរី ឡូជីស្ទីក (ខេមបូឌា) (អេ ជី អិល)</t>
        </is>
      </c>
      <c r="U916" t="n">
        <v>0</v>
      </c>
      <c r="V916" t="n">
        <v>0</v>
      </c>
    </row>
    <row r="917">
      <c r="A917" t="n">
        <v>916</v>
      </c>
      <c r="B917" t="inlineStr">
        <is>
          <t>Cargo Terminal</t>
        </is>
      </c>
      <c r="C917" t="inlineStr">
        <is>
          <t>សូស៊ីយេតេ កុងសេស្យូនែរ ដឺ ឡាអេរ៉ូព័រ</t>
        </is>
      </c>
      <c r="D917" t="inlineStr">
        <is>
          <t>L001-100047300</t>
        </is>
      </c>
      <c r="E917" t="inlineStr">
        <is>
          <t>2400-050950</t>
        </is>
      </c>
      <c r="F917" t="inlineStr">
        <is>
          <t>03-07-2024</t>
        </is>
      </c>
      <c r="G917" t="n">
        <v>1647</v>
      </c>
      <c r="I917">
        <f>G917</f>
        <v/>
      </c>
      <c r="K917">
        <f>I917-G917</f>
        <v/>
      </c>
      <c r="M917">
        <f>R917=E917</f>
        <v/>
      </c>
      <c r="N917">
        <f>AND(MONTH(F917)=MONTH(Q917), YEAR(F917)=YEAR(Q917))</f>
        <v/>
      </c>
      <c r="O917">
        <f>"L001-902303751"=S917</f>
        <v/>
      </c>
      <c r="P917">
        <f>G917-U917</f>
        <v/>
      </c>
      <c r="Q917" s="35" t="n">
        <v>45427</v>
      </c>
      <c r="R917" t="inlineStr"/>
      <c r="S917" t="inlineStr">
        <is>
          <t>L001-107032791</t>
        </is>
      </c>
      <c r="T917" t="inlineStr">
        <is>
          <t>នីបផន អិចប្រេស (ខេមបូឌា) ខូ អិលធីឌី</t>
        </is>
      </c>
      <c r="U917" t="n">
        <v>0</v>
      </c>
      <c r="V917" t="n">
        <v>0</v>
      </c>
    </row>
    <row r="918">
      <c r="A918" t="n">
        <v>917</v>
      </c>
      <c r="B918" t="inlineStr">
        <is>
          <t>Delivery Fee</t>
        </is>
      </c>
      <c r="C918" t="inlineStr">
        <is>
          <t>សំអាង &amp; មករា ត្រេនស្ព័ត ឯ.ក</t>
        </is>
      </c>
      <c r="D918" t="inlineStr">
        <is>
          <t>K010-902204282</t>
        </is>
      </c>
      <c r="E918" t="inlineStr">
        <is>
          <t>202300074</t>
        </is>
      </c>
      <c r="F918" t="inlineStr">
        <is>
          <t>31-07-2024</t>
        </is>
      </c>
      <c r="G918" t="n">
        <v>984277</v>
      </c>
      <c r="I918">
        <f>G918</f>
        <v/>
      </c>
      <c r="K918">
        <f>I918-G918</f>
        <v/>
      </c>
      <c r="M918">
        <f>R918=E918</f>
        <v/>
      </c>
      <c r="N918">
        <f>AND(MONTH(F918)=MONTH(Q918), YEAR(F918)=YEAR(Q918))</f>
        <v/>
      </c>
      <c r="O918">
        <f>"L001-902303751"=S918</f>
        <v/>
      </c>
      <c r="P918">
        <f>G918-U918</f>
        <v/>
      </c>
      <c r="Q918" s="35" t="n">
        <v>45413</v>
      </c>
      <c r="R918" t="inlineStr"/>
      <c r="S918" t="inlineStr">
        <is>
          <t>L001-100045340</t>
        </is>
      </c>
      <c r="T918" t="inlineStr">
        <is>
          <t xml:space="preserve">ស៊ីវ៉ា អ៊ែរ អ៊ែន អូសៀន (ខេមបូឌា) ឯ.ក </t>
        </is>
      </c>
      <c r="U918" t="n">
        <v>0</v>
      </c>
      <c r="V918" t="n">
        <v>0</v>
      </c>
    </row>
    <row r="919">
      <c r="A919" t="n">
        <v>918</v>
      </c>
      <c r="B919" t="inlineStr">
        <is>
          <t>Monthly Tax Service for June 2024</t>
        </is>
      </c>
      <c r="C919" t="inlineStr">
        <is>
          <t>ខេឌី ខនសាល់ធេន ឯ.ក</t>
        </is>
      </c>
      <c r="D919" t="inlineStr">
        <is>
          <t>K005-901704277</t>
        </is>
      </c>
      <c r="E919" t="inlineStr">
        <is>
          <t>20240000862</t>
        </is>
      </c>
      <c r="F919" t="inlineStr">
        <is>
          <t>09-07-2024</t>
        </is>
      </c>
      <c r="G919" t="n">
        <v>102900</v>
      </c>
      <c r="I919">
        <f>G919</f>
        <v/>
      </c>
      <c r="K919">
        <f>I919-G919</f>
        <v/>
      </c>
      <c r="M919">
        <f>R919=E919</f>
        <v/>
      </c>
      <c r="N919">
        <f>AND(MONTH(F919)=MONTH(Q919), YEAR(F919)=YEAR(Q919))</f>
        <v/>
      </c>
      <c r="O919">
        <f>"L001-902303751"=S919</f>
        <v/>
      </c>
      <c r="P919">
        <f>G919-U919</f>
        <v/>
      </c>
      <c r="Q919" s="35" t="n">
        <v>45427</v>
      </c>
      <c r="R919" t="inlineStr"/>
      <c r="S919" t="inlineStr">
        <is>
          <t>L001-100074669</t>
        </is>
      </c>
      <c r="T919" t="inlineStr">
        <is>
          <t>ខេអិលអិន ហ្វ្រេត (ខេមបូឌា) ឯ.ក</t>
        </is>
      </c>
      <c r="U919" t="n">
        <v>0</v>
      </c>
      <c r="V919" t="n">
        <v>0</v>
      </c>
    </row>
    <row r="920">
      <c r="A920" t="n">
        <v>919</v>
      </c>
      <c r="B920" t="inlineStr">
        <is>
          <t>Customs Clearance Fee</t>
        </is>
      </c>
      <c r="C920" t="inlineStr">
        <is>
          <t>ត្រាយអ៊ែងហ្គល ឡូជីស្ទីក (ខេមបូឌា) ឯ.ក</t>
        </is>
      </c>
      <c r="D920" t="inlineStr">
        <is>
          <t>K010-902101743</t>
        </is>
      </c>
      <c r="E920" t="inlineStr">
        <is>
          <t>TAG-24-00449</t>
        </is>
      </c>
      <c r="F920" t="inlineStr">
        <is>
          <t>08-07-2024</t>
        </is>
      </c>
      <c r="G920" t="n">
        <v>8238</v>
      </c>
      <c r="I920">
        <f>G920</f>
        <v/>
      </c>
      <c r="K920">
        <f>I920-G920</f>
        <v/>
      </c>
      <c r="M920">
        <f>R920=E920</f>
        <v/>
      </c>
      <c r="N920">
        <f>AND(MONTH(F920)=MONTH(Q920), YEAR(F920)=YEAR(Q920))</f>
        <v/>
      </c>
      <c r="O920">
        <f>"L001-902303751"=S920</f>
        <v/>
      </c>
      <c r="P920">
        <f>G920-U920</f>
        <v/>
      </c>
      <c r="Q920" s="35" t="n">
        <v>45436</v>
      </c>
      <c r="R920" t="n">
        <v>83620</v>
      </c>
      <c r="S920" t="inlineStr">
        <is>
          <t>L001-100045995</t>
        </is>
      </c>
      <c r="T920" t="inlineStr">
        <is>
          <t>ឌីអេចអិល ឡូជីស្ទីក (ខេមបូឌា)</t>
        </is>
      </c>
      <c r="U920" t="n">
        <v>83620</v>
      </c>
      <c r="V920" t="n">
        <v>0</v>
      </c>
    </row>
    <row r="921">
      <c r="A921" t="n">
        <v>920</v>
      </c>
      <c r="B921" t="inlineStr">
        <is>
          <t>Customs Clearance Fee</t>
        </is>
      </c>
      <c r="C921" t="inlineStr">
        <is>
          <t>ត្រាយអ៊ែងហ្គល ឡូជីស្ទីក (ខេមបូឌា) ឯ.ក</t>
        </is>
      </c>
      <c r="D921" t="inlineStr">
        <is>
          <t>K010-902101743</t>
        </is>
      </c>
      <c r="E921" t="inlineStr">
        <is>
          <t>TAG-24-00450</t>
        </is>
      </c>
      <c r="F921" t="inlineStr">
        <is>
          <t>08-07-2024</t>
        </is>
      </c>
      <c r="G921" t="n">
        <v>8238</v>
      </c>
      <c r="I921">
        <f>G921</f>
        <v/>
      </c>
      <c r="K921">
        <f>I921-G921</f>
        <v/>
      </c>
      <c r="M921">
        <f>R921=E921</f>
        <v/>
      </c>
      <c r="N921">
        <f>AND(MONTH(F921)=MONTH(Q921), YEAR(F921)=YEAR(Q921))</f>
        <v/>
      </c>
      <c r="O921">
        <f>"L001-902303751"=S921</f>
        <v/>
      </c>
      <c r="P921">
        <f>G921-U921</f>
        <v/>
      </c>
      <c r="Q921" s="35" t="n">
        <v>45439</v>
      </c>
      <c r="R921" t="n">
        <v>112228</v>
      </c>
      <c r="S921" t="inlineStr">
        <is>
          <t>L001-107041723</t>
        </is>
      </c>
      <c r="T921" t="inlineStr">
        <is>
          <t>ឌីប៊ី សេនឃើរ (ខេមបូឌា) លីមីធីត</t>
        </is>
      </c>
      <c r="U921" t="n">
        <v>112228</v>
      </c>
      <c r="V921" t="n">
        <v>0</v>
      </c>
    </row>
    <row r="922">
      <c r="A922" t="n">
        <v>921</v>
      </c>
      <c r="B922" t="inlineStr">
        <is>
          <t>Cargo Terminal</t>
        </is>
      </c>
      <c r="C922" t="inlineStr">
        <is>
          <t>សូស៊ីយេតេ កុងសេស្យូនែរ ដឺ ឡាអេរ៉ូព័រ</t>
        </is>
      </c>
      <c r="D922" t="inlineStr">
        <is>
          <t>L001-100047300</t>
        </is>
      </c>
      <c r="E922" t="inlineStr">
        <is>
          <t>2400-050949</t>
        </is>
      </c>
      <c r="F922" t="inlineStr">
        <is>
          <t>03-07-2024</t>
        </is>
      </c>
      <c r="G922" t="n">
        <v>824</v>
      </c>
      <c r="I922">
        <f>G922</f>
        <v/>
      </c>
      <c r="K922">
        <f>I922-G922</f>
        <v/>
      </c>
      <c r="M922">
        <f>R922=E922</f>
        <v/>
      </c>
      <c r="N922">
        <f>AND(MONTH(F922)=MONTH(Q922), YEAR(F922)=YEAR(Q922))</f>
        <v/>
      </c>
      <c r="O922">
        <f>"L001-902303751"=S922</f>
        <v/>
      </c>
      <c r="P922">
        <f>G922-U922</f>
        <v/>
      </c>
      <c r="Q922" s="35" t="n">
        <v>45439</v>
      </c>
      <c r="R922" t="n">
        <v>114676</v>
      </c>
      <c r="S922" t="inlineStr">
        <is>
          <t>L001-104015799</t>
        </is>
      </c>
      <c r="T922" t="inlineStr">
        <is>
          <t>យូសេន ឡូជីស្ទីក (ខេមបូឌា) ខូ អិលធីឌី</t>
        </is>
      </c>
      <c r="U922" t="n">
        <v>114676</v>
      </c>
      <c r="V922" t="n">
        <v>0</v>
      </c>
    </row>
    <row r="923">
      <c r="A923" t="n">
        <v>922</v>
      </c>
      <c r="B923" t="inlineStr">
        <is>
          <t>Customs Clearance Fee</t>
        </is>
      </c>
      <c r="C923" t="inlineStr">
        <is>
          <t>ត្រាយអ៊ែងហ្គល ឡូជីស្ទីក (ខេមបូឌា) ឯ.ក</t>
        </is>
      </c>
      <c r="D923" t="inlineStr">
        <is>
          <t>K010-902101743</t>
        </is>
      </c>
      <c r="E923" t="inlineStr">
        <is>
          <t>TAG-24-00451</t>
        </is>
      </c>
      <c r="F923" t="inlineStr">
        <is>
          <t>08-07-2024</t>
        </is>
      </c>
      <c r="G923" t="n">
        <v>8238</v>
      </c>
      <c r="I923">
        <f>G923</f>
        <v/>
      </c>
      <c r="K923">
        <f>I923-G923</f>
        <v/>
      </c>
      <c r="M923">
        <f>R923=E923</f>
        <v/>
      </c>
      <c r="N923">
        <f>AND(MONTH(F923)=MONTH(Q923), YEAR(F923)=YEAR(Q923))</f>
        <v/>
      </c>
      <c r="O923">
        <f>"L001-902303751"=S923</f>
        <v/>
      </c>
      <c r="P923">
        <f>G923-U923</f>
        <v/>
      </c>
      <c r="Q923" s="35" t="n">
        <v>45435</v>
      </c>
      <c r="R923" t="n">
        <v>83579</v>
      </c>
      <c r="S923" t="inlineStr">
        <is>
          <t>K003-901635943</t>
        </is>
      </c>
      <c r="T923" t="inlineStr">
        <is>
          <t>អ៊ីឃ្យូឡាញ វើលវ៉ាយដ៍ ឡូជីស្ទីក</t>
        </is>
      </c>
      <c r="U923" t="n">
        <v>83579</v>
      </c>
      <c r="V923" t="n">
        <v>0</v>
      </c>
    </row>
    <row r="924">
      <c r="A924" t="n">
        <v>923</v>
      </c>
      <c r="B924" t="inlineStr">
        <is>
          <t>Cargo Terminal</t>
        </is>
      </c>
      <c r="C924" t="inlineStr">
        <is>
          <t>សូស៊ីយេតេ កុងសេស្យូនែរ ដឺ ឡាអេរ៉ូព័រ</t>
        </is>
      </c>
      <c r="D924" t="inlineStr">
        <is>
          <t>L001-100047300</t>
        </is>
      </c>
      <c r="E924" t="inlineStr">
        <is>
          <t>2400-050948</t>
        </is>
      </c>
      <c r="F924" t="inlineStr">
        <is>
          <t>03-07-2024</t>
        </is>
      </c>
      <c r="G924" t="n">
        <v>891</v>
      </c>
      <c r="I924">
        <f>G924</f>
        <v/>
      </c>
      <c r="K924">
        <f>I924-G924</f>
        <v/>
      </c>
      <c r="M924">
        <f>R924=E924</f>
        <v/>
      </c>
      <c r="N924">
        <f>AND(MONTH(F924)=MONTH(Q924), YEAR(F924)=YEAR(Q924))</f>
        <v/>
      </c>
      <c r="O924">
        <f>"L001-902303751"=S924</f>
        <v/>
      </c>
      <c r="P924">
        <f>G924-U924</f>
        <v/>
      </c>
      <c r="Q924" s="35" t="n">
        <v>45439</v>
      </c>
      <c r="R924" t="n">
        <v>83661</v>
      </c>
      <c r="S924" t="inlineStr">
        <is>
          <t>L001-107032791</t>
        </is>
      </c>
      <c r="T924" t="inlineStr">
        <is>
          <t>នីបផន អិចប្រេស (ខេមបូឌា) ខូ អិលធីឌី</t>
        </is>
      </c>
      <c r="U924" t="n">
        <v>83661</v>
      </c>
      <c r="V924" t="n">
        <v>0</v>
      </c>
    </row>
    <row r="925">
      <c r="A925" t="n">
        <v>924</v>
      </c>
      <c r="B925" t="inlineStr">
        <is>
          <t>Customs Clearance Fee</t>
        </is>
      </c>
      <c r="C925" t="inlineStr">
        <is>
          <t>ត្រាយអ៊ែងហ្គល ឡូជីស្ទីក (ខេមបូឌា) ឯ.ក</t>
        </is>
      </c>
      <c r="D925" t="inlineStr">
        <is>
          <t>K010-902101743</t>
        </is>
      </c>
      <c r="E925" t="inlineStr">
        <is>
          <t>TAG-24-00452</t>
        </is>
      </c>
      <c r="F925" t="inlineStr">
        <is>
          <t>08-07-2024</t>
        </is>
      </c>
      <c r="G925" t="n">
        <v>8238</v>
      </c>
      <c r="I925">
        <f>G925</f>
        <v/>
      </c>
      <c r="K925">
        <f>I925-G925</f>
        <v/>
      </c>
      <c r="M925">
        <f>R925=E925</f>
        <v/>
      </c>
      <c r="N925">
        <f>AND(MONTH(F925)=MONTH(Q925), YEAR(F925)=YEAR(Q925))</f>
        <v/>
      </c>
      <c r="O925">
        <f>"L001-902303751"=S925</f>
        <v/>
      </c>
      <c r="P925">
        <f>G925-U925</f>
        <v/>
      </c>
      <c r="Q925" s="35" t="n">
        <v>45439</v>
      </c>
      <c r="R925" t="inlineStr"/>
      <c r="S925" t="inlineStr">
        <is>
          <t>L001-107032791</t>
        </is>
      </c>
      <c r="T925" t="inlineStr">
        <is>
          <t>នីបផន អិចប្រេស (ខេមបូឌា) ខូ អិលធីឌី</t>
        </is>
      </c>
      <c r="U925" t="n">
        <v>0</v>
      </c>
      <c r="V925" t="n">
        <v>0</v>
      </c>
    </row>
    <row r="926">
      <c r="A926" t="n">
        <v>925</v>
      </c>
      <c r="B926" t="inlineStr">
        <is>
          <t>Customs Clearance Fee</t>
        </is>
      </c>
      <c r="C926" t="inlineStr">
        <is>
          <t>ត្រាយអ៊ែងហ្គល ឡូជីស្ទីក (ខេមបូឌា) ឯ.ក</t>
        </is>
      </c>
      <c r="D926" t="inlineStr">
        <is>
          <t>K010-902101743</t>
        </is>
      </c>
      <c r="E926" t="inlineStr">
        <is>
          <t>TAG-24-00489</t>
        </is>
      </c>
      <c r="F926" t="inlineStr">
        <is>
          <t>24-07-2024</t>
        </is>
      </c>
      <c r="G926" t="n">
        <v>8214</v>
      </c>
      <c r="I926">
        <f>G926</f>
        <v/>
      </c>
      <c r="K926">
        <f>I926-G926</f>
        <v/>
      </c>
      <c r="M926">
        <f>R926=E926</f>
        <v/>
      </c>
      <c r="N926">
        <f>AND(MONTH(F926)=MONTH(Q926), YEAR(F926)=YEAR(Q926))</f>
        <v/>
      </c>
      <c r="O926">
        <f>"L001-902303751"=S926</f>
        <v/>
      </c>
      <c r="P926">
        <f>G926-U926</f>
        <v/>
      </c>
      <c r="Q926" s="35" t="n">
        <v>45432</v>
      </c>
      <c r="R926" t="n">
        <v>114564</v>
      </c>
      <c r="S926" t="inlineStr">
        <is>
          <t>K005-901805913</t>
        </is>
      </c>
      <c r="T926" t="inlineStr">
        <is>
          <t>ស្តារ ខង់ខដ (ខេមបូឌា) ឯ.ក</t>
        </is>
      </c>
      <c r="U926" t="n">
        <v>114564</v>
      </c>
      <c r="V926" t="n">
        <v>0</v>
      </c>
    </row>
    <row r="927">
      <c r="A927" t="n">
        <v>926</v>
      </c>
      <c r="B927" t="inlineStr">
        <is>
          <t>Cargo Terminal</t>
        </is>
      </c>
      <c r="C927" t="inlineStr">
        <is>
          <t>សូស៊ីយេតេ កុងសេស្យូនែរ ដឺ ឡាអេរ៉ូព័រ</t>
        </is>
      </c>
      <c r="D927" t="inlineStr">
        <is>
          <t>L001-100047300</t>
        </is>
      </c>
      <c r="E927" t="inlineStr">
        <is>
          <t>2400-057670</t>
        </is>
      </c>
      <c r="F927" t="inlineStr">
        <is>
          <t>23-07-2024</t>
        </is>
      </c>
      <c r="G927" t="n">
        <v>1083</v>
      </c>
      <c r="I927">
        <f>G927</f>
        <v/>
      </c>
      <c r="K927">
        <f>I927-G927</f>
        <v/>
      </c>
      <c r="M927">
        <f>R927=E927</f>
        <v/>
      </c>
      <c r="N927">
        <f>AND(MONTH(F927)=MONTH(Q927), YEAR(F927)=YEAR(Q927))</f>
        <v/>
      </c>
      <c r="O927">
        <f>"L001-902303751"=S927</f>
        <v/>
      </c>
      <c r="P927">
        <f>G927-U927</f>
        <v/>
      </c>
      <c r="Q927" s="35" t="n">
        <v>45429</v>
      </c>
      <c r="R927" t="n">
        <v>112145</v>
      </c>
      <c r="S927" t="inlineStr">
        <is>
          <t>K005-100059945</t>
        </is>
      </c>
      <c r="T927" t="inlineStr">
        <is>
          <t>អ៊ែតវ៉ានស៍ គ្លរី ឡូជីស្ទីក (ខេមបូឌា) (អេ ជី អិល)</t>
        </is>
      </c>
      <c r="U927" t="n">
        <v>112145</v>
      </c>
      <c r="V927" t="n">
        <v>0</v>
      </c>
    </row>
    <row r="928">
      <c r="A928" t="n">
        <v>927</v>
      </c>
      <c r="B928" t="inlineStr">
        <is>
          <t>Customs Clearance Fee</t>
        </is>
      </c>
      <c r="C928" t="inlineStr">
        <is>
          <t>ត្រាយអ៊ែងហ្គល ឡូជីស្ទីក (ខេមបូឌា) ឯ.ក</t>
        </is>
      </c>
      <c r="D928" t="inlineStr">
        <is>
          <t>K010-902101743</t>
        </is>
      </c>
      <c r="E928" t="inlineStr">
        <is>
          <t>TAG-24-00490</t>
        </is>
      </c>
      <c r="F928" t="inlineStr">
        <is>
          <t>24-07-2024</t>
        </is>
      </c>
      <c r="G928" t="n">
        <v>8214</v>
      </c>
      <c r="I928">
        <f>G928</f>
        <v/>
      </c>
      <c r="K928">
        <f>I928-G928</f>
        <v/>
      </c>
      <c r="M928">
        <f>R928=E928</f>
        <v/>
      </c>
      <c r="N928">
        <f>AND(MONTH(F928)=MONTH(Q928), YEAR(F928)=YEAR(Q928))</f>
        <v/>
      </c>
      <c r="O928">
        <f>"L001-902303751"=S928</f>
        <v/>
      </c>
      <c r="P928">
        <f>G928-U928</f>
        <v/>
      </c>
      <c r="Q928" s="35" t="n">
        <v>45418</v>
      </c>
      <c r="R928" t="inlineStr"/>
      <c r="S928" t="inlineStr">
        <is>
          <t>L001-103007369</t>
        </is>
      </c>
      <c r="T928" t="inlineStr">
        <is>
          <t>អូរៀនថល ឡូជីស្ទីក &amp; ឌីស្ទ្រីប៊្យូសិន (ខេមបូឌា)</t>
        </is>
      </c>
      <c r="U928" t="n">
        <v>0</v>
      </c>
      <c r="V928" t="n">
        <v>0</v>
      </c>
    </row>
    <row r="929">
      <c r="A929" t="n">
        <v>928</v>
      </c>
      <c r="B929" t="inlineStr">
        <is>
          <t>Gate Fee Charges</t>
        </is>
      </c>
      <c r="C929" t="inlineStr">
        <is>
          <t>កំពង់ផែស្វយ័តភ្នំពេញ "ក.ស.ភ"</t>
        </is>
      </c>
      <c r="D929" t="inlineStr">
        <is>
          <t>L001-100044999</t>
        </is>
      </c>
      <c r="E929" t="inlineStr">
        <is>
          <t>INV20240746490</t>
        </is>
      </c>
      <c r="F929" t="inlineStr">
        <is>
          <t>18-07-2024</t>
        </is>
      </c>
      <c r="G929" t="n">
        <v>821</v>
      </c>
      <c r="I929">
        <f>G929</f>
        <v/>
      </c>
      <c r="K929">
        <f>I929-G929</f>
        <v/>
      </c>
      <c r="M929">
        <f>R929=E929</f>
        <v/>
      </c>
      <c r="N929">
        <f>AND(MONTH(F929)=MONTH(Q929), YEAR(F929)=YEAR(Q929))</f>
        <v/>
      </c>
      <c r="O929">
        <f>"L001-902303751"=S929</f>
        <v/>
      </c>
      <c r="P929">
        <f>G929-U929</f>
        <v/>
      </c>
      <c r="Q929" s="35" t="n">
        <v>45418</v>
      </c>
      <c r="R929" t="n">
        <v>92887</v>
      </c>
      <c r="S929" t="inlineStr">
        <is>
          <t>L001-103007369</t>
        </is>
      </c>
      <c r="T929" t="inlineStr">
        <is>
          <t>អូរៀនថល ឡូជីស្ទីក &amp; ឌីស្ទ្រីប៊្យូសិន (ខេមបូឌា)</t>
        </is>
      </c>
      <c r="U929" t="n">
        <v>92887</v>
      </c>
      <c r="V929" t="n">
        <v>0</v>
      </c>
    </row>
    <row r="930">
      <c r="A930" t="n">
        <v>929</v>
      </c>
      <c r="B930" t="inlineStr">
        <is>
          <t>Cargo Terminal</t>
        </is>
      </c>
      <c r="C930" t="inlineStr">
        <is>
          <t>សូស៊ីយេតេ កុងសេស្យូនែរ ដឺ ឡាអេរ៉ូព័រ</t>
        </is>
      </c>
      <c r="D930" t="inlineStr">
        <is>
          <t>L001-100047300</t>
        </is>
      </c>
      <c r="E930" t="inlineStr">
        <is>
          <t>2400-053605</t>
        </is>
      </c>
      <c r="F930" t="inlineStr">
        <is>
          <t>11-07-2024</t>
        </is>
      </c>
      <c r="G930" t="n">
        <v>12659</v>
      </c>
      <c r="I930">
        <f>G930</f>
        <v/>
      </c>
      <c r="K930">
        <f>I930-G930</f>
        <v/>
      </c>
      <c r="M930">
        <f>R930=E930</f>
        <v/>
      </c>
      <c r="N930">
        <f>AND(MONTH(F930)=MONTH(Q930), YEAR(F930)=YEAR(Q930))</f>
        <v/>
      </c>
      <c r="O930">
        <f>"L001-902303751"=S930</f>
        <v/>
      </c>
      <c r="P930">
        <f>G930-U930</f>
        <v/>
      </c>
      <c r="Q930" s="35" t="n">
        <v>45419</v>
      </c>
      <c r="R930" t="inlineStr"/>
      <c r="S930" t="inlineStr">
        <is>
          <t>L001-100074669</t>
        </is>
      </c>
      <c r="T930" t="inlineStr">
        <is>
          <t>ខេអិលអិន ហ្វ្រេត (ខេមបូឌា) ឯ.ក</t>
        </is>
      </c>
      <c r="U930" t="n">
        <v>0</v>
      </c>
      <c r="V930" t="n">
        <v>0</v>
      </c>
    </row>
    <row r="931">
      <c r="A931" t="n">
        <v>930</v>
      </c>
      <c r="B931" t="inlineStr">
        <is>
          <t>Doc Fee and Agency Fee</t>
        </is>
      </c>
      <c r="C931" t="inlineStr">
        <is>
          <t>អ៊ែតវ៉ានស៍ គ្លរី ឡូជីស្ទីក (ខេមបូឌា) (អេ ជី អិល)</t>
        </is>
      </c>
      <c r="D931" t="inlineStr">
        <is>
          <t>K005-100059945</t>
        </is>
      </c>
      <c r="E931" t="inlineStr">
        <is>
          <t>AGL2401039</t>
        </is>
      </c>
      <c r="F931" t="inlineStr">
        <is>
          <t>09-07-2024</t>
        </is>
      </c>
      <c r="G931" t="n">
        <v>45276</v>
      </c>
      <c r="I931">
        <f>G931</f>
        <v/>
      </c>
      <c r="K931">
        <f>I931-G931</f>
        <v/>
      </c>
      <c r="M931">
        <f>R931=E931</f>
        <v/>
      </c>
      <c r="N931">
        <f>AND(MONTH(F931)=MONTH(Q931), YEAR(F931)=YEAR(Q931))</f>
        <v/>
      </c>
      <c r="O931">
        <f>"L001-902303751"=S931</f>
        <v/>
      </c>
      <c r="P931">
        <f>G931-U931</f>
        <v/>
      </c>
      <c r="Q931" s="35" t="n">
        <v>45419</v>
      </c>
      <c r="R931" t="n">
        <v>83538</v>
      </c>
      <c r="S931" t="inlineStr">
        <is>
          <t>L001-107032791</t>
        </is>
      </c>
      <c r="T931" t="inlineStr">
        <is>
          <t>នីបផន អិចប្រេស (ខេមបូឌា) ខូ អិលធីឌី</t>
        </is>
      </c>
      <c r="U931" t="n">
        <v>83538</v>
      </c>
      <c r="V931" t="n">
        <v>0</v>
      </c>
    </row>
    <row r="932">
      <c r="A932" t="n">
        <v>931</v>
      </c>
      <c r="B932" t="inlineStr">
        <is>
          <t>Customs Clearance Fee and Trucking Fee</t>
        </is>
      </c>
      <c r="C932" t="inlineStr">
        <is>
          <t>ត្រាយអ៊ែងហ្គល ឡូជីស្ទីក (ខេមបូឌា) ឯ.ក</t>
        </is>
      </c>
      <c r="D932" t="inlineStr">
        <is>
          <t>K010-902101743</t>
        </is>
      </c>
      <c r="E932" t="inlineStr">
        <is>
          <t>TAG-24-00461</t>
        </is>
      </c>
      <c r="F932" t="inlineStr">
        <is>
          <t>11-07-2024</t>
        </is>
      </c>
      <c r="G932" t="n">
        <v>28770</v>
      </c>
      <c r="I932">
        <f>G932</f>
        <v/>
      </c>
      <c r="K932">
        <f>I932-G932</f>
        <v/>
      </c>
      <c r="M932">
        <f>R932=E932</f>
        <v/>
      </c>
      <c r="N932">
        <f>AND(MONTH(F932)=MONTH(Q932), YEAR(F932)=YEAR(Q932))</f>
        <v/>
      </c>
      <c r="O932">
        <f>"L001-902303751"=S932</f>
        <v/>
      </c>
      <c r="P932">
        <f>G932-U932</f>
        <v/>
      </c>
      <c r="Q932" s="35" t="n">
        <v>45439</v>
      </c>
      <c r="R932" t="n">
        <v>83661</v>
      </c>
      <c r="S932" t="inlineStr">
        <is>
          <t>L001-107032791</t>
        </is>
      </c>
      <c r="T932" t="inlineStr">
        <is>
          <t>នីបផន អិចប្រេស (ខេមបូឌា) ខូ អិលធីឌី</t>
        </is>
      </c>
      <c r="U932" t="n">
        <v>83661</v>
      </c>
      <c r="V932" t="n">
        <v>0</v>
      </c>
    </row>
    <row r="933">
      <c r="A933" t="n">
        <v>932</v>
      </c>
      <c r="B933" t="inlineStr">
        <is>
          <t>Customs Clearance Fee</t>
        </is>
      </c>
      <c r="C933" t="inlineStr">
        <is>
          <t>ត្រាយអ៊ែងហ្គល ឡូជីស្ទីក (ខេមបូឌា) ឯ.ក</t>
        </is>
      </c>
      <c r="D933" t="inlineStr">
        <is>
          <t>K010-902101743</t>
        </is>
      </c>
      <c r="E933" t="inlineStr">
        <is>
          <t>TAG-24-00475</t>
        </is>
      </c>
      <c r="F933" t="inlineStr">
        <is>
          <t>17-07-2024</t>
        </is>
      </c>
      <c r="G933" t="n">
        <v>8214</v>
      </c>
      <c r="I933">
        <f>G933</f>
        <v/>
      </c>
      <c r="K933">
        <f>I933-G933</f>
        <v/>
      </c>
      <c r="M933">
        <f>R933=E933</f>
        <v/>
      </c>
      <c r="N933">
        <f>AND(MONTH(F933)=MONTH(Q933), YEAR(F933)=YEAR(Q933))</f>
        <v/>
      </c>
      <c r="O933">
        <f>"L001-902303751"=S933</f>
        <v/>
      </c>
      <c r="P933">
        <f>G933-U933</f>
        <v/>
      </c>
      <c r="Q933" s="35" t="n">
        <v>45432</v>
      </c>
      <c r="R933" t="n">
        <v>114564</v>
      </c>
      <c r="S933" t="inlineStr">
        <is>
          <t>L001-104015799</t>
        </is>
      </c>
      <c r="T933" t="inlineStr">
        <is>
          <t>យូសេន ឡូជីស្ទីក (ខេមបូឌា) ខូ អិលធីឌី</t>
        </is>
      </c>
      <c r="U933" t="n">
        <v>114564</v>
      </c>
      <c r="V933" t="n">
        <v>0</v>
      </c>
    </row>
    <row r="934">
      <c r="A934" t="n">
        <v>933</v>
      </c>
      <c r="B934" t="inlineStr">
        <is>
          <t>Terminal Handling Charge, EMF, Container Imbalance Charge, D/O Fee, Document Fee and Handling Charge</t>
        </is>
      </c>
      <c r="C934" t="inlineStr">
        <is>
          <t>ខេអិលអិន ហ្វ្រេត (ខេមបូឌា) ឯ.ក</t>
        </is>
      </c>
      <c r="D934" t="inlineStr">
        <is>
          <t>L001-100074669</t>
        </is>
      </c>
      <c r="E934" t="inlineStr">
        <is>
          <t>IVO10826</t>
        </is>
      </c>
      <c r="F934" t="inlineStr">
        <is>
          <t>17-07-2024</t>
        </is>
      </c>
      <c r="G934" t="n">
        <v>162843</v>
      </c>
      <c r="I934">
        <f>G934</f>
        <v/>
      </c>
      <c r="K934">
        <f>I934-G934</f>
        <v/>
      </c>
      <c r="M934">
        <f>R934=E934</f>
        <v/>
      </c>
      <c r="N934">
        <f>AND(MONTH(F934)=MONTH(Q934), YEAR(F934)=YEAR(Q934))</f>
        <v/>
      </c>
      <c r="O934">
        <f>"L001-902303751"=S934</f>
        <v/>
      </c>
      <c r="P934">
        <f>G934-U934</f>
        <v/>
      </c>
      <c r="Q934" s="35" t="n">
        <v>45432</v>
      </c>
      <c r="R934" t="n">
        <v>83579</v>
      </c>
      <c r="S934" t="inlineStr">
        <is>
          <t>L001-107032791</t>
        </is>
      </c>
      <c r="T934" t="inlineStr">
        <is>
          <t>នីបផន អិចប្រេស (ខេមបូឌា) ខូ អិលធីឌី</t>
        </is>
      </c>
      <c r="U934" t="n">
        <v>83579</v>
      </c>
      <c r="V934" t="n">
        <v>0</v>
      </c>
    </row>
    <row r="935">
      <c r="A935" t="n">
        <v>934</v>
      </c>
      <c r="B935" t="inlineStr">
        <is>
          <t>Customs Clearance Fee and Trucking Fee</t>
        </is>
      </c>
      <c r="C935" t="inlineStr">
        <is>
          <t>ត្រាយអ៊ែងហ្គល ឡូជីស្ទីក (ខេមបូឌា) ឯ.ក</t>
        </is>
      </c>
      <c r="D935" t="inlineStr">
        <is>
          <t>K010-902101743</t>
        </is>
      </c>
      <c r="E935" t="inlineStr">
        <is>
          <t>TAG-24-00471</t>
        </is>
      </c>
      <c r="F935" t="inlineStr">
        <is>
          <t>16-07-2024</t>
        </is>
      </c>
      <c r="G935" t="n">
        <v>28742</v>
      </c>
      <c r="I935">
        <f>G935</f>
        <v/>
      </c>
      <c r="K935">
        <f>I935-G935</f>
        <v/>
      </c>
      <c r="M935">
        <f>R935=E935</f>
        <v/>
      </c>
      <c r="N935">
        <f>AND(MONTH(F935)=MONTH(Q935), YEAR(F935)=YEAR(Q935))</f>
        <v/>
      </c>
      <c r="O935">
        <f>"L001-902303751"=S935</f>
        <v/>
      </c>
      <c r="P935">
        <f>G935-U935</f>
        <v/>
      </c>
      <c r="Q935" s="35" t="n">
        <v>45427</v>
      </c>
      <c r="R935" t="n">
        <v>83620</v>
      </c>
      <c r="S935" t="inlineStr">
        <is>
          <t>L001-107032791</t>
        </is>
      </c>
      <c r="T935" t="inlineStr">
        <is>
          <t>នីបផន អិចប្រេស (ខេមបូឌា) ខូ អិលធីឌី</t>
        </is>
      </c>
      <c r="U935" t="n">
        <v>83620</v>
      </c>
      <c r="V935" t="n">
        <v>0</v>
      </c>
    </row>
    <row r="936">
      <c r="A936" t="n">
        <v>935</v>
      </c>
      <c r="B936" t="inlineStr">
        <is>
          <t>Cargo Terminal</t>
        </is>
      </c>
      <c r="C936" t="inlineStr">
        <is>
          <t>សូស៊ីយេតេ កុងសេស្យូនែរ ដឺ ឡាអេរ៉ូព័រ</t>
        </is>
      </c>
      <c r="D936" t="inlineStr">
        <is>
          <t>L001-100047300</t>
        </is>
      </c>
      <c r="E936" t="inlineStr">
        <is>
          <t>2400-055407</t>
        </is>
      </c>
      <c r="F936" t="inlineStr">
        <is>
          <t>16-07-2024</t>
        </is>
      </c>
      <c r="G936" t="n">
        <v>12811</v>
      </c>
      <c r="I936">
        <f>G936</f>
        <v/>
      </c>
      <c r="K936">
        <f>I936-G936</f>
        <v/>
      </c>
      <c r="M936">
        <f>R936=E936</f>
        <v/>
      </c>
      <c r="N936">
        <f>AND(MONTH(F936)=MONTH(Q936), YEAR(F936)=YEAR(Q936))</f>
        <v/>
      </c>
      <c r="O936">
        <f>"L001-902303751"=S936</f>
        <v/>
      </c>
      <c r="P936">
        <f>G936-U936</f>
        <v/>
      </c>
      <c r="Q936" s="35" t="n">
        <v>45419</v>
      </c>
      <c r="R936" t="n">
        <v>112063</v>
      </c>
      <c r="S936" t="inlineStr">
        <is>
          <t>L001-107032791</t>
        </is>
      </c>
      <c r="T936" t="inlineStr">
        <is>
          <t>នីបផន អិចប្រេស (ខេមបូឌា) ខូ អិលធីឌី</t>
        </is>
      </c>
      <c r="U936" t="n">
        <v>112063</v>
      </c>
      <c r="V936" t="n">
        <v>0</v>
      </c>
    </row>
    <row r="937">
      <c r="A937" t="n">
        <v>936</v>
      </c>
      <c r="B937" t="inlineStr">
        <is>
          <t>Handling Fee and Doc Fee</t>
        </is>
      </c>
      <c r="C937" t="inlineStr">
        <is>
          <t>ទ្រូ ខមភែនៀន ឡូជីស្ទីក (ខេមបូឌា)</t>
        </is>
      </c>
      <c r="D937" t="inlineStr">
        <is>
          <t>K009-901605081</t>
        </is>
      </c>
      <c r="E937" t="inlineStr">
        <is>
          <t>TCLCAMAI2024-0085</t>
        </is>
      </c>
      <c r="F937" t="inlineStr">
        <is>
          <t>12-07-2024</t>
        </is>
      </c>
      <c r="G937" t="n">
        <v>34901</v>
      </c>
      <c r="I937">
        <f>G937</f>
        <v/>
      </c>
      <c r="K937">
        <f>I937-G937</f>
        <v/>
      </c>
      <c r="M937">
        <f>R937=E937</f>
        <v/>
      </c>
      <c r="N937">
        <f>AND(MONTH(F937)=MONTH(Q937), YEAR(F937)=YEAR(Q937))</f>
        <v/>
      </c>
      <c r="O937">
        <f>"L001-902303751"=S937</f>
        <v/>
      </c>
      <c r="P937">
        <f>G937-U937</f>
        <v/>
      </c>
      <c r="Q937" s="35" t="n">
        <v>45439</v>
      </c>
      <c r="R937" t="inlineStr"/>
      <c r="S937" t="inlineStr">
        <is>
          <t>L001-107041723</t>
        </is>
      </c>
      <c r="T937" t="inlineStr">
        <is>
          <t>ឌីប៊ី សេនឃើរ (ខេមបូឌា) លីមីធីត</t>
        </is>
      </c>
      <c r="U937" t="n">
        <v>0</v>
      </c>
      <c r="V937" t="n">
        <v>0</v>
      </c>
    </row>
    <row r="938">
      <c r="A938" t="n">
        <v>937</v>
      </c>
      <c r="B938" t="inlineStr">
        <is>
          <t>Customs Clearance Fee and Trucking Fee</t>
        </is>
      </c>
      <c r="C938" t="inlineStr">
        <is>
          <t>ត្រាយអ៊ែងហ្គល ឡូជីស្ទីក (ខេមបូឌា) ឯ.ក</t>
        </is>
      </c>
      <c r="D938" t="inlineStr">
        <is>
          <t>K010-902101743</t>
        </is>
      </c>
      <c r="E938" t="inlineStr">
        <is>
          <t>TAG-24-00468</t>
        </is>
      </c>
      <c r="F938" t="inlineStr">
        <is>
          <t>16-07-2024</t>
        </is>
      </c>
      <c r="G938" t="n">
        <v>28742</v>
      </c>
      <c r="I938">
        <f>G938</f>
        <v/>
      </c>
      <c r="K938">
        <f>I938-G938</f>
        <v/>
      </c>
      <c r="M938">
        <f>R938=E938</f>
        <v/>
      </c>
      <c r="N938">
        <f>AND(MONTH(F938)=MONTH(Q938), YEAR(F938)=YEAR(Q938))</f>
        <v/>
      </c>
      <c r="O938">
        <f>"L001-902303751"=S938</f>
        <v/>
      </c>
      <c r="P938">
        <f>G938-U938</f>
        <v/>
      </c>
      <c r="Q938" s="35" t="n">
        <v>45441</v>
      </c>
      <c r="R938" t="inlineStr"/>
      <c r="S938" t="inlineStr">
        <is>
          <t>K005-100059945</t>
        </is>
      </c>
      <c r="T938" t="inlineStr">
        <is>
          <t>អ៊ែតវ៉ានស៍ គ្លរី ឡូជីស្ទីក (ខេមបូឌា) (អេ ជី អិល)</t>
        </is>
      </c>
      <c r="U938" t="n">
        <v>0</v>
      </c>
      <c r="V938" t="n">
        <v>0</v>
      </c>
    </row>
    <row r="939">
      <c r="A939" t="n">
        <v>938</v>
      </c>
      <c r="B939" t="inlineStr">
        <is>
          <t>Terminal Handling Charge, CFS Fee, Scanner Fee, CIC Fee, Agency Fee, D/O Fee, Documentation Fee, Handling Fee, Ex-Work Charge andOcen Freight Charge</t>
        </is>
      </c>
      <c r="C939" t="inlineStr">
        <is>
          <t>ភី.ដាប់បែលយូ. ស្កេនវែល ឡូជីស្ទីក (ខេមបូឌា)</t>
        </is>
      </c>
      <c r="D939" t="inlineStr">
        <is>
          <t>K002-107011379</t>
        </is>
      </c>
      <c r="E939" t="inlineStr">
        <is>
          <t>240700143</t>
        </is>
      </c>
      <c r="F939" t="inlineStr">
        <is>
          <t>16-07-2024</t>
        </is>
      </c>
      <c r="G939" t="n">
        <v>208421</v>
      </c>
      <c r="I939">
        <f>G939</f>
        <v/>
      </c>
      <c r="K939">
        <f>I939-G939</f>
        <v/>
      </c>
      <c r="M939">
        <f>R939=E939</f>
        <v/>
      </c>
      <c r="N939">
        <f>AND(MONTH(F939)=MONTH(Q939), YEAR(F939)=YEAR(Q939))</f>
        <v/>
      </c>
      <c r="O939">
        <f>"L001-902303751"=S939</f>
        <v/>
      </c>
      <c r="P939">
        <f>G939-U939</f>
        <v/>
      </c>
      <c r="Q939" s="35" t="n">
        <v>45439</v>
      </c>
      <c r="R939" t="inlineStr"/>
      <c r="S939" t="inlineStr">
        <is>
          <t>L001-107032791</t>
        </is>
      </c>
      <c r="T939" t="inlineStr">
        <is>
          <t>នីបផន អិចប្រេស (ខេមបូឌា) ខូ អិលធីឌី</t>
        </is>
      </c>
      <c r="U939" t="n">
        <v>0</v>
      </c>
      <c r="V939" t="n">
        <v>0</v>
      </c>
    </row>
    <row r="940">
      <c r="A940" t="n">
        <v>939</v>
      </c>
      <c r="B940" t="inlineStr">
        <is>
          <t>Customs Clearance Fee and Trucking Fee</t>
        </is>
      </c>
      <c r="C940" t="inlineStr">
        <is>
          <t>ត្រាយអ៊ែងហ្គល ឡូជីស្ទីក (ខេមបូឌា) ឯ.ក</t>
        </is>
      </c>
      <c r="D940" t="inlineStr">
        <is>
          <t>K010-902101743</t>
        </is>
      </c>
      <c r="E940" t="inlineStr">
        <is>
          <t>TAG-24-00472</t>
        </is>
      </c>
      <c r="F940" t="inlineStr">
        <is>
          <t>16-07-2024</t>
        </is>
      </c>
      <c r="G940" t="n">
        <v>28742</v>
      </c>
      <c r="I940">
        <f>G940</f>
        <v/>
      </c>
      <c r="K940">
        <f>I940-G940</f>
        <v/>
      </c>
      <c r="M940">
        <f>R940=E940</f>
        <v/>
      </c>
      <c r="N940">
        <f>AND(MONTH(F940)=MONTH(Q940), YEAR(F940)=YEAR(Q940))</f>
        <v/>
      </c>
      <c r="O940">
        <f>"L001-902303751"=S940</f>
        <v/>
      </c>
      <c r="P940">
        <f>G940-U940</f>
        <v/>
      </c>
      <c r="Q940" s="35" t="n">
        <v>45432</v>
      </c>
      <c r="R940" t="inlineStr"/>
      <c r="S940" t="inlineStr">
        <is>
          <t>L001-107032791</t>
        </is>
      </c>
      <c r="T940" t="inlineStr">
        <is>
          <t>នីបផន អិចប្រេស (ខេមបូឌា) ខូ អិលធីឌី</t>
        </is>
      </c>
      <c r="U940" t="n">
        <v>0</v>
      </c>
      <c r="V940" t="n">
        <v>0</v>
      </c>
    </row>
    <row r="941">
      <c r="A941" t="n">
        <v>940</v>
      </c>
      <c r="B941" t="inlineStr">
        <is>
          <t>Customs Clearance Fee and Trucking Fee</t>
        </is>
      </c>
      <c r="C941" t="inlineStr">
        <is>
          <t>ត្រាយអ៊ែងហ្គល ឡូជីស្ទីក (ខេមបូឌា) ឯ.ក</t>
        </is>
      </c>
      <c r="D941" t="inlineStr">
        <is>
          <t>K010-902101743</t>
        </is>
      </c>
      <c r="E941" t="inlineStr">
        <is>
          <t>TAG-24-00460</t>
        </is>
      </c>
      <c r="F941" t="inlineStr">
        <is>
          <t>09-07-2024</t>
        </is>
      </c>
      <c r="G941" t="n">
        <v>28812</v>
      </c>
      <c r="I941">
        <f>G941</f>
        <v/>
      </c>
      <c r="K941">
        <f>I941-G941</f>
        <v/>
      </c>
      <c r="M941">
        <f>R941=E941</f>
        <v/>
      </c>
      <c r="N941">
        <f>AND(MONTH(F941)=MONTH(Q941), YEAR(F941)=YEAR(Q941))</f>
        <v/>
      </c>
      <c r="O941">
        <f>"L001-902303751"=S941</f>
        <v/>
      </c>
      <c r="P941">
        <f>G941-U941</f>
        <v/>
      </c>
      <c r="Q941" s="35" t="n">
        <v>45427</v>
      </c>
      <c r="R941" t="n">
        <v>83620</v>
      </c>
      <c r="S941" t="inlineStr">
        <is>
          <t>L001-107032791</t>
        </is>
      </c>
      <c r="T941" t="inlineStr">
        <is>
          <t>នីបផន អិចប្រេស (ខេមបូឌា) ខូ អិលធីឌី</t>
        </is>
      </c>
      <c r="U941" t="n">
        <v>83620</v>
      </c>
      <c r="V941" t="n">
        <v>0</v>
      </c>
    </row>
    <row r="942">
      <c r="A942" t="n">
        <v>941</v>
      </c>
      <c r="B942" t="inlineStr">
        <is>
          <t>Cargo Terminal</t>
        </is>
      </c>
      <c r="C942" t="inlineStr">
        <is>
          <t>សូស៊ីយេតេ កុងសេស្យូនែរ ដឺ ឡាអេរ៉ូព័រ</t>
        </is>
      </c>
      <c r="D942" t="inlineStr">
        <is>
          <t>L001-100047300</t>
        </is>
      </c>
      <c r="E942" t="inlineStr">
        <is>
          <t>2400-055392</t>
        </is>
      </c>
      <c r="F942" t="inlineStr">
        <is>
          <t>16-07-2024</t>
        </is>
      </c>
      <c r="G942" t="n">
        <v>3415</v>
      </c>
      <c r="I942">
        <f>G942</f>
        <v/>
      </c>
      <c r="K942">
        <f>I942-G942</f>
        <v/>
      </c>
      <c r="M942">
        <f>R942=E942</f>
        <v/>
      </c>
      <c r="N942">
        <f>AND(MONTH(F942)=MONTH(Q942), YEAR(F942)=YEAR(Q942))</f>
        <v/>
      </c>
      <c r="O942">
        <f>"L001-902303751"=S942</f>
        <v/>
      </c>
      <c r="P942">
        <f>G942-U942</f>
        <v/>
      </c>
      <c r="Q942" s="35" t="n">
        <v>45436</v>
      </c>
      <c r="R942" t="inlineStr"/>
      <c r="S942" t="inlineStr">
        <is>
          <t>L001-100045995</t>
        </is>
      </c>
      <c r="T942" t="inlineStr">
        <is>
          <t>ឌីអេចអិល ឡូជីស្ទីក (ខេមបូឌា)</t>
        </is>
      </c>
      <c r="U942" t="n">
        <v>0</v>
      </c>
      <c r="V942" t="n">
        <v>0</v>
      </c>
    </row>
    <row r="943">
      <c r="A943" t="n">
        <v>942</v>
      </c>
      <c r="B943" t="inlineStr">
        <is>
          <t>Airway Bill Fee and Handling Agency Fee</t>
        </is>
      </c>
      <c r="C943" t="inlineStr">
        <is>
          <t>ត្រេន ស្តារ ហ្រេ្វត</t>
        </is>
      </c>
      <c r="D943" t="inlineStr">
        <is>
          <t>L001-100011888</t>
        </is>
      </c>
      <c r="E943" t="inlineStr">
        <is>
          <t>PPTI24-08235</t>
        </is>
      </c>
      <c r="F943" t="inlineStr">
        <is>
          <t>11-07-2024</t>
        </is>
      </c>
      <c r="G943" t="n">
        <v>34935</v>
      </c>
      <c r="I943">
        <f>G943</f>
        <v/>
      </c>
      <c r="K943">
        <f>I943-G943</f>
        <v/>
      </c>
      <c r="M943">
        <f>R943=E943</f>
        <v/>
      </c>
      <c r="N943">
        <f>AND(MONTH(F943)=MONTH(Q943), YEAR(F943)=YEAR(Q943))</f>
        <v/>
      </c>
      <c r="O943">
        <f>"L001-902303751"=S943</f>
        <v/>
      </c>
      <c r="P943">
        <f>G943-U943</f>
        <v/>
      </c>
      <c r="Q943" s="35" t="n">
        <v>45436</v>
      </c>
      <c r="R943" t="n">
        <v>28553</v>
      </c>
      <c r="S943" t="inlineStr">
        <is>
          <t>L001-107032791</t>
        </is>
      </c>
      <c r="T943" t="inlineStr">
        <is>
          <t>នីបផន អិចប្រេស (ខេមបូឌា) ខូ អិលធីឌី</t>
        </is>
      </c>
      <c r="U943" t="n">
        <v>28553</v>
      </c>
      <c r="V943" t="n">
        <v>0</v>
      </c>
    </row>
    <row r="944">
      <c r="A944" t="n">
        <v>943</v>
      </c>
      <c r="B944" t="inlineStr">
        <is>
          <t>Customs Clearance Fee</t>
        </is>
      </c>
      <c r="C944" t="inlineStr">
        <is>
          <t>ត្រាយអ៊ែងហ្គល ឡូជីស្ទីក (ខេមបូឌា) ឯ.ក</t>
        </is>
      </c>
      <c r="D944" t="inlineStr">
        <is>
          <t>K010-902101743</t>
        </is>
      </c>
      <c r="E944" t="inlineStr">
        <is>
          <t>TAG-24-00470</t>
        </is>
      </c>
      <c r="F944" t="inlineStr">
        <is>
          <t>16-07-2024</t>
        </is>
      </c>
      <c r="G944" t="n">
        <v>8212</v>
      </c>
      <c r="I944">
        <f>G944</f>
        <v/>
      </c>
      <c r="K944">
        <f>I944-G944</f>
        <v/>
      </c>
      <c r="M944">
        <f>R944=E944</f>
        <v/>
      </c>
      <c r="N944">
        <f>AND(MONTH(F944)=MONTH(Q944), YEAR(F944)=YEAR(Q944))</f>
        <v/>
      </c>
      <c r="O944">
        <f>"L001-902303751"=S944</f>
        <v/>
      </c>
      <c r="P944">
        <f>G944-U944</f>
        <v/>
      </c>
      <c r="Q944" s="35" t="n">
        <v>45435</v>
      </c>
      <c r="R944" t="inlineStr"/>
      <c r="S944" t="inlineStr">
        <is>
          <t>K003-901635943</t>
        </is>
      </c>
      <c r="T944" t="inlineStr">
        <is>
          <t>អ៊ីឃ្យូឡាញ វើលវ៉ាយដ៍ ឡូជីស្ទីក</t>
        </is>
      </c>
      <c r="U944" t="n">
        <v>0</v>
      </c>
      <c r="V944" t="n">
        <v>0</v>
      </c>
    </row>
    <row r="945">
      <c r="A945" t="n">
        <v>944</v>
      </c>
      <c r="B945" t="inlineStr">
        <is>
          <t>Customs Clearance Fee and Trucking Fee</t>
        </is>
      </c>
      <c r="C945" t="inlineStr">
        <is>
          <t>ត្រាយអ៊ែងហ្គល ឡូជីស្ទីក (ខេមបូឌា) ឯ.ក</t>
        </is>
      </c>
      <c r="D945" t="inlineStr">
        <is>
          <t>K010-902101743</t>
        </is>
      </c>
      <c r="E945" t="inlineStr">
        <is>
          <t>TAG-24-00499</t>
        </is>
      </c>
      <c r="F945" t="inlineStr">
        <is>
          <t>29-07-2024</t>
        </is>
      </c>
      <c r="G945" t="n">
        <v>69768</v>
      </c>
      <c r="I945">
        <f>G945</f>
        <v/>
      </c>
      <c r="K945">
        <f>I945-G945</f>
        <v/>
      </c>
      <c r="M945">
        <f>R945=E945</f>
        <v/>
      </c>
      <c r="N945">
        <f>AND(MONTH(F945)=MONTH(Q945), YEAR(F945)=YEAR(Q945))</f>
        <v/>
      </c>
      <c r="O945">
        <f>"L001-902303751"=S945</f>
        <v/>
      </c>
      <c r="P945">
        <f>G945-U945</f>
        <v/>
      </c>
      <c r="Q945" s="35" t="n">
        <v>45435</v>
      </c>
      <c r="R945" t="n">
        <v>112118</v>
      </c>
      <c r="S945" t="inlineStr">
        <is>
          <t>K005-100059945</t>
        </is>
      </c>
      <c r="T945" t="inlineStr">
        <is>
          <t>អ៊ែតវ៉ានស៍ គ្លរី ឡូជីស្ទីក (ខេមបូឌា) (អេ ជី អិល)</t>
        </is>
      </c>
      <c r="U945" t="n">
        <v>112118</v>
      </c>
      <c r="V945" t="n">
        <v>0</v>
      </c>
    </row>
    <row r="946">
      <c r="A946" t="n">
        <v>945</v>
      </c>
      <c r="B946" t="inlineStr">
        <is>
          <t>LIFT-ON Charges 40" Full and Gate Fee Charges 40" Full</t>
        </is>
      </c>
      <c r="C946" t="inlineStr">
        <is>
          <t>កំពង់ផែស្វយ័តភ្នំពេញ "ក.ស.ភ"</t>
        </is>
      </c>
      <c r="D946" t="inlineStr">
        <is>
          <t>L001-100044999</t>
        </is>
      </c>
      <c r="E946" t="inlineStr">
        <is>
          <t>INV20240749402</t>
        </is>
      </c>
      <c r="F946" t="inlineStr">
        <is>
          <t>27-07-2024</t>
        </is>
      </c>
      <c r="G946" t="n">
        <v>28714</v>
      </c>
      <c r="I946">
        <f>G946</f>
        <v/>
      </c>
      <c r="K946">
        <f>I946-G946</f>
        <v/>
      </c>
      <c r="M946">
        <f>R946=E946</f>
        <v/>
      </c>
      <c r="N946">
        <f>AND(MONTH(F946)=MONTH(Q946), YEAR(F946)=YEAR(Q946))</f>
        <v/>
      </c>
      <c r="O946">
        <f>"L001-902303751"=S946</f>
        <v/>
      </c>
      <c r="P946">
        <f>G946-U946</f>
        <v/>
      </c>
      <c r="Q946" s="35" t="n">
        <v>45432</v>
      </c>
      <c r="R946" t="inlineStr"/>
      <c r="S946" t="inlineStr">
        <is>
          <t>L001-100074669</t>
        </is>
      </c>
      <c r="T946" t="inlineStr">
        <is>
          <t>ខេអិលអិន ហ្វ្រេត (ខេមបូឌា) ឯ.ក</t>
        </is>
      </c>
      <c r="U946" t="n">
        <v>0</v>
      </c>
      <c r="V946" t="n">
        <v>0</v>
      </c>
    </row>
    <row r="947">
      <c r="A947" t="n">
        <v>946</v>
      </c>
      <c r="B947" t="inlineStr">
        <is>
          <t>THC, Doc Fee and Container Imbalance</t>
        </is>
      </c>
      <c r="C947" t="inlineStr">
        <is>
          <t>សាខាក្រុមហ៊ុន ជីម៉ាឌីប ស៊ីបភីង ខមភេនី លីមីធីត</t>
        </is>
      </c>
      <c r="D947" t="inlineStr">
        <is>
          <t>L001-901704777</t>
        </is>
      </c>
      <c r="E947" t="inlineStr">
        <is>
          <t>24-02622</t>
        </is>
      </c>
      <c r="F947" t="inlineStr">
        <is>
          <t>25-07-2024</t>
        </is>
      </c>
      <c r="G947" t="n">
        <v>137518</v>
      </c>
      <c r="I947">
        <f>G947</f>
        <v/>
      </c>
      <c r="K947">
        <f>I947-G947</f>
        <v/>
      </c>
      <c r="M947">
        <f>R947=E947</f>
        <v/>
      </c>
      <c r="N947">
        <f>AND(MONTH(F947)=MONTH(Q947), YEAR(F947)=YEAR(Q947))</f>
        <v/>
      </c>
      <c r="O947">
        <f>"L001-902303751"=S947</f>
        <v/>
      </c>
      <c r="P947">
        <f>G947-U947</f>
        <v/>
      </c>
      <c r="Q947" s="35" t="n">
        <v>45429</v>
      </c>
      <c r="R947" t="inlineStr"/>
      <c r="S947" t="inlineStr">
        <is>
          <t>K005-100099521</t>
        </is>
      </c>
      <c r="T947" t="inlineStr">
        <is>
          <t>ខាហ្គោផត (ខេមបូឌា)</t>
        </is>
      </c>
      <c r="U947" t="n">
        <v>0</v>
      </c>
      <c r="V947" t="n">
        <v>0</v>
      </c>
    </row>
    <row r="948">
      <c r="A948" t="n">
        <v>947</v>
      </c>
      <c r="B948" t="inlineStr">
        <is>
          <t>Customs Clearance Fee and Trucking Fee</t>
        </is>
      </c>
      <c r="C948" t="inlineStr">
        <is>
          <t>ត្រាយអ៊ែងហ្គល ឡូជីស្ទីក (ខេមបូឌា) ឯ.ក</t>
        </is>
      </c>
      <c r="D948" t="inlineStr">
        <is>
          <t>K010-902101743</t>
        </is>
      </c>
      <c r="E948" t="inlineStr">
        <is>
          <t>TAG-24-00497</t>
        </is>
      </c>
      <c r="F948" t="inlineStr">
        <is>
          <t>25-07-2024</t>
        </is>
      </c>
      <c r="G948" t="n">
        <v>28735</v>
      </c>
      <c r="I948">
        <f>G948</f>
        <v/>
      </c>
      <c r="K948">
        <f>I948-G948</f>
        <v/>
      </c>
      <c r="M948">
        <f>R948=E948</f>
        <v/>
      </c>
      <c r="N948">
        <f>AND(MONTH(F948)=MONTH(Q948), YEAR(F948)=YEAR(Q948))</f>
        <v/>
      </c>
      <c r="O948">
        <f>"L001-902303751"=S948</f>
        <v/>
      </c>
      <c r="P948">
        <f>G948-U948</f>
        <v/>
      </c>
      <c r="Q948" s="35" t="n">
        <v>45432</v>
      </c>
      <c r="R948" t="n">
        <v>83579</v>
      </c>
      <c r="S948" t="inlineStr">
        <is>
          <t>L001-107032791</t>
        </is>
      </c>
      <c r="T948" t="inlineStr">
        <is>
          <t>នីបផន អិចប្រេស (ខេមបូឌា) ខូ អិលធីឌី</t>
        </is>
      </c>
      <c r="U948" t="n">
        <v>83579</v>
      </c>
      <c r="V948" t="n">
        <v>0</v>
      </c>
    </row>
    <row r="949">
      <c r="A949" t="n">
        <v>948</v>
      </c>
      <c r="B949" t="inlineStr">
        <is>
          <t>Cargo Terminal</t>
        </is>
      </c>
      <c r="C949" t="inlineStr">
        <is>
          <t>សូស៊ីយេតេ កុងសេស្យូនែរ ដឺ ឡាអេរ៉ូព័រ</t>
        </is>
      </c>
      <c r="D949" t="inlineStr">
        <is>
          <t>L001-100047300</t>
        </is>
      </c>
      <c r="E949" t="inlineStr">
        <is>
          <t>2400-058241</t>
        </is>
      </c>
      <c r="F949" t="inlineStr">
        <is>
          <t>25-07-2024</t>
        </is>
      </c>
      <c r="G949" t="n">
        <v>2530</v>
      </c>
      <c r="I949">
        <f>G949</f>
        <v/>
      </c>
      <c r="K949">
        <f>I949-G949</f>
        <v/>
      </c>
      <c r="M949">
        <f>R949=E949</f>
        <v/>
      </c>
      <c r="N949">
        <f>AND(MONTH(F949)=MONTH(Q949), YEAR(F949)=YEAR(Q949))</f>
        <v/>
      </c>
      <c r="O949">
        <f>"L001-902303751"=S949</f>
        <v/>
      </c>
      <c r="P949">
        <f>G949-U949</f>
        <v/>
      </c>
      <c r="Q949" s="35" t="n">
        <v>45432</v>
      </c>
      <c r="R949" t="inlineStr"/>
      <c r="S949" t="inlineStr">
        <is>
          <t>L001-107032791</t>
        </is>
      </c>
      <c r="T949" t="inlineStr">
        <is>
          <t>នីបផន អិចប្រេស (ខេមបូឌា) ខូ អិលធីឌី</t>
        </is>
      </c>
      <c r="U949" t="n">
        <v>0</v>
      </c>
      <c r="V949" t="n">
        <v>0</v>
      </c>
    </row>
    <row r="950">
      <c r="A950" t="n">
        <v>949</v>
      </c>
      <c r="B950" t="inlineStr">
        <is>
          <t>Ariway bill fee and Handling Agency Fee</t>
        </is>
      </c>
      <c r="C950" t="inlineStr">
        <is>
          <t>ត្រេន ស្តារ ហ្រេ្វត</t>
        </is>
      </c>
      <c r="D950" t="inlineStr">
        <is>
          <t>L001-100011888</t>
        </is>
      </c>
      <c r="E950" t="inlineStr">
        <is>
          <t>PPTI24-09005</t>
        </is>
      </c>
      <c r="F950" t="inlineStr">
        <is>
          <t>24-07-2024</t>
        </is>
      </c>
      <c r="G950" t="n">
        <v>34910</v>
      </c>
      <c r="I950">
        <f>G950</f>
        <v/>
      </c>
      <c r="K950">
        <f>I950-G950</f>
        <v/>
      </c>
      <c r="M950">
        <f>R950=E950</f>
        <v/>
      </c>
      <c r="N950">
        <f>AND(MONTH(F950)=MONTH(Q950), YEAR(F950)=YEAR(Q950))</f>
        <v/>
      </c>
      <c r="O950">
        <f>"L001-902303751"=S950</f>
        <v/>
      </c>
      <c r="P950">
        <f>G950-U950</f>
        <v/>
      </c>
      <c r="Q950" s="35" t="n">
        <v>45432</v>
      </c>
      <c r="R950" t="n">
        <v>112118</v>
      </c>
      <c r="S950" t="inlineStr">
        <is>
          <t>L001-107032791</t>
        </is>
      </c>
      <c r="T950" t="inlineStr">
        <is>
          <t>នីបផន អិចប្រេស (ខេមបូឌា) ខូ អិលធីឌី</t>
        </is>
      </c>
      <c r="U950" t="n">
        <v>112118</v>
      </c>
      <c r="V950" t="n">
        <v>0</v>
      </c>
    </row>
    <row r="951">
      <c r="A951" t="n">
        <v>950</v>
      </c>
      <c r="B951" t="inlineStr">
        <is>
          <t>Handling Fee and Doc Fee</t>
        </is>
      </c>
      <c r="C951" t="inlineStr">
        <is>
          <t>ទ្រូ ខមភែនៀន ឡូជីស្ទីក (ខេមបូឌា)</t>
        </is>
      </c>
      <c r="D951" t="inlineStr">
        <is>
          <t>K009-901605081</t>
        </is>
      </c>
      <c r="E951" t="inlineStr">
        <is>
          <t>TCLCAMAI2024-0081</t>
        </is>
      </c>
      <c r="F951" t="inlineStr">
        <is>
          <t>09-07-2024</t>
        </is>
      </c>
      <c r="G951" t="n">
        <v>34986</v>
      </c>
      <c r="I951">
        <f>G951</f>
        <v/>
      </c>
      <c r="K951">
        <f>I951-G951</f>
        <v/>
      </c>
      <c r="M951">
        <f>R951=E951</f>
        <v/>
      </c>
      <c r="N951">
        <f>AND(MONTH(F951)=MONTH(Q951), YEAR(F951)=YEAR(Q951))</f>
        <v/>
      </c>
      <c r="O951">
        <f>"L001-902303751"=S951</f>
        <v/>
      </c>
      <c r="P951">
        <f>G951-U951</f>
        <v/>
      </c>
      <c r="Q951" s="35" t="n">
        <v>45428</v>
      </c>
      <c r="R951" t="n">
        <v>1070213</v>
      </c>
      <c r="S951" t="inlineStr">
        <is>
          <t>K004-105012505</t>
        </is>
      </c>
      <c r="T951" t="inlineStr">
        <is>
          <t>អេស៊ាន ហ្វ្រេត (ខេមបូឌា)</t>
        </is>
      </c>
      <c r="U951" t="n">
        <v>1070213</v>
      </c>
      <c r="V951" t="n">
        <v>0</v>
      </c>
    </row>
    <row r="952">
      <c r="A952" t="n">
        <v>951</v>
      </c>
      <c r="B952" t="inlineStr">
        <is>
          <t>Cargo Terminal</t>
        </is>
      </c>
      <c r="C952" t="inlineStr">
        <is>
          <t>សូស៊ីយេតេ កុងសេស្យូនែរ ដឺ ឡាអេរ៉ូព័រ</t>
        </is>
      </c>
      <c r="D952" t="inlineStr">
        <is>
          <t>L001-100047300</t>
        </is>
      </c>
      <c r="E952" t="inlineStr">
        <is>
          <t>2400-058021</t>
        </is>
      </c>
      <c r="F952" t="inlineStr">
        <is>
          <t>24-07-2024</t>
        </is>
      </c>
      <c r="G952" t="n">
        <v>31542</v>
      </c>
      <c r="I952">
        <f>G952</f>
        <v/>
      </c>
      <c r="K952">
        <f>I952-G952</f>
        <v/>
      </c>
      <c r="M952">
        <f>R952=E952</f>
        <v/>
      </c>
      <c r="N952">
        <f>AND(MONTH(F952)=MONTH(Q952), YEAR(F952)=YEAR(Q952))</f>
        <v/>
      </c>
      <c r="O952">
        <f>"L001-902303751"=S952</f>
        <v/>
      </c>
      <c r="P952">
        <f>G952-U952</f>
        <v/>
      </c>
      <c r="Q952" s="35" t="n">
        <v>45435</v>
      </c>
      <c r="R952" t="inlineStr"/>
      <c r="S952" t="inlineStr">
        <is>
          <t>L001-107000385</t>
        </is>
      </c>
      <c r="T952" t="inlineStr">
        <is>
          <t>អិចស្ពោលាំងកា ហ្រ្វេត (ខេមបូឌា) លីមីធីត</t>
        </is>
      </c>
      <c r="U952" t="n">
        <v>0</v>
      </c>
      <c r="V952" t="n">
        <v>0</v>
      </c>
    </row>
    <row r="953">
      <c r="A953" t="n">
        <v>952</v>
      </c>
      <c r="B953" t="inlineStr">
        <is>
          <t>Cargo Terminal</t>
        </is>
      </c>
      <c r="C953" t="inlineStr">
        <is>
          <t>សូស៊ីយេតេ កុងសេស្យូនែរ ដឺ ឡាអេរ៉ូព័រ</t>
        </is>
      </c>
      <c r="D953" t="inlineStr">
        <is>
          <t>L001-100047300</t>
        </is>
      </c>
      <c r="E953" t="inlineStr">
        <is>
          <t>2400-055462</t>
        </is>
      </c>
      <c r="F953" t="inlineStr">
        <is>
          <t>16-07-2024</t>
        </is>
      </c>
      <c r="G953" t="n">
        <v>5618</v>
      </c>
      <c r="I953">
        <f>G953</f>
        <v/>
      </c>
      <c r="K953">
        <f>I953-G953</f>
        <v/>
      </c>
      <c r="M953">
        <f>R953=E953</f>
        <v/>
      </c>
      <c r="N953">
        <f>AND(MONTH(F953)=MONTH(Q953), YEAR(F953)=YEAR(Q953))</f>
        <v/>
      </c>
      <c r="O953">
        <f>"L001-902303751"=S953</f>
        <v/>
      </c>
      <c r="P953">
        <f>G953-U953</f>
        <v/>
      </c>
      <c r="Q953" s="35" t="n">
        <v>45439</v>
      </c>
      <c r="R953" t="inlineStr"/>
      <c r="S953" t="inlineStr">
        <is>
          <t>L001-107032791</t>
        </is>
      </c>
      <c r="T953" t="inlineStr">
        <is>
          <t>នីបផន អិចប្រេស (ខេមបូឌា) ខូ អិលធីឌី</t>
        </is>
      </c>
      <c r="U953" t="n">
        <v>0</v>
      </c>
      <c r="V953" t="n">
        <v>0</v>
      </c>
    </row>
    <row r="954">
      <c r="A954" t="n">
        <v>953</v>
      </c>
      <c r="B954" t="inlineStr">
        <is>
          <t>Customs Clearance Fee</t>
        </is>
      </c>
      <c r="C954" t="inlineStr">
        <is>
          <t>ត្រាយអ៊ែងហ្គល ឡូជីស្ទីក (ខេមបូឌា) ឯ.ក</t>
        </is>
      </c>
      <c r="D954" t="inlineStr">
        <is>
          <t>K010-902101743</t>
        </is>
      </c>
      <c r="E954" t="inlineStr">
        <is>
          <t>TAG-24-00491</t>
        </is>
      </c>
      <c r="F954" t="inlineStr">
        <is>
          <t>24-07-2024</t>
        </is>
      </c>
      <c r="G954" t="n">
        <v>8214</v>
      </c>
      <c r="I954">
        <f>G954</f>
        <v/>
      </c>
      <c r="K954">
        <f>I954-G954</f>
        <v/>
      </c>
      <c r="M954">
        <f>R954=E954</f>
        <v/>
      </c>
      <c r="N954">
        <f>AND(MONTH(F954)=MONTH(Q954), YEAR(F954)=YEAR(Q954))</f>
        <v/>
      </c>
      <c r="O954">
        <f>"L001-902303751"=S954</f>
        <v/>
      </c>
      <c r="P954">
        <f>G954-U954</f>
        <v/>
      </c>
      <c r="Q954" s="35" t="n">
        <v>45439</v>
      </c>
      <c r="R954" t="n">
        <v>83661</v>
      </c>
      <c r="S954" t="inlineStr">
        <is>
          <t>L001-107032791</t>
        </is>
      </c>
      <c r="T954" t="inlineStr">
        <is>
          <t>នីបផន អិចប្រេស (ខេមបូឌា) ខូ អិលធីឌី</t>
        </is>
      </c>
      <c r="U954" t="n">
        <v>83661</v>
      </c>
      <c r="V954" t="n">
        <v>0</v>
      </c>
    </row>
    <row r="955">
      <c r="A955" t="n">
        <v>954</v>
      </c>
      <c r="B955" t="inlineStr">
        <is>
          <t>Cargo Terminal</t>
        </is>
      </c>
      <c r="C955" t="inlineStr">
        <is>
          <t>សូស៊ីយេតេ កុងសេស្យូនែរ ដឺ ឡាអេរ៉ូព័រ</t>
        </is>
      </c>
      <c r="D955" t="inlineStr">
        <is>
          <t>L001-100047300</t>
        </is>
      </c>
      <c r="E955" t="inlineStr">
        <is>
          <t>2400-058020</t>
        </is>
      </c>
      <c r="F955" t="inlineStr">
        <is>
          <t>24-07-2024</t>
        </is>
      </c>
      <c r="G955" t="n">
        <v>2826</v>
      </c>
      <c r="I955">
        <f>G955</f>
        <v/>
      </c>
      <c r="K955">
        <f>I955-G955</f>
        <v/>
      </c>
      <c r="M955">
        <f>R955=E955</f>
        <v/>
      </c>
      <c r="N955">
        <f>AND(MONTH(F955)=MONTH(Q955), YEAR(F955)=YEAR(Q955))</f>
        <v/>
      </c>
      <c r="O955">
        <f>"L001-902303751"=S955</f>
        <v/>
      </c>
      <c r="P955">
        <f>G955-U955</f>
        <v/>
      </c>
      <c r="Q955" s="35" t="n">
        <v>45429</v>
      </c>
      <c r="R955" t="n">
        <v>83599</v>
      </c>
      <c r="S955" t="inlineStr">
        <is>
          <t>K003-901635943</t>
        </is>
      </c>
      <c r="T955" t="inlineStr">
        <is>
          <t>អ៊ីឃ្យូឡាញ វើលវ៉ាយដ៍ ឡូជីស្ទីក</t>
        </is>
      </c>
      <c r="U955" t="n">
        <v>83599</v>
      </c>
      <c r="V955" t="n">
        <v>0</v>
      </c>
    </row>
    <row r="956">
      <c r="A956" t="n">
        <v>955</v>
      </c>
      <c r="B956" t="inlineStr">
        <is>
          <t>Customs Clearance Fee</t>
        </is>
      </c>
      <c r="C956" t="inlineStr">
        <is>
          <t>ត្រាយអ៊ែងហ្គល ឡូជីស្ទីក (ខេមបូឌា) ឯ.ក</t>
        </is>
      </c>
      <c r="D956" t="inlineStr">
        <is>
          <t>K010-902101743</t>
        </is>
      </c>
      <c r="E956" t="inlineStr">
        <is>
          <t>TAG-24-00492</t>
        </is>
      </c>
      <c r="F956" t="inlineStr">
        <is>
          <t>24-07-2024</t>
        </is>
      </c>
      <c r="G956" t="n">
        <v>8214</v>
      </c>
      <c r="I956">
        <f>G956</f>
        <v/>
      </c>
      <c r="K956">
        <f>I956-G956</f>
        <v/>
      </c>
      <c r="M956">
        <f>R956=E956</f>
        <v/>
      </c>
      <c r="N956">
        <f>AND(MONTH(F956)=MONTH(Q956), YEAR(F956)=YEAR(Q956))</f>
        <v/>
      </c>
      <c r="O956">
        <f>"L001-902303751"=S956</f>
        <v/>
      </c>
      <c r="P956">
        <f>G956-U956</f>
        <v/>
      </c>
      <c r="Q956" s="35" t="n">
        <v>45432</v>
      </c>
      <c r="R956" t="n">
        <v>86025</v>
      </c>
      <c r="S956" t="inlineStr">
        <is>
          <t>L001-100045340</t>
        </is>
      </c>
      <c r="T956" t="inlineStr">
        <is>
          <t xml:space="preserve">ស៊ីវ៉ា អ៊ែរ អ៊ែន អូសៀន (ខេមបូឌា) ឯ.ក </t>
        </is>
      </c>
      <c r="U956" t="n">
        <v>86025</v>
      </c>
      <c r="V956" t="n">
        <v>0</v>
      </c>
    </row>
    <row r="957">
      <c r="A957" t="n">
        <v>956</v>
      </c>
      <c r="B957" t="inlineStr">
        <is>
          <t>Cargo Terminal</t>
        </is>
      </c>
      <c r="C957" t="inlineStr">
        <is>
          <t>សូស៊ីយេតេ កុងសេស្យូនែរ ដឺ ឡាអេរ៉ូព័រ</t>
        </is>
      </c>
      <c r="D957" t="inlineStr">
        <is>
          <t>L001-100047300</t>
        </is>
      </c>
      <c r="E957" t="inlineStr">
        <is>
          <t>2400-058022</t>
        </is>
      </c>
      <c r="F957" t="inlineStr">
        <is>
          <t>24-07-2024</t>
        </is>
      </c>
      <c r="G957" t="n">
        <v>3121</v>
      </c>
      <c r="I957">
        <f>G957</f>
        <v/>
      </c>
      <c r="K957">
        <f>I957-G957</f>
        <v/>
      </c>
      <c r="M957">
        <f>R957=E957</f>
        <v/>
      </c>
      <c r="N957">
        <f>AND(MONTH(F957)=MONTH(Q957), YEAR(F957)=YEAR(Q957))</f>
        <v/>
      </c>
      <c r="O957">
        <f>"L001-902303751"=S957</f>
        <v/>
      </c>
      <c r="P957">
        <f>G957-U957</f>
        <v/>
      </c>
      <c r="Q957" s="35" t="n">
        <v>45432</v>
      </c>
      <c r="R957" t="inlineStr"/>
      <c r="S957" t="inlineStr">
        <is>
          <t>K005-901805913</t>
        </is>
      </c>
      <c r="T957" t="inlineStr">
        <is>
          <t>ស្តារ ខង់ខដ (ខេមបូឌា) ឯ.ក</t>
        </is>
      </c>
      <c r="U957" t="n">
        <v>0</v>
      </c>
      <c r="V957" t="n">
        <v>0</v>
      </c>
    </row>
    <row r="958">
      <c r="A958" t="n">
        <v>957</v>
      </c>
      <c r="B958" t="inlineStr">
        <is>
          <t>Customs Clearance Fee</t>
        </is>
      </c>
      <c r="C958" t="inlineStr">
        <is>
          <t>ត្រាយអ៊ែងហ្គល ឡូជីស្ទីក (ខេមបូឌា) ឯ.ក</t>
        </is>
      </c>
      <c r="D958" t="inlineStr">
        <is>
          <t>K010-902101743</t>
        </is>
      </c>
      <c r="E958" t="inlineStr">
        <is>
          <t>TAG-24-00496</t>
        </is>
      </c>
      <c r="F958" t="inlineStr">
        <is>
          <t>25-07-2024</t>
        </is>
      </c>
      <c r="G958" t="n">
        <v>8210</v>
      </c>
      <c r="I958">
        <f>G958</f>
        <v/>
      </c>
      <c r="K958">
        <f>I958-G958</f>
        <v/>
      </c>
      <c r="M958">
        <f>R958=E958</f>
        <v/>
      </c>
      <c r="N958">
        <f>AND(MONTH(F958)=MONTH(Q958), YEAR(F958)=YEAR(Q958))</f>
        <v/>
      </c>
      <c r="O958">
        <f>"L001-902303751"=S958</f>
        <v/>
      </c>
      <c r="P958">
        <f>G958-U958</f>
        <v/>
      </c>
      <c r="Q958" s="35" t="n">
        <v>45432</v>
      </c>
      <c r="R958" t="n">
        <v>114564</v>
      </c>
      <c r="S958" t="inlineStr">
        <is>
          <t>K005-901805913</t>
        </is>
      </c>
      <c r="T958" t="inlineStr">
        <is>
          <t>ស្តារ ខង់ខដ (ខេមបូឌា) ឯ.ក</t>
        </is>
      </c>
      <c r="U958" t="n">
        <v>114564</v>
      </c>
      <c r="V958" t="n">
        <v>0</v>
      </c>
    </row>
    <row r="959">
      <c r="A959" t="n">
        <v>958</v>
      </c>
      <c r="B959" t="inlineStr">
        <is>
          <t>Cargo Terminal</t>
        </is>
      </c>
      <c r="C959" t="inlineStr">
        <is>
          <t>សូស៊ីយេតេ កុងសេស្យូនែរ ដឺ ឡាអេរ៉ូព័រ</t>
        </is>
      </c>
      <c r="D959" t="inlineStr">
        <is>
          <t>L001-100047300</t>
        </is>
      </c>
      <c r="E959" t="inlineStr">
        <is>
          <t>2400-058354</t>
        </is>
      </c>
      <c r="F959" t="inlineStr">
        <is>
          <t>26-07-2024</t>
        </is>
      </c>
      <c r="G959" t="n">
        <v>2886</v>
      </c>
      <c r="I959">
        <f>G959</f>
        <v/>
      </c>
      <c r="K959">
        <f>I959-G959</f>
        <v/>
      </c>
      <c r="M959">
        <f>R959=E959</f>
        <v/>
      </c>
      <c r="N959">
        <f>AND(MONTH(F959)=MONTH(Q959), YEAR(F959)=YEAR(Q959))</f>
        <v/>
      </c>
      <c r="O959">
        <f>"L001-902303751"=S959</f>
        <v/>
      </c>
      <c r="P959">
        <f>G959-U959</f>
        <v/>
      </c>
      <c r="Q959" s="35" t="n">
        <v>45432</v>
      </c>
      <c r="R959" t="inlineStr"/>
      <c r="S959" t="inlineStr">
        <is>
          <t>K002-901800477</t>
        </is>
      </c>
      <c r="T959" t="inlineStr">
        <is>
          <t>អាយធីអាយ អ៊ិនធើណេសិនណល ត្រេនស័្ពរថេសិន (ខេមបូឌា) ឯ.ក</t>
        </is>
      </c>
      <c r="U959" t="n">
        <v>0</v>
      </c>
      <c r="V959" t="n">
        <v>0</v>
      </c>
    </row>
    <row r="960">
      <c r="A960" t="n">
        <v>959</v>
      </c>
      <c r="B960" t="inlineStr">
        <is>
          <t>Customs Clearance Fee</t>
        </is>
      </c>
      <c r="C960" t="inlineStr">
        <is>
          <t>ត្រាយអ៊ែងហ្គល ឡូជីស្ទីក (ខេមបូឌា) ឯ.ក</t>
        </is>
      </c>
      <c r="D960" t="inlineStr">
        <is>
          <t>K010-902101743</t>
        </is>
      </c>
      <c r="E960" t="inlineStr">
        <is>
          <t>TAG-24-00511</t>
        </is>
      </c>
      <c r="F960" t="inlineStr">
        <is>
          <t>30-07-2024</t>
        </is>
      </c>
      <c r="G960" t="n">
        <v>8214</v>
      </c>
      <c r="I960">
        <f>G960</f>
        <v/>
      </c>
      <c r="K960">
        <f>I960-G960</f>
        <v/>
      </c>
      <c r="M960">
        <f>R960=E960</f>
        <v/>
      </c>
      <c r="N960">
        <f>AND(MONTH(F960)=MONTH(Q960), YEAR(F960)=YEAR(Q960))</f>
        <v/>
      </c>
      <c r="O960">
        <f>"L001-902303751"=S960</f>
        <v/>
      </c>
      <c r="P960">
        <f>G960-U960</f>
        <v/>
      </c>
      <c r="Q960" s="35" t="n">
        <v>45432</v>
      </c>
      <c r="R960" t="inlineStr"/>
      <c r="S960" t="inlineStr">
        <is>
          <t>L001-107032791</t>
        </is>
      </c>
      <c r="T960" t="inlineStr">
        <is>
          <t>នីបផន អិចប្រេស (ខេមបូឌា) ខូ អិលធីឌី</t>
        </is>
      </c>
      <c r="U960" t="n">
        <v>0</v>
      </c>
      <c r="V960" t="n">
        <v>0</v>
      </c>
    </row>
    <row r="961">
      <c r="A961" t="n">
        <v>960</v>
      </c>
      <c r="B961" t="inlineStr">
        <is>
          <t>Cargo Terminal</t>
        </is>
      </c>
      <c r="C961" t="inlineStr">
        <is>
          <t>សូស៊ីយេតេ កុងសេស្យូនែរ ដឺ ឡាអេរ៉ូព័រ</t>
        </is>
      </c>
      <c r="D961" t="inlineStr">
        <is>
          <t>L001-100047300</t>
        </is>
      </c>
      <c r="E961" t="inlineStr">
        <is>
          <t>2400-059564</t>
        </is>
      </c>
      <c r="F961" t="inlineStr">
        <is>
          <t>29-07-2024</t>
        </is>
      </c>
      <c r="G961" t="n">
        <v>28694</v>
      </c>
      <c r="I961">
        <f>G961</f>
        <v/>
      </c>
      <c r="K961">
        <f>I961-G961</f>
        <v/>
      </c>
      <c r="M961">
        <f>R961=E961</f>
        <v/>
      </c>
      <c r="N961">
        <f>AND(MONTH(F961)=MONTH(Q961), YEAR(F961)=YEAR(Q961))</f>
        <v/>
      </c>
      <c r="O961">
        <f>"L001-902303751"=S961</f>
        <v/>
      </c>
      <c r="P961">
        <f>G961-U961</f>
        <v/>
      </c>
      <c r="Q961" s="35" t="n">
        <v>45429</v>
      </c>
      <c r="R961" t="n">
        <v>83599</v>
      </c>
      <c r="S961" t="inlineStr">
        <is>
          <t>K009-902002784</t>
        </is>
      </c>
      <c r="T961" t="inlineStr">
        <is>
          <t>ខាហ្គោលីង អ៊ិនធើណេសិនណល ឯ.ក</t>
        </is>
      </c>
      <c r="U961" t="n">
        <v>83599</v>
      </c>
      <c r="V961" t="n">
        <v>0</v>
      </c>
    </row>
    <row r="962">
      <c r="A962" t="n">
        <v>961</v>
      </c>
      <c r="B962" t="inlineStr">
        <is>
          <t>Customs Clearance Fee</t>
        </is>
      </c>
      <c r="C962" t="inlineStr">
        <is>
          <t>ត្រាយអ៊ែងហ្គល ឡូជីស្ទីក (ខេមបូឌា) ឯ.ក</t>
        </is>
      </c>
      <c r="D962" t="inlineStr">
        <is>
          <t>K010-902101743</t>
        </is>
      </c>
      <c r="E962" t="inlineStr">
        <is>
          <t>TAG-24-00512</t>
        </is>
      </c>
      <c r="F962" t="inlineStr">
        <is>
          <t>30-07-2024</t>
        </is>
      </c>
      <c r="G962" t="n">
        <v>8214</v>
      </c>
      <c r="I962">
        <f>G962</f>
        <v/>
      </c>
      <c r="K962">
        <f>I962-G962</f>
        <v/>
      </c>
      <c r="M962">
        <f>R962=E962</f>
        <v/>
      </c>
      <c r="N962">
        <f>AND(MONTH(F962)=MONTH(Q962), YEAR(F962)=YEAR(Q962))</f>
        <v/>
      </c>
      <c r="O962">
        <f>"L001-902303751"=S962</f>
        <v/>
      </c>
      <c r="P962">
        <f>G962-U962</f>
        <v/>
      </c>
      <c r="Q962" s="35" t="n">
        <v>45427</v>
      </c>
      <c r="R962" t="inlineStr"/>
      <c r="S962" t="inlineStr">
        <is>
          <t>L001-107032791</t>
        </is>
      </c>
      <c r="T962" t="inlineStr">
        <is>
          <t>នីបផន អិចប្រេស (ខេមបូឌា) ខូ អិលធីឌី</t>
        </is>
      </c>
      <c r="U962" t="n">
        <v>0</v>
      </c>
      <c r="V962" t="n">
        <v>0</v>
      </c>
    </row>
    <row r="963">
      <c r="A963" t="n">
        <v>962</v>
      </c>
      <c r="B963" t="inlineStr">
        <is>
          <t>Cargo Terminal</t>
        </is>
      </c>
      <c r="C963" t="inlineStr">
        <is>
          <t>សូស៊ីយេតេ កុងសេស្យូនែរ ដឺ ឡាអេរ៉ូព័រ</t>
        </is>
      </c>
      <c r="D963" t="inlineStr">
        <is>
          <t>L001-100047300</t>
        </is>
      </c>
      <c r="E963" t="inlineStr">
        <is>
          <t>2400-059540</t>
        </is>
      </c>
      <c r="F963" t="inlineStr">
        <is>
          <t>29-07-2024</t>
        </is>
      </c>
      <c r="G963" t="n">
        <v>5123</v>
      </c>
      <c r="I963">
        <f>G963</f>
        <v/>
      </c>
      <c r="K963">
        <f>I963-G963</f>
        <v/>
      </c>
      <c r="M963">
        <f>R963=E963</f>
        <v/>
      </c>
      <c r="N963">
        <f>AND(MONTH(F963)=MONTH(Q963), YEAR(F963)=YEAR(Q963))</f>
        <v/>
      </c>
      <c r="O963">
        <f>"L001-902303751"=S963</f>
        <v/>
      </c>
      <c r="P963">
        <f>G963-U963</f>
        <v/>
      </c>
      <c r="Q963" s="35" t="n">
        <v>45418</v>
      </c>
      <c r="R963" t="n">
        <v>178034</v>
      </c>
      <c r="S963" t="inlineStr">
        <is>
          <t>K003-901635943</t>
        </is>
      </c>
      <c r="T963" t="inlineStr">
        <is>
          <t>អ៊ីឃ្យូឡាញ វើលវ៉ាយដ៍ ឡូជីស្ទីក</t>
        </is>
      </c>
      <c r="U963" t="n">
        <v>178034</v>
      </c>
      <c r="V963" t="n">
        <v>0</v>
      </c>
    </row>
    <row r="964">
      <c r="A964" t="n">
        <v>963</v>
      </c>
      <c r="B964" t="inlineStr">
        <is>
          <t>Customs Clearance Fee</t>
        </is>
      </c>
      <c r="C964" t="inlineStr">
        <is>
          <t>ត្រាយអ៊ែងហ្គល ឡូជីស្ទីក (ខេមបូឌា) ឯ.ក</t>
        </is>
      </c>
      <c r="D964" t="inlineStr">
        <is>
          <t>K010-902101743</t>
        </is>
      </c>
      <c r="E964" t="inlineStr">
        <is>
          <t>TAG-24-00515</t>
        </is>
      </c>
      <c r="F964" t="inlineStr">
        <is>
          <t>31-07-2024</t>
        </is>
      </c>
      <c r="G964" t="n">
        <v>8216</v>
      </c>
      <c r="I964">
        <f>G964</f>
        <v/>
      </c>
      <c r="K964">
        <f>I964-G964</f>
        <v/>
      </c>
      <c r="M964">
        <f>R964=E964</f>
        <v/>
      </c>
      <c r="N964">
        <f>AND(MONTH(F964)=MONTH(Q964), YEAR(F964)=YEAR(Q964))</f>
        <v/>
      </c>
      <c r="O964">
        <f>"L001-902303751"=S964</f>
        <v/>
      </c>
      <c r="P964">
        <f>G964-U964</f>
        <v/>
      </c>
      <c r="Q964" s="35" t="n">
        <v>45413</v>
      </c>
      <c r="R964" t="n">
        <v>54864</v>
      </c>
      <c r="S964" t="inlineStr">
        <is>
          <t>L001-100045340</t>
        </is>
      </c>
      <c r="T964" t="inlineStr">
        <is>
          <t xml:space="preserve">ស៊ីវ៉ា អ៊ែរ អ៊ែន អូសៀន (ខេមបូឌា) ឯ.ក </t>
        </is>
      </c>
      <c r="U964" t="n">
        <v>54864</v>
      </c>
      <c r="V964" t="n">
        <v>0</v>
      </c>
    </row>
    <row r="965">
      <c r="A965" t="n">
        <v>964</v>
      </c>
      <c r="B965" t="inlineStr">
        <is>
          <t>Cargo Terminal</t>
        </is>
      </c>
      <c r="C965" t="inlineStr">
        <is>
          <t>សូស៊ីយេតេ កុងសេស្យូនែរ ដឺ ឡាអេរ៉ូព័រ</t>
        </is>
      </c>
      <c r="D965" t="inlineStr">
        <is>
          <t>L001-100047300</t>
        </is>
      </c>
      <c r="E965" t="inlineStr">
        <is>
          <t>2400-053799</t>
        </is>
      </c>
      <c r="F965" t="inlineStr">
        <is>
          <t>11-07-2024</t>
        </is>
      </c>
      <c r="G965" t="n">
        <v>8220</v>
      </c>
      <c r="I965">
        <f>G965</f>
        <v/>
      </c>
      <c r="K965">
        <f>I965-G965</f>
        <v/>
      </c>
      <c r="M965">
        <f>R965=E965</f>
        <v/>
      </c>
      <c r="N965">
        <f>AND(MONTH(F965)=MONTH(Q965), YEAR(F965)=YEAR(Q965))</f>
        <v/>
      </c>
      <c r="O965">
        <f>"L001-902303751"=S965</f>
        <v/>
      </c>
      <c r="P965">
        <f>G965-U965</f>
        <v/>
      </c>
      <c r="Q965" s="35" t="n">
        <v>45435</v>
      </c>
      <c r="R965" t="n">
        <v>125979</v>
      </c>
      <c r="S965" t="inlineStr">
        <is>
          <t>L001-107000385</t>
        </is>
      </c>
      <c r="T965" t="inlineStr">
        <is>
          <t>អិចស្ពោលាំងកា ហ្រ្វេត (ខេមបូឌា) លីមីធីត</t>
        </is>
      </c>
      <c r="U965" t="n">
        <v>125979</v>
      </c>
      <c r="V965" t="n">
        <v>0</v>
      </c>
    </row>
    <row r="966">
      <c r="A966" t="n">
        <v>965</v>
      </c>
      <c r="B966" t="inlineStr">
        <is>
          <t>Customs Clearance Fee</t>
        </is>
      </c>
      <c r="C966" t="inlineStr">
        <is>
          <t>ត្រាយអ៊ែងហ្គល ឡូជីស្ទីក (ខេមបូឌា) ឯ.ក</t>
        </is>
      </c>
      <c r="D966" t="inlineStr">
        <is>
          <t>K010-902101743</t>
        </is>
      </c>
      <c r="E966" t="inlineStr">
        <is>
          <t>TAG-24-00465</t>
        </is>
      </c>
      <c r="F966" t="inlineStr">
        <is>
          <t>16-07-2024</t>
        </is>
      </c>
      <c r="G966" t="n">
        <v>8212</v>
      </c>
      <c r="I966">
        <f>G966</f>
        <v/>
      </c>
      <c r="K966">
        <f>I966-G966</f>
        <v/>
      </c>
      <c r="M966">
        <f>R966=E966</f>
        <v/>
      </c>
      <c r="N966">
        <f>AND(MONTH(F966)=MONTH(Q966), YEAR(F966)=YEAR(Q966))</f>
        <v/>
      </c>
      <c r="O966">
        <f>"L001-902303751"=S966</f>
        <v/>
      </c>
      <c r="P966">
        <f>G966-U966</f>
        <v/>
      </c>
      <c r="Q966" s="35" t="n">
        <v>45439</v>
      </c>
      <c r="R966" t="inlineStr"/>
      <c r="S966" t="inlineStr">
        <is>
          <t>K002-901800477</t>
        </is>
      </c>
      <c r="T966" t="inlineStr">
        <is>
          <t>អាយធីអាយ អ៊ិនធើណេសិនណល ត្រេនស័្ពរថេសិន (ខេមបូឌា) ឯ.ក</t>
        </is>
      </c>
      <c r="U966" t="n">
        <v>0</v>
      </c>
      <c r="V966" t="n">
        <v>0</v>
      </c>
    </row>
    <row r="967">
      <c r="A967" t="n">
        <v>966</v>
      </c>
      <c r="B967" t="inlineStr">
        <is>
          <t>Customs Clearance Fee</t>
        </is>
      </c>
      <c r="C967" t="inlineStr">
        <is>
          <t>ត្រាយអ៊ែងហ្គល ឡូជីស្ទីក (ខេមបូឌា) ឯ.ក</t>
        </is>
      </c>
      <c r="D967" t="inlineStr">
        <is>
          <t>K010-902101743</t>
        </is>
      </c>
      <c r="E967" t="inlineStr">
        <is>
          <t>TAG-24-00466</t>
        </is>
      </c>
      <c r="F967" t="inlineStr">
        <is>
          <t>08-07-2024</t>
        </is>
      </c>
      <c r="G967" t="n">
        <v>8238</v>
      </c>
      <c r="I967">
        <f>G967</f>
        <v/>
      </c>
      <c r="K967">
        <f>I967-G967</f>
        <v/>
      </c>
      <c r="M967">
        <f>R967=E967</f>
        <v/>
      </c>
      <c r="N967">
        <f>AND(MONTH(F967)=MONTH(Q967), YEAR(F967)=YEAR(Q967))</f>
        <v/>
      </c>
      <c r="O967">
        <f>"L001-902303751"=S967</f>
        <v/>
      </c>
      <c r="P967">
        <f>G967-U967</f>
        <v/>
      </c>
      <c r="Q967" s="35" t="n">
        <v>45439</v>
      </c>
      <c r="R967" t="n">
        <v>114676</v>
      </c>
      <c r="S967" t="inlineStr">
        <is>
          <t>K005-901805913</t>
        </is>
      </c>
      <c r="T967" t="inlineStr">
        <is>
          <t>ស្តារ ខង់ខដ (ខេមបូឌា) ឯ.ក</t>
        </is>
      </c>
      <c r="U967" t="n">
        <v>114676</v>
      </c>
      <c r="V967" t="n">
        <v>0</v>
      </c>
    </row>
    <row r="968">
      <c r="A968" t="n">
        <v>967</v>
      </c>
      <c r="B968" t="inlineStr">
        <is>
          <t>Cargo Terminal</t>
        </is>
      </c>
      <c r="C968" t="inlineStr">
        <is>
          <t>សូស៊ីយេតេ កុងសេស្យូនែរ ដឺ ឡាអេរ៉ូព័រ</t>
        </is>
      </c>
      <c r="D968" t="inlineStr">
        <is>
          <t>L001-100047300</t>
        </is>
      </c>
      <c r="E968" t="inlineStr">
        <is>
          <t>2400-053079</t>
        </is>
      </c>
      <c r="F968" t="inlineStr">
        <is>
          <t>09-07-2024</t>
        </is>
      </c>
      <c r="G968" t="n">
        <v>22885</v>
      </c>
      <c r="I968">
        <f>G968</f>
        <v/>
      </c>
      <c r="K968">
        <f>I968-G968</f>
        <v/>
      </c>
      <c r="M968">
        <f>R968=E968</f>
        <v/>
      </c>
      <c r="N968">
        <f>AND(MONTH(F968)=MONTH(Q968), YEAR(F968)=YEAR(Q968))</f>
        <v/>
      </c>
      <c r="O968">
        <f>"L001-902303751"=S968</f>
        <v/>
      </c>
      <c r="P968">
        <f>G968-U968</f>
        <v/>
      </c>
      <c r="Q968" s="35" t="n">
        <v>45439</v>
      </c>
      <c r="R968" t="n">
        <v>202010</v>
      </c>
      <c r="S968" t="inlineStr">
        <is>
          <t>L001-107032791</t>
        </is>
      </c>
      <c r="T968" t="inlineStr">
        <is>
          <t>នីបផន អិចប្រេស (ខេមបូឌា) ខូ អិលធីឌី</t>
        </is>
      </c>
      <c r="U968" t="n">
        <v>202010</v>
      </c>
      <c r="V968" t="n">
        <v>0</v>
      </c>
    </row>
    <row r="969">
      <c r="A969" t="n">
        <v>968</v>
      </c>
      <c r="B969" t="inlineStr">
        <is>
          <t>Cargo Terminal</t>
        </is>
      </c>
      <c r="C969" t="inlineStr">
        <is>
          <t>សូស៊ីយេតេ កុងសេស្យូនែរ ដឺ ឡាអេរ៉ូព័រ</t>
        </is>
      </c>
      <c r="D969" t="inlineStr">
        <is>
          <t>L001-100047300</t>
        </is>
      </c>
      <c r="E969" t="inlineStr">
        <is>
          <t>2400-055461</t>
        </is>
      </c>
      <c r="F969" t="inlineStr">
        <is>
          <t>16-07-2024</t>
        </is>
      </c>
      <c r="G969" t="n">
        <v>2266</v>
      </c>
      <c r="I969">
        <f>G969</f>
        <v/>
      </c>
      <c r="K969">
        <f>I969-G969</f>
        <v/>
      </c>
      <c r="M969">
        <f>R969=E969</f>
        <v/>
      </c>
      <c r="N969">
        <f>AND(MONTH(F969)=MONTH(Q969), YEAR(F969)=YEAR(Q969))</f>
        <v/>
      </c>
      <c r="O969">
        <f>"L001-902303751"=S969</f>
        <v/>
      </c>
      <c r="P969">
        <f>G969-U969</f>
        <v/>
      </c>
      <c r="Q969" s="35" t="n">
        <v>45439</v>
      </c>
      <c r="R969" t="n">
        <v>112228</v>
      </c>
      <c r="S969" t="inlineStr">
        <is>
          <t>L001-107032791</t>
        </is>
      </c>
      <c r="T969" t="inlineStr">
        <is>
          <t>នីបផន អិចប្រេស (ខេមបូឌា) ខូ អិលធីឌី</t>
        </is>
      </c>
      <c r="U969" t="n">
        <v>112228</v>
      </c>
      <c r="V969" t="n">
        <v>0</v>
      </c>
    </row>
    <row r="970">
      <c r="A970" t="n">
        <v>969</v>
      </c>
      <c r="B970" t="inlineStr">
        <is>
          <t>Customs Clearance Fee</t>
        </is>
      </c>
      <c r="C970" t="inlineStr">
        <is>
          <t>ត្រាយអ៊ែងហ្គល ឡូជីស្ទីក (ខេមបូឌា) ឯ.ក</t>
        </is>
      </c>
      <c r="D970" t="inlineStr">
        <is>
          <t>K010-902101743</t>
        </is>
      </c>
      <c r="E970" t="inlineStr">
        <is>
          <t>TAG-24-00467</t>
        </is>
      </c>
      <c r="F970" t="inlineStr">
        <is>
          <t>16-07-2024</t>
        </is>
      </c>
      <c r="G970" t="n">
        <v>8212</v>
      </c>
      <c r="I970">
        <f>G970</f>
        <v/>
      </c>
      <c r="K970">
        <f>I970-G970</f>
        <v/>
      </c>
      <c r="M970">
        <f>R970=E970</f>
        <v/>
      </c>
      <c r="N970">
        <f>AND(MONTH(F970)=MONTH(Q970), YEAR(F970)=YEAR(Q970))</f>
        <v/>
      </c>
      <c r="O970">
        <f>"L001-902303751"=S970</f>
        <v/>
      </c>
      <c r="P970">
        <f>G970-U970</f>
        <v/>
      </c>
      <c r="Q970" s="35" t="n">
        <v>45432</v>
      </c>
      <c r="R970" t="inlineStr"/>
      <c r="S970" t="inlineStr">
        <is>
          <t>K005-100099521</t>
        </is>
      </c>
      <c r="T970" t="inlineStr">
        <is>
          <t>ខាហ្គោផត (ខេមបូឌា)</t>
        </is>
      </c>
      <c r="U970" t="n">
        <v>0</v>
      </c>
      <c r="V970" t="n">
        <v>0</v>
      </c>
    </row>
    <row r="971">
      <c r="A971" t="n">
        <v>970</v>
      </c>
      <c r="B971" t="inlineStr">
        <is>
          <t>Terminal Handling Charge, EMF, 3 Party Trucking, Container Imbalance Charge, D/O Fee, Document Fee and Handling Charge</t>
        </is>
      </c>
      <c r="C971" t="inlineStr">
        <is>
          <t>ខេអិលអិន ហ្វ្រេត (ខេមបូឌា) ឯ.ក</t>
        </is>
      </c>
      <c r="D971" t="inlineStr">
        <is>
          <t>L001-100074669</t>
        </is>
      </c>
      <c r="E971" t="inlineStr">
        <is>
          <t>IVO10751</t>
        </is>
      </c>
      <c r="F971" t="inlineStr">
        <is>
          <t>01-07-2024</t>
        </is>
      </c>
      <c r="G971" t="n">
        <v>104856</v>
      </c>
      <c r="I971">
        <f>G971</f>
        <v/>
      </c>
      <c r="K971">
        <f>I971-G971</f>
        <v/>
      </c>
      <c r="M971">
        <f>R971=E971</f>
        <v/>
      </c>
      <c r="N971">
        <f>AND(MONTH(F971)=MONTH(Q971), YEAR(F971)=YEAR(Q971))</f>
        <v/>
      </c>
      <c r="O971">
        <f>"L001-902303751"=S971</f>
        <v/>
      </c>
      <c r="P971">
        <f>G971-U971</f>
        <v/>
      </c>
      <c r="Q971" s="35" t="n">
        <v>45432</v>
      </c>
      <c r="R971" t="n">
        <v>114564</v>
      </c>
      <c r="S971" t="inlineStr">
        <is>
          <t>L001-100074669</t>
        </is>
      </c>
      <c r="T971" t="inlineStr">
        <is>
          <t>ខេអិលអិន ហ្វ្រេត (ខេមបូឌា) ឯ.ក</t>
        </is>
      </c>
      <c r="U971" t="n">
        <v>114564</v>
      </c>
      <c r="V971" t="n">
        <v>0</v>
      </c>
    </row>
    <row r="972">
      <c r="A972" t="n">
        <v>971</v>
      </c>
      <c r="B972" t="inlineStr">
        <is>
          <t>Customs Clearance Fee</t>
        </is>
      </c>
      <c r="C972" t="inlineStr">
        <is>
          <t>ត្រាយអ៊ែងហ្គល ឡូជីស្ទីក (ខេមបូឌា) ឯ.ក</t>
        </is>
      </c>
      <c r="D972" t="inlineStr">
        <is>
          <t>K010-902101743</t>
        </is>
      </c>
      <c r="E972" t="inlineStr">
        <is>
          <t>TAG-24-00439</t>
        </is>
      </c>
      <c r="F972" t="inlineStr">
        <is>
          <t>01-07-2024</t>
        </is>
      </c>
      <c r="G972" t="n">
        <v>8224</v>
      </c>
      <c r="I972">
        <f>G972</f>
        <v/>
      </c>
      <c r="K972">
        <f>I972-G972</f>
        <v/>
      </c>
      <c r="M972">
        <f>R972=E972</f>
        <v/>
      </c>
      <c r="N972">
        <f>AND(MONTH(F972)=MONTH(Q972), YEAR(F972)=YEAR(Q972))</f>
        <v/>
      </c>
      <c r="O972">
        <f>"L001-902303751"=S972</f>
        <v/>
      </c>
      <c r="P972">
        <f>G972-U972</f>
        <v/>
      </c>
      <c r="Q972" s="35" t="n">
        <v>45432</v>
      </c>
      <c r="R972" t="n">
        <v>114564</v>
      </c>
      <c r="S972" t="inlineStr">
        <is>
          <t>L001-104015799</t>
        </is>
      </c>
      <c r="T972" t="inlineStr">
        <is>
          <t>យូសេន ឡូជីស្ទីក (ខេមបូឌា) ខូ អិលធីឌី</t>
        </is>
      </c>
      <c r="U972" t="n">
        <v>114564</v>
      </c>
      <c r="V972" t="n">
        <v>0</v>
      </c>
    </row>
    <row r="973">
      <c r="A973" t="n">
        <v>972</v>
      </c>
      <c r="B973" t="inlineStr">
        <is>
          <t>Terminal Handling Charge, EMF, 3 Party Trucking, Container Imbalance Charge, D/O Fee, Document Fee and Handling Charge</t>
        </is>
      </c>
      <c r="C973" t="inlineStr">
        <is>
          <t>ខេអិលអិន ហ្វ្រេត (ខេមបូឌា) ឯ.ក</t>
        </is>
      </c>
      <c r="D973" t="inlineStr">
        <is>
          <t>L001-100074669</t>
        </is>
      </c>
      <c r="E973" t="inlineStr">
        <is>
          <t>IVO10760</t>
        </is>
      </c>
      <c r="F973" t="inlineStr">
        <is>
          <t>16-07-2024</t>
        </is>
      </c>
      <c r="G973" t="n">
        <v>104703</v>
      </c>
      <c r="I973">
        <f>G973</f>
        <v/>
      </c>
      <c r="K973">
        <f>I973-G973</f>
        <v/>
      </c>
      <c r="M973">
        <f>R973=E973</f>
        <v/>
      </c>
      <c r="N973">
        <f>AND(MONTH(F973)=MONTH(Q973), YEAR(F973)=YEAR(Q973))</f>
        <v/>
      </c>
      <c r="O973">
        <f>"L001-902303751"=S973</f>
        <v/>
      </c>
      <c r="P973">
        <f>G973-U973</f>
        <v/>
      </c>
      <c r="Q973" s="35" t="n">
        <v>45432</v>
      </c>
      <c r="R973" t="inlineStr"/>
      <c r="S973" t="inlineStr">
        <is>
          <t>L001-100045340</t>
        </is>
      </c>
      <c r="T973" t="inlineStr">
        <is>
          <t xml:space="preserve">ស៊ីវ៉ា អ៊ែរ អ៊ែន អូសៀន (ខេមបូឌា) ឯ.ក </t>
        </is>
      </c>
      <c r="U973" t="n">
        <v>0</v>
      </c>
      <c r="V973" t="n">
        <v>0</v>
      </c>
    </row>
    <row r="974">
      <c r="A974" t="n">
        <v>973</v>
      </c>
      <c r="B974" t="inlineStr">
        <is>
          <t>Customs Clearance Fee</t>
        </is>
      </c>
      <c r="C974" t="inlineStr">
        <is>
          <t>ត្រាយអ៊ែងហ្គល ឡូជីស្ទីក (ខេមបូឌា) ឯ.ក</t>
        </is>
      </c>
      <c r="D974" t="inlineStr">
        <is>
          <t>K010-902101743</t>
        </is>
      </c>
      <c r="E974" t="inlineStr">
        <is>
          <t>TAG-24-00446</t>
        </is>
      </c>
      <c r="F974" t="inlineStr">
        <is>
          <t>16-07-2024</t>
        </is>
      </c>
      <c r="G974" t="n">
        <v>8212</v>
      </c>
      <c r="I974">
        <f>G974</f>
        <v/>
      </c>
      <c r="K974">
        <f>I974-G974</f>
        <v/>
      </c>
      <c r="M974">
        <f>R974=E974</f>
        <v/>
      </c>
      <c r="N974">
        <f>AND(MONTH(F974)=MONTH(Q974), YEAR(F974)=YEAR(Q974))</f>
        <v/>
      </c>
      <c r="O974">
        <f>"L001-902303751"=S974</f>
        <v/>
      </c>
      <c r="P974">
        <f>G974-U974</f>
        <v/>
      </c>
      <c r="Q974" s="35" t="n">
        <v>45427</v>
      </c>
      <c r="R974" t="inlineStr"/>
      <c r="S974" t="inlineStr">
        <is>
          <t>L001-107032791</t>
        </is>
      </c>
      <c r="T974" t="inlineStr">
        <is>
          <t>នីបផន អិចប្រេស (ខេមបូឌា) ខូ អិលធីឌី</t>
        </is>
      </c>
      <c r="U974" t="n">
        <v>0</v>
      </c>
      <c r="V974" t="n">
        <v>0</v>
      </c>
    </row>
    <row r="975">
      <c r="A975" t="n">
        <v>974</v>
      </c>
      <c r="B975" t="inlineStr">
        <is>
          <t>THC FEE, LCL Fee, Scanning Fee, Doc Fee, DO Fee, Agency Fee, CIC and Handling Fee</t>
        </is>
      </c>
      <c r="C975" t="inlineStr">
        <is>
          <t>គ្លូប៊ល ស៊ី &amp; លែន ឯ.ក</t>
        </is>
      </c>
      <c r="D975" t="inlineStr">
        <is>
          <t>K007-901702732</t>
        </is>
      </c>
      <c r="E975" t="inlineStr">
        <is>
          <t>PPTI24-07-044</t>
        </is>
      </c>
      <c r="F975" t="inlineStr">
        <is>
          <t>02-07-2024</t>
        </is>
      </c>
      <c r="G975" t="n">
        <v>88036</v>
      </c>
      <c r="I975">
        <f>G975</f>
        <v/>
      </c>
      <c r="K975">
        <f>I975-G975</f>
        <v/>
      </c>
      <c r="M975">
        <f>R975=E975</f>
        <v/>
      </c>
      <c r="N975">
        <f>AND(MONTH(F975)=MONTH(Q975), YEAR(F975)=YEAR(Q975))</f>
        <v/>
      </c>
      <c r="O975">
        <f>"L001-902303751"=S975</f>
        <v/>
      </c>
      <c r="P975">
        <f>G975-U975</f>
        <v/>
      </c>
      <c r="Q975" s="35" t="n">
        <v>45428</v>
      </c>
      <c r="R975" t="n">
        <v>4423137</v>
      </c>
      <c r="S975" t="inlineStr">
        <is>
          <t>K004-105012505</t>
        </is>
      </c>
      <c r="T975" t="inlineStr">
        <is>
          <t>អេស៊ាន ហ្វ្រេត (ខេមបូឌា)</t>
        </is>
      </c>
      <c r="U975" t="n">
        <v>4423137</v>
      </c>
      <c r="V975" t="n">
        <v>0</v>
      </c>
    </row>
    <row r="976">
      <c r="A976" t="n">
        <v>975</v>
      </c>
      <c r="B976" t="inlineStr">
        <is>
          <t>Charge from Warehouse/cy to trucks</t>
        </is>
      </c>
      <c r="C976" t="inlineStr">
        <is>
          <t>កំពង់ផែស្វយ័តក្រុងព្រះសីហនុ</t>
        </is>
      </c>
      <c r="D976" t="inlineStr">
        <is>
          <t>L001-100044638</t>
        </is>
      </c>
      <c r="E976" t="inlineStr">
        <is>
          <t>132505</t>
        </is>
      </c>
      <c r="F976" t="inlineStr">
        <is>
          <t>05-07-2024</t>
        </is>
      </c>
      <c r="G976" t="n">
        <v>629</v>
      </c>
      <c r="I976">
        <f>G976</f>
        <v/>
      </c>
      <c r="K976">
        <f>I976-G976</f>
        <v/>
      </c>
      <c r="M976">
        <f>R976=E976</f>
        <v/>
      </c>
      <c r="N976">
        <f>AND(MONTH(F976)=MONTH(Q976), YEAR(F976)=YEAR(Q976))</f>
        <v/>
      </c>
      <c r="O976">
        <f>"L001-902303751"=S976</f>
        <v/>
      </c>
      <c r="P976">
        <f>G976-U976</f>
        <v/>
      </c>
      <c r="Q976" s="35" t="n">
        <v>45419</v>
      </c>
      <c r="R976" t="n">
        <v>83538</v>
      </c>
      <c r="S976" t="inlineStr">
        <is>
          <t>L001-107032791</t>
        </is>
      </c>
      <c r="T976" t="inlineStr">
        <is>
          <t>នីបផន អិចប្រេស (ខេមបូឌា) ខូ អិលធីឌី</t>
        </is>
      </c>
      <c r="U976" t="n">
        <v>83538</v>
      </c>
      <c r="V976" t="n">
        <v>0</v>
      </c>
    </row>
    <row r="977">
      <c r="A977" t="n">
        <v>976</v>
      </c>
      <c r="B977" t="inlineStr">
        <is>
          <t>Customs Clearance Fee and Trucking fee</t>
        </is>
      </c>
      <c r="C977" t="inlineStr">
        <is>
          <t>ត្រាយអ៊ែងហ្គល ឡូជីស្ទីក (ខេមបូឌា) ឯ.ក</t>
        </is>
      </c>
      <c r="D977" t="inlineStr">
        <is>
          <t>K010-902101743</t>
        </is>
      </c>
      <c r="E977" t="inlineStr">
        <is>
          <t>TAG-24-00444</t>
        </is>
      </c>
      <c r="F977" t="inlineStr">
        <is>
          <t>05-07-2024</t>
        </is>
      </c>
      <c r="G977" t="n">
        <v>32936</v>
      </c>
      <c r="I977">
        <f>G977</f>
        <v/>
      </c>
      <c r="K977">
        <f>I977-G977</f>
        <v/>
      </c>
      <c r="M977">
        <f>R977=E977</f>
        <v/>
      </c>
      <c r="N977">
        <f>AND(MONTH(F977)=MONTH(Q977), YEAR(F977)=YEAR(Q977))</f>
        <v/>
      </c>
      <c r="O977">
        <f>"L001-902303751"=S977</f>
        <v/>
      </c>
      <c r="P977">
        <f>G977-U977</f>
        <v/>
      </c>
      <c r="Q977" s="35" t="n">
        <v>45439</v>
      </c>
      <c r="R977" t="n">
        <v>202010</v>
      </c>
      <c r="S977" t="inlineStr">
        <is>
          <t>K005-100150195</t>
        </is>
      </c>
      <c r="T977" t="inlineStr">
        <is>
          <t>អេស អ វី ស៊ី ហ្វ្រេត សឺវីស (ខេមបូឌា) ខូ អិលធីឌី</t>
        </is>
      </c>
      <c r="U977" t="n">
        <v>202010</v>
      </c>
      <c r="V977" t="n">
        <v>0</v>
      </c>
    </row>
    <row r="978">
      <c r="A978" t="n">
        <v>977</v>
      </c>
      <c r="B978" t="inlineStr">
        <is>
          <t>Shipping</t>
        </is>
      </c>
      <c r="C978" t="inlineStr">
        <is>
          <t>យូ អេហ្វ អេស គ្លូប៊ល អិចប្រេស ឡូជីស្ទីក</t>
        </is>
      </c>
      <c r="D978" t="inlineStr">
        <is>
          <t>K010-108005623</t>
        </is>
      </c>
      <c r="E978" t="inlineStr">
        <is>
          <t>UFS-00563</t>
        </is>
      </c>
      <c r="F978" t="inlineStr">
        <is>
          <t>28-08-2024</t>
        </is>
      </c>
      <c r="G978" t="n">
        <v>820877</v>
      </c>
      <c r="I978">
        <f>G978</f>
        <v/>
      </c>
      <c r="K978">
        <f>I978-G978</f>
        <v/>
      </c>
      <c r="M978">
        <f>R978=E978</f>
        <v/>
      </c>
      <c r="N978">
        <f>AND(MONTH(F978)=MONTH(Q978), YEAR(F978)=YEAR(Q978))</f>
        <v/>
      </c>
      <c r="O978">
        <f>"L001-902303751"=S978</f>
        <v/>
      </c>
      <c r="P978">
        <f>G978-U978</f>
        <v/>
      </c>
      <c r="Q978" s="35" t="n">
        <v>45439</v>
      </c>
      <c r="R978" t="inlineStr"/>
      <c r="S978" t="inlineStr">
        <is>
          <t>L001-107032791</t>
        </is>
      </c>
      <c r="T978" t="inlineStr">
        <is>
          <t>នីបផន អិចប្រេស (ខេមបូឌា) ខូ អិលធីឌី</t>
        </is>
      </c>
      <c r="U978" t="n">
        <v>0</v>
      </c>
      <c r="V978" t="n">
        <v>0</v>
      </c>
    </row>
    <row r="979">
      <c r="A979" t="n">
        <v>978</v>
      </c>
      <c r="B979" t="inlineStr">
        <is>
          <t>Rental Machine</t>
        </is>
      </c>
      <c r="C979" t="inlineStr">
        <is>
          <t>ក្លាក ហ៊ូ ឯ.ក</t>
        </is>
      </c>
      <c r="D979" t="inlineStr">
        <is>
          <t>K007-901639199</t>
        </is>
      </c>
      <c r="E979" t="inlineStr">
        <is>
          <t>IN1874</t>
        </is>
      </c>
      <c r="F979" t="inlineStr">
        <is>
          <t>31-08-2024</t>
        </is>
      </c>
      <c r="G979" t="n">
        <v>947999</v>
      </c>
      <c r="I979">
        <f>G979</f>
        <v/>
      </c>
      <c r="K979">
        <f>I979-G979</f>
        <v/>
      </c>
      <c r="M979">
        <f>R979=E979</f>
        <v/>
      </c>
      <c r="N979">
        <f>AND(MONTH(F979)=MONTH(Q979), YEAR(F979)=YEAR(Q979))</f>
        <v/>
      </c>
      <c r="O979">
        <f>"L001-902303751"=S979</f>
        <v/>
      </c>
      <c r="P979">
        <f>G979-U979</f>
        <v/>
      </c>
      <c r="Q979" s="35" t="n">
        <v>45439</v>
      </c>
      <c r="R979" t="inlineStr"/>
      <c r="S979" t="inlineStr">
        <is>
          <t>L001-107032791</t>
        </is>
      </c>
      <c r="T979" t="inlineStr">
        <is>
          <t>នីបផន អិចប្រេស (ខេមបូឌា) ខូ អិលធីឌី</t>
        </is>
      </c>
      <c r="U979" t="n">
        <v>0</v>
      </c>
      <c r="V979" t="n">
        <v>0</v>
      </c>
    </row>
    <row r="980">
      <c r="A980" t="n">
        <v>979</v>
      </c>
      <c r="B980" t="inlineStr">
        <is>
          <t>Rental Machine</t>
        </is>
      </c>
      <c r="C980" t="inlineStr">
        <is>
          <t>ក្លាក ហ៊ូ ឯ.ក</t>
        </is>
      </c>
      <c r="D980" t="inlineStr">
        <is>
          <t>K007-901639199</t>
        </is>
      </c>
      <c r="E980" t="inlineStr">
        <is>
          <t>IN1878</t>
        </is>
      </c>
      <c r="F980" t="inlineStr">
        <is>
          <t>31-08-2024</t>
        </is>
      </c>
      <c r="G980" t="n">
        <v>257052</v>
      </c>
      <c r="I980">
        <f>G980</f>
        <v/>
      </c>
      <c r="K980">
        <f>I980-G980</f>
        <v/>
      </c>
      <c r="M980">
        <f>R980=E980</f>
        <v/>
      </c>
      <c r="N980">
        <f>AND(MONTH(F980)=MONTH(Q980), YEAR(F980)=YEAR(Q980))</f>
        <v/>
      </c>
      <c r="O980">
        <f>"L001-902303751"=S980</f>
        <v/>
      </c>
      <c r="P980">
        <f>G980-U980</f>
        <v/>
      </c>
      <c r="Q980" s="35" t="n">
        <v>45432</v>
      </c>
      <c r="R980" t="n">
        <v>112118</v>
      </c>
      <c r="S980" t="inlineStr">
        <is>
          <t>K002-901800477</t>
        </is>
      </c>
      <c r="T980" t="inlineStr">
        <is>
          <t>អាយធីអាយ អ៊ិនធើណេសិនណល ត្រេនស័្ពរថេសិន (ខេមបូឌា) ឯ.ក</t>
        </is>
      </c>
      <c r="U980" t="n">
        <v>112118</v>
      </c>
      <c r="V980" t="n">
        <v>0</v>
      </c>
    </row>
    <row r="981">
      <c r="A981" t="n">
        <v>980</v>
      </c>
      <c r="B981" t="inlineStr">
        <is>
          <t>Rental Machine</t>
        </is>
      </c>
      <c r="C981" t="inlineStr">
        <is>
          <t>ក្លាក ហ៊ូ ឯ.ក</t>
        </is>
      </c>
      <c r="D981" t="inlineStr">
        <is>
          <t>K007-901639199</t>
        </is>
      </c>
      <c r="E981" t="inlineStr">
        <is>
          <t>IN1877</t>
        </is>
      </c>
      <c r="F981" t="inlineStr">
        <is>
          <t>31-08-2024</t>
        </is>
      </c>
      <c r="G981" t="n">
        <v>580313</v>
      </c>
      <c r="I981">
        <f>G981</f>
        <v/>
      </c>
      <c r="K981">
        <f>I981-G981</f>
        <v/>
      </c>
      <c r="M981">
        <f>R981=E981</f>
        <v/>
      </c>
      <c r="N981">
        <f>AND(MONTH(F981)=MONTH(Q981), YEAR(F981)=YEAR(Q981))</f>
        <v/>
      </c>
      <c r="O981">
        <f>"L001-902303751"=S981</f>
        <v/>
      </c>
      <c r="P981">
        <f>G981-U981</f>
        <v/>
      </c>
      <c r="Q981" s="35" t="n">
        <v>45429</v>
      </c>
      <c r="R981" t="inlineStr"/>
      <c r="S981" t="inlineStr">
        <is>
          <t>K009-902002784</t>
        </is>
      </c>
      <c r="T981" t="inlineStr">
        <is>
          <t>ខាហ្គោលីង អ៊ិនធើណេសិនណល ឯ.ក</t>
        </is>
      </c>
      <c r="U981" t="n">
        <v>0</v>
      </c>
      <c r="V981" t="n">
        <v>0</v>
      </c>
    </row>
    <row r="982">
      <c r="A982" t="n">
        <v>981</v>
      </c>
      <c r="B982" t="inlineStr">
        <is>
          <t>Rental Machine</t>
        </is>
      </c>
      <c r="C982" t="inlineStr">
        <is>
          <t>ក្លាក ហ៊ូ ឯ.ក</t>
        </is>
      </c>
      <c r="D982" t="inlineStr">
        <is>
          <t>K007-901639199</t>
        </is>
      </c>
      <c r="E982" t="inlineStr">
        <is>
          <t>IN1876</t>
        </is>
      </c>
      <c r="F982" t="inlineStr">
        <is>
          <t>31-08-2024</t>
        </is>
      </c>
      <c r="G982" t="n">
        <v>128810</v>
      </c>
      <c r="I982">
        <f>G982</f>
        <v/>
      </c>
      <c r="K982">
        <f>I982-G982</f>
        <v/>
      </c>
      <c r="M982">
        <f>R982=E982</f>
        <v/>
      </c>
      <c r="N982">
        <f>AND(MONTH(F982)=MONTH(Q982), YEAR(F982)=YEAR(Q982))</f>
        <v/>
      </c>
      <c r="O982">
        <f>"L001-902303751"=S982</f>
        <v/>
      </c>
      <c r="P982">
        <f>G982-U982</f>
        <v/>
      </c>
      <c r="Q982" s="35" t="n">
        <v>45427</v>
      </c>
      <c r="R982" t="n">
        <v>112173</v>
      </c>
      <c r="S982" t="inlineStr">
        <is>
          <t>L001-107032791</t>
        </is>
      </c>
      <c r="T982" t="inlineStr">
        <is>
          <t>នីបផន អិចប្រេស (ខេមបូឌា) ខូ អិលធីឌី</t>
        </is>
      </c>
      <c r="U982" t="n">
        <v>112173</v>
      </c>
      <c r="V982" t="n">
        <v>0</v>
      </c>
    </row>
    <row r="983">
      <c r="A983" t="n">
        <v>982</v>
      </c>
      <c r="B983" t="inlineStr">
        <is>
          <t>Rental Machine</t>
        </is>
      </c>
      <c r="C983" t="inlineStr">
        <is>
          <t>ក្លាក ហ៊ូ ឯ.ក</t>
        </is>
      </c>
      <c r="D983" t="inlineStr">
        <is>
          <t>K007-901639199</t>
        </is>
      </c>
      <c r="E983" t="inlineStr">
        <is>
          <t>IN1875</t>
        </is>
      </c>
      <c r="F983" t="inlineStr">
        <is>
          <t>31-08-2024</t>
        </is>
      </c>
      <c r="G983" t="n">
        <v>272428</v>
      </c>
      <c r="I983">
        <f>G983</f>
        <v/>
      </c>
      <c r="K983">
        <f>I983-G983</f>
        <v/>
      </c>
      <c r="M983">
        <f>R983=E983</f>
        <v/>
      </c>
      <c r="N983">
        <f>AND(MONTH(F983)=MONTH(Q983), YEAR(F983)=YEAR(Q983))</f>
        <v/>
      </c>
      <c r="O983">
        <f>"L001-902303751"=S983</f>
        <v/>
      </c>
      <c r="P983">
        <f>G983-U983</f>
        <v/>
      </c>
      <c r="Q983" s="35" t="n">
        <v>45419</v>
      </c>
      <c r="R983" t="n">
        <v>85983</v>
      </c>
      <c r="S983" t="inlineStr">
        <is>
          <t>K005-901805913</t>
        </is>
      </c>
      <c r="T983" t="inlineStr">
        <is>
          <t>ស្តារ ខង់ខដ (ខេមបូឌា) ឯ.ក</t>
        </is>
      </c>
      <c r="U983" t="n">
        <v>85983</v>
      </c>
      <c r="V983" t="n">
        <v>0</v>
      </c>
    </row>
    <row r="984">
      <c r="A984" t="n">
        <v>983</v>
      </c>
      <c r="B984" t="inlineStr">
        <is>
          <t>Stationary</t>
        </is>
      </c>
      <c r="C984" t="inlineStr">
        <is>
          <t>ស៊ី &amp; ជី ត្រេឌីង ឯ.ក</t>
        </is>
      </c>
      <c r="D984" t="inlineStr">
        <is>
          <t>K010-902205065</t>
        </is>
      </c>
      <c r="E984" t="inlineStr">
        <is>
          <t>2024-0062</t>
        </is>
      </c>
      <c r="F984" t="inlineStr">
        <is>
          <t>23-08-2024</t>
        </is>
      </c>
      <c r="G984" t="n">
        <v>1505255</v>
      </c>
      <c r="I984">
        <f>G984</f>
        <v/>
      </c>
      <c r="K984">
        <f>I984-G984</f>
        <v/>
      </c>
      <c r="M984">
        <f>R984=E984</f>
        <v/>
      </c>
      <c r="N984">
        <f>AND(MONTH(F984)=MONTH(Q984), YEAR(F984)=YEAR(Q984))</f>
        <v/>
      </c>
      <c r="O984">
        <f>"L001-902303751"=S984</f>
        <v/>
      </c>
      <c r="P984">
        <f>G984-U984</f>
        <v/>
      </c>
      <c r="Q984" s="35" t="n">
        <v>45419</v>
      </c>
      <c r="R984" t="inlineStr"/>
      <c r="S984" t="inlineStr">
        <is>
          <t>L001-107032791</t>
        </is>
      </c>
      <c r="T984" t="inlineStr">
        <is>
          <t>នីបផន អិចប្រេស (ខេមបូឌា) ខូ អិលធីឌី</t>
        </is>
      </c>
      <c r="U984" t="n">
        <v>0</v>
      </c>
      <c r="V984" t="n">
        <v>0</v>
      </c>
    </row>
    <row r="985">
      <c r="A985" t="n">
        <v>984</v>
      </c>
      <c r="B985" t="inlineStr">
        <is>
          <t>Automatic cutting blade, Template and Sponge Strips</t>
        </is>
      </c>
      <c r="C985" t="inlineStr">
        <is>
          <t>យីស៊ូ ធេមផ្លេត ក្រាហ្វ ឯ.ក</t>
        </is>
      </c>
      <c r="D985" t="inlineStr">
        <is>
          <t>K010-902200360</t>
        </is>
      </c>
      <c r="E985" t="inlineStr">
        <is>
          <t>24-0161</t>
        </is>
      </c>
      <c r="F985" t="inlineStr">
        <is>
          <t>26-08-2024</t>
        </is>
      </c>
      <c r="G985" t="n">
        <v>1116154</v>
      </c>
      <c r="I985">
        <f>G985</f>
        <v/>
      </c>
      <c r="K985">
        <f>I985-G985</f>
        <v/>
      </c>
      <c r="M985">
        <f>R985=E985</f>
        <v/>
      </c>
      <c r="N985">
        <f>AND(MONTH(F985)=MONTH(Q985), YEAR(F985)=YEAR(Q985))</f>
        <v/>
      </c>
      <c r="O985">
        <f>"L001-902303751"=S985</f>
        <v/>
      </c>
      <c r="P985">
        <f>G985-U985</f>
        <v/>
      </c>
      <c r="Q985" s="35" t="n">
        <v>45419</v>
      </c>
      <c r="R985" t="inlineStr"/>
      <c r="S985" t="inlineStr">
        <is>
          <t>L001-100045340</t>
        </is>
      </c>
      <c r="T985" t="inlineStr">
        <is>
          <t xml:space="preserve">ស៊ីវ៉ា អ៊ែរ អ៊ែន អូសៀន (ខេមបូឌា) ឯ.ក </t>
        </is>
      </c>
      <c r="U985" t="n">
        <v>0</v>
      </c>
      <c r="V985" t="n">
        <v>0</v>
      </c>
    </row>
    <row r="986">
      <c r="A986" t="n">
        <v>985</v>
      </c>
      <c r="B986" t="inlineStr">
        <is>
          <t>Non Woven Interlining</t>
        </is>
      </c>
      <c r="C986" t="inlineStr">
        <is>
          <t>ដេលី ហ្គាមេន អេកសេសឺរី</t>
        </is>
      </c>
      <c r="D986" t="inlineStr">
        <is>
          <t>L001-108012794</t>
        </is>
      </c>
      <c r="E986" t="inlineStr">
        <is>
          <t>00362</t>
        </is>
      </c>
      <c r="F986" t="inlineStr">
        <is>
          <t>30-08-2024</t>
        </is>
      </c>
      <c r="G986" t="n">
        <v>744865</v>
      </c>
      <c r="I986">
        <f>G986</f>
        <v/>
      </c>
      <c r="K986">
        <f>I986-G986</f>
        <v/>
      </c>
      <c r="M986">
        <f>R986=E986</f>
        <v/>
      </c>
      <c r="N986">
        <f>AND(MONTH(F986)=MONTH(Q986), YEAR(F986)=YEAR(Q986))</f>
        <v/>
      </c>
      <c r="O986">
        <f>"L001-902303751"=S986</f>
        <v/>
      </c>
      <c r="P986">
        <f>G986-U986</f>
        <v/>
      </c>
      <c r="Q986" s="35" t="n">
        <v>45460</v>
      </c>
      <c r="R986" t="n">
        <v>84481</v>
      </c>
      <c r="S986" t="inlineStr">
        <is>
          <t>L001-107032791</t>
        </is>
      </c>
      <c r="T986" t="inlineStr">
        <is>
          <t>នីបផន អិចប្រេស (ខេមបូឌា) ខូ អិលធីឌី</t>
        </is>
      </c>
      <c r="U986" t="n">
        <v>84481</v>
      </c>
      <c r="V986" t="n">
        <v>0</v>
      </c>
    </row>
    <row r="987">
      <c r="A987" t="n">
        <v>986</v>
      </c>
      <c r="B987" t="inlineStr">
        <is>
          <t>Thread</t>
        </is>
      </c>
      <c r="C987" t="inlineStr">
        <is>
          <t>គ្លូប៊ល សុីលីន ហ្គាមុិន អេកសេសឺរី ឯ.ក</t>
        </is>
      </c>
      <c r="D987" t="inlineStr">
        <is>
          <t>L001-902200857</t>
        </is>
      </c>
      <c r="E987" t="inlineStr">
        <is>
          <t>000607</t>
        </is>
      </c>
      <c r="F987" t="inlineStr">
        <is>
          <t>26-08-2024</t>
        </is>
      </c>
      <c r="G987" t="n">
        <v>449847</v>
      </c>
      <c r="I987">
        <f>G987</f>
        <v/>
      </c>
      <c r="K987">
        <f>I987-G987</f>
        <v/>
      </c>
      <c r="M987">
        <f>R987=E987</f>
        <v/>
      </c>
      <c r="N987">
        <f>AND(MONTH(F987)=MONTH(Q987), YEAR(F987)=YEAR(Q987))</f>
        <v/>
      </c>
      <c r="O987">
        <f>"L001-902303751"=S987</f>
        <v/>
      </c>
      <c r="P987">
        <f>G987-U987</f>
        <v/>
      </c>
      <c r="Q987" s="35" t="n">
        <v>45460</v>
      </c>
      <c r="R987" t="inlineStr"/>
      <c r="S987" t="inlineStr">
        <is>
          <t>L001-107032791</t>
        </is>
      </c>
      <c r="T987" t="inlineStr">
        <is>
          <t>នីបផន អិចប្រេស (ខេមបូឌា) ខូ អិលធីឌី</t>
        </is>
      </c>
      <c r="U987" t="n">
        <v>0</v>
      </c>
      <c r="V987" t="n">
        <v>0</v>
      </c>
    </row>
    <row r="988">
      <c r="A988" t="n">
        <v>987</v>
      </c>
      <c r="B988" t="inlineStr">
        <is>
          <t>Thread</t>
        </is>
      </c>
      <c r="C988" t="inlineStr">
        <is>
          <t>គ្លូប៊ល សុីលីន ហ្គាមុិន អេកសេសឺរី ឯ.ក</t>
        </is>
      </c>
      <c r="D988" t="inlineStr">
        <is>
          <t>L001-902200857</t>
        </is>
      </c>
      <c r="E988" t="inlineStr">
        <is>
          <t>000616</t>
        </is>
      </c>
      <c r="F988" t="inlineStr">
        <is>
          <t>26-08-2024</t>
        </is>
      </c>
      <c r="G988" t="n">
        <v>212212</v>
      </c>
      <c r="I988">
        <f>G988</f>
        <v/>
      </c>
      <c r="K988">
        <f>I988-G988</f>
        <v/>
      </c>
      <c r="M988">
        <f>R988=E988</f>
        <v/>
      </c>
      <c r="N988">
        <f>AND(MONTH(F988)=MONTH(Q988), YEAR(F988)=YEAR(Q988))</f>
        <v/>
      </c>
      <c r="O988">
        <f>"L001-902303751"=S988</f>
        <v/>
      </c>
      <c r="P988">
        <f>G988-U988</f>
        <v/>
      </c>
      <c r="Q988" s="35" t="n">
        <v>45460</v>
      </c>
      <c r="R988" t="inlineStr"/>
      <c r="S988" t="inlineStr">
        <is>
          <t>L001-107032791</t>
        </is>
      </c>
      <c r="T988" t="inlineStr">
        <is>
          <t>នីបផន អិចប្រេស (ខេមបូឌា) ខូ អិលធីឌី</t>
        </is>
      </c>
      <c r="U988" t="n">
        <v>0</v>
      </c>
      <c r="V988" t="n">
        <v>0</v>
      </c>
    </row>
    <row r="989">
      <c r="A989" t="n">
        <v>988</v>
      </c>
      <c r="B989" t="inlineStr">
        <is>
          <t>Hardware</t>
        </is>
      </c>
      <c r="C989" t="inlineStr">
        <is>
          <t>ភ្នំពេញ ថប វើលដ៍ ខនស្ត្រាក់សិន &amp; អេនជីនារីង ឯ.ក</t>
        </is>
      </c>
      <c r="D989" t="inlineStr">
        <is>
          <t>K005-901638261</t>
        </is>
      </c>
      <c r="E989" t="inlineStr">
        <is>
          <t>000023</t>
        </is>
      </c>
      <c r="F989" t="inlineStr">
        <is>
          <t>28-08-2024</t>
        </is>
      </c>
      <c r="G989" t="n">
        <v>149634</v>
      </c>
      <c r="I989">
        <f>G989</f>
        <v/>
      </c>
      <c r="K989">
        <f>I989-G989</f>
        <v/>
      </c>
      <c r="M989">
        <f>R989=E989</f>
        <v/>
      </c>
      <c r="N989">
        <f>AND(MONTH(F989)=MONTH(Q989), YEAR(F989)=YEAR(Q989))</f>
        <v/>
      </c>
      <c r="O989">
        <f>"L001-902303751"=S989</f>
        <v/>
      </c>
      <c r="P989">
        <f>G989-U989</f>
        <v/>
      </c>
      <c r="Q989" s="35" t="n">
        <v>45460</v>
      </c>
      <c r="R989" t="inlineStr"/>
      <c r="S989" t="inlineStr">
        <is>
          <t>L001-100045995</t>
        </is>
      </c>
      <c r="T989" t="inlineStr">
        <is>
          <t>ឌីអេចអិល ឡូជីស្ទីក (ខេមបូឌា)</t>
        </is>
      </c>
      <c r="U989" t="n">
        <v>0</v>
      </c>
      <c r="V989" t="n">
        <v>0</v>
      </c>
    </row>
    <row r="990">
      <c r="A990" t="n">
        <v>989</v>
      </c>
      <c r="B990" t="inlineStr">
        <is>
          <t>Forklift parts and repair fee</t>
        </is>
      </c>
      <c r="C990" t="inlineStr">
        <is>
          <t>ឆាយណា ហឺ ចុង លិ អ៊ិនដាសស្ទ្រៀល អេនជីនារីង ម៉ាស៊ីនើរី អេឃ្វីបម៉ិន សេល ឯ.ក</t>
        </is>
      </c>
      <c r="D990" t="inlineStr">
        <is>
          <t>L001-901906721</t>
        </is>
      </c>
      <c r="E990" t="inlineStr">
        <is>
          <t>TI-0281</t>
        </is>
      </c>
      <c r="F990" t="inlineStr">
        <is>
          <t>19-08-2024</t>
        </is>
      </c>
      <c r="G990" t="n">
        <v>147155</v>
      </c>
      <c r="I990">
        <f>G990</f>
        <v/>
      </c>
      <c r="K990">
        <f>I990-G990</f>
        <v/>
      </c>
      <c r="M990">
        <f>R990=E990</f>
        <v/>
      </c>
      <c r="N990">
        <f>AND(MONTH(F990)=MONTH(Q990), YEAR(F990)=YEAR(Q990))</f>
        <v/>
      </c>
      <c r="O990">
        <f>"L001-902303751"=S990</f>
        <v/>
      </c>
      <c r="P990">
        <f>G990-U990</f>
        <v/>
      </c>
      <c r="Q990" s="35" t="n">
        <v>45460</v>
      </c>
      <c r="R990" t="inlineStr"/>
      <c r="S990" t="inlineStr">
        <is>
          <t>L001-100074669</t>
        </is>
      </c>
      <c r="T990" t="inlineStr">
        <is>
          <t>ខេអិលអិន ហ្វ្រេត (ខេមបូឌា) ឯ.ក</t>
        </is>
      </c>
      <c r="U990" t="n">
        <v>0</v>
      </c>
      <c r="V990" t="n">
        <v>0</v>
      </c>
    </row>
    <row r="991">
      <c r="A991" t="n">
        <v>990</v>
      </c>
      <c r="B991" t="inlineStr">
        <is>
          <t>Thread</t>
        </is>
      </c>
      <c r="C991" t="inlineStr">
        <is>
          <t>គ្លូប៊ល សុីលីន ហ្គាមុិន អេកសេសឺរី ឯ.ក</t>
        </is>
      </c>
      <c r="D991" t="inlineStr">
        <is>
          <t>L001-902200857</t>
        </is>
      </c>
      <c r="E991" t="inlineStr">
        <is>
          <t>000608</t>
        </is>
      </c>
      <c r="F991" t="inlineStr">
        <is>
          <t>26-08-2024</t>
        </is>
      </c>
      <c r="G991" t="n">
        <v>12341</v>
      </c>
      <c r="I991">
        <f>G991</f>
        <v/>
      </c>
      <c r="K991">
        <f>I991-G991</f>
        <v/>
      </c>
      <c r="M991">
        <f>R991=E991</f>
        <v/>
      </c>
      <c r="N991">
        <f>AND(MONTH(F991)=MONTH(Q991), YEAR(F991)=YEAR(Q991))</f>
        <v/>
      </c>
      <c r="O991">
        <f>"L001-902303751"=S991</f>
        <v/>
      </c>
      <c r="P991">
        <f>G991-U991</f>
        <v/>
      </c>
      <c r="Q991" s="35" t="n">
        <v>45467</v>
      </c>
      <c r="R991" t="n">
        <v>115800</v>
      </c>
      <c r="S991" t="inlineStr">
        <is>
          <t>L001-100045340</t>
        </is>
      </c>
      <c r="T991" t="inlineStr">
        <is>
          <t xml:space="preserve">ស៊ីវ៉ា អ៊ែរ អ៊ែន អូសៀន (ខេមបូឌា) ឯ.ក </t>
        </is>
      </c>
      <c r="U991" t="n">
        <v>115800</v>
      </c>
      <c r="V991" t="n">
        <v>0</v>
      </c>
    </row>
    <row r="992">
      <c r="A992" t="n">
        <v>991</v>
      </c>
      <c r="B992" t="inlineStr">
        <is>
          <t>Rental Machine</t>
        </is>
      </c>
      <c r="C992" t="inlineStr">
        <is>
          <t>ក្លាក ហ៊ូ ឯ.ក</t>
        </is>
      </c>
      <c r="D992" t="inlineStr">
        <is>
          <t>K007-901639199</t>
        </is>
      </c>
      <c r="E992" t="inlineStr">
        <is>
          <t>IN1786</t>
        </is>
      </c>
      <c r="F992" t="inlineStr">
        <is>
          <t>24-08-2024</t>
        </is>
      </c>
      <c r="G992" t="n">
        <v>79619</v>
      </c>
      <c r="I992">
        <f>G992</f>
        <v/>
      </c>
      <c r="K992">
        <f>I992-G992</f>
        <v/>
      </c>
      <c r="M992">
        <f>R992=E992</f>
        <v/>
      </c>
      <c r="N992">
        <f>AND(MONTH(F992)=MONTH(Q992), YEAR(F992)=YEAR(Q992))</f>
        <v/>
      </c>
      <c r="O992">
        <f>"L001-902303751"=S992</f>
        <v/>
      </c>
      <c r="P992">
        <f>G992-U992</f>
        <v/>
      </c>
      <c r="Q992" s="35" t="n">
        <v>45467</v>
      </c>
      <c r="R992" t="n">
        <v>236958</v>
      </c>
      <c r="S992" t="inlineStr">
        <is>
          <t>L001-107032791</t>
        </is>
      </c>
      <c r="T992" t="inlineStr">
        <is>
          <t>នីបផន អិចប្រេស (ខេមបូឌា) ខូ អិលធីឌី</t>
        </is>
      </c>
      <c r="U992" t="n">
        <v>236958</v>
      </c>
      <c r="V992" t="n">
        <v>0</v>
      </c>
    </row>
    <row r="993">
      <c r="A993" t="n">
        <v>992</v>
      </c>
      <c r="B993" t="inlineStr">
        <is>
          <t>Rental Machine</t>
        </is>
      </c>
      <c r="C993" t="inlineStr">
        <is>
          <t>ក្លាក ហ៊ូ ឯ.ក</t>
        </is>
      </c>
      <c r="D993" t="inlineStr">
        <is>
          <t>K007-901639199</t>
        </is>
      </c>
      <c r="E993" t="inlineStr">
        <is>
          <t>IN1781</t>
        </is>
      </c>
      <c r="F993" t="inlineStr">
        <is>
          <t>24-08-2024</t>
        </is>
      </c>
      <c r="G993" t="n">
        <v>1325138</v>
      </c>
      <c r="I993">
        <f>G993</f>
        <v/>
      </c>
      <c r="K993">
        <f>I993-G993</f>
        <v/>
      </c>
      <c r="M993">
        <f>R993=E993</f>
        <v/>
      </c>
      <c r="N993">
        <f>AND(MONTH(F993)=MONTH(Q993), YEAR(F993)=YEAR(Q993))</f>
        <v/>
      </c>
      <c r="O993">
        <f>"L001-902303751"=S993</f>
        <v/>
      </c>
      <c r="P993">
        <f>G993-U993</f>
        <v/>
      </c>
      <c r="Q993" s="35" t="n">
        <v>45467</v>
      </c>
      <c r="R993" t="n">
        <v>84481</v>
      </c>
      <c r="S993" t="inlineStr">
        <is>
          <t>L001-107032791</t>
        </is>
      </c>
      <c r="T993" t="inlineStr">
        <is>
          <t>នីបផន អិចប្រេស (ខេមបូឌា) ខូ អិលធីឌី</t>
        </is>
      </c>
      <c r="U993" t="n">
        <v>84481</v>
      </c>
      <c r="V993" t="n">
        <v>0</v>
      </c>
    </row>
    <row r="994">
      <c r="A994" t="n">
        <v>993</v>
      </c>
      <c r="B994" t="inlineStr">
        <is>
          <t>Rental Machine</t>
        </is>
      </c>
      <c r="C994" t="inlineStr">
        <is>
          <t>ក្លាក ហ៊ូ ឯ.ក</t>
        </is>
      </c>
      <c r="D994" t="inlineStr">
        <is>
          <t>K007-901639199</t>
        </is>
      </c>
      <c r="E994" t="inlineStr">
        <is>
          <t>IN1782</t>
        </is>
      </c>
      <c r="F994" t="inlineStr">
        <is>
          <t>24-08-2024</t>
        </is>
      </c>
      <c r="G994" t="n">
        <v>284789</v>
      </c>
      <c r="I994">
        <f>G994</f>
        <v/>
      </c>
      <c r="K994">
        <f>I994-G994</f>
        <v/>
      </c>
      <c r="M994">
        <f>R994=E994</f>
        <v/>
      </c>
      <c r="N994">
        <f>AND(MONTH(F994)=MONTH(Q994), YEAR(F994)=YEAR(Q994))</f>
        <v/>
      </c>
      <c r="O994">
        <f>"L001-902303751"=S994</f>
        <v/>
      </c>
      <c r="P994">
        <f>G994-U994</f>
        <v/>
      </c>
      <c r="Q994" s="35" t="n">
        <v>45453</v>
      </c>
      <c r="R994" t="n">
        <v>113135</v>
      </c>
      <c r="S994" t="inlineStr">
        <is>
          <t>K005-100150195</t>
        </is>
      </c>
      <c r="T994" t="inlineStr">
        <is>
          <t>អេស អ វី ស៊ី ហ្វ្រេត សឺវីស (ខេមបូឌា) ខូ អិលធីឌី</t>
        </is>
      </c>
      <c r="U994" t="n">
        <v>113135</v>
      </c>
      <c r="V994" t="n">
        <v>0</v>
      </c>
    </row>
    <row r="995">
      <c r="A995" t="n">
        <v>994</v>
      </c>
      <c r="B995" t="inlineStr">
        <is>
          <t>Rental Machine</t>
        </is>
      </c>
      <c r="C995" t="inlineStr">
        <is>
          <t>ក្លាក ហ៊ូ ឯ.ក</t>
        </is>
      </c>
      <c r="D995" t="inlineStr">
        <is>
          <t>K007-901639199</t>
        </is>
      </c>
      <c r="E995" t="inlineStr">
        <is>
          <t>IN1777</t>
        </is>
      </c>
      <c r="F995" t="inlineStr">
        <is>
          <t>24-08-2024</t>
        </is>
      </c>
      <c r="G995" t="n">
        <v>67370</v>
      </c>
      <c r="I995">
        <f>G995</f>
        <v/>
      </c>
      <c r="K995">
        <f>I995-G995</f>
        <v/>
      </c>
      <c r="M995">
        <f>R995=E995</f>
        <v/>
      </c>
      <c r="N995">
        <f>AND(MONTH(F995)=MONTH(Q995), YEAR(F995)=YEAR(Q995))</f>
        <v/>
      </c>
      <c r="O995">
        <f>"L001-902303751"=S995</f>
        <v/>
      </c>
      <c r="P995">
        <f>G995-U995</f>
        <v/>
      </c>
      <c r="Q995" s="35" t="n">
        <v>45453</v>
      </c>
      <c r="R995" t="inlineStr"/>
      <c r="S995" t="inlineStr">
        <is>
          <t>K005-100150195</t>
        </is>
      </c>
      <c r="T995" t="inlineStr">
        <is>
          <t>អេស អ វី ស៊ី ហ្វ្រេត សឺវីស (ខេមបូឌា) ខូ អិលធីឌី</t>
        </is>
      </c>
      <c r="U995" t="n">
        <v>0</v>
      </c>
      <c r="V995" t="n">
        <v>0</v>
      </c>
    </row>
    <row r="996">
      <c r="A996" t="n">
        <v>995</v>
      </c>
      <c r="B996" t="inlineStr">
        <is>
          <t>Rental Machine</t>
        </is>
      </c>
      <c r="C996" t="inlineStr">
        <is>
          <t>ក្លាក ហ៊ូ ឯ.ក</t>
        </is>
      </c>
      <c r="D996" t="inlineStr">
        <is>
          <t>K007-901639199</t>
        </is>
      </c>
      <c r="E996" t="inlineStr">
        <is>
          <t>IN1778</t>
        </is>
      </c>
      <c r="F996" t="inlineStr">
        <is>
          <t>24-08-2024</t>
        </is>
      </c>
      <c r="G996" t="n">
        <v>79619</v>
      </c>
      <c r="I996">
        <f>G996</f>
        <v/>
      </c>
      <c r="K996">
        <f>I996-G996</f>
        <v/>
      </c>
      <c r="M996">
        <f>R996=E996</f>
        <v/>
      </c>
      <c r="N996">
        <f>AND(MONTH(F996)=MONTH(Q996), YEAR(F996)=YEAR(Q996))</f>
        <v/>
      </c>
      <c r="O996">
        <f>"L001-902303751"=S996</f>
        <v/>
      </c>
      <c r="P996">
        <f>G996-U996</f>
        <v/>
      </c>
      <c r="Q996" s="35" t="n">
        <v>45453</v>
      </c>
      <c r="R996" t="n">
        <v>99147</v>
      </c>
      <c r="S996" t="inlineStr">
        <is>
          <t>L001-100045340</t>
        </is>
      </c>
      <c r="T996" t="inlineStr">
        <is>
          <t xml:space="preserve">ស៊ីវ៉ា អ៊ែរ អ៊ែន អូសៀន (ខេមបូឌា) ឯ.ក </t>
        </is>
      </c>
      <c r="U996" t="n">
        <v>99147</v>
      </c>
      <c r="V996" t="n">
        <v>0</v>
      </c>
    </row>
    <row r="997">
      <c r="A997" t="n">
        <v>996</v>
      </c>
      <c r="B997" t="inlineStr">
        <is>
          <t>Rental Machine</t>
        </is>
      </c>
      <c r="C997" t="inlineStr">
        <is>
          <t>ក្លាក ហ៊ូ ឯ.ក</t>
        </is>
      </c>
      <c r="D997" t="inlineStr">
        <is>
          <t>K007-901639199</t>
        </is>
      </c>
      <c r="E997" t="inlineStr">
        <is>
          <t>IN1780</t>
        </is>
      </c>
      <c r="F997" t="inlineStr">
        <is>
          <t>24-08-2024</t>
        </is>
      </c>
      <c r="G997" t="n">
        <v>79112</v>
      </c>
      <c r="I997">
        <f>G997</f>
        <v/>
      </c>
      <c r="K997">
        <f>I997-G997</f>
        <v/>
      </c>
      <c r="M997">
        <f>R997=E997</f>
        <v/>
      </c>
      <c r="N997">
        <f>AND(MONTH(F997)=MONTH(Q997), YEAR(F997)=YEAR(Q997))</f>
        <v/>
      </c>
      <c r="O997">
        <f>"L001-902303751"=S997</f>
        <v/>
      </c>
      <c r="P997">
        <f>G997-U997</f>
        <v/>
      </c>
      <c r="Q997" s="35" t="n">
        <v>45453</v>
      </c>
      <c r="R997" t="inlineStr"/>
      <c r="S997" t="inlineStr">
        <is>
          <t>L001-100045340</t>
        </is>
      </c>
      <c r="T997" t="inlineStr">
        <is>
          <t xml:space="preserve">ស៊ីវ៉ា អ៊ែរ អ៊ែន អូសៀន (ខេមបូឌា) ឯ.ក </t>
        </is>
      </c>
      <c r="U997" t="n">
        <v>0</v>
      </c>
      <c r="V997" t="n">
        <v>0</v>
      </c>
    </row>
    <row r="998">
      <c r="A998" t="n">
        <v>997</v>
      </c>
      <c r="B998" t="inlineStr">
        <is>
          <t>Rental Machine</t>
        </is>
      </c>
      <c r="C998" t="inlineStr">
        <is>
          <t>ក្លាក ហ៊ូ ឯ.ក</t>
        </is>
      </c>
      <c r="D998" t="inlineStr">
        <is>
          <t>K007-901639199</t>
        </is>
      </c>
      <c r="E998" t="inlineStr">
        <is>
          <t>IN1784</t>
        </is>
      </c>
      <c r="F998" t="inlineStr">
        <is>
          <t>24-08-2024</t>
        </is>
      </c>
      <c r="G998" t="n">
        <v>145763</v>
      </c>
      <c r="I998">
        <f>G998</f>
        <v/>
      </c>
      <c r="K998">
        <f>I998-G998</f>
        <v/>
      </c>
      <c r="M998">
        <f>R998=E998</f>
        <v/>
      </c>
      <c r="N998">
        <f>AND(MONTH(F998)=MONTH(Q998), YEAR(F998)=YEAR(Q998))</f>
        <v/>
      </c>
      <c r="O998">
        <f>"L001-902303751"=S998</f>
        <v/>
      </c>
      <c r="P998">
        <f>G998-U998</f>
        <v/>
      </c>
      <c r="Q998" s="35" t="n">
        <v>45453</v>
      </c>
      <c r="R998" t="n">
        <v>294151</v>
      </c>
      <c r="S998" t="inlineStr">
        <is>
          <t>L001-100045995</t>
        </is>
      </c>
      <c r="T998" t="inlineStr">
        <is>
          <t>ឌីអេចអិល ឡូជីស្ទីក (ខេមបូឌា)</t>
        </is>
      </c>
      <c r="U998" t="n">
        <v>294151</v>
      </c>
      <c r="V998" t="n">
        <v>0</v>
      </c>
    </row>
    <row r="999">
      <c r="A999" t="n">
        <v>998</v>
      </c>
      <c r="B999" t="inlineStr">
        <is>
          <t>Rental Machine</t>
        </is>
      </c>
      <c r="C999" t="inlineStr">
        <is>
          <t>ក្លាក ហ៊ូ ឯ.ក</t>
        </is>
      </c>
      <c r="D999" t="inlineStr">
        <is>
          <t>K007-901639199</t>
        </is>
      </c>
      <c r="E999" t="inlineStr">
        <is>
          <t>IN1779</t>
        </is>
      </c>
      <c r="F999" t="inlineStr">
        <is>
          <t>24-08-2024</t>
        </is>
      </c>
      <c r="G999" t="n">
        <v>79619</v>
      </c>
      <c r="I999">
        <f>G999</f>
        <v/>
      </c>
      <c r="K999">
        <f>I999-G999</f>
        <v/>
      </c>
      <c r="M999">
        <f>R999=E999</f>
        <v/>
      </c>
      <c r="N999">
        <f>AND(MONTH(F999)=MONTH(Q999), YEAR(F999)=YEAR(Q999))</f>
        <v/>
      </c>
      <c r="O999">
        <f>"L001-902303751"=S999</f>
        <v/>
      </c>
      <c r="P999">
        <f>G999-U999</f>
        <v/>
      </c>
      <c r="Q999" s="35" t="n">
        <v>45446</v>
      </c>
      <c r="R999" t="inlineStr"/>
      <c r="S999" t="inlineStr">
        <is>
          <t>L001-107032791</t>
        </is>
      </c>
      <c r="T999" t="inlineStr">
        <is>
          <t>នីបផន អិចប្រេស (ខេមបូឌា) ខូ អិលធីឌី</t>
        </is>
      </c>
      <c r="U999" t="n">
        <v>0</v>
      </c>
      <c r="V999" t="n">
        <v>0</v>
      </c>
    </row>
    <row r="1000">
      <c r="A1000" t="n">
        <v>999</v>
      </c>
      <c r="B1000" t="inlineStr">
        <is>
          <t>Rental Machine</t>
        </is>
      </c>
      <c r="C1000" t="inlineStr">
        <is>
          <t>ក្លាក ហ៊ូ ឯ.ក</t>
        </is>
      </c>
      <c r="D1000" t="inlineStr">
        <is>
          <t>K007-901639199</t>
        </is>
      </c>
      <c r="E1000" t="inlineStr">
        <is>
          <t>IN1783</t>
        </is>
      </c>
      <c r="F1000" t="inlineStr">
        <is>
          <t>24-08-2024</t>
        </is>
      </c>
      <c r="G1000" t="n">
        <v>303909</v>
      </c>
      <c r="I1000">
        <f>G1000</f>
        <v/>
      </c>
      <c r="K1000">
        <f>I1000-G1000</f>
        <v/>
      </c>
      <c r="M1000">
        <f>R1000=E1000</f>
        <v/>
      </c>
      <c r="N1000">
        <f>AND(MONTH(F1000)=MONTH(Q1000), YEAR(F1000)=YEAR(Q1000))</f>
        <v/>
      </c>
      <c r="O1000">
        <f>"L001-902303751"=S1000</f>
        <v/>
      </c>
      <c r="P1000">
        <f>G1000-U1000</f>
        <v/>
      </c>
      <c r="Q1000" s="35" t="n">
        <v>45446</v>
      </c>
      <c r="R1000" t="n">
        <v>112723</v>
      </c>
      <c r="S1000" t="inlineStr">
        <is>
          <t>L001-100045995</t>
        </is>
      </c>
      <c r="T1000" t="inlineStr">
        <is>
          <t>ឌីអេចអិល ឡូជីស្ទីក (ខេមបូឌា)</t>
        </is>
      </c>
      <c r="U1000" t="n">
        <v>112723</v>
      </c>
      <c r="V1000" t="n">
        <v>0</v>
      </c>
    </row>
    <row r="1001">
      <c r="A1001" t="n">
        <v>1000</v>
      </c>
      <c r="B1001" t="inlineStr">
        <is>
          <t>Monthly Security for August 2024</t>
        </is>
      </c>
      <c r="C1001" t="inlineStr">
        <is>
          <t>អិល.ប៊ី.អិល.អេច ស៊ីឃ្យូរឹធី ឯ.ក</t>
        </is>
      </c>
      <c r="D1001" t="inlineStr">
        <is>
          <t>K010-902202247</t>
        </is>
      </c>
      <c r="E1001" t="inlineStr">
        <is>
          <t>L.B.L.H00022</t>
        </is>
      </c>
      <c r="F1001" t="inlineStr">
        <is>
          <t>26-08-2024</t>
        </is>
      </c>
      <c r="G1001" t="n">
        <v>612150</v>
      </c>
      <c r="I1001">
        <f>G1001</f>
        <v/>
      </c>
      <c r="K1001">
        <f>I1001-G1001</f>
        <v/>
      </c>
      <c r="M1001">
        <f>R1001=E1001</f>
        <v/>
      </c>
      <c r="N1001">
        <f>AND(MONTH(F1001)=MONTH(Q1001), YEAR(F1001)=YEAR(Q1001))</f>
        <v/>
      </c>
      <c r="O1001">
        <f>"L001-902303751"=S1001</f>
        <v/>
      </c>
      <c r="P1001">
        <f>G1001-U1001</f>
        <v/>
      </c>
      <c r="Q1001" s="35" t="n">
        <v>45460</v>
      </c>
      <c r="R1001" t="n">
        <v>84481</v>
      </c>
      <c r="S1001" t="inlineStr">
        <is>
          <t>L001-107032791</t>
        </is>
      </c>
      <c r="T1001" t="inlineStr">
        <is>
          <t>នីបផន អិចប្រេស (ខេមបូឌា) ខូ អិលធីឌី</t>
        </is>
      </c>
      <c r="U1001" t="n">
        <v>84481</v>
      </c>
      <c r="V1001" t="n">
        <v>0</v>
      </c>
    </row>
    <row r="1002">
      <c r="A1002" t="n">
        <v>1001</v>
      </c>
      <c r="B1002" t="inlineStr">
        <is>
          <t>Monthly Security for August 2024</t>
        </is>
      </c>
      <c r="C1002" t="inlineStr">
        <is>
          <t>អិល.ប៊ី.អិល.អេច ស៊ីឃ្យូរឹធី ឯ.ក</t>
        </is>
      </c>
      <c r="D1002" t="inlineStr">
        <is>
          <t>K010-902202247</t>
        </is>
      </c>
      <c r="E1002" t="inlineStr">
        <is>
          <t>L.B.L.H00008</t>
        </is>
      </c>
      <c r="F1002" t="inlineStr">
        <is>
          <t>26-08-2024</t>
        </is>
      </c>
      <c r="G1002" t="n">
        <v>1493646</v>
      </c>
      <c r="I1002">
        <f>G1002</f>
        <v/>
      </c>
      <c r="K1002">
        <f>I1002-G1002</f>
        <v/>
      </c>
      <c r="M1002">
        <f>R1002=E1002</f>
        <v/>
      </c>
      <c r="N1002">
        <f>AND(MONTH(F1002)=MONTH(Q1002), YEAR(F1002)=YEAR(Q1002))</f>
        <v/>
      </c>
      <c r="O1002">
        <f>"L001-902303751"=S1002</f>
        <v/>
      </c>
      <c r="P1002">
        <f>G1002-U1002</f>
        <v/>
      </c>
      <c r="Q1002" s="35" t="n">
        <v>45467</v>
      </c>
      <c r="R1002" t="n">
        <v>84481</v>
      </c>
      <c r="S1002" t="inlineStr">
        <is>
          <t>L001-100045995</t>
        </is>
      </c>
      <c r="T1002" t="inlineStr">
        <is>
          <t>ឌីអេចអិល ឡូជីស្ទីក (ខេមបូឌា)</t>
        </is>
      </c>
      <c r="U1002" t="n">
        <v>84481</v>
      </c>
      <c r="V1002" t="n">
        <v>0</v>
      </c>
    </row>
    <row r="1003">
      <c r="A1003" t="n">
        <v>1002</v>
      </c>
      <c r="B1003" t="inlineStr">
        <is>
          <t>Pest Control Service</t>
        </is>
      </c>
      <c r="C1003" t="inlineStr">
        <is>
          <t>ជីស៊ី ផេស ខិនត្រូល ឯ.ក</t>
        </is>
      </c>
      <c r="D1003" t="inlineStr">
        <is>
          <t>K004-902104767</t>
        </is>
      </c>
      <c r="E1003" t="inlineStr">
        <is>
          <t>2024-00016-1</t>
        </is>
      </c>
      <c r="F1003" t="inlineStr">
        <is>
          <t>17-08-2024</t>
        </is>
      </c>
      <c r="G1003" t="n">
        <v>262272</v>
      </c>
      <c r="I1003">
        <f>G1003</f>
        <v/>
      </c>
      <c r="K1003">
        <f>I1003-G1003</f>
        <v/>
      </c>
      <c r="M1003">
        <f>R1003=E1003</f>
        <v/>
      </c>
      <c r="N1003">
        <f>AND(MONTH(F1003)=MONTH(Q1003), YEAR(F1003)=YEAR(Q1003))</f>
        <v/>
      </c>
      <c r="O1003">
        <f>"L001-902303751"=S1003</f>
        <v/>
      </c>
      <c r="P1003">
        <f>G1003-U1003</f>
        <v/>
      </c>
      <c r="Q1003" s="35" t="n">
        <v>45467</v>
      </c>
      <c r="R1003" t="inlineStr"/>
      <c r="S1003" t="inlineStr">
        <is>
          <t>L001-107032791</t>
        </is>
      </c>
      <c r="T1003" t="inlineStr">
        <is>
          <t>នីបផន អិចប្រេស (ខេមបូឌា) ខូ អិលធីឌី</t>
        </is>
      </c>
      <c r="U1003" t="n">
        <v>0</v>
      </c>
      <c r="V1003" t="n">
        <v>0</v>
      </c>
    </row>
    <row r="1004">
      <c r="A1004" t="n">
        <v>1003</v>
      </c>
      <c r="B1004" t="inlineStr">
        <is>
          <t>Transportation Fee</t>
        </is>
      </c>
      <c r="C1004" t="inlineStr">
        <is>
          <t>សំអាង &amp; មករា ត្រេនស្ព័ត ឯ.ក</t>
        </is>
      </c>
      <c r="D1004" t="inlineStr">
        <is>
          <t>K010-902204282</t>
        </is>
      </c>
      <c r="E1004" t="inlineStr">
        <is>
          <t>NO202300087</t>
        </is>
      </c>
      <c r="F1004" t="inlineStr">
        <is>
          <t>31-08-2024</t>
        </is>
      </c>
      <c r="G1004" t="n">
        <v>1567016</v>
      </c>
      <c r="I1004">
        <f>G1004</f>
        <v/>
      </c>
      <c r="K1004">
        <f>I1004-G1004</f>
        <v/>
      </c>
      <c r="M1004">
        <f>R1004=E1004</f>
        <v/>
      </c>
      <c r="N1004">
        <f>AND(MONTH(F1004)=MONTH(Q1004), YEAR(F1004)=YEAR(Q1004))</f>
        <v/>
      </c>
      <c r="O1004">
        <f>"L001-902303751"=S1004</f>
        <v/>
      </c>
      <c r="P1004">
        <f>G1004-U1004</f>
        <v/>
      </c>
      <c r="Q1004" s="35" t="n">
        <v>45467</v>
      </c>
      <c r="R1004" t="inlineStr"/>
      <c r="S1004" t="inlineStr">
        <is>
          <t>K003-901635943</t>
        </is>
      </c>
      <c r="T1004" t="inlineStr">
        <is>
          <t>អ៊ីឃ្យូឡាញ វើលវ៉ាយដ៍ ឡូជីស្ទីក</t>
        </is>
      </c>
      <c r="U1004" t="n">
        <v>0</v>
      </c>
      <c r="V1004" t="n">
        <v>0</v>
      </c>
    </row>
    <row r="1005">
      <c r="A1005" t="n">
        <v>1004</v>
      </c>
      <c r="B1005" t="inlineStr">
        <is>
          <t>Cargo Terminal</t>
        </is>
      </c>
      <c r="C1005" t="inlineStr">
        <is>
          <t>សូស៊ីយេតេ កុងសេស្យូនែរ ដឺ ឡាអេរ៉ូព័រ</t>
        </is>
      </c>
      <c r="D1005" t="inlineStr">
        <is>
          <t>L001-100047300</t>
        </is>
      </c>
      <c r="E1005" t="inlineStr">
        <is>
          <t>2400-068068</t>
        </is>
      </c>
      <c r="F1005" t="inlineStr">
        <is>
          <t>25-08-2024</t>
        </is>
      </c>
      <c r="G1005" t="n">
        <v>947</v>
      </c>
      <c r="I1005">
        <f>G1005</f>
        <v/>
      </c>
      <c r="K1005">
        <f>I1005-G1005</f>
        <v/>
      </c>
      <c r="M1005">
        <f>R1005=E1005</f>
        <v/>
      </c>
      <c r="N1005">
        <f>AND(MONTH(F1005)=MONTH(Q1005), YEAR(F1005)=YEAR(Q1005))</f>
        <v/>
      </c>
      <c r="O1005">
        <f>"L001-902303751"=S1005</f>
        <v/>
      </c>
      <c r="P1005">
        <f>G1005-U1005</f>
        <v/>
      </c>
      <c r="Q1005" s="35" t="n">
        <v>45453</v>
      </c>
      <c r="R1005" t="inlineStr"/>
      <c r="S1005" t="inlineStr">
        <is>
          <t>L001-107032791</t>
        </is>
      </c>
      <c r="T1005" t="inlineStr">
        <is>
          <t>នីបផន អិចប្រេស (ខេមបូឌា) ខូ អិលធីឌី</t>
        </is>
      </c>
      <c r="U1005" t="n">
        <v>0</v>
      </c>
      <c r="V1005" t="n">
        <v>0</v>
      </c>
    </row>
    <row r="1006">
      <c r="A1006" t="n">
        <v>1005</v>
      </c>
      <c r="B1006" t="inlineStr">
        <is>
          <t>Customs Clearance Fee</t>
        </is>
      </c>
      <c r="C1006" t="inlineStr">
        <is>
          <t>ត្រាយអ៊ែងហ្គល ឡូជីស្ទីក (ខេមបូឌា) ឯ.ក</t>
        </is>
      </c>
      <c r="D1006" t="inlineStr">
        <is>
          <t>K010-902101743</t>
        </is>
      </c>
      <c r="E1006" t="inlineStr">
        <is>
          <t>TAG-24-00586</t>
        </is>
      </c>
      <c r="F1006" t="inlineStr">
        <is>
          <t>28-08-2024</t>
        </is>
      </c>
      <c r="G1006" t="n">
        <v>8132</v>
      </c>
      <c r="I1006">
        <f>G1006</f>
        <v/>
      </c>
      <c r="K1006">
        <f>I1006-G1006</f>
        <v/>
      </c>
      <c r="M1006">
        <f>R1006=E1006</f>
        <v/>
      </c>
      <c r="N1006">
        <f>AND(MONTH(F1006)=MONTH(Q1006), YEAR(F1006)=YEAR(Q1006))</f>
        <v/>
      </c>
      <c r="O1006">
        <f>"L001-902303751"=S1006</f>
        <v/>
      </c>
      <c r="P1006">
        <f>G1006-U1006</f>
        <v/>
      </c>
      <c r="Q1006" s="35" t="n">
        <v>45446</v>
      </c>
      <c r="R1006" t="n">
        <v>84030</v>
      </c>
      <c r="S1006" t="inlineStr">
        <is>
          <t>L001-107032791</t>
        </is>
      </c>
      <c r="T1006" t="inlineStr">
        <is>
          <t>នីបផន អិចប្រេស (ខេមបូឌា) ខូ អិលធីឌី</t>
        </is>
      </c>
      <c r="U1006" t="n">
        <v>84030</v>
      </c>
      <c r="V1006" t="n">
        <v>0</v>
      </c>
    </row>
    <row r="1007">
      <c r="A1007" t="n">
        <v>1006</v>
      </c>
      <c r="B1007" t="inlineStr">
        <is>
          <t>Cargo Terminal</t>
        </is>
      </c>
      <c r="C1007" t="inlineStr">
        <is>
          <t>សូស៊ីយេតេ កុងសេស្យូនែរ ដឺ ឡាអេរ៉ូព័រ</t>
        </is>
      </c>
      <c r="D1007" t="inlineStr">
        <is>
          <t>L001-100047300</t>
        </is>
      </c>
      <c r="E1007" t="inlineStr">
        <is>
          <t>2400-066597</t>
        </is>
      </c>
      <c r="F1007" t="inlineStr">
        <is>
          <t>20-08-2024</t>
        </is>
      </c>
      <c r="G1007" t="n">
        <v>17669</v>
      </c>
      <c r="I1007">
        <f>G1007</f>
        <v/>
      </c>
      <c r="K1007">
        <f>I1007-G1007</f>
        <v/>
      </c>
      <c r="M1007">
        <f>R1007=E1007</f>
        <v/>
      </c>
      <c r="N1007">
        <f>AND(MONTH(F1007)=MONTH(Q1007), YEAR(F1007)=YEAR(Q1007))</f>
        <v/>
      </c>
      <c r="O1007">
        <f>"L001-902303751"=S1007</f>
        <v/>
      </c>
      <c r="P1007">
        <f>G1007-U1007</f>
        <v/>
      </c>
      <c r="Q1007" s="35" t="n">
        <v>45453</v>
      </c>
      <c r="R1007" t="n">
        <v>113135</v>
      </c>
      <c r="S1007" t="inlineStr">
        <is>
          <t>L001-107032791</t>
        </is>
      </c>
      <c r="T1007" t="inlineStr">
        <is>
          <t>នីបផន អិចប្រេស (ខេមបូឌា) ខូ អិលធីឌី</t>
        </is>
      </c>
      <c r="U1007" t="n">
        <v>113135</v>
      </c>
      <c r="V1007" t="n">
        <v>0</v>
      </c>
    </row>
    <row r="1008">
      <c r="A1008" t="n">
        <v>1007</v>
      </c>
      <c r="B1008" t="inlineStr">
        <is>
          <t>Customs Clearance Fee</t>
        </is>
      </c>
      <c r="C1008" t="inlineStr">
        <is>
          <t>ត្រាយអ៊ែងហ្គល ឡូជីស្ទីក (ខេមបូឌា) ឯ.ក</t>
        </is>
      </c>
      <c r="D1008" t="inlineStr">
        <is>
          <t>K010-902101743</t>
        </is>
      </c>
      <c r="E1008" t="inlineStr">
        <is>
          <t>TAG-24-00581</t>
        </is>
      </c>
      <c r="F1008" t="inlineStr">
        <is>
          <t>28-08-2024</t>
        </is>
      </c>
      <c r="G1008" t="n">
        <v>8132</v>
      </c>
      <c r="I1008">
        <f>G1008</f>
        <v/>
      </c>
      <c r="K1008">
        <f>I1008-G1008</f>
        <v/>
      </c>
      <c r="M1008">
        <f>R1008=E1008</f>
        <v/>
      </c>
      <c r="N1008">
        <f>AND(MONTH(F1008)=MONTH(Q1008), YEAR(F1008)=YEAR(Q1008))</f>
        <v/>
      </c>
      <c r="O1008">
        <f>"L001-902303751"=S1008</f>
        <v/>
      </c>
      <c r="P1008">
        <f>G1008-U1008</f>
        <v/>
      </c>
      <c r="Q1008" s="35" t="n">
        <v>45469</v>
      </c>
      <c r="R1008" t="n">
        <v>12330</v>
      </c>
      <c r="S1008" t="inlineStr">
        <is>
          <t>K004-105012505</t>
        </is>
      </c>
      <c r="T1008" t="inlineStr">
        <is>
          <t>អេស៊ាន ហ្វ្រេត (ខេមបូឌា)</t>
        </is>
      </c>
      <c r="U1008" t="n">
        <v>12330</v>
      </c>
      <c r="V1008" t="n">
        <v>0</v>
      </c>
    </row>
    <row r="1009">
      <c r="A1009" t="n">
        <v>1008</v>
      </c>
      <c r="B1009" t="inlineStr">
        <is>
          <t>Cargo Terminal</t>
        </is>
      </c>
      <c r="C1009" t="inlineStr">
        <is>
          <t>សូស៊ីយេតេ កុងសេស្យូនែរ ដឺ ឡាអេរ៉ូព័រ</t>
        </is>
      </c>
      <c r="D1009" t="inlineStr">
        <is>
          <t>L001-100047300</t>
        </is>
      </c>
      <c r="E1009" t="inlineStr">
        <is>
          <t>2400-065094</t>
        </is>
      </c>
      <c r="F1009" t="inlineStr">
        <is>
          <t>15-08-2024</t>
        </is>
      </c>
      <c r="G1009" t="n">
        <v>19618</v>
      </c>
      <c r="I1009">
        <f>G1009</f>
        <v/>
      </c>
      <c r="K1009">
        <f>I1009-G1009</f>
        <v/>
      </c>
      <c r="M1009">
        <f>R1009=E1009</f>
        <v/>
      </c>
      <c r="N1009">
        <f>AND(MONTH(F1009)=MONTH(Q1009), YEAR(F1009)=YEAR(Q1009))</f>
        <v/>
      </c>
      <c r="O1009">
        <f>"L001-902303751"=S1009</f>
        <v/>
      </c>
      <c r="P1009">
        <f>G1009-U1009</f>
        <v/>
      </c>
      <c r="Q1009" s="35" t="n">
        <v>45460</v>
      </c>
      <c r="R1009" t="n">
        <v>113328</v>
      </c>
      <c r="S1009" t="inlineStr">
        <is>
          <t>L001-107032791</t>
        </is>
      </c>
      <c r="T1009" t="inlineStr">
        <is>
          <t>នីបផន អិចប្រេស (ខេមបូឌា) ខូ អិលធីឌី</t>
        </is>
      </c>
      <c r="U1009" t="n">
        <v>113328</v>
      </c>
      <c r="V1009" t="n">
        <v>0</v>
      </c>
    </row>
    <row r="1010">
      <c r="A1010" t="n">
        <v>1009</v>
      </c>
      <c r="B1010" t="inlineStr">
        <is>
          <t>Customs Clearance Fee</t>
        </is>
      </c>
      <c r="C1010" t="inlineStr">
        <is>
          <t>ត្រាយអ៊ែងហ្គល ឡូជីស្ទីក (ខេមបូឌា) ឯ.ក</t>
        </is>
      </c>
      <c r="D1010" t="inlineStr">
        <is>
          <t>K010-902101743</t>
        </is>
      </c>
      <c r="E1010" t="inlineStr">
        <is>
          <t>TAG-24-00565</t>
        </is>
      </c>
      <c r="F1010" t="inlineStr">
        <is>
          <t>20-08-2024</t>
        </is>
      </c>
      <c r="G1010" t="n">
        <v>8180</v>
      </c>
      <c r="I1010">
        <f>G1010</f>
        <v/>
      </c>
      <c r="K1010">
        <f>I1010-G1010</f>
        <v/>
      </c>
      <c r="M1010">
        <f>R1010=E1010</f>
        <v/>
      </c>
      <c r="N1010">
        <f>AND(MONTH(F1010)=MONTH(Q1010), YEAR(F1010)=YEAR(Q1010))</f>
        <v/>
      </c>
      <c r="O1010">
        <f>"L001-902303751"=S1010</f>
        <v/>
      </c>
      <c r="P1010">
        <f>G1010-U1010</f>
        <v/>
      </c>
      <c r="Q1010" s="35" t="n">
        <v>45460</v>
      </c>
      <c r="R1010" t="inlineStr"/>
      <c r="S1010" t="inlineStr">
        <is>
          <t>L001-100011888</t>
        </is>
      </c>
      <c r="T1010" t="inlineStr">
        <is>
          <t>ត្រេន ស្តារ ហ្រេ្វត</t>
        </is>
      </c>
      <c r="U1010" t="n">
        <v>0</v>
      </c>
      <c r="V1010" t="n">
        <v>0</v>
      </c>
    </row>
    <row r="1011">
      <c r="A1011" t="n">
        <v>1010</v>
      </c>
      <c r="B1011" t="inlineStr">
        <is>
          <t>Cargo Terminal</t>
        </is>
      </c>
      <c r="C1011" t="inlineStr">
        <is>
          <t>សូស៊ីយេតេ កុងសេស្យូនែរ ដឺ ឡាអេរ៉ូព័រ</t>
        </is>
      </c>
      <c r="D1011" t="inlineStr">
        <is>
          <t>L001-100047300</t>
        </is>
      </c>
      <c r="E1011" t="inlineStr">
        <is>
          <t>2400-064954</t>
        </is>
      </c>
      <c r="F1011" t="inlineStr">
        <is>
          <t>15-08-2024</t>
        </is>
      </c>
      <c r="G1011" t="n">
        <v>819</v>
      </c>
      <c r="I1011">
        <f>G1011</f>
        <v/>
      </c>
      <c r="K1011">
        <f>I1011-G1011</f>
        <v/>
      </c>
      <c r="M1011">
        <f>R1011=E1011</f>
        <v/>
      </c>
      <c r="N1011">
        <f>AND(MONTH(F1011)=MONTH(Q1011), YEAR(F1011)=YEAR(Q1011))</f>
        <v/>
      </c>
      <c r="O1011">
        <f>"L001-902303751"=S1011</f>
        <v/>
      </c>
      <c r="P1011">
        <f>G1011-U1011</f>
        <v/>
      </c>
      <c r="Q1011" s="35" t="n">
        <v>45467</v>
      </c>
      <c r="R1011" t="n">
        <v>84481</v>
      </c>
      <c r="S1011" t="inlineStr">
        <is>
          <t>L001-107032791</t>
        </is>
      </c>
      <c r="T1011" t="inlineStr">
        <is>
          <t>នីបផន អិចប្រេស (ខេមបូឌា) ខូ អិលធីឌី</t>
        </is>
      </c>
      <c r="U1011" t="n">
        <v>84481</v>
      </c>
      <c r="V1011" t="n">
        <v>0</v>
      </c>
    </row>
    <row r="1012">
      <c r="A1012" t="n">
        <v>1011</v>
      </c>
      <c r="B1012" t="inlineStr">
        <is>
          <t>Customs Clearance Fee</t>
        </is>
      </c>
      <c r="C1012" t="inlineStr">
        <is>
          <t>ត្រាយអ៊ែងហ្គល ឡូជីស្ទីក (ខេមបូឌា) ឯ.ក</t>
        </is>
      </c>
      <c r="D1012" t="inlineStr">
        <is>
          <t>K010-902101743</t>
        </is>
      </c>
      <c r="E1012" t="inlineStr">
        <is>
          <t>TAG-24-00564</t>
        </is>
      </c>
      <c r="F1012" t="inlineStr">
        <is>
          <t>20-08-2024</t>
        </is>
      </c>
      <c r="G1012" t="n">
        <v>8180</v>
      </c>
      <c r="I1012">
        <f>G1012</f>
        <v/>
      </c>
      <c r="K1012">
        <f>I1012-G1012</f>
        <v/>
      </c>
      <c r="M1012">
        <f>R1012=E1012</f>
        <v/>
      </c>
      <c r="N1012">
        <f>AND(MONTH(F1012)=MONTH(Q1012), YEAR(F1012)=YEAR(Q1012))</f>
        <v/>
      </c>
      <c r="O1012">
        <f>"L001-902303751"=S1012</f>
        <v/>
      </c>
      <c r="P1012">
        <f>G1012-U1012</f>
        <v/>
      </c>
      <c r="Q1012" s="35" t="n">
        <v>45467</v>
      </c>
      <c r="R1012" t="n">
        <v>113328</v>
      </c>
      <c r="S1012" t="inlineStr">
        <is>
          <t>L001-107032791</t>
        </is>
      </c>
      <c r="T1012" t="inlineStr">
        <is>
          <t>នីបផន អិចប្រេស (ខេមបូឌា) ខូ អិលធីឌី</t>
        </is>
      </c>
      <c r="U1012" t="n">
        <v>113328</v>
      </c>
      <c r="V1012" t="n">
        <v>0</v>
      </c>
    </row>
    <row r="1013">
      <c r="A1013" t="n">
        <v>1012</v>
      </c>
      <c r="B1013" t="inlineStr">
        <is>
          <t>Cargo Terminal</t>
        </is>
      </c>
      <c r="C1013" t="inlineStr">
        <is>
          <t>សូស៊ីយេតេ កុងសេស្យូនែរ ដឺ ឡាអេរ៉ូព័រ</t>
        </is>
      </c>
      <c r="D1013" t="inlineStr">
        <is>
          <t>L001-100047300</t>
        </is>
      </c>
      <c r="E1013" t="inlineStr">
        <is>
          <t>2400-064765</t>
        </is>
      </c>
      <c r="F1013" t="inlineStr">
        <is>
          <t>14-08-2024</t>
        </is>
      </c>
      <c r="G1013" t="n">
        <v>12797</v>
      </c>
      <c r="I1013">
        <f>G1013</f>
        <v/>
      </c>
      <c r="K1013">
        <f>I1013-G1013</f>
        <v/>
      </c>
      <c r="M1013">
        <f>R1013=E1013</f>
        <v/>
      </c>
      <c r="N1013">
        <f>AND(MONTH(F1013)=MONTH(Q1013), YEAR(F1013)=YEAR(Q1013))</f>
        <v/>
      </c>
      <c r="O1013">
        <f>"L001-902303751"=S1013</f>
        <v/>
      </c>
      <c r="P1013">
        <f>G1013-U1013</f>
        <v/>
      </c>
      <c r="Q1013" s="35" t="n">
        <v>45462</v>
      </c>
      <c r="R1013" t="n">
        <v>16480</v>
      </c>
      <c r="S1013" t="inlineStr">
        <is>
          <t>L001-100045995</t>
        </is>
      </c>
      <c r="T1013" t="inlineStr">
        <is>
          <t>ឌីអេចអិល ឡូជីស្ទីក (ខេមបូឌា)</t>
        </is>
      </c>
      <c r="U1013" t="n">
        <v>16480</v>
      </c>
      <c r="V1013" t="n">
        <v>0</v>
      </c>
    </row>
    <row r="1014">
      <c r="A1014" t="n">
        <v>1013</v>
      </c>
      <c r="B1014" t="inlineStr">
        <is>
          <t>Customs Clearance Fee</t>
        </is>
      </c>
      <c r="C1014" t="inlineStr">
        <is>
          <t>ត្រាយអ៊ែងហ្គល ឡូជីស្ទីក (ខេមបូឌា) ឯ.ក</t>
        </is>
      </c>
      <c r="D1014" t="inlineStr">
        <is>
          <t>K010-902101743</t>
        </is>
      </c>
      <c r="E1014" t="inlineStr">
        <is>
          <t>TAG-24-00563</t>
        </is>
      </c>
      <c r="F1014" t="inlineStr">
        <is>
          <t>20-08-2024</t>
        </is>
      </c>
      <c r="G1014" t="n">
        <v>8180</v>
      </c>
      <c r="I1014">
        <f>G1014</f>
        <v/>
      </c>
      <c r="K1014">
        <f>I1014-G1014</f>
        <v/>
      </c>
      <c r="M1014">
        <f>R1014=E1014</f>
        <v/>
      </c>
      <c r="N1014">
        <f>AND(MONTH(F1014)=MONTH(Q1014), YEAR(F1014)=YEAR(Q1014))</f>
        <v/>
      </c>
      <c r="O1014">
        <f>"L001-902303751"=S1014</f>
        <v/>
      </c>
      <c r="P1014">
        <f>G1014-U1014</f>
        <v/>
      </c>
      <c r="Q1014" s="35" t="n">
        <v>45446</v>
      </c>
      <c r="R1014" t="n">
        <v>112723</v>
      </c>
      <c r="S1014" t="inlineStr">
        <is>
          <t>L001-107032791</t>
        </is>
      </c>
      <c r="T1014" t="inlineStr">
        <is>
          <t>នីបផន អិចប្រេស (ខេមបូឌា) ខូ អិលធីឌី</t>
        </is>
      </c>
      <c r="U1014" t="n">
        <v>112723</v>
      </c>
      <c r="V1014" t="n">
        <v>0</v>
      </c>
    </row>
    <row r="1015">
      <c r="A1015" t="n">
        <v>1014</v>
      </c>
      <c r="B1015" t="inlineStr">
        <is>
          <t>Customs Clearance Fee</t>
        </is>
      </c>
      <c r="C1015" t="inlineStr">
        <is>
          <t>ត្រាយអ៊ែងហ្គល ឡូជីស្ទីក (ខេមបូឌា) ឯ.ក</t>
        </is>
      </c>
      <c r="D1015" t="inlineStr">
        <is>
          <t>K010-902101743</t>
        </is>
      </c>
      <c r="E1015" t="inlineStr">
        <is>
          <t>TAG-24-00587</t>
        </is>
      </c>
      <c r="F1015" t="inlineStr">
        <is>
          <t>28-08-2024</t>
        </is>
      </c>
      <c r="G1015" t="n">
        <v>8132</v>
      </c>
      <c r="I1015">
        <f>G1015</f>
        <v/>
      </c>
      <c r="K1015">
        <f>I1015-G1015</f>
        <v/>
      </c>
      <c r="M1015">
        <f>R1015=E1015</f>
        <v/>
      </c>
      <c r="N1015">
        <f>AND(MONTH(F1015)=MONTH(Q1015), YEAR(F1015)=YEAR(Q1015))</f>
        <v/>
      </c>
      <c r="O1015">
        <f>"L001-902303751"=S1015</f>
        <v/>
      </c>
      <c r="P1015">
        <f>G1015-U1015</f>
        <v/>
      </c>
      <c r="Q1015" s="35" t="n">
        <v>45446</v>
      </c>
      <c r="R1015" t="inlineStr"/>
      <c r="S1015" t="inlineStr">
        <is>
          <t>L001-107032791</t>
        </is>
      </c>
      <c r="T1015" t="inlineStr">
        <is>
          <t>នីបផន អិចប្រេស (ខេមបូឌា) ខូ អិលធីឌី</t>
        </is>
      </c>
      <c r="U1015" t="n">
        <v>0</v>
      </c>
      <c r="V1015" t="n">
        <v>0</v>
      </c>
    </row>
    <row r="1016">
      <c r="A1016" t="n">
        <v>1015</v>
      </c>
      <c r="B1016" t="inlineStr">
        <is>
          <t>Cargo Terminal</t>
        </is>
      </c>
      <c r="C1016" t="inlineStr">
        <is>
          <t>សូស៊ីយេតេ កុងសេស្យូនែរ ដឺ ឡាអេរ៉ូព័រ</t>
        </is>
      </c>
      <c r="D1016" t="inlineStr">
        <is>
          <t>L001-100047300</t>
        </is>
      </c>
      <c r="E1016" t="inlineStr">
        <is>
          <t>2400-068070</t>
        </is>
      </c>
      <c r="F1016" t="inlineStr">
        <is>
          <t>25-08-2024</t>
        </is>
      </c>
      <c r="G1016" t="n">
        <v>3396</v>
      </c>
      <c r="I1016">
        <f>G1016</f>
        <v/>
      </c>
      <c r="K1016">
        <f>I1016-G1016</f>
        <v/>
      </c>
      <c r="M1016">
        <f>R1016=E1016</f>
        <v/>
      </c>
      <c r="N1016">
        <f>AND(MONTH(F1016)=MONTH(Q1016), YEAR(F1016)=YEAR(Q1016))</f>
        <v/>
      </c>
      <c r="O1016">
        <f>"L001-902303751"=S1016</f>
        <v/>
      </c>
      <c r="P1016">
        <f>G1016-U1016</f>
        <v/>
      </c>
      <c r="Q1016" s="35" t="n">
        <v>45446</v>
      </c>
      <c r="R1016" t="inlineStr"/>
      <c r="S1016" t="inlineStr">
        <is>
          <t>L001-100045995</t>
        </is>
      </c>
      <c r="T1016" t="inlineStr">
        <is>
          <t>ឌីអេចអិល ឡូជីស្ទីក (ខេមបូឌា)</t>
        </is>
      </c>
      <c r="U1016" t="n">
        <v>0</v>
      </c>
      <c r="V1016" t="n">
        <v>0</v>
      </c>
    </row>
    <row r="1017">
      <c r="A1017" t="n">
        <v>1016</v>
      </c>
      <c r="B1017" t="inlineStr">
        <is>
          <t>Customs Clearance Fee</t>
        </is>
      </c>
      <c r="C1017" t="inlineStr">
        <is>
          <t>ត្រាយអ៊ែងហ្គល ឡូជីស្ទីក (ខេមបូឌា) ឯ.ក</t>
        </is>
      </c>
      <c r="D1017" t="inlineStr">
        <is>
          <t>K010-902101743</t>
        </is>
      </c>
      <c r="E1017" t="inlineStr">
        <is>
          <t>TAG-24-00589</t>
        </is>
      </c>
      <c r="F1017" t="inlineStr">
        <is>
          <t>28-08-2024</t>
        </is>
      </c>
      <c r="G1017" t="n">
        <v>8132</v>
      </c>
      <c r="I1017">
        <f>G1017</f>
        <v/>
      </c>
      <c r="K1017">
        <f>I1017-G1017</f>
        <v/>
      </c>
      <c r="M1017">
        <f>R1017=E1017</f>
        <v/>
      </c>
      <c r="N1017">
        <f>AND(MONTH(F1017)=MONTH(Q1017), YEAR(F1017)=YEAR(Q1017))</f>
        <v/>
      </c>
      <c r="O1017">
        <f>"L001-902303751"=S1017</f>
        <v/>
      </c>
      <c r="P1017">
        <f>G1017-U1017</f>
        <v/>
      </c>
      <c r="Q1017" s="35" t="n">
        <v>45460</v>
      </c>
      <c r="R1017" t="n">
        <v>84481</v>
      </c>
      <c r="S1017" t="inlineStr">
        <is>
          <t>L001-100011888</t>
        </is>
      </c>
      <c r="T1017" t="inlineStr">
        <is>
          <t>ត្រេន ស្តារ ហ្រេ្វត</t>
        </is>
      </c>
      <c r="U1017" t="n">
        <v>84481</v>
      </c>
      <c r="V1017" t="n">
        <v>0</v>
      </c>
    </row>
    <row r="1018">
      <c r="A1018" t="n">
        <v>1017</v>
      </c>
      <c r="B1018" t="inlineStr">
        <is>
          <t>Customs Clearance Fee</t>
        </is>
      </c>
      <c r="C1018" t="inlineStr">
        <is>
          <t>ត្រាយអ៊ែងហ្គល ឡូជីស្ទីក (ខេមបូឌា) ឯ.ក</t>
        </is>
      </c>
      <c r="D1018" t="inlineStr">
        <is>
          <t>K010-902101743</t>
        </is>
      </c>
      <c r="E1018" t="inlineStr">
        <is>
          <t>TAG-24-00608</t>
        </is>
      </c>
      <c r="F1018" t="inlineStr">
        <is>
          <t>31-08-2024</t>
        </is>
      </c>
      <c r="G1018" t="n">
        <v>8114</v>
      </c>
      <c r="I1018">
        <f>G1018</f>
        <v/>
      </c>
      <c r="K1018">
        <f>I1018-G1018</f>
        <v/>
      </c>
      <c r="M1018">
        <f>R1018=E1018</f>
        <v/>
      </c>
      <c r="N1018">
        <f>AND(MONTH(F1018)=MONTH(Q1018), YEAR(F1018)=YEAR(Q1018))</f>
        <v/>
      </c>
      <c r="O1018">
        <f>"L001-902303751"=S1018</f>
        <v/>
      </c>
      <c r="P1018">
        <f>G1018-U1018</f>
        <v/>
      </c>
      <c r="Q1018" s="35" t="n">
        <v>45460</v>
      </c>
      <c r="R1018" t="n">
        <v>115800</v>
      </c>
      <c r="S1018" t="inlineStr">
        <is>
          <t>K005-901805913</t>
        </is>
      </c>
      <c r="T1018" t="inlineStr">
        <is>
          <t>ស្តារ ខង់ខដ (ខេមបូឌា) ឯ.ក</t>
        </is>
      </c>
      <c r="U1018" t="n">
        <v>115800</v>
      </c>
      <c r="V1018" t="n">
        <v>0</v>
      </c>
    </row>
    <row r="1019">
      <c r="A1019" t="n">
        <v>1018</v>
      </c>
      <c r="B1019" t="inlineStr">
        <is>
          <t>Cargo Terminal</t>
        </is>
      </c>
      <c r="C1019" t="inlineStr">
        <is>
          <t>សូស៊ីយេតេ កុងសេស្យូនែរ ដឺ ឡាអេរ៉ូព័រ</t>
        </is>
      </c>
      <c r="D1019" t="inlineStr">
        <is>
          <t>L001-100047300</t>
        </is>
      </c>
      <c r="E1019" t="inlineStr">
        <is>
          <t>2400-066551</t>
        </is>
      </c>
      <c r="F1019" t="inlineStr">
        <is>
          <t>20-08-2024</t>
        </is>
      </c>
      <c r="G1019" t="n">
        <v>3175</v>
      </c>
      <c r="I1019">
        <f>G1019</f>
        <v/>
      </c>
      <c r="K1019">
        <f>I1019-G1019</f>
        <v/>
      </c>
      <c r="M1019">
        <f>R1019=E1019</f>
        <v/>
      </c>
      <c r="N1019">
        <f>AND(MONTH(F1019)=MONTH(Q1019), YEAR(F1019)=YEAR(Q1019))</f>
        <v/>
      </c>
      <c r="O1019">
        <f>"L001-902303751"=S1019</f>
        <v/>
      </c>
      <c r="P1019">
        <f>G1019-U1019</f>
        <v/>
      </c>
      <c r="Q1019" s="35" t="n">
        <v>45460</v>
      </c>
      <c r="R1019" t="inlineStr"/>
      <c r="S1019" t="inlineStr">
        <is>
          <t>L001-107032791</t>
        </is>
      </c>
      <c r="T1019" t="inlineStr">
        <is>
          <t>នីបផន អិចប្រេស (ខេមបូឌា) ខូ អិលធីឌី</t>
        </is>
      </c>
      <c r="U1019" t="n">
        <v>0</v>
      </c>
      <c r="V1019" t="n">
        <v>0</v>
      </c>
    </row>
    <row r="1020">
      <c r="A1020" t="n">
        <v>1019</v>
      </c>
      <c r="B1020" t="inlineStr">
        <is>
          <t>Customs Clearance Fee</t>
        </is>
      </c>
      <c r="C1020" t="inlineStr">
        <is>
          <t>ត្រាយអ៊ែងហ្គល ឡូជីស្ទីក (ខេមបូឌា) ឯ.ក</t>
        </is>
      </c>
      <c r="D1020" t="inlineStr">
        <is>
          <t>K010-902101743</t>
        </is>
      </c>
      <c r="E1020" t="inlineStr">
        <is>
          <t>TAG-24-00597</t>
        </is>
      </c>
      <c r="F1020" t="inlineStr">
        <is>
          <t>29-08-2024</t>
        </is>
      </c>
      <c r="G1020" t="n">
        <v>8122</v>
      </c>
      <c r="I1020">
        <f>G1020</f>
        <v/>
      </c>
      <c r="K1020">
        <f>I1020-G1020</f>
        <v/>
      </c>
      <c r="M1020">
        <f>R1020=E1020</f>
        <v/>
      </c>
      <c r="N1020">
        <f>AND(MONTH(F1020)=MONTH(Q1020), YEAR(F1020)=YEAR(Q1020))</f>
        <v/>
      </c>
      <c r="O1020">
        <f>"L001-902303751"=S1020</f>
        <v/>
      </c>
      <c r="P1020">
        <f>G1020-U1020</f>
        <v/>
      </c>
      <c r="Q1020" s="35" t="n">
        <v>45467</v>
      </c>
      <c r="R1020" t="inlineStr"/>
      <c r="S1020" t="inlineStr">
        <is>
          <t>L001-107032791</t>
        </is>
      </c>
      <c r="T1020" t="inlineStr">
        <is>
          <t>នីបផន អិចប្រេស (ខេមបូឌា) ខូ អិលធីឌី</t>
        </is>
      </c>
      <c r="U1020" t="n">
        <v>0</v>
      </c>
      <c r="V1020" t="n">
        <v>0</v>
      </c>
    </row>
    <row r="1021">
      <c r="A1021" t="n">
        <v>1020</v>
      </c>
      <c r="B1021" t="inlineStr">
        <is>
          <t>Cargo Terminal</t>
        </is>
      </c>
      <c r="C1021" t="inlineStr">
        <is>
          <t>សូស៊ីយេតេ កុងសេស្យូនែរ ដឺ ឡាអេរ៉ូព័រ</t>
        </is>
      </c>
      <c r="D1021" t="inlineStr">
        <is>
          <t>L001-100047300</t>
        </is>
      </c>
      <c r="E1021" t="inlineStr">
        <is>
          <t>2400-066550</t>
        </is>
      </c>
      <c r="F1021" t="inlineStr">
        <is>
          <t>20-08-2024</t>
        </is>
      </c>
      <c r="G1021" t="n">
        <v>14103</v>
      </c>
      <c r="I1021">
        <f>G1021</f>
        <v/>
      </c>
      <c r="K1021">
        <f>I1021-G1021</f>
        <v/>
      </c>
      <c r="M1021">
        <f>R1021=E1021</f>
        <v/>
      </c>
      <c r="N1021">
        <f>AND(MONTH(F1021)=MONTH(Q1021), YEAR(F1021)=YEAR(Q1021))</f>
        <v/>
      </c>
      <c r="O1021">
        <f>"L001-902303751"=S1021</f>
        <v/>
      </c>
      <c r="P1021">
        <f>G1021-U1021</f>
        <v/>
      </c>
      <c r="Q1021" s="35" t="n">
        <v>45453</v>
      </c>
      <c r="R1021" t="inlineStr"/>
      <c r="S1021" t="inlineStr">
        <is>
          <t>K003-901635943</t>
        </is>
      </c>
      <c r="T1021" t="inlineStr">
        <is>
          <t>អ៊ីឃ្យូឡាញ វើលវ៉ាយដ៍ ឡូជីស្ទីក</t>
        </is>
      </c>
      <c r="U1021" t="n">
        <v>0</v>
      </c>
      <c r="V1021" t="n">
        <v>0</v>
      </c>
    </row>
    <row r="1022">
      <c r="A1022" t="n">
        <v>1021</v>
      </c>
      <c r="B1022" t="inlineStr">
        <is>
          <t>Customs Clearance Fee</t>
        </is>
      </c>
      <c r="C1022" t="inlineStr">
        <is>
          <t>ត្រាយអ៊ែងហ្គល ឡូជីស្ទីក (ខេមបូឌា) ឯ.ក</t>
        </is>
      </c>
      <c r="D1022" t="inlineStr">
        <is>
          <t>K010-902101743</t>
        </is>
      </c>
      <c r="E1022" t="inlineStr">
        <is>
          <t>TAG-24-00596</t>
        </is>
      </c>
      <c r="F1022" t="inlineStr">
        <is>
          <t>29-08-2024</t>
        </is>
      </c>
      <c r="G1022" t="n">
        <v>8122</v>
      </c>
      <c r="I1022">
        <f>G1022</f>
        <v/>
      </c>
      <c r="K1022">
        <f>I1022-G1022</f>
        <v/>
      </c>
      <c r="M1022">
        <f>R1022=E1022</f>
        <v/>
      </c>
      <c r="N1022">
        <f>AND(MONTH(F1022)=MONTH(Q1022), YEAR(F1022)=YEAR(Q1022))</f>
        <v/>
      </c>
      <c r="O1022">
        <f>"L001-902303751"=S1022</f>
        <v/>
      </c>
      <c r="P1022">
        <f>G1022-U1022</f>
        <v/>
      </c>
      <c r="Q1022" s="35" t="n">
        <v>45453</v>
      </c>
      <c r="R1022" t="inlineStr"/>
      <c r="S1022" t="inlineStr">
        <is>
          <t>L001-107032791</t>
        </is>
      </c>
      <c r="T1022" t="inlineStr">
        <is>
          <t>នីបផន អិចប្រេស (ខេមបូឌា) ខូ អិលធីឌី</t>
        </is>
      </c>
      <c r="U1022" t="n">
        <v>0</v>
      </c>
      <c r="V1022" t="n">
        <v>0</v>
      </c>
    </row>
    <row r="1023">
      <c r="A1023" t="n">
        <v>1022</v>
      </c>
      <c r="B1023" t="inlineStr">
        <is>
          <t>Cargo Terminal</t>
        </is>
      </c>
      <c r="C1023" t="inlineStr">
        <is>
          <t>សូស៊ីយេតេ កុងសេស្យូនែរ ដឺ ឡាអេរ៉ូព័រ</t>
        </is>
      </c>
      <c r="D1023" t="inlineStr">
        <is>
          <t>L001-100047300</t>
        </is>
      </c>
      <c r="E1023" t="inlineStr">
        <is>
          <t>2400-066578</t>
        </is>
      </c>
      <c r="F1023" t="inlineStr">
        <is>
          <t>20-08-2024</t>
        </is>
      </c>
      <c r="G1023" t="n">
        <v>8637</v>
      </c>
      <c r="I1023">
        <f>G1023</f>
        <v/>
      </c>
      <c r="K1023">
        <f>I1023-G1023</f>
        <v/>
      </c>
      <c r="M1023">
        <f>R1023=E1023</f>
        <v/>
      </c>
      <c r="N1023">
        <f>AND(MONTH(F1023)=MONTH(Q1023), YEAR(F1023)=YEAR(Q1023))</f>
        <v/>
      </c>
      <c r="O1023">
        <f>"L001-902303751"=S1023</f>
        <v/>
      </c>
      <c r="P1023">
        <f>G1023-U1023</f>
        <v/>
      </c>
      <c r="Q1023" s="35" t="n">
        <v>45453</v>
      </c>
      <c r="R1023" t="inlineStr"/>
      <c r="S1023" t="inlineStr">
        <is>
          <t>L001-107032791</t>
        </is>
      </c>
      <c r="T1023" t="inlineStr">
        <is>
          <t>នីបផន អិចប្រេស (ខេមបូឌា) ខូ អិលធីឌី</t>
        </is>
      </c>
      <c r="U1023" t="n">
        <v>0</v>
      </c>
      <c r="V1023" t="n">
        <v>0</v>
      </c>
    </row>
    <row r="1024">
      <c r="A1024" t="n">
        <v>1023</v>
      </c>
      <c r="B1024" t="inlineStr">
        <is>
          <t>Customs Clearance Fee</t>
        </is>
      </c>
      <c r="C1024" t="inlineStr">
        <is>
          <t>ត្រាយអ៊ែងហ្គល ឡូជីស្ទីក (ខេមបូឌា) ឯ.ក</t>
        </is>
      </c>
      <c r="D1024" t="inlineStr">
        <is>
          <t>K010-902101743</t>
        </is>
      </c>
      <c r="E1024" t="inlineStr">
        <is>
          <t>TAG-24-00595</t>
        </is>
      </c>
      <c r="F1024" t="inlineStr">
        <is>
          <t>29-08-2024</t>
        </is>
      </c>
      <c r="G1024" t="n">
        <v>8122</v>
      </c>
      <c r="I1024">
        <f>G1024</f>
        <v/>
      </c>
      <c r="K1024">
        <f>I1024-G1024</f>
        <v/>
      </c>
      <c r="M1024">
        <f>R1024=E1024</f>
        <v/>
      </c>
      <c r="N1024">
        <f>AND(MONTH(F1024)=MONTH(Q1024), YEAR(F1024)=YEAR(Q1024))</f>
        <v/>
      </c>
      <c r="O1024">
        <f>"L001-902303751"=S1024</f>
        <v/>
      </c>
      <c r="P1024">
        <f>G1024-U1024</f>
        <v/>
      </c>
      <c r="Q1024" s="35" t="n">
        <v>45453</v>
      </c>
      <c r="R1024" t="n">
        <v>113135</v>
      </c>
      <c r="S1024" t="inlineStr">
        <is>
          <t>L001-100045995</t>
        </is>
      </c>
      <c r="T1024" t="inlineStr">
        <is>
          <t>ឌីអេចអិល ឡូជីស្ទីក (ខេមបូឌា)</t>
        </is>
      </c>
      <c r="U1024" t="n">
        <v>113135</v>
      </c>
      <c r="V1024" t="n">
        <v>0</v>
      </c>
    </row>
    <row r="1025">
      <c r="A1025" t="n">
        <v>1024</v>
      </c>
      <c r="B1025" t="inlineStr">
        <is>
          <t>Cargo Terminal</t>
        </is>
      </c>
      <c r="C1025" t="inlineStr">
        <is>
          <t>សូស៊ីយេតេ កុងសេស្យូនែរ ដឺ ឡាអេរ៉ូព័រ</t>
        </is>
      </c>
      <c r="D1025" t="inlineStr">
        <is>
          <t>L001-100047300</t>
        </is>
      </c>
      <c r="E1025" t="inlineStr">
        <is>
          <t>2400-066935</t>
        </is>
      </c>
      <c r="F1025" t="inlineStr">
        <is>
          <t>21-08-2024</t>
        </is>
      </c>
      <c r="G1025" t="n">
        <v>3336</v>
      </c>
      <c r="I1025">
        <f>G1025</f>
        <v/>
      </c>
      <c r="K1025">
        <f>I1025-G1025</f>
        <v/>
      </c>
      <c r="M1025">
        <f>R1025=E1025</f>
        <v/>
      </c>
      <c r="N1025">
        <f>AND(MONTH(F1025)=MONTH(Q1025), YEAR(F1025)=YEAR(Q1025))</f>
        <v/>
      </c>
      <c r="O1025">
        <f>"L001-902303751"=S1025</f>
        <v/>
      </c>
      <c r="P1025">
        <f>G1025-U1025</f>
        <v/>
      </c>
      <c r="Q1025" s="35" t="n">
        <v>45460</v>
      </c>
      <c r="R1025" t="n">
        <v>472679</v>
      </c>
      <c r="S1025" t="inlineStr">
        <is>
          <t>L001-100074669</t>
        </is>
      </c>
      <c r="T1025" t="inlineStr">
        <is>
          <t>ខេអិលអិន ហ្វ្រេត (ខេមបូឌា) ឯ.ក</t>
        </is>
      </c>
      <c r="U1025" t="n">
        <v>472679</v>
      </c>
      <c r="V1025" t="n">
        <v>0</v>
      </c>
    </row>
    <row r="1026">
      <c r="A1026" t="n">
        <v>1025</v>
      </c>
      <c r="B1026" t="inlineStr">
        <is>
          <t>Customs Clearance Fee</t>
        </is>
      </c>
      <c r="C1026" t="inlineStr">
        <is>
          <t>ត្រាយអ៊ែងហ្គល ឡូជីស្ទីក (ខេមបូឌា) ឯ.ក</t>
        </is>
      </c>
      <c r="D1026" t="inlineStr">
        <is>
          <t>K010-902101743</t>
        </is>
      </c>
      <c r="E1026" t="inlineStr">
        <is>
          <t>TAG-24-00594</t>
        </is>
      </c>
      <c r="F1026" t="inlineStr">
        <is>
          <t>29-08-2024</t>
        </is>
      </c>
      <c r="G1026" t="n">
        <v>8122</v>
      </c>
      <c r="I1026">
        <f>G1026</f>
        <v/>
      </c>
      <c r="K1026">
        <f>I1026-G1026</f>
        <v/>
      </c>
      <c r="M1026">
        <f>R1026=E1026</f>
        <v/>
      </c>
      <c r="N1026">
        <f>AND(MONTH(F1026)=MONTH(Q1026), YEAR(F1026)=YEAR(Q1026))</f>
        <v/>
      </c>
      <c r="O1026">
        <f>"L001-902303751"=S1026</f>
        <v/>
      </c>
      <c r="P1026">
        <f>G1026-U1026</f>
        <v/>
      </c>
      <c r="Q1026" s="35" t="n">
        <v>45467</v>
      </c>
      <c r="R1026" t="inlineStr"/>
      <c r="S1026" t="inlineStr">
        <is>
          <t>L001-107032791</t>
        </is>
      </c>
      <c r="T1026" t="inlineStr">
        <is>
          <t>នីបផន អិចប្រេស (ខេមបូឌា) ខូ អិលធីឌី</t>
        </is>
      </c>
      <c r="U1026" t="n">
        <v>0</v>
      </c>
      <c r="V1026" t="n">
        <v>0</v>
      </c>
    </row>
    <row r="1027">
      <c r="A1027" t="n">
        <v>1026</v>
      </c>
      <c r="B1027" t="inlineStr">
        <is>
          <t>Cargo Terminal</t>
        </is>
      </c>
      <c r="C1027" t="inlineStr">
        <is>
          <t>សូស៊ីយេតេ កុងសេស្យូនែរ ដឺ ឡាអេរ៉ូព័រ</t>
        </is>
      </c>
      <c r="D1027" t="inlineStr">
        <is>
          <t>L001-100047300</t>
        </is>
      </c>
      <c r="E1027" t="inlineStr">
        <is>
          <t>2400-068066</t>
        </is>
      </c>
      <c r="F1027" t="inlineStr">
        <is>
          <t>25-08-2024</t>
        </is>
      </c>
      <c r="G1027" t="n">
        <v>9866</v>
      </c>
      <c r="I1027">
        <f>G1027</f>
        <v/>
      </c>
      <c r="K1027">
        <f>I1027-G1027</f>
        <v/>
      </c>
      <c r="M1027">
        <f>R1027=E1027</f>
        <v/>
      </c>
      <c r="N1027">
        <f>AND(MONTH(F1027)=MONTH(Q1027), YEAR(F1027)=YEAR(Q1027))</f>
        <v/>
      </c>
      <c r="O1027">
        <f>"L001-902303751"=S1027</f>
        <v/>
      </c>
      <c r="P1027">
        <f>G1027-U1027</f>
        <v/>
      </c>
      <c r="Q1027" s="35" t="n">
        <v>45467</v>
      </c>
      <c r="R1027" t="n">
        <v>359351</v>
      </c>
      <c r="S1027" t="inlineStr">
        <is>
          <t>K004-105012505</t>
        </is>
      </c>
      <c r="T1027" t="inlineStr">
        <is>
          <t>អេស៊ាន ហ្វ្រេត (ខេមបូឌា)</t>
        </is>
      </c>
      <c r="U1027" t="n">
        <v>359351</v>
      </c>
      <c r="V1027" t="n">
        <v>0</v>
      </c>
    </row>
    <row r="1028">
      <c r="A1028" t="n">
        <v>1027</v>
      </c>
      <c r="B1028" t="inlineStr">
        <is>
          <t>Cargo Terminal</t>
        </is>
      </c>
      <c r="C1028" t="inlineStr">
        <is>
          <t>សូស៊ីយេតេ កុងសេស្យូនែរ ដឺ ឡាអេរ៉ូព័រ</t>
        </is>
      </c>
      <c r="D1028" t="inlineStr">
        <is>
          <t>L001-100047300</t>
        </is>
      </c>
      <c r="E1028" t="inlineStr">
        <is>
          <t>2400-064766</t>
        </is>
      </c>
      <c r="F1028" t="inlineStr">
        <is>
          <t>14-08-2024</t>
        </is>
      </c>
      <c r="G1028" t="n">
        <v>9034</v>
      </c>
      <c r="I1028">
        <f>G1028</f>
        <v/>
      </c>
      <c r="K1028">
        <f>I1028-G1028</f>
        <v/>
      </c>
      <c r="M1028">
        <f>R1028=E1028</f>
        <v/>
      </c>
      <c r="N1028">
        <f>AND(MONTH(F1028)=MONTH(Q1028), YEAR(F1028)=YEAR(Q1028))</f>
        <v/>
      </c>
      <c r="O1028">
        <f>"L001-902303751"=S1028</f>
        <v/>
      </c>
      <c r="P1028">
        <f>G1028-U1028</f>
        <v/>
      </c>
      <c r="Q1028" s="35" t="n">
        <v>45467</v>
      </c>
      <c r="R1028" t="n">
        <v>180088</v>
      </c>
      <c r="S1028" t="inlineStr">
        <is>
          <t>L001-100045340</t>
        </is>
      </c>
      <c r="T1028" t="inlineStr">
        <is>
          <t xml:space="preserve">ស៊ីវ៉ា អ៊ែរ អ៊ែន អូសៀន (ខេមបូឌា) ឯ.ក </t>
        </is>
      </c>
      <c r="U1028" t="n">
        <v>180088</v>
      </c>
      <c r="V1028" t="n">
        <v>0</v>
      </c>
    </row>
    <row r="1029">
      <c r="A1029" t="n">
        <v>1028</v>
      </c>
      <c r="B1029" t="inlineStr">
        <is>
          <t>Customs Clearance Fee</t>
        </is>
      </c>
      <c r="C1029" t="inlineStr">
        <is>
          <t>ត្រាយអ៊ែងហ្គល ឡូជីស្ទីក (ខេមបូឌា) ឯ.ក</t>
        </is>
      </c>
      <c r="D1029" t="inlineStr">
        <is>
          <t>K010-902101743</t>
        </is>
      </c>
      <c r="E1029" t="inlineStr">
        <is>
          <t>TAG-24-00562</t>
        </is>
      </c>
      <c r="F1029" t="inlineStr">
        <is>
          <t>20-08-2024</t>
        </is>
      </c>
      <c r="G1029" t="n">
        <v>8180</v>
      </c>
      <c r="I1029">
        <f>G1029</f>
        <v/>
      </c>
      <c r="K1029">
        <f>I1029-G1029</f>
        <v/>
      </c>
      <c r="M1029">
        <f>R1029=E1029</f>
        <v/>
      </c>
      <c r="N1029">
        <f>AND(MONTH(F1029)=MONTH(Q1029), YEAR(F1029)=YEAR(Q1029))</f>
        <v/>
      </c>
      <c r="O1029">
        <f>"L001-902303751"=S1029</f>
        <v/>
      </c>
      <c r="P1029">
        <f>G1029-U1029</f>
        <v/>
      </c>
      <c r="Q1029" s="35" t="n">
        <v>45453</v>
      </c>
      <c r="R1029" t="n">
        <v>99147</v>
      </c>
      <c r="S1029" t="inlineStr">
        <is>
          <t>K003-901635943</t>
        </is>
      </c>
      <c r="T1029" t="inlineStr">
        <is>
          <t>អ៊ីឃ្យូឡាញ វើលវ៉ាយដ៍ ឡូជីស្ទីក</t>
        </is>
      </c>
      <c r="U1029" t="n">
        <v>99147</v>
      </c>
      <c r="V1029" t="n">
        <v>0</v>
      </c>
    </row>
    <row r="1030">
      <c r="A1030" t="n">
        <v>1029</v>
      </c>
      <c r="B1030" t="inlineStr">
        <is>
          <t>Cargo Terminal</t>
        </is>
      </c>
      <c r="C1030" t="inlineStr">
        <is>
          <t>សូស៊ីយេតេ កុងសេស្យូនែរ ដឺ ឡាអេរ៉ូព័រ</t>
        </is>
      </c>
      <c r="D1030" t="inlineStr">
        <is>
          <t>L001-100047300</t>
        </is>
      </c>
      <c r="E1030" t="inlineStr">
        <is>
          <t>2400-062035</t>
        </is>
      </c>
      <c r="F1030" t="inlineStr">
        <is>
          <t>06-08-2024</t>
        </is>
      </c>
      <c r="G1030" t="n">
        <v>822</v>
      </c>
      <c r="I1030">
        <f>G1030</f>
        <v/>
      </c>
      <c r="K1030">
        <f>I1030-G1030</f>
        <v/>
      </c>
      <c r="M1030">
        <f>R1030=E1030</f>
        <v/>
      </c>
      <c r="N1030">
        <f>AND(MONTH(F1030)=MONTH(Q1030), YEAR(F1030)=YEAR(Q1030))</f>
        <v/>
      </c>
      <c r="O1030">
        <f>"L001-902303751"=S1030</f>
        <v/>
      </c>
      <c r="P1030">
        <f>G1030-U1030</f>
        <v/>
      </c>
      <c r="Q1030" s="35" t="n">
        <v>45453</v>
      </c>
      <c r="R1030" t="inlineStr"/>
      <c r="S1030" t="inlineStr">
        <is>
          <t>L001-107032791</t>
        </is>
      </c>
      <c r="T1030" t="inlineStr">
        <is>
          <t>នីបផន អិចប្រេស (ខេមបូឌា) ខូ អិលធីឌី</t>
        </is>
      </c>
      <c r="U1030" t="n">
        <v>0</v>
      </c>
      <c r="V1030" t="n">
        <v>0</v>
      </c>
    </row>
    <row r="1031">
      <c r="A1031" t="n">
        <v>1030</v>
      </c>
      <c r="B1031" t="inlineStr">
        <is>
          <t>Customs Clearance Fee</t>
        </is>
      </c>
      <c r="C1031" t="inlineStr">
        <is>
          <t>ត្រាយអ៊ែងហ្គល ឡូជីស្ទីក (ខេមបូឌា) ឯ.ក</t>
        </is>
      </c>
      <c r="D1031" t="inlineStr">
        <is>
          <t>K010-902101743</t>
        </is>
      </c>
      <c r="E1031" t="inlineStr">
        <is>
          <t>TAG-24-00529</t>
        </is>
      </c>
      <c r="F1031" t="inlineStr">
        <is>
          <t>07-08-2024</t>
        </is>
      </c>
      <c r="G1031" t="n">
        <v>8216</v>
      </c>
      <c r="I1031">
        <f>G1031</f>
        <v/>
      </c>
      <c r="K1031">
        <f>I1031-G1031</f>
        <v/>
      </c>
      <c r="M1031">
        <f>R1031=E1031</f>
        <v/>
      </c>
      <c r="N1031">
        <f>AND(MONTH(F1031)=MONTH(Q1031), YEAR(F1031)=YEAR(Q1031))</f>
        <v/>
      </c>
      <c r="O1031">
        <f>"L001-902303751"=S1031</f>
        <v/>
      </c>
      <c r="P1031">
        <f>G1031-U1031</f>
        <v/>
      </c>
      <c r="Q1031" s="35" t="n">
        <v>45453</v>
      </c>
      <c r="R1031" t="inlineStr"/>
      <c r="S1031" t="inlineStr">
        <is>
          <t>L001-100045995</t>
        </is>
      </c>
      <c r="T1031" t="inlineStr">
        <is>
          <t>ឌីអេចអិល ឡូជីស្ទីក (ខេមបូឌា)</t>
        </is>
      </c>
      <c r="U1031" t="n">
        <v>0</v>
      </c>
      <c r="V1031" t="n">
        <v>0</v>
      </c>
    </row>
    <row r="1032">
      <c r="A1032" t="n">
        <v>1031</v>
      </c>
      <c r="B1032" t="inlineStr">
        <is>
          <t>Cargo Terminal</t>
        </is>
      </c>
      <c r="C1032" t="inlineStr">
        <is>
          <t>សូស៊ីយេតេ កុងសេស្យូនែរ ដឺ ឡាអេរ៉ូព័រ</t>
        </is>
      </c>
      <c r="D1032" t="inlineStr">
        <is>
          <t>L001-100047300</t>
        </is>
      </c>
      <c r="E1032" t="inlineStr">
        <is>
          <t>2400-062405</t>
        </is>
      </c>
      <c r="F1032" t="inlineStr">
        <is>
          <t>07-08-2024</t>
        </is>
      </c>
      <c r="G1032" t="n">
        <v>8873</v>
      </c>
      <c r="I1032">
        <f>G1032</f>
        <v/>
      </c>
      <c r="K1032">
        <f>I1032-G1032</f>
        <v/>
      </c>
      <c r="M1032">
        <f>R1032=E1032</f>
        <v/>
      </c>
      <c r="N1032">
        <f>AND(MONTH(F1032)=MONTH(Q1032), YEAR(F1032)=YEAR(Q1032))</f>
        <v/>
      </c>
      <c r="O1032">
        <f>"L001-902303751"=S1032</f>
        <v/>
      </c>
      <c r="P1032">
        <f>G1032-U1032</f>
        <v/>
      </c>
      <c r="Q1032" s="35" t="n">
        <v>45468</v>
      </c>
      <c r="R1032" t="n">
        <v>16460</v>
      </c>
      <c r="S1032" t="inlineStr">
        <is>
          <t>L001-100074669</t>
        </is>
      </c>
      <c r="T1032" t="inlineStr">
        <is>
          <t>ខេអិលអិន ហ្វ្រេត (ខេមបូឌា) ឯ.ក</t>
        </is>
      </c>
      <c r="U1032" t="n">
        <v>16460</v>
      </c>
      <c r="V1032" t="n">
        <v>0</v>
      </c>
    </row>
    <row r="1033">
      <c r="A1033" t="n">
        <v>1032</v>
      </c>
      <c r="B1033" t="inlineStr">
        <is>
          <t>Customs Clearance Fee</t>
        </is>
      </c>
      <c r="C1033" t="inlineStr">
        <is>
          <t>ត្រាយអ៊ែងហ្គល ឡូជីស្ទីក (ខេមបូឌា) ឯ.ក</t>
        </is>
      </c>
      <c r="D1033" t="inlineStr">
        <is>
          <t>K010-902101743</t>
        </is>
      </c>
      <c r="E1033" t="inlineStr">
        <is>
          <t>TAG-24-00528</t>
        </is>
      </c>
      <c r="F1033" t="inlineStr">
        <is>
          <t>07-08-2024</t>
        </is>
      </c>
      <c r="G1033" t="n">
        <v>8216</v>
      </c>
      <c r="I1033">
        <f>G1033</f>
        <v/>
      </c>
      <c r="K1033">
        <f>I1033-G1033</f>
        <v/>
      </c>
      <c r="M1033">
        <f>R1033=E1033</f>
        <v/>
      </c>
      <c r="N1033">
        <f>AND(MONTH(F1033)=MONTH(Q1033), YEAR(F1033)=YEAR(Q1033))</f>
        <v/>
      </c>
      <c r="O1033">
        <f>"L001-902303751"=S1033</f>
        <v/>
      </c>
      <c r="P1033">
        <f>G1033-U1033</f>
        <v/>
      </c>
      <c r="Q1033" s="35" t="n">
        <v>45460</v>
      </c>
      <c r="R1033" t="n">
        <v>203990</v>
      </c>
      <c r="S1033" t="inlineStr">
        <is>
          <t>L001-107032791</t>
        </is>
      </c>
      <c r="T1033" t="inlineStr">
        <is>
          <t>នីបផន អិចប្រេស (ខេមបូឌា) ខូ អិលធីឌី</t>
        </is>
      </c>
      <c r="U1033" t="n">
        <v>203990</v>
      </c>
      <c r="V1033" t="n">
        <v>0</v>
      </c>
    </row>
    <row r="1034">
      <c r="A1034" t="n">
        <v>1033</v>
      </c>
      <c r="B1034" t="inlineStr">
        <is>
          <t>Cargo Terminal</t>
        </is>
      </c>
      <c r="C1034" t="inlineStr">
        <is>
          <t>សូស៊ីយេតេ កុងសេស្យូនែរ ដឺ ឡាអេរ៉ូព័រ</t>
        </is>
      </c>
      <c r="D1034" t="inlineStr">
        <is>
          <t>L001-100047300</t>
        </is>
      </c>
      <c r="E1034" t="inlineStr">
        <is>
          <t>2400-061314</t>
        </is>
      </c>
      <c r="F1034" t="inlineStr">
        <is>
          <t>03-08-2024</t>
        </is>
      </c>
      <c r="G1034" t="n">
        <v>12160</v>
      </c>
      <c r="I1034">
        <f>G1034</f>
        <v/>
      </c>
      <c r="K1034">
        <f>I1034-G1034</f>
        <v/>
      </c>
      <c r="M1034">
        <f>R1034=E1034</f>
        <v/>
      </c>
      <c r="N1034">
        <f>AND(MONTH(F1034)=MONTH(Q1034), YEAR(F1034)=YEAR(Q1034))</f>
        <v/>
      </c>
      <c r="O1034">
        <f>"L001-902303751"=S1034</f>
        <v/>
      </c>
      <c r="P1034">
        <f>G1034-U1034</f>
        <v/>
      </c>
      <c r="Q1034" s="35" t="n">
        <v>45460</v>
      </c>
      <c r="R1034" t="inlineStr"/>
      <c r="S1034" t="inlineStr">
        <is>
          <t>L001-107032791</t>
        </is>
      </c>
      <c r="T1034" t="inlineStr">
        <is>
          <t>នីបផន អិចប្រេស (ខេមបូឌា) ខូ អិលធីឌី</t>
        </is>
      </c>
      <c r="U1034" t="n">
        <v>0</v>
      </c>
      <c r="V1034" t="n">
        <v>0</v>
      </c>
    </row>
    <row r="1035">
      <c r="A1035" t="n">
        <v>1034</v>
      </c>
      <c r="B1035" t="inlineStr">
        <is>
          <t>Customs Clearance Fee</t>
        </is>
      </c>
      <c r="C1035" t="inlineStr">
        <is>
          <t>ត្រាយអ៊ែងហ្គល ឡូជីស្ទីក (ខេមបូឌា) ឯ.ក</t>
        </is>
      </c>
      <c r="D1035" t="inlineStr">
        <is>
          <t>K010-902101743</t>
        </is>
      </c>
      <c r="E1035" t="inlineStr">
        <is>
          <t>TAG-24-00524</t>
        </is>
      </c>
      <c r="F1035" t="inlineStr">
        <is>
          <t>06-08-2024</t>
        </is>
      </c>
      <c r="G1035" t="n">
        <v>8218</v>
      </c>
      <c r="I1035">
        <f>G1035</f>
        <v/>
      </c>
      <c r="K1035">
        <f>I1035-G1035</f>
        <v/>
      </c>
      <c r="M1035">
        <f>R1035=E1035</f>
        <v/>
      </c>
      <c r="N1035">
        <f>AND(MONTH(F1035)=MONTH(Q1035), YEAR(F1035)=YEAR(Q1035))</f>
        <v/>
      </c>
      <c r="O1035">
        <f>"L001-902303751"=S1035</f>
        <v/>
      </c>
      <c r="P1035">
        <f>G1035-U1035</f>
        <v/>
      </c>
      <c r="Q1035" s="35" t="n">
        <v>45460</v>
      </c>
      <c r="R1035" t="inlineStr"/>
      <c r="S1035" t="inlineStr">
        <is>
          <t>L001-107032791</t>
        </is>
      </c>
      <c r="T1035" t="inlineStr">
        <is>
          <t>នីបផន អិចប្រេស (ខេមបូឌា) ខូ អិលធីឌី</t>
        </is>
      </c>
      <c r="U1035" t="n">
        <v>0</v>
      </c>
      <c r="V1035" t="n">
        <v>0</v>
      </c>
    </row>
    <row r="1036">
      <c r="A1036" t="n">
        <v>1035</v>
      </c>
      <c r="B1036" t="inlineStr">
        <is>
          <t>Cargo Terminal</t>
        </is>
      </c>
      <c r="C1036" t="inlineStr">
        <is>
          <t>សូស៊ីយេតេ កុងសេស្យូនែរ ដឺ ឡាអេរ៉ូព័រ</t>
        </is>
      </c>
      <c r="D1036" t="inlineStr">
        <is>
          <t>L001-100047300</t>
        </is>
      </c>
      <c r="E1036" t="inlineStr">
        <is>
          <t>2400-061312</t>
        </is>
      </c>
      <c r="F1036" t="inlineStr">
        <is>
          <t>03-08-2024</t>
        </is>
      </c>
      <c r="G1036" t="n">
        <v>7921</v>
      </c>
      <c r="I1036">
        <f>G1036</f>
        <v/>
      </c>
      <c r="K1036">
        <f>I1036-G1036</f>
        <v/>
      </c>
      <c r="M1036">
        <f>R1036=E1036</f>
        <v/>
      </c>
      <c r="N1036">
        <f>AND(MONTH(F1036)=MONTH(Q1036), YEAR(F1036)=YEAR(Q1036))</f>
        <v/>
      </c>
      <c r="O1036">
        <f>"L001-902303751"=S1036</f>
        <v/>
      </c>
      <c r="P1036">
        <f>G1036-U1036</f>
        <v/>
      </c>
      <c r="Q1036" s="35" t="n">
        <v>45467</v>
      </c>
      <c r="R1036" t="n">
        <v>86953</v>
      </c>
      <c r="S1036" t="inlineStr">
        <is>
          <t>K005-901805913</t>
        </is>
      </c>
      <c r="T1036" t="inlineStr">
        <is>
          <t>ស្តារ ខង់ខដ (ខេមបូឌា) ឯ.ក</t>
        </is>
      </c>
      <c r="U1036" t="n">
        <v>86953</v>
      </c>
      <c r="V1036" t="n">
        <v>0</v>
      </c>
    </row>
    <row r="1037">
      <c r="A1037" t="n">
        <v>1036</v>
      </c>
      <c r="B1037" t="inlineStr">
        <is>
          <t>Customs Clearance Fee</t>
        </is>
      </c>
      <c r="C1037" t="inlineStr">
        <is>
          <t>ត្រាយអ៊ែងហ្គល ឡូជីស្ទីក (ខេមបូឌា) ឯ.ក</t>
        </is>
      </c>
      <c r="D1037" t="inlineStr">
        <is>
          <t>K010-902101743</t>
        </is>
      </c>
      <c r="E1037" t="inlineStr">
        <is>
          <t>TAG-24-00523</t>
        </is>
      </c>
      <c r="F1037" t="inlineStr">
        <is>
          <t>06-08-2024</t>
        </is>
      </c>
      <c r="G1037" t="n">
        <v>8218</v>
      </c>
      <c r="I1037">
        <f>G1037</f>
        <v/>
      </c>
      <c r="K1037">
        <f>I1037-G1037</f>
        <v/>
      </c>
      <c r="M1037">
        <f>R1037=E1037</f>
        <v/>
      </c>
      <c r="N1037">
        <f>AND(MONTH(F1037)=MONTH(Q1037), YEAR(F1037)=YEAR(Q1037))</f>
        <v/>
      </c>
      <c r="O1037">
        <f>"L001-902303751"=S1037</f>
        <v/>
      </c>
      <c r="P1037">
        <f>G1037-U1037</f>
        <v/>
      </c>
      <c r="Q1037" s="35" t="n">
        <v>45467</v>
      </c>
      <c r="R1037" t="n">
        <v>84481</v>
      </c>
      <c r="S1037" t="inlineStr">
        <is>
          <t>L001-100045995</t>
        </is>
      </c>
      <c r="T1037" t="inlineStr">
        <is>
          <t>ឌីអេចអិល ឡូជីស្ទីក (ខេមបូឌា)</t>
        </is>
      </c>
      <c r="U1037" t="n">
        <v>84481</v>
      </c>
      <c r="V1037" t="n">
        <v>0</v>
      </c>
    </row>
    <row r="1038">
      <c r="A1038" t="n">
        <v>1037</v>
      </c>
      <c r="B1038" t="inlineStr">
        <is>
          <t>Cargo Terminal</t>
        </is>
      </c>
      <c r="C1038" t="inlineStr">
        <is>
          <t>សូស៊ីយេតេ កុងសេស្យូនែរ ដឺ ឡាអេរ៉ូព័រ</t>
        </is>
      </c>
      <c r="D1038" t="inlineStr">
        <is>
          <t>L001-100047300</t>
        </is>
      </c>
      <c r="E1038" t="inlineStr">
        <is>
          <t>2400-061230</t>
        </is>
      </c>
      <c r="F1038" t="inlineStr">
        <is>
          <t>03-08-2024</t>
        </is>
      </c>
      <c r="G1038" t="n">
        <v>5389</v>
      </c>
      <c r="I1038">
        <f>G1038</f>
        <v/>
      </c>
      <c r="K1038">
        <f>I1038-G1038</f>
        <v/>
      </c>
      <c r="M1038">
        <f>R1038=E1038</f>
        <v/>
      </c>
      <c r="N1038">
        <f>AND(MONTH(F1038)=MONTH(Q1038), YEAR(F1038)=YEAR(Q1038))</f>
        <v/>
      </c>
      <c r="O1038">
        <f>"L001-902303751"=S1038</f>
        <v/>
      </c>
      <c r="P1038">
        <f>G1038-U1038</f>
        <v/>
      </c>
      <c r="Q1038" s="35" t="n">
        <v>45446</v>
      </c>
      <c r="R1038" t="n">
        <v>112723</v>
      </c>
      <c r="S1038" t="inlineStr">
        <is>
          <t>L001-107032791</t>
        </is>
      </c>
      <c r="T1038" t="inlineStr">
        <is>
          <t>នីបផន អិចប្រេស (ខេមបូឌា) ខូ អិលធីឌី</t>
        </is>
      </c>
      <c r="U1038" t="n">
        <v>112723</v>
      </c>
      <c r="V1038" t="n">
        <v>0</v>
      </c>
    </row>
    <row r="1039">
      <c r="A1039" t="n">
        <v>1038</v>
      </c>
      <c r="B1039" t="inlineStr">
        <is>
          <t>Customs Clearance Fee</t>
        </is>
      </c>
      <c r="C1039" t="inlineStr">
        <is>
          <t>ត្រាយអ៊ែងហ្គល ឡូជីស្ទីក (ខេមបូឌា) ឯ.ក</t>
        </is>
      </c>
      <c r="D1039" t="inlineStr">
        <is>
          <t>K010-902101743</t>
        </is>
      </c>
      <c r="E1039" t="inlineStr">
        <is>
          <t>TAG-24-00522</t>
        </is>
      </c>
      <c r="F1039" t="inlineStr">
        <is>
          <t>06-08-2024</t>
        </is>
      </c>
      <c r="G1039" t="n">
        <v>8218</v>
      </c>
      <c r="I1039">
        <f>G1039</f>
        <v/>
      </c>
      <c r="K1039">
        <f>I1039-G1039</f>
        <v/>
      </c>
      <c r="M1039">
        <f>R1039=E1039</f>
        <v/>
      </c>
      <c r="N1039">
        <f>AND(MONTH(F1039)=MONTH(Q1039), YEAR(F1039)=YEAR(Q1039))</f>
        <v/>
      </c>
      <c r="O1039">
        <f>"L001-902303751"=S1039</f>
        <v/>
      </c>
      <c r="P1039">
        <f>G1039-U1039</f>
        <v/>
      </c>
      <c r="Q1039" s="35" t="n">
        <v>45446</v>
      </c>
      <c r="R1039" t="inlineStr"/>
      <c r="S1039" t="inlineStr">
        <is>
          <t>K002-901800477</t>
        </is>
      </c>
      <c r="T1039" t="inlineStr">
        <is>
          <t>អាយធីអាយ អ៊ិនធើណេសិនណល ត្រេនស័្ពរថេសិន (ខេមបូឌា) ឯ.ក</t>
        </is>
      </c>
      <c r="U1039" t="n">
        <v>0</v>
      </c>
      <c r="V1039" t="n">
        <v>0</v>
      </c>
    </row>
    <row r="1040">
      <c r="A1040" t="n">
        <v>1039</v>
      </c>
      <c r="B1040" t="inlineStr">
        <is>
          <t>Cargo Terminal</t>
        </is>
      </c>
      <c r="C1040" t="inlineStr">
        <is>
          <t>សូស៊ីយេតេ កុងសេស្យូនែរ ដឺ ឡាអេរ៉ូព័រ</t>
        </is>
      </c>
      <c r="D1040" t="inlineStr">
        <is>
          <t>L001-100047300</t>
        </is>
      </c>
      <c r="E1040" t="inlineStr">
        <is>
          <t>2400-061228</t>
        </is>
      </c>
      <c r="F1040" t="inlineStr">
        <is>
          <t>03-08-2024</t>
        </is>
      </c>
      <c r="G1040" t="n">
        <v>31714</v>
      </c>
      <c r="I1040">
        <f>G1040</f>
        <v/>
      </c>
      <c r="K1040">
        <f>I1040-G1040</f>
        <v/>
      </c>
      <c r="M1040">
        <f>R1040=E1040</f>
        <v/>
      </c>
      <c r="N1040">
        <f>AND(MONTH(F1040)=MONTH(Q1040), YEAR(F1040)=YEAR(Q1040))</f>
        <v/>
      </c>
      <c r="O1040">
        <f>"L001-902303751"=S1040</f>
        <v/>
      </c>
      <c r="P1040">
        <f>G1040-U1040</f>
        <v/>
      </c>
      <c r="Q1040" s="35" t="n">
        <v>45446</v>
      </c>
      <c r="R1040" t="n">
        <v>112723</v>
      </c>
      <c r="S1040" t="inlineStr">
        <is>
          <t>L001-107041723</t>
        </is>
      </c>
      <c r="T1040" t="inlineStr">
        <is>
          <t>ឌីប៊ី សេនឃើរ (ខេមបូឌា) លីមីធីត</t>
        </is>
      </c>
      <c r="U1040" t="n">
        <v>112723</v>
      </c>
      <c r="V1040" t="n">
        <v>0</v>
      </c>
    </row>
    <row r="1041">
      <c r="A1041" t="n">
        <v>1040</v>
      </c>
      <c r="B1041" t="inlineStr">
        <is>
          <t>Customs Clearance Fee</t>
        </is>
      </c>
      <c r="C1041" t="inlineStr">
        <is>
          <t>ត្រាយអ៊ែងហ្គល ឡូជីស្ទីក (ខេមបូឌា) ឯ.ក</t>
        </is>
      </c>
      <c r="D1041" t="inlineStr">
        <is>
          <t>K010-902101743</t>
        </is>
      </c>
      <c r="E1041" t="inlineStr">
        <is>
          <t>TAG-24-00530</t>
        </is>
      </c>
      <c r="F1041" t="inlineStr">
        <is>
          <t>07-08-2024</t>
        </is>
      </c>
      <c r="G1041" t="n">
        <v>8216</v>
      </c>
      <c r="I1041">
        <f>G1041</f>
        <v/>
      </c>
      <c r="K1041">
        <f>I1041-G1041</f>
        <v/>
      </c>
      <c r="M1041">
        <f>R1041=E1041</f>
        <v/>
      </c>
      <c r="N1041">
        <f>AND(MONTH(F1041)=MONTH(Q1041), YEAR(F1041)=YEAR(Q1041))</f>
        <v/>
      </c>
      <c r="O1041">
        <f>"L001-902303751"=S1041</f>
        <v/>
      </c>
      <c r="P1041">
        <f>G1041-U1041</f>
        <v/>
      </c>
      <c r="Q1041" s="35" t="n">
        <v>45446</v>
      </c>
      <c r="R1041" t="n">
        <v>84030</v>
      </c>
      <c r="S1041" t="inlineStr">
        <is>
          <t>L001-100011888</t>
        </is>
      </c>
      <c r="T1041" t="inlineStr">
        <is>
          <t>ត្រេន ស្តារ ហ្រេ្វត</t>
        </is>
      </c>
      <c r="U1041" t="n">
        <v>84030</v>
      </c>
      <c r="V1041" t="n">
        <v>0</v>
      </c>
    </row>
    <row r="1042">
      <c r="A1042" t="n">
        <v>1041</v>
      </c>
      <c r="B1042" t="inlineStr">
        <is>
          <t>Cargo Terminal</t>
        </is>
      </c>
      <c r="C1042" t="inlineStr">
        <is>
          <t>សូស៊ីយេតេ កុងសេស្យូនែរ ដឺ ឡាអេរ៉ូព័រ</t>
        </is>
      </c>
      <c r="D1042" t="inlineStr">
        <is>
          <t>L001-100047300</t>
        </is>
      </c>
      <c r="E1042" t="inlineStr">
        <is>
          <t>2400-064878</t>
        </is>
      </c>
      <c r="F1042" t="inlineStr">
        <is>
          <t>15-08-2024</t>
        </is>
      </c>
      <c r="G1042" t="n">
        <v>10775</v>
      </c>
      <c r="I1042">
        <f>G1042</f>
        <v/>
      </c>
      <c r="K1042">
        <f>I1042-G1042</f>
        <v/>
      </c>
      <c r="M1042">
        <f>R1042=E1042</f>
        <v/>
      </c>
      <c r="N1042">
        <f>AND(MONTH(F1042)=MONTH(Q1042), YEAR(F1042)=YEAR(Q1042))</f>
        <v/>
      </c>
      <c r="O1042">
        <f>"L001-902303751"=S1042</f>
        <v/>
      </c>
      <c r="P1042">
        <f>G1042-U1042</f>
        <v/>
      </c>
      <c r="Q1042" s="35" t="n">
        <v>45460</v>
      </c>
      <c r="R1042" t="n">
        <v>175143</v>
      </c>
      <c r="S1042" t="inlineStr">
        <is>
          <t>L001-100045995</t>
        </is>
      </c>
      <c r="T1042" t="inlineStr">
        <is>
          <t>ឌីអេចអិល ឡូជីស្ទីក (ខេមបូឌា)</t>
        </is>
      </c>
      <c r="U1042" t="n">
        <v>175143</v>
      </c>
      <c r="V1042" t="n">
        <v>0</v>
      </c>
    </row>
    <row r="1043">
      <c r="A1043" t="n">
        <v>1042</v>
      </c>
      <c r="B1043" t="inlineStr">
        <is>
          <t>Customs Clearance Fee</t>
        </is>
      </c>
      <c r="C1043" t="inlineStr">
        <is>
          <t>ត្រាយអ៊ែងហ្គល ឡូជីស្ទីក (ខេមបូឌា) ឯ.ក</t>
        </is>
      </c>
      <c r="D1043" t="inlineStr">
        <is>
          <t>K010-902101743</t>
        </is>
      </c>
      <c r="E1043" t="inlineStr">
        <is>
          <t>TAG-24-00561</t>
        </is>
      </c>
      <c r="F1043" t="inlineStr">
        <is>
          <t>20-08-2024</t>
        </is>
      </c>
      <c r="G1043" t="n">
        <v>8180</v>
      </c>
      <c r="I1043">
        <f>G1043</f>
        <v/>
      </c>
      <c r="K1043">
        <f>I1043-G1043</f>
        <v/>
      </c>
      <c r="M1043">
        <f>R1043=E1043</f>
        <v/>
      </c>
      <c r="N1043">
        <f>AND(MONTH(F1043)=MONTH(Q1043), YEAR(F1043)=YEAR(Q1043))</f>
        <v/>
      </c>
      <c r="O1043">
        <f>"L001-902303751"=S1043</f>
        <v/>
      </c>
      <c r="P1043">
        <f>G1043-U1043</f>
        <v/>
      </c>
      <c r="Q1043" s="35" t="n">
        <v>45460</v>
      </c>
      <c r="R1043" t="n">
        <v>113328</v>
      </c>
      <c r="S1043" t="inlineStr">
        <is>
          <t>L001-107032791</t>
        </is>
      </c>
      <c r="T1043" t="inlineStr">
        <is>
          <t>នីបផន អិចប្រេស (ខេមបូឌា) ខូ អិលធីឌី</t>
        </is>
      </c>
      <c r="U1043" t="n">
        <v>113328</v>
      </c>
      <c r="V1043" t="n">
        <v>0</v>
      </c>
    </row>
    <row r="1044">
      <c r="A1044" t="n">
        <v>1043</v>
      </c>
      <c r="B1044" t="inlineStr">
        <is>
          <t>Cargo Terminal</t>
        </is>
      </c>
      <c r="C1044" t="inlineStr">
        <is>
          <t>សូស៊ីយេតេ កុងសេស្យូនែរ ដឺ ឡាអេរ៉ូព័រ</t>
        </is>
      </c>
      <c r="D1044" t="inlineStr">
        <is>
          <t>L001-100047300</t>
        </is>
      </c>
      <c r="E1044" t="inlineStr">
        <is>
          <t>2400-063230</t>
        </is>
      </c>
      <c r="F1044" t="inlineStr">
        <is>
          <t>09-08-2024</t>
        </is>
      </c>
      <c r="G1044" t="n">
        <v>1968</v>
      </c>
      <c r="I1044">
        <f>G1044</f>
        <v/>
      </c>
      <c r="K1044">
        <f>I1044-G1044</f>
        <v/>
      </c>
      <c r="M1044">
        <f>R1044=E1044</f>
        <v/>
      </c>
      <c r="N1044">
        <f>AND(MONTH(F1044)=MONTH(Q1044), YEAR(F1044)=YEAR(Q1044))</f>
        <v/>
      </c>
      <c r="O1044">
        <f>"L001-902303751"=S1044</f>
        <v/>
      </c>
      <c r="P1044">
        <f>G1044-U1044</f>
        <v/>
      </c>
      <c r="Q1044" s="35" t="n">
        <v>45460</v>
      </c>
      <c r="R1044" t="inlineStr"/>
      <c r="S1044" t="inlineStr">
        <is>
          <t>L001-107032791</t>
        </is>
      </c>
      <c r="T1044" t="inlineStr">
        <is>
          <t>នីបផន អិចប្រេស (ខេមបូឌា) ខូ អិលធីឌី</t>
        </is>
      </c>
      <c r="U1044" t="n">
        <v>0</v>
      </c>
      <c r="V1044" t="n">
        <v>0</v>
      </c>
    </row>
    <row r="1045">
      <c r="A1045" t="n">
        <v>1044</v>
      </c>
      <c r="B1045" t="inlineStr">
        <is>
          <t>Customs Clearance Fee</t>
        </is>
      </c>
      <c r="C1045" t="inlineStr">
        <is>
          <t>ត្រាយអ៊ែងហ្គល ឡូជីស្ទីក (ខេមបូឌា) ឯ.ក</t>
        </is>
      </c>
      <c r="D1045" t="inlineStr">
        <is>
          <t>K010-902101743</t>
        </is>
      </c>
      <c r="E1045" t="inlineStr">
        <is>
          <t>TAG-24-00537</t>
        </is>
      </c>
      <c r="F1045" t="inlineStr">
        <is>
          <t>09-08-2024</t>
        </is>
      </c>
      <c r="G1045" t="n">
        <v>8200</v>
      </c>
      <c r="I1045">
        <f>G1045</f>
        <v/>
      </c>
      <c r="K1045">
        <f>I1045-G1045</f>
        <v/>
      </c>
      <c r="M1045">
        <f>R1045=E1045</f>
        <v/>
      </c>
      <c r="N1045">
        <f>AND(MONTH(F1045)=MONTH(Q1045), YEAR(F1045)=YEAR(Q1045))</f>
        <v/>
      </c>
      <c r="O1045">
        <f>"L001-902303751"=S1045</f>
        <v/>
      </c>
      <c r="P1045">
        <f>G1045-U1045</f>
        <v/>
      </c>
      <c r="Q1045" s="35" t="n">
        <v>45467</v>
      </c>
      <c r="R1045" t="n">
        <v>84481</v>
      </c>
      <c r="S1045" t="inlineStr">
        <is>
          <t>L001-107032791</t>
        </is>
      </c>
      <c r="T1045" t="inlineStr">
        <is>
          <t>នីបផន អិចប្រេស (ខេមបូឌា) ខូ អិលធីឌី</t>
        </is>
      </c>
      <c r="U1045" t="n">
        <v>84481</v>
      </c>
      <c r="V1045" t="n">
        <v>0</v>
      </c>
    </row>
    <row r="1046">
      <c r="A1046" t="n">
        <v>1045</v>
      </c>
      <c r="B1046" t="inlineStr">
        <is>
          <t>Cargo Terminal</t>
        </is>
      </c>
      <c r="C1046" t="inlineStr">
        <is>
          <t>សូស៊ីយេតេ កុងសេស្យូនែរ ដឺ ឡាអេរ៉ូព័រ</t>
        </is>
      </c>
      <c r="D1046" t="inlineStr">
        <is>
          <t>L001-100047300</t>
        </is>
      </c>
      <c r="E1046" t="inlineStr">
        <is>
          <t>2400-061988</t>
        </is>
      </c>
      <c r="F1046" t="inlineStr">
        <is>
          <t>06-08-2024</t>
        </is>
      </c>
      <c r="G1046" t="n">
        <v>7363</v>
      </c>
      <c r="I1046">
        <f>G1046</f>
        <v/>
      </c>
      <c r="K1046">
        <f>I1046-G1046</f>
        <v/>
      </c>
      <c r="M1046">
        <f>R1046=E1046</f>
        <v/>
      </c>
      <c r="N1046">
        <f>AND(MONTH(F1046)=MONTH(Q1046), YEAR(F1046)=YEAR(Q1046))</f>
        <v/>
      </c>
      <c r="O1046">
        <f>"L001-902303751"=S1046</f>
        <v/>
      </c>
      <c r="P1046">
        <f>G1046-U1046</f>
        <v/>
      </c>
      <c r="Q1046" s="35" t="n">
        <v>45453</v>
      </c>
      <c r="R1046" t="inlineStr"/>
      <c r="S1046" t="inlineStr">
        <is>
          <t>L001-107032791</t>
        </is>
      </c>
      <c r="T1046" t="inlineStr">
        <is>
          <t>នីបផន អិចប្រេស (ខេមបូឌា) ខូ អិលធីឌី</t>
        </is>
      </c>
      <c r="U1046" t="n">
        <v>0</v>
      </c>
      <c r="V1046" t="n">
        <v>0</v>
      </c>
    </row>
    <row r="1047">
      <c r="A1047" t="n">
        <v>1046</v>
      </c>
      <c r="B1047" t="inlineStr">
        <is>
          <t>Customs Clearance Fee</t>
        </is>
      </c>
      <c r="C1047" t="inlineStr">
        <is>
          <t>ត្រាយអ៊ែងហ្គល ឡូជីស្ទីក (ខេមបូឌា) ឯ.ក</t>
        </is>
      </c>
      <c r="D1047" t="inlineStr">
        <is>
          <t>K010-902101743</t>
        </is>
      </c>
      <c r="E1047" t="inlineStr">
        <is>
          <t>TAG-24-00533</t>
        </is>
      </c>
      <c r="F1047" t="inlineStr">
        <is>
          <t>07-08-2024</t>
        </is>
      </c>
      <c r="G1047" t="n">
        <v>8216</v>
      </c>
      <c r="I1047">
        <f>G1047</f>
        <v/>
      </c>
      <c r="K1047">
        <f>I1047-G1047</f>
        <v/>
      </c>
      <c r="M1047">
        <f>R1047=E1047</f>
        <v/>
      </c>
      <c r="N1047">
        <f>AND(MONTH(F1047)=MONTH(Q1047), YEAR(F1047)=YEAR(Q1047))</f>
        <v/>
      </c>
      <c r="O1047">
        <f>"L001-902303751"=S1047</f>
        <v/>
      </c>
      <c r="P1047">
        <f>G1047-U1047</f>
        <v/>
      </c>
      <c r="Q1047" s="35" t="n">
        <v>45446</v>
      </c>
      <c r="R1047" t="n">
        <v>84030</v>
      </c>
      <c r="S1047" t="inlineStr">
        <is>
          <t>L001-100045995</t>
        </is>
      </c>
      <c r="T1047" t="inlineStr">
        <is>
          <t>ឌីអេចអិល ឡូជីស្ទីក (ខេមបូឌា)</t>
        </is>
      </c>
      <c r="U1047" t="n">
        <v>84030</v>
      </c>
      <c r="V1047" t="n">
        <v>0</v>
      </c>
    </row>
    <row r="1048">
      <c r="A1048" t="n">
        <v>1047</v>
      </c>
      <c r="B1048" t="inlineStr">
        <is>
          <t>Cargo Terminal</t>
        </is>
      </c>
      <c r="C1048" t="inlineStr">
        <is>
          <t>សូស៊ីយេតេ កុងសេស្យូនែរ ដឺ ឡាអេរ៉ូព័រ</t>
        </is>
      </c>
      <c r="D1048" t="inlineStr">
        <is>
          <t>L001-100047300</t>
        </is>
      </c>
      <c r="E1048" t="inlineStr">
        <is>
          <t>2400-061990</t>
        </is>
      </c>
      <c r="F1048" t="inlineStr">
        <is>
          <t>06-08-2024</t>
        </is>
      </c>
      <c r="G1048" t="n">
        <v>2040</v>
      </c>
      <c r="I1048">
        <f>G1048</f>
        <v/>
      </c>
      <c r="K1048">
        <f>I1048-G1048</f>
        <v/>
      </c>
      <c r="M1048">
        <f>R1048=E1048</f>
        <v/>
      </c>
      <c r="N1048">
        <f>AND(MONTH(F1048)=MONTH(Q1048), YEAR(F1048)=YEAR(Q1048))</f>
        <v/>
      </c>
      <c r="O1048">
        <f>"L001-902303751"=S1048</f>
        <v/>
      </c>
      <c r="P1048">
        <f>G1048-U1048</f>
        <v/>
      </c>
      <c r="Q1048" s="35" t="n">
        <v>45446</v>
      </c>
      <c r="R1048" t="inlineStr"/>
      <c r="S1048" t="inlineStr">
        <is>
          <t>L001-100045995</t>
        </is>
      </c>
      <c r="T1048" t="inlineStr">
        <is>
          <t>ឌីអេចអិល ឡូជីស្ទីក (ខេមបូឌា)</t>
        </is>
      </c>
      <c r="U1048" t="n">
        <v>0</v>
      </c>
      <c r="V1048" t="n">
        <v>0</v>
      </c>
    </row>
    <row r="1049">
      <c r="A1049" t="n">
        <v>1048</v>
      </c>
      <c r="B1049" t="inlineStr">
        <is>
          <t>Customs Clearance Fee</t>
        </is>
      </c>
      <c r="C1049" t="inlineStr">
        <is>
          <t>ត្រាយអ៊ែងហ្គល ឡូជីស្ទីក (ខេមបូឌា) ឯ.ក</t>
        </is>
      </c>
      <c r="D1049" t="inlineStr">
        <is>
          <t>K010-902101743</t>
        </is>
      </c>
      <c r="E1049" t="inlineStr">
        <is>
          <t>TAG-24-00532</t>
        </is>
      </c>
      <c r="F1049" t="inlineStr">
        <is>
          <t>07-08-2024</t>
        </is>
      </c>
      <c r="G1049" t="n">
        <v>8216</v>
      </c>
      <c r="I1049">
        <f>G1049</f>
        <v/>
      </c>
      <c r="K1049">
        <f>I1049-G1049</f>
        <v/>
      </c>
      <c r="M1049">
        <f>R1049=E1049</f>
        <v/>
      </c>
      <c r="N1049">
        <f>AND(MONTH(F1049)=MONTH(Q1049), YEAR(F1049)=YEAR(Q1049))</f>
        <v/>
      </c>
      <c r="O1049">
        <f>"L001-902303751"=S1049</f>
        <v/>
      </c>
      <c r="P1049">
        <f>G1049-U1049</f>
        <v/>
      </c>
      <c r="Q1049" s="35" t="n">
        <v>45467</v>
      </c>
      <c r="R1049" t="inlineStr"/>
      <c r="S1049" t="inlineStr">
        <is>
          <t>L001-107032791</t>
        </is>
      </c>
      <c r="T1049" t="inlineStr">
        <is>
          <t>នីបផន អិចប្រេស (ខេមបូឌា) ខូ អិលធីឌី</t>
        </is>
      </c>
      <c r="U1049" t="n">
        <v>0</v>
      </c>
      <c r="V1049" t="n">
        <v>0</v>
      </c>
    </row>
    <row r="1050">
      <c r="A1050" t="n">
        <v>1049</v>
      </c>
      <c r="B1050" t="inlineStr">
        <is>
          <t>Cargo Terminal</t>
        </is>
      </c>
      <c r="C1050" t="inlineStr">
        <is>
          <t>សូស៊ីយេតេ កុងសេស្យូនែរ ដឺ ឡាអេរ៉ូព័រ</t>
        </is>
      </c>
      <c r="D1050" t="inlineStr">
        <is>
          <t>L001-100047300</t>
        </is>
      </c>
      <c r="E1050" t="inlineStr">
        <is>
          <t>2400-061989</t>
        </is>
      </c>
      <c r="F1050" t="inlineStr">
        <is>
          <t>06-08-2024</t>
        </is>
      </c>
      <c r="G1050" t="n">
        <v>19492</v>
      </c>
      <c r="I1050">
        <f>G1050</f>
        <v/>
      </c>
      <c r="K1050">
        <f>I1050-G1050</f>
        <v/>
      </c>
      <c r="M1050">
        <f>R1050=E1050</f>
        <v/>
      </c>
      <c r="N1050">
        <f>AND(MONTH(F1050)=MONTH(Q1050), YEAR(F1050)=YEAR(Q1050))</f>
        <v/>
      </c>
      <c r="O1050">
        <f>"L001-902303751"=S1050</f>
        <v/>
      </c>
      <c r="P1050">
        <f>G1050-U1050</f>
        <v/>
      </c>
      <c r="Q1050" s="35" t="n">
        <v>45467</v>
      </c>
      <c r="R1050" t="inlineStr"/>
      <c r="S1050" t="inlineStr">
        <is>
          <t>L001-107032791</t>
        </is>
      </c>
      <c r="T1050" t="inlineStr">
        <is>
          <t>នីបផន អិចប្រេស (ខេមបូឌា) ខូ អិលធីឌី</t>
        </is>
      </c>
      <c r="U1050" t="n">
        <v>0</v>
      </c>
      <c r="V1050" t="n">
        <v>0</v>
      </c>
    </row>
    <row r="1051">
      <c r="A1051" t="n">
        <v>1050</v>
      </c>
      <c r="B1051" t="inlineStr">
        <is>
          <t>Customs Clearance Fee</t>
        </is>
      </c>
      <c r="C1051" t="inlineStr">
        <is>
          <t>ត្រាយអ៊ែងហ្គល ឡូជីស្ទីក (ខេមបូឌា) ឯ.ក</t>
        </is>
      </c>
      <c r="D1051" t="inlineStr">
        <is>
          <t>K010-902101743</t>
        </is>
      </c>
      <c r="E1051" t="inlineStr">
        <is>
          <t>TAG-24-00531</t>
        </is>
      </c>
      <c r="F1051" t="inlineStr">
        <is>
          <t>07-08-2024</t>
        </is>
      </c>
      <c r="G1051" t="n">
        <v>8216</v>
      </c>
      <c r="I1051">
        <f>G1051</f>
        <v/>
      </c>
      <c r="K1051">
        <f>I1051-G1051</f>
        <v/>
      </c>
      <c r="M1051">
        <f>R1051=E1051</f>
        <v/>
      </c>
      <c r="N1051">
        <f>AND(MONTH(F1051)=MONTH(Q1051), YEAR(F1051)=YEAR(Q1051))</f>
        <v/>
      </c>
      <c r="O1051">
        <f>"L001-902303751"=S1051</f>
        <v/>
      </c>
      <c r="P1051">
        <f>G1051-U1051</f>
        <v/>
      </c>
      <c r="Q1051" s="35" t="n">
        <v>45453</v>
      </c>
      <c r="R1051" t="inlineStr"/>
      <c r="S1051" t="inlineStr">
        <is>
          <t>K005-901805913</t>
        </is>
      </c>
      <c r="T1051" t="inlineStr">
        <is>
          <t>ស្តារ ខង់ខដ (ខេមបូឌា) ឯ.ក</t>
        </is>
      </c>
      <c r="U1051" t="n">
        <v>0</v>
      </c>
      <c r="V1051" t="n">
        <v>0</v>
      </c>
    </row>
    <row r="1052">
      <c r="A1052" t="n">
        <v>1051</v>
      </c>
      <c r="B1052" t="inlineStr">
        <is>
          <t>Cargo Terminal</t>
        </is>
      </c>
      <c r="C1052" t="inlineStr">
        <is>
          <t>សូស៊ីយេតេ កុងសេស្យូនែរ ដឺ ឡាអេរ៉ូព័រ</t>
        </is>
      </c>
      <c r="D1052" t="inlineStr">
        <is>
          <t>L001-100047300</t>
        </is>
      </c>
      <c r="E1052" t="inlineStr">
        <is>
          <t>2400-061987</t>
        </is>
      </c>
      <c r="F1052" t="inlineStr">
        <is>
          <t>06-08-2024</t>
        </is>
      </c>
      <c r="G1052" t="n">
        <v>4964</v>
      </c>
      <c r="I1052">
        <f>G1052</f>
        <v/>
      </c>
      <c r="K1052">
        <f>I1052-G1052</f>
        <v/>
      </c>
      <c r="M1052">
        <f>R1052=E1052</f>
        <v/>
      </c>
      <c r="N1052">
        <f>AND(MONTH(F1052)=MONTH(Q1052), YEAR(F1052)=YEAR(Q1052))</f>
        <v/>
      </c>
      <c r="O1052">
        <f>"L001-902303751"=S1052</f>
        <v/>
      </c>
      <c r="P1052">
        <f>G1052-U1052</f>
        <v/>
      </c>
      <c r="Q1052" s="35" t="n">
        <v>45453</v>
      </c>
      <c r="R1052" t="n">
        <v>84337</v>
      </c>
      <c r="S1052" t="inlineStr">
        <is>
          <t>L001-107032791</t>
        </is>
      </c>
      <c r="T1052" t="inlineStr">
        <is>
          <t>នីបផន អិចប្រេស (ខេមបូឌា) ខូ អិលធីឌី</t>
        </is>
      </c>
      <c r="U1052" t="n">
        <v>84337</v>
      </c>
      <c r="V1052" t="n">
        <v>0</v>
      </c>
    </row>
    <row r="1053">
      <c r="A1053" t="n">
        <v>1052</v>
      </c>
      <c r="B1053" t="inlineStr">
        <is>
          <t>Customs Clearance Fee</t>
        </is>
      </c>
      <c r="C1053" t="inlineStr">
        <is>
          <t>ត្រាយអ៊ែងហ្គល ឡូជីស្ទីក (ខេមបូឌា) ឯ.ក</t>
        </is>
      </c>
      <c r="D1053" t="inlineStr">
        <is>
          <t>K010-902101743</t>
        </is>
      </c>
      <c r="E1053" t="inlineStr">
        <is>
          <t>TAG-24-00609</t>
        </is>
      </c>
      <c r="F1053" t="inlineStr">
        <is>
          <t>31-08-2024</t>
        </is>
      </c>
      <c r="G1053" t="n">
        <v>8114</v>
      </c>
      <c r="I1053">
        <f>G1053</f>
        <v/>
      </c>
      <c r="K1053">
        <f>I1053-G1053</f>
        <v/>
      </c>
      <c r="M1053">
        <f>R1053=E1053</f>
        <v/>
      </c>
      <c r="N1053">
        <f>AND(MONTH(F1053)=MONTH(Q1053), YEAR(F1053)=YEAR(Q1053))</f>
        <v/>
      </c>
      <c r="O1053">
        <f>"L001-902303751"=S1053</f>
        <v/>
      </c>
      <c r="P1053">
        <f>G1053-U1053</f>
        <v/>
      </c>
      <c r="Q1053" s="35" t="n">
        <v>45453</v>
      </c>
      <c r="R1053" t="n">
        <v>86805</v>
      </c>
      <c r="S1053" t="inlineStr">
        <is>
          <t>K005-901805913</t>
        </is>
      </c>
      <c r="T1053" t="inlineStr">
        <is>
          <t>ស្តារ ខង់ខដ (ខេមបូឌា) ឯ.ក</t>
        </is>
      </c>
      <c r="U1053" t="n">
        <v>86805</v>
      </c>
      <c r="V1053" t="n">
        <v>0</v>
      </c>
    </row>
    <row r="1054">
      <c r="A1054" t="n">
        <v>1053</v>
      </c>
      <c r="B1054" t="inlineStr">
        <is>
          <t>Monthly Charge of Photo Copier from 06/07/2024-06/08/2024</t>
        </is>
      </c>
      <c r="C1054" t="inlineStr">
        <is>
          <t>វី.អាយ.អេស ខភៀ ឯ.ក</t>
        </is>
      </c>
      <c r="D1054" t="inlineStr">
        <is>
          <t>K007-901705195</t>
        </is>
      </c>
      <c r="E1054" t="inlineStr">
        <is>
          <t>RNT240822</t>
        </is>
      </c>
      <c r="F1054" t="inlineStr">
        <is>
          <t>06-08-2024</t>
        </is>
      </c>
      <c r="G1054" t="n">
        <v>57526</v>
      </c>
      <c r="I1054">
        <f>G1054</f>
        <v/>
      </c>
      <c r="K1054">
        <f>I1054-G1054</f>
        <v/>
      </c>
      <c r="M1054">
        <f>R1054=E1054</f>
        <v/>
      </c>
      <c r="N1054">
        <f>AND(MONTH(F1054)=MONTH(Q1054), YEAR(F1054)=YEAR(Q1054))</f>
        <v/>
      </c>
      <c r="O1054">
        <f>"L001-902303751"=S1054</f>
        <v/>
      </c>
      <c r="P1054">
        <f>G1054-U1054</f>
        <v/>
      </c>
      <c r="Q1054" s="35" t="n">
        <v>45453</v>
      </c>
      <c r="R1054" t="inlineStr"/>
      <c r="S1054" t="inlineStr">
        <is>
          <t>K005-100150195</t>
        </is>
      </c>
      <c r="T1054" t="inlineStr">
        <is>
          <t>អេស អ វី ស៊ី ហ្វ្រេត សឺវីស (ខេមបូឌា) ខូ អិលធីឌី</t>
        </is>
      </c>
      <c r="U1054" t="n">
        <v>0</v>
      </c>
      <c r="V1054" t="n">
        <v>0</v>
      </c>
    </row>
    <row r="1055">
      <c r="A1055" t="n">
        <v>1054</v>
      </c>
      <c r="B1055" t="inlineStr">
        <is>
          <t>Monthly Charge of Photo Copier from 06/07/2024-06/08/2024</t>
        </is>
      </c>
      <c r="C1055" t="inlineStr">
        <is>
          <t>វី.អាយ.អេស ខភៀ ឯ.ក</t>
        </is>
      </c>
      <c r="D1055" t="inlineStr">
        <is>
          <t>K007-901705195</t>
        </is>
      </c>
      <c r="E1055" t="inlineStr">
        <is>
          <t>RNT240825</t>
        </is>
      </c>
      <c r="F1055" t="inlineStr">
        <is>
          <t>06-08-2024</t>
        </is>
      </c>
      <c r="G1055" t="n">
        <v>57526</v>
      </c>
      <c r="I1055">
        <f>G1055</f>
        <v/>
      </c>
      <c r="K1055">
        <f>I1055-G1055</f>
        <v/>
      </c>
      <c r="M1055">
        <f>R1055=E1055</f>
        <v/>
      </c>
      <c r="N1055">
        <f>AND(MONTH(F1055)=MONTH(Q1055), YEAR(F1055)=YEAR(Q1055))</f>
        <v/>
      </c>
      <c r="O1055">
        <f>"L001-902303751"=S1055</f>
        <v/>
      </c>
      <c r="P1055">
        <f>G1055-U1055</f>
        <v/>
      </c>
      <c r="Q1055" s="35" t="n">
        <v>45453</v>
      </c>
      <c r="R1055" t="n">
        <v>174845</v>
      </c>
      <c r="S1055" t="inlineStr">
        <is>
          <t>L001-107032791</t>
        </is>
      </c>
      <c r="T1055" t="inlineStr">
        <is>
          <t>នីបផន អិចប្រេស (ខេមបូឌា) ខូ អិលធីឌី</t>
        </is>
      </c>
      <c r="U1055" t="n">
        <v>174845</v>
      </c>
      <c r="V1055" t="n">
        <v>0</v>
      </c>
    </row>
    <row r="1056">
      <c r="A1056" t="n">
        <v>1055</v>
      </c>
      <c r="B1056" t="inlineStr">
        <is>
          <t>Monthly Charge of Photo Copier from 06/07/2024-06/08/2024</t>
        </is>
      </c>
      <c r="C1056" t="inlineStr">
        <is>
          <t>វី.អាយ.អេស ខភៀ ឯ.ក</t>
        </is>
      </c>
      <c r="D1056" t="inlineStr">
        <is>
          <t>K007-901705195</t>
        </is>
      </c>
      <c r="E1056" t="inlineStr">
        <is>
          <t>RNT240824</t>
        </is>
      </c>
      <c r="F1056" t="inlineStr">
        <is>
          <t>06-08-2024</t>
        </is>
      </c>
      <c r="G1056" t="n">
        <v>28763</v>
      </c>
      <c r="I1056">
        <f>G1056</f>
        <v/>
      </c>
      <c r="K1056">
        <f>I1056-G1056</f>
        <v/>
      </c>
      <c r="M1056">
        <f>R1056=E1056</f>
        <v/>
      </c>
      <c r="N1056">
        <f>AND(MONTH(F1056)=MONTH(Q1056), YEAR(F1056)=YEAR(Q1056))</f>
        <v/>
      </c>
      <c r="O1056">
        <f>"L001-902303751"=S1056</f>
        <v/>
      </c>
      <c r="P1056">
        <f>G1056-U1056</f>
        <v/>
      </c>
      <c r="Q1056" s="35" t="n">
        <v>45453</v>
      </c>
      <c r="R1056" t="inlineStr"/>
      <c r="S1056" t="inlineStr">
        <is>
          <t>L001-100045995</t>
        </is>
      </c>
      <c r="T1056" t="inlineStr">
        <is>
          <t>ឌីអេចអិល ឡូជីស្ទីក (ខេមបូឌា)</t>
        </is>
      </c>
      <c r="U1056" t="n">
        <v>0</v>
      </c>
      <c r="V1056" t="n">
        <v>0</v>
      </c>
    </row>
    <row r="1057">
      <c r="A1057" t="n">
        <v>1056</v>
      </c>
      <c r="B1057" t="inlineStr">
        <is>
          <t>Monthly Charge of Photo Copier from 06/07/2024-06/08/2024</t>
        </is>
      </c>
      <c r="C1057" t="inlineStr">
        <is>
          <t>វី.អាយ.អេស ខភៀ ឯ.ក</t>
        </is>
      </c>
      <c r="D1057" t="inlineStr">
        <is>
          <t>K007-901705195</t>
        </is>
      </c>
      <c r="E1057" t="inlineStr">
        <is>
          <t>RNT240823</t>
        </is>
      </c>
      <c r="F1057" t="inlineStr">
        <is>
          <t>06-08-2024</t>
        </is>
      </c>
      <c r="G1057" t="n">
        <v>26709</v>
      </c>
      <c r="I1057">
        <f>G1057</f>
        <v/>
      </c>
      <c r="K1057">
        <f>I1057-G1057</f>
        <v/>
      </c>
      <c r="M1057">
        <f>R1057=E1057</f>
        <v/>
      </c>
      <c r="N1057">
        <f>AND(MONTH(F1057)=MONTH(Q1057), YEAR(F1057)=YEAR(Q1057))</f>
        <v/>
      </c>
      <c r="O1057">
        <f>"L001-902303751"=S1057</f>
        <v/>
      </c>
      <c r="P1057">
        <f>G1057-U1057</f>
        <v/>
      </c>
      <c r="Q1057" s="35" t="n">
        <v>45453</v>
      </c>
      <c r="R1057" t="inlineStr"/>
      <c r="S1057" t="inlineStr">
        <is>
          <t>L001-100045995</t>
        </is>
      </c>
      <c r="T1057" t="inlineStr">
        <is>
          <t>ឌីអេចអិល ឡូជីស្ទីក (ខេមបូឌា)</t>
        </is>
      </c>
      <c r="U1057" t="n">
        <v>0</v>
      </c>
      <c r="V1057" t="n">
        <v>0</v>
      </c>
    </row>
    <row r="1058">
      <c r="A1058" t="n">
        <v>1057</v>
      </c>
      <c r="B1058" t="inlineStr">
        <is>
          <t>THC Fee, CFS Fee, Documents Fee, Handling Fee, Customs Clearance Fee, Trucking Fee, Bunker Adjustment Factor and B/L Surrender Fee</t>
        </is>
      </c>
      <c r="C1058" t="inlineStr">
        <is>
          <t>អាយធីអាយ អ៊ិនធើណេសិនណល ត្រេនស័្ពរថេសិន (ខេមបូឌា) ឯ.ក</t>
        </is>
      </c>
      <c r="D1058" t="inlineStr">
        <is>
          <t>K002-901800477</t>
        </is>
      </c>
      <c r="E1058" t="inlineStr">
        <is>
          <t>CAM243667</t>
        </is>
      </c>
      <c r="F1058" t="inlineStr">
        <is>
          <t>16-08-2024</t>
        </is>
      </c>
      <c r="G1058" t="n">
        <v>134414</v>
      </c>
      <c r="I1058">
        <f>G1058</f>
        <v/>
      </c>
      <c r="K1058">
        <f>I1058-G1058</f>
        <v/>
      </c>
      <c r="M1058">
        <f>R1058=E1058</f>
        <v/>
      </c>
      <c r="N1058">
        <f>AND(MONTH(F1058)=MONTH(Q1058), YEAR(F1058)=YEAR(Q1058))</f>
        <v/>
      </c>
      <c r="O1058">
        <f>"L001-902303751"=S1058</f>
        <v/>
      </c>
      <c r="P1058">
        <f>G1058-U1058</f>
        <v/>
      </c>
      <c r="Q1058" s="35" t="n">
        <v>45446</v>
      </c>
      <c r="R1058" t="n">
        <v>84030</v>
      </c>
      <c r="S1058" t="inlineStr">
        <is>
          <t>L001-107032791</t>
        </is>
      </c>
      <c r="T1058" t="inlineStr">
        <is>
          <t>នីបផន អិចប្រេស (ខេមបូឌា) ខូ អិលធីឌី</t>
        </is>
      </c>
      <c r="U1058" t="n">
        <v>84030</v>
      </c>
      <c r="V1058" t="n">
        <v>0</v>
      </c>
    </row>
    <row r="1059">
      <c r="A1059" t="n">
        <v>1058</v>
      </c>
      <c r="B1059" t="inlineStr">
        <is>
          <t>Export Administration Fee, Port Fomality, Service Charge</t>
        </is>
      </c>
      <c r="C1059" t="inlineStr">
        <is>
          <t>ឆាយ ដា ឡូយីស្ទីក</t>
        </is>
      </c>
      <c r="D1059" t="inlineStr">
        <is>
          <t>L001-100063098</t>
        </is>
      </c>
      <c r="E1059" t="inlineStr">
        <is>
          <t>2408011438</t>
        </is>
      </c>
      <c r="F1059" t="inlineStr">
        <is>
          <t>07-08-2024</t>
        </is>
      </c>
      <c r="G1059" t="n">
        <v>77641</v>
      </c>
      <c r="I1059">
        <f>G1059</f>
        <v/>
      </c>
      <c r="K1059">
        <f>I1059-G1059</f>
        <v/>
      </c>
      <c r="M1059">
        <f>R1059=E1059</f>
        <v/>
      </c>
      <c r="N1059">
        <f>AND(MONTH(F1059)=MONTH(Q1059), YEAR(F1059)=YEAR(Q1059))</f>
        <v/>
      </c>
      <c r="O1059">
        <f>"L001-902303751"=S1059</f>
        <v/>
      </c>
      <c r="P1059">
        <f>G1059-U1059</f>
        <v/>
      </c>
      <c r="Q1059" s="35" t="n">
        <v>45446</v>
      </c>
      <c r="R1059" t="inlineStr"/>
      <c r="S1059" t="inlineStr">
        <is>
          <t>K005-901805913</t>
        </is>
      </c>
      <c r="T1059" t="inlineStr">
        <is>
          <t>ស្តារ ខង់ខដ (ខេមបូឌា) ឯ.ក</t>
        </is>
      </c>
      <c r="U1059" t="n">
        <v>0</v>
      </c>
      <c r="V1059" t="n">
        <v>0</v>
      </c>
    </row>
    <row r="1060">
      <c r="A1060" t="n">
        <v>1059</v>
      </c>
      <c r="B1060" t="inlineStr">
        <is>
          <t>Monthly Charge of Photo Copier from 06/07/2024-06/08/2024</t>
        </is>
      </c>
      <c r="C1060" t="inlineStr">
        <is>
          <t>វី.អាយ.អេស ខភៀ ឯ.ក</t>
        </is>
      </c>
      <c r="D1060" t="inlineStr">
        <is>
          <t>K007-901705195</t>
        </is>
      </c>
      <c r="E1060" t="inlineStr">
        <is>
          <t>RNT240826</t>
        </is>
      </c>
      <c r="F1060" t="inlineStr">
        <is>
          <t>06-08-2024</t>
        </is>
      </c>
      <c r="G1060" t="n">
        <v>28763</v>
      </c>
      <c r="I1060">
        <f>G1060</f>
        <v/>
      </c>
      <c r="K1060">
        <f>I1060-G1060</f>
        <v/>
      </c>
      <c r="M1060">
        <f>R1060=E1060</f>
        <v/>
      </c>
      <c r="N1060">
        <f>AND(MONTH(F1060)=MONTH(Q1060), YEAR(F1060)=YEAR(Q1060))</f>
        <v/>
      </c>
      <c r="O1060">
        <f>"L001-902303751"=S1060</f>
        <v/>
      </c>
      <c r="P1060">
        <f>G1060-U1060</f>
        <v/>
      </c>
      <c r="Q1060" s="35" t="n">
        <v>45446</v>
      </c>
      <c r="R1060" t="n">
        <v>115182</v>
      </c>
      <c r="S1060" t="inlineStr">
        <is>
          <t>K005-901805913</t>
        </is>
      </c>
      <c r="T1060" t="inlineStr">
        <is>
          <t>ស្តារ ខង់ខដ (ខេមបូឌា) ឯ.ក</t>
        </is>
      </c>
      <c r="U1060" t="n">
        <v>115182</v>
      </c>
      <c r="V1060" t="n">
        <v>0</v>
      </c>
    </row>
    <row r="1061">
      <c r="A1061" t="n">
        <v>1060</v>
      </c>
      <c r="B1061" t="inlineStr">
        <is>
          <t>Customs Clearance Fee</t>
        </is>
      </c>
      <c r="C1061" t="inlineStr">
        <is>
          <t>ត្រាយអ៊ែងហ្គល ឡូជីស្ទីក (ខេមបូឌា) ឯ.ក</t>
        </is>
      </c>
      <c r="D1061" t="inlineStr">
        <is>
          <t>K010-902101743</t>
        </is>
      </c>
      <c r="E1061" t="inlineStr">
        <is>
          <t>TAG-24-00610</t>
        </is>
      </c>
      <c r="F1061" t="inlineStr">
        <is>
          <t>31-08-2024</t>
        </is>
      </c>
      <c r="G1061" t="n">
        <v>8114</v>
      </c>
      <c r="I1061">
        <f>G1061</f>
        <v/>
      </c>
      <c r="K1061">
        <f>I1061-G1061</f>
        <v/>
      </c>
      <c r="M1061">
        <f>R1061=E1061</f>
        <v/>
      </c>
      <c r="N1061">
        <f>AND(MONTH(F1061)=MONTH(Q1061), YEAR(F1061)=YEAR(Q1061))</f>
        <v/>
      </c>
      <c r="O1061">
        <f>"L001-902303751"=S1061</f>
        <v/>
      </c>
      <c r="P1061">
        <f>G1061-U1061</f>
        <v/>
      </c>
      <c r="Q1061" s="35" t="n">
        <v>45446</v>
      </c>
      <c r="R1061" t="inlineStr"/>
      <c r="S1061" t="inlineStr">
        <is>
          <t>L001-107041723</t>
        </is>
      </c>
      <c r="T1061" t="inlineStr">
        <is>
          <t>ឌីប៊ី សេនឃើរ (ខេមបូឌា) លីមីធីត</t>
        </is>
      </c>
      <c r="U1061" t="n">
        <v>0</v>
      </c>
      <c r="V1061" t="n">
        <v>0</v>
      </c>
    </row>
    <row r="1062">
      <c r="A1062" t="n">
        <v>1061</v>
      </c>
      <c r="B1062" t="inlineStr">
        <is>
          <t>Canceled audit fee from SGS</t>
        </is>
      </c>
      <c r="C1062" t="inlineStr">
        <is>
          <t>អេសជីអេស (ខេមបូឌា) លីមីធីត</t>
        </is>
      </c>
      <c r="D1062" t="inlineStr">
        <is>
          <t>L001-107030519</t>
        </is>
      </c>
      <c r="E1062" t="inlineStr">
        <is>
          <t>10037274</t>
        </is>
      </c>
      <c r="F1062" t="inlineStr">
        <is>
          <t>01-08-2024</t>
        </is>
      </c>
      <c r="G1062" t="n">
        <v>137241</v>
      </c>
      <c r="I1062">
        <f>G1062</f>
        <v/>
      </c>
      <c r="K1062">
        <f>I1062-G1062</f>
        <v/>
      </c>
      <c r="M1062">
        <f>R1062=E1062</f>
        <v/>
      </c>
      <c r="N1062">
        <f>AND(MONTH(F1062)=MONTH(Q1062), YEAR(F1062)=YEAR(Q1062))</f>
        <v/>
      </c>
      <c r="O1062">
        <f>"L001-902303751"=S1062</f>
        <v/>
      </c>
      <c r="P1062">
        <f>G1062-U1062</f>
        <v/>
      </c>
      <c r="Q1062" s="35" t="n">
        <v>45446</v>
      </c>
      <c r="R1062" t="inlineStr"/>
      <c r="S1062" t="inlineStr">
        <is>
          <t>L001-107032791</t>
        </is>
      </c>
      <c r="T1062" t="inlineStr">
        <is>
          <t>នីបផន អិចប្រេស (ខេមបូឌា) ខូ អិលធីឌី</t>
        </is>
      </c>
      <c r="U1062" t="n">
        <v>0</v>
      </c>
      <c r="V1062" t="n">
        <v>0</v>
      </c>
    </row>
    <row r="1063">
      <c r="A1063" t="n">
        <v>1062</v>
      </c>
      <c r="B1063" t="inlineStr">
        <is>
          <t>Export Administration Fee, Port Fomality and Service Charge</t>
        </is>
      </c>
      <c r="C1063" t="inlineStr">
        <is>
          <t>ឆាយ ដា ឡូយីស្ទីក</t>
        </is>
      </c>
      <c r="D1063" t="inlineStr">
        <is>
          <t>L001-100063098</t>
        </is>
      </c>
      <c r="E1063" t="inlineStr">
        <is>
          <t>2408011873</t>
        </is>
      </c>
      <c r="F1063" t="inlineStr">
        <is>
          <t>14-08-2024</t>
        </is>
      </c>
      <c r="G1063" t="n">
        <v>77320</v>
      </c>
      <c r="I1063">
        <f>G1063</f>
        <v/>
      </c>
      <c r="K1063">
        <f>I1063-G1063</f>
        <v/>
      </c>
      <c r="M1063">
        <f>R1063=E1063</f>
        <v/>
      </c>
      <c r="N1063">
        <f>AND(MONTH(F1063)=MONTH(Q1063), YEAR(F1063)=YEAR(Q1063))</f>
        <v/>
      </c>
      <c r="O1063">
        <f>"L001-902303751"=S1063</f>
        <v/>
      </c>
      <c r="P1063">
        <f>G1063-U1063</f>
        <v/>
      </c>
      <c r="Q1063" s="35" t="n">
        <v>45467</v>
      </c>
      <c r="R1063" t="inlineStr"/>
      <c r="S1063" t="inlineStr">
        <is>
          <t>L001-100045340</t>
        </is>
      </c>
      <c r="T1063" t="inlineStr">
        <is>
          <t xml:space="preserve">ស៊ីវ៉ា អ៊ែរ អ៊ែន អូសៀន (ខេមបូឌា) ឯ.ក </t>
        </is>
      </c>
      <c r="U1063" t="n">
        <v>0</v>
      </c>
      <c r="V1063" t="n">
        <v>0</v>
      </c>
    </row>
    <row r="1064">
      <c r="A1064" t="n">
        <v>1063</v>
      </c>
      <c r="B1064" t="inlineStr">
        <is>
          <t>EXPORT CUSTOM CLEARANCE PNH/LZC/00901</t>
        </is>
      </c>
      <c r="C1064" t="inlineStr">
        <is>
          <t>អ៊ីឃ្យូឡាញ វើលវ៉ាយដ៍ ឡូជីស្ទីក</t>
        </is>
      </c>
      <c r="D1064" t="inlineStr">
        <is>
          <t>K003-901635943</t>
        </is>
      </c>
      <c r="E1064" t="inlineStr">
        <is>
          <t>PPTI24/004021</t>
        </is>
      </c>
      <c r="F1064" t="inlineStr">
        <is>
          <t>06-08-2024</t>
        </is>
      </c>
      <c r="G1064" t="n">
        <v>65728</v>
      </c>
      <c r="I1064">
        <f>G1064</f>
        <v/>
      </c>
      <c r="K1064">
        <f>I1064-G1064</f>
        <v/>
      </c>
      <c r="M1064">
        <f>R1064=E1064</f>
        <v/>
      </c>
      <c r="N1064">
        <f>AND(MONTH(F1064)=MONTH(Q1064), YEAR(F1064)=YEAR(Q1064))</f>
        <v/>
      </c>
      <c r="O1064">
        <f>"L001-902303751"=S1064</f>
        <v/>
      </c>
      <c r="P1064">
        <f>G1064-U1064</f>
        <v/>
      </c>
      <c r="Q1064" s="35" t="n">
        <v>45460</v>
      </c>
      <c r="R1064" t="n">
        <v>113328</v>
      </c>
      <c r="S1064" t="inlineStr">
        <is>
          <t>L001-100045995</t>
        </is>
      </c>
      <c r="T1064" t="inlineStr">
        <is>
          <t>ឌីអេចអិល ឡូជីស្ទីក (ខេមបូឌា)</t>
        </is>
      </c>
      <c r="U1064" t="n">
        <v>113328</v>
      </c>
      <c r="V1064" t="n">
        <v>0</v>
      </c>
    </row>
    <row r="1065">
      <c r="A1065" t="n">
        <v>1064</v>
      </c>
      <c r="B1065" t="inlineStr">
        <is>
          <t>Customs Clearance Fee</t>
        </is>
      </c>
      <c r="C1065" t="inlineStr">
        <is>
          <t>ត្រាយអ៊ែងហ្គល ឡូជីស្ទីក (ខេមបូឌា) ឯ.ក</t>
        </is>
      </c>
      <c r="D1065" t="inlineStr">
        <is>
          <t>K010-902101743</t>
        </is>
      </c>
      <c r="E1065" t="inlineStr">
        <is>
          <t>TAG-24-00617</t>
        </is>
      </c>
      <c r="F1065" t="inlineStr">
        <is>
          <t>31-08-2024</t>
        </is>
      </c>
      <c r="G1065" t="n">
        <v>8114</v>
      </c>
      <c r="I1065">
        <f>G1065</f>
        <v/>
      </c>
      <c r="K1065">
        <f>I1065-G1065</f>
        <v/>
      </c>
      <c r="M1065">
        <f>R1065=E1065</f>
        <v/>
      </c>
      <c r="N1065">
        <f>AND(MONTH(F1065)=MONTH(Q1065), YEAR(F1065)=YEAR(Q1065))</f>
        <v/>
      </c>
      <c r="O1065">
        <f>"L001-902303751"=S1065</f>
        <v/>
      </c>
      <c r="P1065">
        <f>G1065-U1065</f>
        <v/>
      </c>
      <c r="Q1065" s="35" t="n">
        <v>45460</v>
      </c>
      <c r="R1065" t="n">
        <v>113328</v>
      </c>
      <c r="S1065" t="inlineStr">
        <is>
          <t>L001-100045995</t>
        </is>
      </c>
      <c r="T1065" t="inlineStr">
        <is>
          <t>ឌីអេចអិល ឡូជីស្ទីក (ខេមបូឌា)</t>
        </is>
      </c>
      <c r="U1065" t="n">
        <v>113328</v>
      </c>
      <c r="V1065" t="n">
        <v>0</v>
      </c>
    </row>
    <row r="1066">
      <c r="A1066" t="n">
        <v>1065</v>
      </c>
      <c r="B1066" t="inlineStr">
        <is>
          <t>Cargo Terminal</t>
        </is>
      </c>
      <c r="C1066" t="inlineStr">
        <is>
          <t>សូស៊ីយេតេ កុងសេស្យូនែរ ដឺ ឡាអេរ៉ូព័រ</t>
        </is>
      </c>
      <c r="D1066" t="inlineStr">
        <is>
          <t>L001-100047300</t>
        </is>
      </c>
      <c r="E1066" t="inlineStr">
        <is>
          <t>2400-068731</t>
        </is>
      </c>
      <c r="F1066" t="inlineStr">
        <is>
          <t>27-08-2024</t>
        </is>
      </c>
      <c r="G1066" t="n">
        <v>10236</v>
      </c>
      <c r="I1066">
        <f>G1066</f>
        <v/>
      </c>
      <c r="K1066">
        <f>I1066-G1066</f>
        <v/>
      </c>
      <c r="M1066">
        <f>R1066=E1066</f>
        <v/>
      </c>
      <c r="N1066">
        <f>AND(MONTH(F1066)=MONTH(Q1066), YEAR(F1066)=YEAR(Q1066))</f>
        <v/>
      </c>
      <c r="O1066">
        <f>"L001-902303751"=S1066</f>
        <v/>
      </c>
      <c r="P1066">
        <f>G1066-U1066</f>
        <v/>
      </c>
      <c r="Q1066" s="35" t="n">
        <v>45460</v>
      </c>
      <c r="R1066" t="n">
        <v>84481</v>
      </c>
      <c r="S1066" t="inlineStr">
        <is>
          <t>L001-100045995</t>
        </is>
      </c>
      <c r="T1066" t="inlineStr">
        <is>
          <t>ឌីអេចអិល ឡូជីស្ទីក (ខេមបូឌា)</t>
        </is>
      </c>
      <c r="U1066" t="n">
        <v>84481</v>
      </c>
      <c r="V1066" t="n">
        <v>0</v>
      </c>
    </row>
    <row r="1067">
      <c r="A1067" t="n">
        <v>1066</v>
      </c>
      <c r="B1067" t="inlineStr">
        <is>
          <t>Customs Clearance Fee</t>
        </is>
      </c>
      <c r="C1067" t="inlineStr">
        <is>
          <t>ត្រាយអ៊ែងហ្គល ឡូជីស្ទីក (ខេមបូឌា) ឯ.ក</t>
        </is>
      </c>
      <c r="D1067" t="inlineStr">
        <is>
          <t>K010-902101743</t>
        </is>
      </c>
      <c r="E1067" t="inlineStr">
        <is>
          <t>TAG-24-00616</t>
        </is>
      </c>
      <c r="F1067" t="inlineStr">
        <is>
          <t>31-08-2024</t>
        </is>
      </c>
      <c r="G1067" t="n">
        <v>8114</v>
      </c>
      <c r="I1067">
        <f>G1067</f>
        <v/>
      </c>
      <c r="K1067">
        <f>I1067-G1067</f>
        <v/>
      </c>
      <c r="M1067">
        <f>R1067=E1067</f>
        <v/>
      </c>
      <c r="N1067">
        <f>AND(MONTH(F1067)=MONTH(Q1067), YEAR(F1067)=YEAR(Q1067))</f>
        <v/>
      </c>
      <c r="O1067">
        <f>"L001-902303751"=S1067</f>
        <v/>
      </c>
      <c r="P1067">
        <f>G1067-U1067</f>
        <v/>
      </c>
      <c r="Q1067" s="35" t="n">
        <v>45467</v>
      </c>
      <c r="R1067" t="inlineStr"/>
      <c r="S1067" t="inlineStr">
        <is>
          <t>L001-107032791</t>
        </is>
      </c>
      <c r="T1067" t="inlineStr">
        <is>
          <t>នីបផន អិចប្រេស (ខេមបូឌា) ខូ អិលធីឌី</t>
        </is>
      </c>
      <c r="U1067" t="n">
        <v>0</v>
      </c>
      <c r="V1067" t="n">
        <v>0</v>
      </c>
    </row>
    <row r="1068">
      <c r="A1068" t="n">
        <v>1067</v>
      </c>
      <c r="B1068" t="inlineStr">
        <is>
          <t>Cargo Terminal</t>
        </is>
      </c>
      <c r="C1068" t="inlineStr">
        <is>
          <t>សូស៊ីយេតេ កុងសេស្យូនែរ ដឺ ឡាអេរ៉ូព័រ</t>
        </is>
      </c>
      <c r="D1068" t="inlineStr">
        <is>
          <t>L001-100047300</t>
        </is>
      </c>
      <c r="E1068" t="inlineStr">
        <is>
          <t>2400-068735</t>
        </is>
      </c>
      <c r="F1068" t="inlineStr">
        <is>
          <t>27-08-2024</t>
        </is>
      </c>
      <c r="G1068" t="n">
        <v>32504</v>
      </c>
      <c r="I1068">
        <f>G1068</f>
        <v/>
      </c>
      <c r="K1068">
        <f>I1068-G1068</f>
        <v/>
      </c>
      <c r="M1068">
        <f>R1068=E1068</f>
        <v/>
      </c>
      <c r="N1068">
        <f>AND(MONTH(F1068)=MONTH(Q1068), YEAR(F1068)=YEAR(Q1068))</f>
        <v/>
      </c>
      <c r="O1068">
        <f>"L001-902303751"=S1068</f>
        <v/>
      </c>
      <c r="P1068">
        <f>G1068-U1068</f>
        <v/>
      </c>
      <c r="Q1068" s="35" t="n">
        <v>45467</v>
      </c>
      <c r="R1068" t="inlineStr"/>
      <c r="S1068" t="inlineStr">
        <is>
          <t>L001-107032791</t>
        </is>
      </c>
      <c r="T1068" t="inlineStr">
        <is>
          <t>នីបផន អិចប្រេស (ខេមបូឌា) ខូ អិលធីឌី</t>
        </is>
      </c>
      <c r="U1068" t="n">
        <v>0</v>
      </c>
      <c r="V1068" t="n">
        <v>0</v>
      </c>
    </row>
    <row r="1069">
      <c r="A1069" t="n">
        <v>1068</v>
      </c>
      <c r="B1069" t="inlineStr">
        <is>
          <t>Customs Clearance Fee</t>
        </is>
      </c>
      <c r="C1069" t="inlineStr">
        <is>
          <t>ត្រាយអ៊ែងហ្គល ឡូជីស្ទីក (ខេមបូឌា) ឯ.ក</t>
        </is>
      </c>
      <c r="D1069" t="inlineStr">
        <is>
          <t>K010-902101743</t>
        </is>
      </c>
      <c r="E1069" t="inlineStr">
        <is>
          <t>TAG-24-00615</t>
        </is>
      </c>
      <c r="F1069" t="inlineStr">
        <is>
          <t>31-08-2024</t>
        </is>
      </c>
      <c r="G1069" t="n">
        <v>8114</v>
      </c>
      <c r="I1069">
        <f>G1069</f>
        <v/>
      </c>
      <c r="K1069">
        <f>I1069-G1069</f>
        <v/>
      </c>
      <c r="M1069">
        <f>R1069=E1069</f>
        <v/>
      </c>
      <c r="N1069">
        <f>AND(MONTH(F1069)=MONTH(Q1069), YEAR(F1069)=YEAR(Q1069))</f>
        <v/>
      </c>
      <c r="O1069">
        <f>"L001-902303751"=S1069</f>
        <v/>
      </c>
      <c r="P1069">
        <f>G1069-U1069</f>
        <v/>
      </c>
      <c r="Q1069" s="35" t="n">
        <v>45467</v>
      </c>
      <c r="R1069" t="inlineStr"/>
      <c r="S1069" t="inlineStr">
        <is>
          <t>L001-107032791</t>
        </is>
      </c>
      <c r="T1069" t="inlineStr">
        <is>
          <t>នីបផន អិចប្រេស (ខេមបូឌា) ខូ អិលធីឌី</t>
        </is>
      </c>
      <c r="U1069" t="n">
        <v>0</v>
      </c>
      <c r="V1069" t="n">
        <v>0</v>
      </c>
    </row>
    <row r="1070">
      <c r="A1070" t="n">
        <v>1069</v>
      </c>
      <c r="B1070" t="inlineStr">
        <is>
          <t>Cargo Terminal</t>
        </is>
      </c>
      <c r="C1070" t="inlineStr">
        <is>
          <t>សូស៊ីយេតេ កុងសេស្យូនែរ ដឺ ឡាអេរ៉ូព័រ</t>
        </is>
      </c>
      <c r="D1070" t="inlineStr">
        <is>
          <t>L001-100047300</t>
        </is>
      </c>
      <c r="E1070" t="inlineStr">
        <is>
          <t>2400-069083</t>
        </is>
      </c>
      <c r="F1070" t="inlineStr">
        <is>
          <t>28-08-2024</t>
        </is>
      </c>
      <c r="G1070" t="n">
        <v>4783</v>
      </c>
      <c r="I1070">
        <f>G1070</f>
        <v/>
      </c>
      <c r="K1070">
        <f>I1070-G1070</f>
        <v/>
      </c>
      <c r="M1070">
        <f>R1070=E1070</f>
        <v/>
      </c>
      <c r="N1070">
        <f>AND(MONTH(F1070)=MONTH(Q1070), YEAR(F1070)=YEAR(Q1070))</f>
        <v/>
      </c>
      <c r="O1070">
        <f>"L001-902303751"=S1070</f>
        <v/>
      </c>
      <c r="P1070">
        <f>G1070-U1070</f>
        <v/>
      </c>
      <c r="Q1070" s="35" t="n">
        <v>45467</v>
      </c>
      <c r="R1070" t="n">
        <v>234485</v>
      </c>
      <c r="S1070" t="inlineStr">
        <is>
          <t>K004-105012505</t>
        </is>
      </c>
      <c r="T1070" t="inlineStr">
        <is>
          <t>អេស៊ាន ហ្វ្រេត (ខេមបូឌា)</t>
        </is>
      </c>
      <c r="U1070" t="n">
        <v>234485</v>
      </c>
      <c r="V1070" t="n">
        <v>0</v>
      </c>
    </row>
    <row r="1071">
      <c r="A1071" t="n">
        <v>1070</v>
      </c>
      <c r="B1071" t="inlineStr">
        <is>
          <t>Customs Clearance Fee</t>
        </is>
      </c>
      <c r="C1071" t="inlineStr">
        <is>
          <t>ត្រាយអ៊ែងហ្គល ឡូជីស្ទីក (ខេមបូឌា) ឯ.ក</t>
        </is>
      </c>
      <c r="D1071" t="inlineStr">
        <is>
          <t>K010-902101743</t>
        </is>
      </c>
      <c r="E1071" t="inlineStr">
        <is>
          <t>TAG-24-00614</t>
        </is>
      </c>
      <c r="F1071" t="inlineStr">
        <is>
          <t>31-08-2024</t>
        </is>
      </c>
      <c r="G1071" t="n">
        <v>8114</v>
      </c>
      <c r="I1071">
        <f>G1071</f>
        <v/>
      </c>
      <c r="K1071">
        <f>I1071-G1071</f>
        <v/>
      </c>
      <c r="M1071">
        <f>R1071=E1071</f>
        <v/>
      </c>
      <c r="N1071">
        <f>AND(MONTH(F1071)=MONTH(Q1071), YEAR(F1071)=YEAR(Q1071))</f>
        <v/>
      </c>
      <c r="O1071">
        <f>"L001-902303751"=S1071</f>
        <v/>
      </c>
      <c r="P1071">
        <f>G1071-U1071</f>
        <v/>
      </c>
      <c r="Q1071" s="35" t="n">
        <v>45453</v>
      </c>
      <c r="R1071" t="n">
        <v>84337</v>
      </c>
      <c r="S1071" t="inlineStr">
        <is>
          <t>L001-100011888</t>
        </is>
      </c>
      <c r="T1071" t="inlineStr">
        <is>
          <t>ត្រេន ស្តារ ហ្រេ្វត</t>
        </is>
      </c>
      <c r="U1071" t="n">
        <v>84337</v>
      </c>
      <c r="V1071" t="n">
        <v>0</v>
      </c>
    </row>
    <row r="1072">
      <c r="A1072" t="n">
        <v>1071</v>
      </c>
      <c r="B1072" t="inlineStr">
        <is>
          <t>Cargo Terminal</t>
        </is>
      </c>
      <c r="C1072" t="inlineStr">
        <is>
          <t>សូស៊ីយេតេ កុងសេស្យូនែរ ដឺ ឡាអេរ៉ូព័រ</t>
        </is>
      </c>
      <c r="D1072" t="inlineStr">
        <is>
          <t>L001-100047300</t>
        </is>
      </c>
      <c r="E1072" t="inlineStr">
        <is>
          <t>2400-069540</t>
        </is>
      </c>
      <c r="F1072" t="inlineStr">
        <is>
          <t>30-08-2024</t>
        </is>
      </c>
      <c r="G1072" t="n">
        <v>13890</v>
      </c>
      <c r="I1072">
        <f>G1072</f>
        <v/>
      </c>
      <c r="K1072">
        <f>I1072-G1072</f>
        <v/>
      </c>
      <c r="M1072">
        <f>R1072=E1072</f>
        <v/>
      </c>
      <c r="N1072">
        <f>AND(MONTH(F1072)=MONTH(Q1072), YEAR(F1072)=YEAR(Q1072))</f>
        <v/>
      </c>
      <c r="O1072">
        <f>"L001-902303751"=S1072</f>
        <v/>
      </c>
      <c r="P1072">
        <f>G1072-U1072</f>
        <v/>
      </c>
      <c r="Q1072" s="35" t="n">
        <v>45453</v>
      </c>
      <c r="R1072" t="inlineStr"/>
      <c r="S1072" t="inlineStr">
        <is>
          <t>L001-107032791</t>
        </is>
      </c>
      <c r="T1072" t="inlineStr">
        <is>
          <t>នីបផន អិចប្រេស (ខេមបូឌា) ខូ អិលធីឌី</t>
        </is>
      </c>
      <c r="U1072" t="n">
        <v>0</v>
      </c>
      <c r="V1072" t="n">
        <v>0</v>
      </c>
    </row>
    <row r="1073">
      <c r="A1073" t="n">
        <v>1072</v>
      </c>
      <c r="B1073" t="inlineStr">
        <is>
          <t>Customs Clearance Fee</t>
        </is>
      </c>
      <c r="C1073" t="inlineStr">
        <is>
          <t>ត្រាយអ៊ែងហ្គល ឡូជីស្ទីក (ខេមបូឌា) ឯ.ក</t>
        </is>
      </c>
      <c r="D1073" t="inlineStr">
        <is>
          <t>K010-902101743</t>
        </is>
      </c>
      <c r="E1073" t="inlineStr">
        <is>
          <t>TAG-24-00612</t>
        </is>
      </c>
      <c r="F1073" t="inlineStr">
        <is>
          <t>31-08-2024</t>
        </is>
      </c>
      <c r="G1073" t="n">
        <v>8114</v>
      </c>
      <c r="I1073">
        <f>G1073</f>
        <v/>
      </c>
      <c r="K1073">
        <f>I1073-G1073</f>
        <v/>
      </c>
      <c r="M1073">
        <f>R1073=E1073</f>
        <v/>
      </c>
      <c r="N1073">
        <f>AND(MONTH(F1073)=MONTH(Q1073), YEAR(F1073)=YEAR(Q1073))</f>
        <v/>
      </c>
      <c r="O1073">
        <f>"L001-902303751"=S1073</f>
        <v/>
      </c>
      <c r="P1073">
        <f>G1073-U1073</f>
        <v/>
      </c>
      <c r="Q1073" s="35" t="n">
        <v>45453</v>
      </c>
      <c r="R1073" t="inlineStr"/>
      <c r="S1073" t="inlineStr">
        <is>
          <t>L001-107032791</t>
        </is>
      </c>
      <c r="T1073" t="inlineStr">
        <is>
          <t>នីបផន អិចប្រេស (ខេមបូឌា) ខូ អិលធីឌី</t>
        </is>
      </c>
      <c r="U1073" t="n">
        <v>0</v>
      </c>
      <c r="V1073" t="n">
        <v>0</v>
      </c>
    </row>
    <row r="1074">
      <c r="A1074" t="n">
        <v>1073</v>
      </c>
      <c r="B1074" t="inlineStr">
        <is>
          <t>Cargo Terminal</t>
        </is>
      </c>
      <c r="C1074" t="inlineStr">
        <is>
          <t>សូស៊ីយេតេ កុងសេស្យូនែរ ដឺ ឡាអេរ៉ូព័រ</t>
        </is>
      </c>
      <c r="D1074" t="inlineStr">
        <is>
          <t>L001-100047300</t>
        </is>
      </c>
      <c r="E1074" t="inlineStr">
        <is>
          <t>2400-068730</t>
        </is>
      </c>
      <c r="F1074" t="inlineStr">
        <is>
          <t>27-08-2024</t>
        </is>
      </c>
      <c r="G1074" t="n">
        <v>14900</v>
      </c>
      <c r="I1074">
        <f>G1074</f>
        <v/>
      </c>
      <c r="K1074">
        <f>I1074-G1074</f>
        <v/>
      </c>
      <c r="M1074">
        <f>R1074=E1074</f>
        <v/>
      </c>
      <c r="N1074">
        <f>AND(MONTH(F1074)=MONTH(Q1074), YEAR(F1074)=YEAR(Q1074))</f>
        <v/>
      </c>
      <c r="O1074">
        <f>"L001-902303751"=S1074</f>
        <v/>
      </c>
      <c r="P1074">
        <f>G1074-U1074</f>
        <v/>
      </c>
      <c r="Q1074" s="35" t="n">
        <v>45453</v>
      </c>
      <c r="R1074" t="n">
        <v>113135</v>
      </c>
      <c r="S1074" t="inlineStr">
        <is>
          <t>L001-107032791</t>
        </is>
      </c>
      <c r="T1074" t="inlineStr">
        <is>
          <t>នីបផន អិចប្រេស (ខេមបូឌា) ខូ អិលធីឌី</t>
        </is>
      </c>
      <c r="U1074" t="n">
        <v>113135</v>
      </c>
      <c r="V1074" t="n">
        <v>0</v>
      </c>
    </row>
    <row r="1075">
      <c r="A1075" t="n">
        <v>1074</v>
      </c>
      <c r="B1075" t="inlineStr">
        <is>
          <t>Customs Clearance Fee</t>
        </is>
      </c>
      <c r="C1075" t="inlineStr">
        <is>
          <t>ត្រាយអ៊ែងហ្គល ឡូជីស្ទីក (ខេមបូឌា) ឯ.ក</t>
        </is>
      </c>
      <c r="D1075" t="inlineStr">
        <is>
          <t>K010-902101743</t>
        </is>
      </c>
      <c r="E1075" t="inlineStr">
        <is>
          <t>TAG-24-00618</t>
        </is>
      </c>
      <c r="F1075" t="inlineStr">
        <is>
          <t>31-08-2024</t>
        </is>
      </c>
      <c r="G1075" t="n">
        <v>8114</v>
      </c>
      <c r="I1075">
        <f>G1075</f>
        <v/>
      </c>
      <c r="K1075">
        <f>I1075-G1075</f>
        <v/>
      </c>
      <c r="M1075">
        <f>R1075=E1075</f>
        <v/>
      </c>
      <c r="N1075">
        <f>AND(MONTH(F1075)=MONTH(Q1075), YEAR(F1075)=YEAR(Q1075))</f>
        <v/>
      </c>
      <c r="O1075">
        <f>"L001-902303751"=S1075</f>
        <v/>
      </c>
      <c r="P1075">
        <f>G1075-U1075</f>
        <v/>
      </c>
      <c r="Q1075" s="35" t="n">
        <v>45453</v>
      </c>
      <c r="R1075" t="inlineStr"/>
      <c r="S1075" t="inlineStr">
        <is>
          <t>K005-901805913</t>
        </is>
      </c>
      <c r="T1075" t="inlineStr">
        <is>
          <t>ស្តារ ខង់ខដ (ខេមបូឌា) ឯ.ក</t>
        </is>
      </c>
      <c r="U1075" t="n">
        <v>0</v>
      </c>
      <c r="V1075" t="n">
        <v>0</v>
      </c>
    </row>
    <row r="1076">
      <c r="A1076" t="n">
        <v>1075</v>
      </c>
      <c r="B1076" t="inlineStr">
        <is>
          <t>Cargo Terminal</t>
        </is>
      </c>
      <c r="C1076" t="inlineStr">
        <is>
          <t>សូស៊ីយេតេ កុងសេស្យូនែរ ដឺ ឡាអេរ៉ូព័រ</t>
        </is>
      </c>
      <c r="D1076" t="inlineStr">
        <is>
          <t>L001-100047300</t>
        </is>
      </c>
      <c r="E1076" t="inlineStr">
        <is>
          <t>2400-068734</t>
        </is>
      </c>
      <c r="F1076" t="inlineStr">
        <is>
          <t>27-08-2024</t>
        </is>
      </c>
      <c r="G1076" t="n">
        <v>13759</v>
      </c>
      <c r="I1076">
        <f>G1076</f>
        <v/>
      </c>
      <c r="K1076">
        <f>I1076-G1076</f>
        <v/>
      </c>
      <c r="M1076">
        <f>R1076=E1076</f>
        <v/>
      </c>
      <c r="N1076">
        <f>AND(MONTH(F1076)=MONTH(Q1076), YEAR(F1076)=YEAR(Q1076))</f>
        <v/>
      </c>
      <c r="O1076">
        <f>"L001-902303751"=S1076</f>
        <v/>
      </c>
      <c r="P1076">
        <f>G1076-U1076</f>
        <v/>
      </c>
      <c r="Q1076" s="35" t="n">
        <v>45446</v>
      </c>
      <c r="R1076" t="inlineStr"/>
      <c r="S1076" t="inlineStr">
        <is>
          <t>L001-107032791</t>
        </is>
      </c>
      <c r="T1076" t="inlineStr">
        <is>
          <t>នីបផន អិចប្រេស (ខេមបូឌា) ខូ អិលធីឌី</t>
        </is>
      </c>
      <c r="U1076" t="n">
        <v>0</v>
      </c>
      <c r="V1076" t="n">
        <v>0</v>
      </c>
    </row>
    <row r="1077">
      <c r="A1077" t="n">
        <v>1076</v>
      </c>
      <c r="B1077" t="inlineStr">
        <is>
          <t>Customs Clearance Fee</t>
        </is>
      </c>
      <c r="C1077" t="inlineStr">
        <is>
          <t>ត្រាយអ៊ែងហ្គល ឡូជីស្ទីក (ខេមបូឌា) ឯ.ក</t>
        </is>
      </c>
      <c r="D1077" t="inlineStr">
        <is>
          <t>K010-902101743</t>
        </is>
      </c>
      <c r="E1077" t="inlineStr">
        <is>
          <t>TAG-24-00621</t>
        </is>
      </c>
      <c r="F1077" t="inlineStr">
        <is>
          <t>31-08-2024</t>
        </is>
      </c>
      <c r="G1077" t="n">
        <v>8114</v>
      </c>
      <c r="I1077">
        <f>G1077</f>
        <v/>
      </c>
      <c r="K1077">
        <f>I1077-G1077</f>
        <v/>
      </c>
      <c r="M1077">
        <f>R1077=E1077</f>
        <v/>
      </c>
      <c r="N1077">
        <f>AND(MONTH(F1077)=MONTH(Q1077), YEAR(F1077)=YEAR(Q1077))</f>
        <v/>
      </c>
      <c r="O1077">
        <f>"L001-902303751"=S1077</f>
        <v/>
      </c>
      <c r="P1077">
        <f>G1077-U1077</f>
        <v/>
      </c>
      <c r="Q1077" s="35" t="n">
        <v>45468</v>
      </c>
      <c r="R1077" t="inlineStr"/>
      <c r="S1077" t="inlineStr">
        <is>
          <t>L001-107032791</t>
        </is>
      </c>
      <c r="T1077" t="inlineStr">
        <is>
          <t>នីបផន អិចប្រេស (ខេមបូឌា) ខូ អិលធីឌី</t>
        </is>
      </c>
      <c r="U1077" t="n">
        <v>0</v>
      </c>
      <c r="V1077" t="n">
        <v>0</v>
      </c>
    </row>
    <row r="1078">
      <c r="A1078" t="n">
        <v>1077</v>
      </c>
      <c r="B1078" t="inlineStr">
        <is>
          <t>Customs Clearance Fee</t>
        </is>
      </c>
      <c r="C1078" t="inlineStr">
        <is>
          <t>ត្រាយអ៊ែងហ្គល ឡូជីស្ទីក (ខេមបូឌា) ឯ.ក</t>
        </is>
      </c>
      <c r="D1078" t="inlineStr">
        <is>
          <t>K010-902101743</t>
        </is>
      </c>
      <c r="E1078" t="inlineStr">
        <is>
          <t>TAG-24-00620</t>
        </is>
      </c>
      <c r="F1078" t="inlineStr">
        <is>
          <t>31-08-2024</t>
        </is>
      </c>
      <c r="G1078" t="n">
        <v>8114</v>
      </c>
      <c r="I1078">
        <f>G1078</f>
        <v/>
      </c>
      <c r="K1078">
        <f>I1078-G1078</f>
        <v/>
      </c>
      <c r="M1078">
        <f>R1078=E1078</f>
        <v/>
      </c>
      <c r="N1078">
        <f>AND(MONTH(F1078)=MONTH(Q1078), YEAR(F1078)=YEAR(Q1078))</f>
        <v/>
      </c>
      <c r="O1078">
        <f>"L001-902303751"=S1078</f>
        <v/>
      </c>
      <c r="P1078">
        <f>G1078-U1078</f>
        <v/>
      </c>
      <c r="Q1078" s="35" t="n">
        <v>45468</v>
      </c>
      <c r="R1078" t="n">
        <v>16460</v>
      </c>
      <c r="S1078" t="inlineStr">
        <is>
          <t>L001-100045340</t>
        </is>
      </c>
      <c r="T1078" t="inlineStr">
        <is>
          <t xml:space="preserve">ស៊ីវ៉ា អ៊ែរ អ៊ែន អូសៀន (ខេមបូឌា) ឯ.ក </t>
        </is>
      </c>
      <c r="U1078" t="n">
        <v>16460</v>
      </c>
      <c r="V1078" t="n">
        <v>0</v>
      </c>
    </row>
    <row r="1079">
      <c r="A1079" t="n">
        <v>1078</v>
      </c>
      <c r="B1079" t="inlineStr">
        <is>
          <t>Customs Clearance Fee</t>
        </is>
      </c>
      <c r="C1079" t="inlineStr">
        <is>
          <t>ត្រាយអ៊ែងហ្គល ឡូជីស្ទីក (ខេមបូឌា) ឯ.ក</t>
        </is>
      </c>
      <c r="D1079" t="inlineStr">
        <is>
          <t>K010-902101743</t>
        </is>
      </c>
      <c r="E1079" t="inlineStr">
        <is>
          <t>TAG-24-00521</t>
        </is>
      </c>
      <c r="F1079" t="inlineStr">
        <is>
          <t>06-08-2024</t>
        </is>
      </c>
      <c r="G1079" t="n">
        <v>8218</v>
      </c>
      <c r="I1079">
        <f>G1079</f>
        <v/>
      </c>
      <c r="K1079">
        <f>I1079-G1079</f>
        <v/>
      </c>
      <c r="M1079">
        <f>R1079=E1079</f>
        <v/>
      </c>
      <c r="N1079">
        <f>AND(MONTH(F1079)=MONTH(Q1079), YEAR(F1079)=YEAR(Q1079))</f>
        <v/>
      </c>
      <c r="O1079">
        <f>"L001-902303751"=S1079</f>
        <v/>
      </c>
      <c r="P1079">
        <f>G1079-U1079</f>
        <v/>
      </c>
      <c r="Q1079" s="35" t="n">
        <v>45460</v>
      </c>
      <c r="R1079" t="inlineStr"/>
      <c r="S1079" t="inlineStr">
        <is>
          <t>L001-100045995</t>
        </is>
      </c>
      <c r="T1079" t="inlineStr">
        <is>
          <t>ឌីអេចអិល ឡូជីស្ទីក (ខេមបូឌា)</t>
        </is>
      </c>
      <c r="U1079" t="n">
        <v>0</v>
      </c>
      <c r="V1079" t="n">
        <v>0</v>
      </c>
    </row>
    <row r="1080">
      <c r="A1080" t="n">
        <v>1079</v>
      </c>
      <c r="B1080" t="inlineStr">
        <is>
          <t>Cargo Terminal</t>
        </is>
      </c>
      <c r="C1080" t="inlineStr">
        <is>
          <t>សូស៊ីយេតេ កុងសេស្យូនែរ ដឺ ឡាអេរ៉ូព័រ</t>
        </is>
      </c>
      <c r="D1080" t="inlineStr">
        <is>
          <t>L001-100047300</t>
        </is>
      </c>
      <c r="E1080" t="inlineStr">
        <is>
          <t>2400-061227</t>
        </is>
      </c>
      <c r="F1080" t="inlineStr">
        <is>
          <t>03-08-2024</t>
        </is>
      </c>
      <c r="G1080" t="n">
        <v>28065</v>
      </c>
      <c r="I1080">
        <f>G1080</f>
        <v/>
      </c>
      <c r="K1080">
        <f>I1080-G1080</f>
        <v/>
      </c>
      <c r="M1080">
        <f>R1080=E1080</f>
        <v/>
      </c>
      <c r="N1080">
        <f>AND(MONTH(F1080)=MONTH(Q1080), YEAR(F1080)=YEAR(Q1080))</f>
        <v/>
      </c>
      <c r="O1080">
        <f>"L001-902303751"=S1080</f>
        <v/>
      </c>
      <c r="P1080">
        <f>G1080-U1080</f>
        <v/>
      </c>
      <c r="Q1080" s="35" t="n">
        <v>45467</v>
      </c>
      <c r="R1080" t="inlineStr"/>
      <c r="S1080" t="inlineStr">
        <is>
          <t>L001-100045995</t>
        </is>
      </c>
      <c r="T1080" t="inlineStr">
        <is>
          <t>ឌីអេចអិល ឡូជីស្ទីក (ខេមបូឌា)</t>
        </is>
      </c>
      <c r="U1080" t="n">
        <v>0</v>
      </c>
      <c r="V1080" t="n">
        <v>0</v>
      </c>
    </row>
    <row r="1081">
      <c r="A1081" t="n">
        <v>1080</v>
      </c>
      <c r="B1081" t="inlineStr">
        <is>
          <t>Customs Clearance Fee</t>
        </is>
      </c>
      <c r="C1081" t="inlineStr">
        <is>
          <t>ត្រាយអ៊ែងហ្គល ឡូជីស្ទីក (ខេមបូឌា) ឯ.ក</t>
        </is>
      </c>
      <c r="D1081" t="inlineStr">
        <is>
          <t>K010-902101743</t>
        </is>
      </c>
      <c r="E1081" t="inlineStr">
        <is>
          <t>TAG-24-00520</t>
        </is>
      </c>
      <c r="F1081" t="inlineStr">
        <is>
          <t>06-08-2024</t>
        </is>
      </c>
      <c r="G1081" t="n">
        <v>8218</v>
      </c>
      <c r="I1081">
        <f>G1081</f>
        <v/>
      </c>
      <c r="K1081">
        <f>I1081-G1081</f>
        <v/>
      </c>
      <c r="M1081">
        <f>R1081=E1081</f>
        <v/>
      </c>
      <c r="N1081">
        <f>AND(MONTH(F1081)=MONTH(Q1081), YEAR(F1081)=YEAR(Q1081))</f>
        <v/>
      </c>
      <c r="O1081">
        <f>"L001-902303751"=S1081</f>
        <v/>
      </c>
      <c r="P1081">
        <f>G1081-U1081</f>
        <v/>
      </c>
      <c r="Q1081" s="35" t="n">
        <v>45467</v>
      </c>
      <c r="R1081" t="inlineStr"/>
      <c r="S1081" t="inlineStr">
        <is>
          <t>K005-901805913</t>
        </is>
      </c>
      <c r="T1081" t="inlineStr">
        <is>
          <t>ស្តារ ខង់ខដ (ខេមបូឌា) ឯ.ក</t>
        </is>
      </c>
      <c r="U1081" t="n">
        <v>0</v>
      </c>
      <c r="V1081" t="n">
        <v>0</v>
      </c>
    </row>
    <row r="1082">
      <c r="A1082" t="n">
        <v>1081</v>
      </c>
      <c r="B1082" t="inlineStr">
        <is>
          <t>Customs Clearance Fee</t>
        </is>
      </c>
      <c r="C1082" t="inlineStr">
        <is>
          <t>ត្រាយអ៊ែងហ្គល ឡូជីស្ទីក (ខេមបូឌា) ឯ.ក</t>
        </is>
      </c>
      <c r="D1082" t="inlineStr">
        <is>
          <t>K010-902101743</t>
        </is>
      </c>
      <c r="E1082" t="inlineStr">
        <is>
          <t>TAG-24-00591</t>
        </is>
      </c>
      <c r="F1082" t="inlineStr">
        <is>
          <t>29-08-2024</t>
        </is>
      </c>
      <c r="G1082" t="n">
        <v>8122</v>
      </c>
      <c r="I1082">
        <f>G1082</f>
        <v/>
      </c>
      <c r="K1082">
        <f>I1082-G1082</f>
        <v/>
      </c>
      <c r="M1082">
        <f>R1082=E1082</f>
        <v/>
      </c>
      <c r="N1082">
        <f>AND(MONTH(F1082)=MONTH(Q1082), YEAR(F1082)=YEAR(Q1082))</f>
        <v/>
      </c>
      <c r="O1082">
        <f>"L001-902303751"=S1082</f>
        <v/>
      </c>
      <c r="P1082">
        <f>G1082-U1082</f>
        <v/>
      </c>
      <c r="Q1082" s="35" t="n">
        <v>45467</v>
      </c>
      <c r="R1082" t="inlineStr"/>
      <c r="S1082" t="inlineStr">
        <is>
          <t>L001-100045340</t>
        </is>
      </c>
      <c r="T1082" t="inlineStr">
        <is>
          <t xml:space="preserve">ស៊ីវ៉ា អ៊ែរ អ៊ែន អូសៀន (ខេមបូឌា) ឯ.ក </t>
        </is>
      </c>
      <c r="U1082" t="n">
        <v>0</v>
      </c>
      <c r="V1082" t="n">
        <v>0</v>
      </c>
    </row>
    <row r="1083">
      <c r="A1083" t="n">
        <v>1082</v>
      </c>
      <c r="B1083" t="inlineStr">
        <is>
          <t>Customs Clearance Fee</t>
        </is>
      </c>
      <c r="C1083" t="inlineStr">
        <is>
          <t>ត្រាយអ៊ែងហ្គល ឡូជីស្ទីក (ខេមបូឌា) ឯ.ក</t>
        </is>
      </c>
      <c r="D1083" t="inlineStr">
        <is>
          <t>K010-902101743</t>
        </is>
      </c>
      <c r="E1083" t="inlineStr">
        <is>
          <t>TAG-24-00590</t>
        </is>
      </c>
      <c r="F1083" t="inlineStr">
        <is>
          <t>29-08-2024</t>
        </is>
      </c>
      <c r="G1083" t="n">
        <v>8122</v>
      </c>
      <c r="I1083">
        <f>G1083</f>
        <v/>
      </c>
      <c r="K1083">
        <f>I1083-G1083</f>
        <v/>
      </c>
      <c r="M1083">
        <f>R1083=E1083</f>
        <v/>
      </c>
      <c r="N1083">
        <f>AND(MONTH(F1083)=MONTH(Q1083), YEAR(F1083)=YEAR(Q1083))</f>
        <v/>
      </c>
      <c r="O1083">
        <f>"L001-902303751"=S1083</f>
        <v/>
      </c>
      <c r="P1083">
        <f>G1083-U1083</f>
        <v/>
      </c>
      <c r="Q1083" s="35" t="n">
        <v>45467</v>
      </c>
      <c r="R1083" t="n">
        <v>113328</v>
      </c>
      <c r="S1083" t="inlineStr">
        <is>
          <t>L001-107032791</t>
        </is>
      </c>
      <c r="T1083" t="inlineStr">
        <is>
          <t>នីបផន អិចប្រេស (ខេមបូឌា) ខូ អិលធីឌី</t>
        </is>
      </c>
      <c r="U1083" t="n">
        <v>113328</v>
      </c>
      <c r="V1083" t="n">
        <v>0</v>
      </c>
    </row>
    <row r="1084">
      <c r="A1084" t="n">
        <v>1083</v>
      </c>
      <c r="B1084" t="inlineStr">
        <is>
          <t>THC GMD24SGNPNH0847, DOC Fee GMD24SGNPNH0847 and Container Imbalance GMD24SGNPNH0847</t>
        </is>
      </c>
      <c r="C1084" t="inlineStr">
        <is>
          <t>សាខាក្រុមហ៊ុន ជីម៉ាឌីប ស៊ីបភីង ខមភេនី លីមីធីត</t>
        </is>
      </c>
      <c r="D1084" t="inlineStr">
        <is>
          <t>L001-901704777</t>
        </is>
      </c>
      <c r="E1084" t="inlineStr">
        <is>
          <t>24-02757</t>
        </is>
      </c>
      <c r="F1084" t="inlineStr">
        <is>
          <t>06-08-2024</t>
        </is>
      </c>
      <c r="G1084" t="n">
        <v>96562</v>
      </c>
      <c r="I1084">
        <f>G1084</f>
        <v/>
      </c>
      <c r="K1084">
        <f>I1084-G1084</f>
        <v/>
      </c>
      <c r="M1084">
        <f>R1084=E1084</f>
        <v/>
      </c>
      <c r="N1084">
        <f>AND(MONTH(F1084)=MONTH(Q1084), YEAR(F1084)=YEAR(Q1084))</f>
        <v/>
      </c>
      <c r="O1084">
        <f>"L001-902303751"=S1084</f>
        <v/>
      </c>
      <c r="P1084">
        <f>G1084-U1084</f>
        <v/>
      </c>
      <c r="Q1084" s="35" t="n">
        <v>45453</v>
      </c>
      <c r="R1084" t="n">
        <v>84337</v>
      </c>
      <c r="S1084" t="inlineStr">
        <is>
          <t>L001-107032791</t>
        </is>
      </c>
      <c r="T1084" t="inlineStr">
        <is>
          <t>នីបផន អិចប្រេស (ខេមបូឌា) ខូ អិលធីឌី</t>
        </is>
      </c>
      <c r="U1084" t="n">
        <v>84337</v>
      </c>
      <c r="V1084" t="n">
        <v>0</v>
      </c>
    </row>
    <row r="1085">
      <c r="A1085" t="n">
        <v>1084</v>
      </c>
      <c r="B1085" t="inlineStr">
        <is>
          <t>Monthly Tax Service for July 2024</t>
        </is>
      </c>
      <c r="C1085" t="inlineStr">
        <is>
          <t>ខេឌី ខនសាល់ធេន ឯ.ក</t>
        </is>
      </c>
      <c r="D1085" t="inlineStr">
        <is>
          <t>K005-901704277</t>
        </is>
      </c>
      <c r="E1085" t="inlineStr">
        <is>
          <t>20240001035</t>
        </is>
      </c>
      <c r="F1085" t="inlineStr">
        <is>
          <t>20-08-2024</t>
        </is>
      </c>
      <c r="G1085" t="n">
        <v>102250</v>
      </c>
      <c r="I1085">
        <f>G1085</f>
        <v/>
      </c>
      <c r="K1085">
        <f>I1085-G1085</f>
        <v/>
      </c>
      <c r="M1085">
        <f>R1085=E1085</f>
        <v/>
      </c>
      <c r="N1085">
        <f>AND(MONTH(F1085)=MONTH(Q1085), YEAR(F1085)=YEAR(Q1085))</f>
        <v/>
      </c>
      <c r="O1085">
        <f>"L001-902303751"=S1085</f>
        <v/>
      </c>
      <c r="P1085">
        <f>G1085-U1085</f>
        <v/>
      </c>
      <c r="Q1085" s="35" t="n">
        <v>45453</v>
      </c>
      <c r="R1085" t="inlineStr"/>
      <c r="S1085" t="inlineStr">
        <is>
          <t>L001-100045995</t>
        </is>
      </c>
      <c r="T1085" t="inlineStr">
        <is>
          <t>ឌីអេចអិល ឡូជីស្ទីក (ខេមបូឌា)</t>
        </is>
      </c>
      <c r="U1085" t="n">
        <v>0</v>
      </c>
      <c r="V1085" t="n">
        <v>0</v>
      </c>
    </row>
    <row r="1086">
      <c r="A1086" t="n">
        <v>1085</v>
      </c>
      <c r="B1086" t="inlineStr">
        <is>
          <t>Cargo Terminal</t>
        </is>
      </c>
      <c r="C1086" t="inlineStr">
        <is>
          <t>សូស៊ីយេតេ កុងសេស្យូនែរ ដឺ ឡាអេរ៉ូព័រ</t>
        </is>
      </c>
      <c r="D1086" t="inlineStr">
        <is>
          <t>L001-100047300</t>
        </is>
      </c>
      <c r="E1086" t="inlineStr">
        <is>
          <t>2400-069752</t>
        </is>
      </c>
      <c r="F1086" t="inlineStr">
        <is>
          <t>30-08-2024</t>
        </is>
      </c>
      <c r="G1086" t="n">
        <v>18338</v>
      </c>
      <c r="I1086">
        <f>G1086</f>
        <v/>
      </c>
      <c r="K1086">
        <f>I1086-G1086</f>
        <v/>
      </c>
      <c r="M1086">
        <f>R1086=E1086</f>
        <v/>
      </c>
      <c r="N1086">
        <f>AND(MONTH(F1086)=MONTH(Q1086), YEAR(F1086)=YEAR(Q1086))</f>
        <v/>
      </c>
      <c r="O1086">
        <f>"L001-902303751"=S1086</f>
        <v/>
      </c>
      <c r="P1086">
        <f>G1086-U1086</f>
        <v/>
      </c>
      <c r="Q1086" s="35" t="n">
        <v>45444</v>
      </c>
      <c r="R1086" t="n">
        <v>230436</v>
      </c>
      <c r="S1086" t="inlineStr">
        <is>
          <t>L001-103007369</t>
        </is>
      </c>
      <c r="T1086" t="inlineStr">
        <is>
          <t>អូរៀនថល ឡូជីស្ទីក &amp; ឌីស្ទ្រីប៊្យូសិន (ខេមបូឌា)</t>
        </is>
      </c>
      <c r="U1086" t="n">
        <v>230436</v>
      </c>
      <c r="V1086" t="n">
        <v>0</v>
      </c>
    </row>
    <row r="1087">
      <c r="A1087" t="n">
        <v>1086</v>
      </c>
      <c r="B1087" t="inlineStr">
        <is>
          <t>THC GMD24SGNPNH0952, DOC Fee GMD24SGNPNH0952 and Container Imbalance GMD24SGNPNH0952</t>
        </is>
      </c>
      <c r="C1087" t="inlineStr">
        <is>
          <t>សាខាក្រុមហ៊ុន ជីម៉ាឌីប ស៊ីបភីង ខមភេនី លីមីធីត</t>
        </is>
      </c>
      <c r="D1087" t="inlineStr">
        <is>
          <t>L001-901704777</t>
        </is>
      </c>
      <c r="E1087" t="inlineStr">
        <is>
          <t>24-03140</t>
        </is>
      </c>
      <c r="F1087" t="inlineStr">
        <is>
          <t>26-08-2024</t>
        </is>
      </c>
      <c r="G1087" t="n">
        <v>95763</v>
      </c>
      <c r="I1087">
        <f>G1087</f>
        <v/>
      </c>
      <c r="K1087">
        <f>I1087-G1087</f>
        <v/>
      </c>
      <c r="M1087">
        <f>R1087=E1087</f>
        <v/>
      </c>
      <c r="N1087">
        <f>AND(MONTH(F1087)=MONTH(Q1087), YEAR(F1087)=YEAR(Q1087))</f>
        <v/>
      </c>
      <c r="O1087">
        <f>"L001-902303751"=S1087</f>
        <v/>
      </c>
      <c r="P1087">
        <f>G1087-U1087</f>
        <v/>
      </c>
      <c r="Q1087" s="35" t="n">
        <v>45446</v>
      </c>
      <c r="R1087" t="n">
        <v>112723</v>
      </c>
      <c r="S1087" t="inlineStr">
        <is>
          <t>K002-901800477</t>
        </is>
      </c>
      <c r="T1087" t="inlineStr">
        <is>
          <t>អាយធីអាយ អ៊ិនធើណេសិនណល ត្រេនស័្ពរថេសិន (ខេមបូឌា) ឯ.ក</t>
        </is>
      </c>
      <c r="U1087" t="n">
        <v>112723</v>
      </c>
      <c r="V1087" t="n">
        <v>0</v>
      </c>
    </row>
    <row r="1088">
      <c r="A1088" t="n">
        <v>1087</v>
      </c>
      <c r="B1088" t="inlineStr">
        <is>
          <t>Terminal Handling Charge, Container Freight Station, Scanning Fee, Container Imbalance Charge, Document Fee, Agency Fee, Delivery Order and Admin Fee</t>
        </is>
      </c>
      <c r="C1088" t="inlineStr">
        <is>
          <t>អឹឡាយអិន ហ្វ័រវើឌីង (ខេមបូឌា) ឯ.ក</t>
        </is>
      </c>
      <c r="D1088" t="inlineStr">
        <is>
          <t>K005-901902888</t>
        </is>
      </c>
      <c r="E1088" t="inlineStr">
        <is>
          <t>PPTI24-0609</t>
        </is>
      </c>
      <c r="F1088" t="inlineStr">
        <is>
          <t>27-08-2024</t>
        </is>
      </c>
      <c r="G1088" t="n">
        <v>88587</v>
      </c>
      <c r="I1088">
        <f>G1088</f>
        <v/>
      </c>
      <c r="K1088">
        <f>I1088-G1088</f>
        <v/>
      </c>
      <c r="M1088">
        <f>R1088=E1088</f>
        <v/>
      </c>
      <c r="N1088">
        <f>AND(MONTH(F1088)=MONTH(Q1088), YEAR(F1088)=YEAR(Q1088))</f>
        <v/>
      </c>
      <c r="O1088">
        <f>"L001-902303751"=S1088</f>
        <v/>
      </c>
      <c r="P1088">
        <f>G1088-U1088</f>
        <v/>
      </c>
      <c r="Q1088" s="35" t="n">
        <v>45453</v>
      </c>
      <c r="R1088" t="inlineStr"/>
      <c r="S1088" t="inlineStr">
        <is>
          <t>K002-901800477</t>
        </is>
      </c>
      <c r="T1088" t="inlineStr">
        <is>
          <t>អាយធីអាយ អ៊ិនធើណេសិនណល ត្រេនស័្ពរថេសិន (ខេមបូឌា) ឯ.ក</t>
        </is>
      </c>
      <c r="U1088" t="n">
        <v>0</v>
      </c>
      <c r="V1088" t="n">
        <v>0</v>
      </c>
    </row>
    <row r="1089">
      <c r="A1089" t="n">
        <v>1088</v>
      </c>
      <c r="B1089" t="inlineStr">
        <is>
          <t>Warehouse Fee and Transit Fee</t>
        </is>
      </c>
      <c r="C1089" t="inlineStr">
        <is>
          <t>អាយធីអាយ អ៊ិនធើណេសិនណល ត្រេនស័្ពរថេសិន (ខេមបូឌា) ឯ.ក</t>
        </is>
      </c>
      <c r="D1089" t="inlineStr">
        <is>
          <t>K002-901800477</t>
        </is>
      </c>
      <c r="E1089" t="inlineStr">
        <is>
          <t>CAM243875</t>
        </is>
      </c>
      <c r="F1089" t="inlineStr">
        <is>
          <t>26-08-2024</t>
        </is>
      </c>
      <c r="G1089" t="n">
        <v>7836</v>
      </c>
      <c r="I1089">
        <f>G1089</f>
        <v/>
      </c>
      <c r="K1089">
        <f>I1089-G1089</f>
        <v/>
      </c>
      <c r="M1089">
        <f>R1089=E1089</f>
        <v/>
      </c>
      <c r="N1089">
        <f>AND(MONTH(F1089)=MONTH(Q1089), YEAR(F1089)=YEAR(Q1089))</f>
        <v/>
      </c>
      <c r="O1089">
        <f>"L001-902303751"=S1089</f>
        <v/>
      </c>
      <c r="P1089">
        <f>G1089-U1089</f>
        <v/>
      </c>
      <c r="Q1089" s="35" t="n">
        <v>45453</v>
      </c>
      <c r="R1089" t="n">
        <v>174845</v>
      </c>
      <c r="S1089" t="inlineStr">
        <is>
          <t>K002-901800477</t>
        </is>
      </c>
      <c r="T1089" t="inlineStr">
        <is>
          <t>អាយធីអាយ អ៊ិនធើណេសិនណល ត្រេនស័្ពរថេសិន (ខេមបូឌា) ឯ.ក</t>
        </is>
      </c>
      <c r="U1089" t="n">
        <v>174845</v>
      </c>
      <c r="V1089" t="n">
        <v>0</v>
      </c>
    </row>
    <row r="1090">
      <c r="A1090" t="n">
        <v>1089</v>
      </c>
      <c r="B1090" t="inlineStr">
        <is>
          <t>LIFT-ON Charges 20" Full and Gate Fee Charges 20" Full</t>
        </is>
      </c>
      <c r="C1090" t="inlineStr">
        <is>
          <t>កំពង់ផែស្វយ័តភ្នំពេញ "ក.ស.ភ"</t>
        </is>
      </c>
      <c r="D1090" t="inlineStr">
        <is>
          <t>L001-100044999</t>
        </is>
      </c>
      <c r="E1090" t="inlineStr">
        <is>
          <t>INV20240861656</t>
        </is>
      </c>
      <c r="F1090" t="inlineStr">
        <is>
          <t>28-08-2024</t>
        </is>
      </c>
      <c r="G1090" t="n">
        <v>18704</v>
      </c>
      <c r="I1090">
        <f>G1090</f>
        <v/>
      </c>
      <c r="K1090">
        <f>I1090-G1090</f>
        <v/>
      </c>
      <c r="M1090">
        <f>R1090=E1090</f>
        <v/>
      </c>
      <c r="N1090">
        <f>AND(MONTH(F1090)=MONTH(Q1090), YEAR(F1090)=YEAR(Q1090))</f>
        <v/>
      </c>
      <c r="O1090">
        <f>"L001-902303751"=S1090</f>
        <v/>
      </c>
      <c r="P1090">
        <f>G1090-U1090</f>
        <v/>
      </c>
      <c r="Q1090" s="35" t="n">
        <v>45446</v>
      </c>
      <c r="R1090" t="inlineStr"/>
      <c r="S1090" t="inlineStr">
        <is>
          <t>L001-100011888</t>
        </is>
      </c>
      <c r="T1090" t="inlineStr">
        <is>
          <t>ត្រេន ស្តារ ហ្រេ្វត</t>
        </is>
      </c>
      <c r="U1090" t="n">
        <v>0</v>
      </c>
      <c r="V1090" t="n">
        <v>0</v>
      </c>
    </row>
    <row r="1091">
      <c r="A1091" t="n">
        <v>1090</v>
      </c>
      <c r="B1091" t="inlineStr">
        <is>
          <t>LIFT-ON Charges 20" Full and Gate Fee Charges 20" Full</t>
        </is>
      </c>
      <c r="C1091" t="inlineStr">
        <is>
          <t>កំពង់ផែស្វយ័តភ្នំពេញ "ក.ស.ភ"</t>
        </is>
      </c>
      <c r="D1091" t="inlineStr">
        <is>
          <t>L001-100044999</t>
        </is>
      </c>
      <c r="E1091" t="inlineStr">
        <is>
          <t>INV20240854004</t>
        </is>
      </c>
      <c r="F1091" t="inlineStr">
        <is>
          <t>08-08-2024</t>
        </is>
      </c>
      <c r="G1091" t="n">
        <v>18883</v>
      </c>
      <c r="I1091">
        <f>G1091</f>
        <v/>
      </c>
      <c r="K1091">
        <f>I1091-G1091</f>
        <v/>
      </c>
      <c r="M1091">
        <f>R1091=E1091</f>
        <v/>
      </c>
      <c r="N1091">
        <f>AND(MONTH(F1091)=MONTH(Q1091), YEAR(F1091)=YEAR(Q1091))</f>
        <v/>
      </c>
      <c r="O1091">
        <f>"L001-902303751"=S1091</f>
        <v/>
      </c>
      <c r="P1091">
        <f>G1091-U1091</f>
        <v/>
      </c>
      <c r="Q1091" s="35" t="n">
        <v>45460</v>
      </c>
      <c r="R1091" t="inlineStr"/>
      <c r="S1091" t="inlineStr">
        <is>
          <t>L001-100045995</t>
        </is>
      </c>
      <c r="T1091" t="inlineStr">
        <is>
          <t>ឌីអេចអិល ឡូជីស្ទីក (ខេមបូឌា)</t>
        </is>
      </c>
      <c r="U1091" t="n">
        <v>0</v>
      </c>
      <c r="V1091" t="n">
        <v>0</v>
      </c>
    </row>
    <row r="1092">
      <c r="A1092" t="n">
        <v>1091</v>
      </c>
      <c r="B1092" t="inlineStr">
        <is>
          <t>Terminal Handling Charge, Container Freight Station, Scanning Fee, Delivery Order Fee, Document Fee, Agency Fee, Co-Loader Fee and Container Imbalance Charge</t>
        </is>
      </c>
      <c r="C1092" t="inlineStr">
        <is>
          <t>ផេនដា គ្លូប៊ល ឡូជីស្ទីក (ខេមបូឌា)</t>
        </is>
      </c>
      <c r="D1092" t="inlineStr">
        <is>
          <t>K005-901501155</t>
        </is>
      </c>
      <c r="E1092" t="inlineStr">
        <is>
          <t>PD240349</t>
        </is>
      </c>
      <c r="F1092" t="inlineStr">
        <is>
          <t>22-08-2024</t>
        </is>
      </c>
      <c r="G1092" t="n">
        <v>91240</v>
      </c>
      <c r="I1092">
        <f>G1092</f>
        <v/>
      </c>
      <c r="K1092">
        <f>I1092-G1092</f>
        <v/>
      </c>
      <c r="M1092">
        <f>R1092=E1092</f>
        <v/>
      </c>
      <c r="N1092">
        <f>AND(MONTH(F1092)=MONTH(Q1092), YEAR(F1092)=YEAR(Q1092))</f>
        <v/>
      </c>
      <c r="O1092">
        <f>"L001-902303751"=S1092</f>
        <v/>
      </c>
      <c r="P1092">
        <f>G1092-U1092</f>
        <v/>
      </c>
      <c r="Q1092" s="35" t="n">
        <v>45460</v>
      </c>
      <c r="R1092" t="inlineStr"/>
      <c r="S1092" t="inlineStr">
        <is>
          <t>K002-901800477</t>
        </is>
      </c>
      <c r="T1092" t="inlineStr">
        <is>
          <t>អាយធីអាយ អ៊ិនធើណេសិនណល ត្រេនស័្ពរថេសិន (ខេមបូឌា) ឯ.ក</t>
        </is>
      </c>
      <c r="U1092" t="n">
        <v>0</v>
      </c>
      <c r="V1092" t="n">
        <v>0</v>
      </c>
    </row>
    <row r="1093">
      <c r="A1093" t="n">
        <v>1092</v>
      </c>
      <c r="B1093" t="inlineStr">
        <is>
          <t>Terminal Handling Charge, Container Freight Station, Scanning Fee, Delivery Order Fee, Document Fee, Agency Fee, Co-Loader Fee and Container Imbalance Charge</t>
        </is>
      </c>
      <c r="C1093" t="inlineStr">
        <is>
          <t>ផេនដា គ្លូប៊ល ឡូជីស្ទីក (ខេមបូឌា)</t>
        </is>
      </c>
      <c r="D1093" t="inlineStr">
        <is>
          <t>K005-901501155</t>
        </is>
      </c>
      <c r="E1093" t="inlineStr">
        <is>
          <t>PD240347</t>
        </is>
      </c>
      <c r="F1093" t="inlineStr">
        <is>
          <t>22-08-2024</t>
        </is>
      </c>
      <c r="G1093" t="n">
        <v>157462</v>
      </c>
      <c r="I1093">
        <f>G1093</f>
        <v/>
      </c>
      <c r="K1093">
        <f>I1093-G1093</f>
        <v/>
      </c>
      <c r="M1093">
        <f>R1093=E1093</f>
        <v/>
      </c>
      <c r="N1093">
        <f>AND(MONTH(F1093)=MONTH(Q1093), YEAR(F1093)=YEAR(Q1093))</f>
        <v/>
      </c>
      <c r="O1093">
        <f>"L001-902303751"=S1093</f>
        <v/>
      </c>
      <c r="P1093">
        <f>G1093-U1093</f>
        <v/>
      </c>
      <c r="Q1093" s="35" t="n">
        <v>45460</v>
      </c>
      <c r="R1093" t="n">
        <v>113328</v>
      </c>
      <c r="S1093" t="inlineStr">
        <is>
          <t>K002-901800477</t>
        </is>
      </c>
      <c r="T1093" t="inlineStr">
        <is>
          <t>អាយធីអាយ អ៊ិនធើណេសិនណល ត្រេនស័្ពរថេសិន (ខេមបូឌា) ឯ.ក</t>
        </is>
      </c>
      <c r="U1093" t="n">
        <v>113328</v>
      </c>
      <c r="V1093" t="n">
        <v>0</v>
      </c>
    </row>
    <row r="1094">
      <c r="A1094" t="n">
        <v>1093</v>
      </c>
      <c r="B1094" t="inlineStr">
        <is>
          <t>Charge from Warehouse/cy to trucks</t>
        </is>
      </c>
      <c r="C1094" t="inlineStr">
        <is>
          <t>កំពង់ផែស្វយ័តក្រុងព្រះសីហនុ</t>
        </is>
      </c>
      <c r="D1094" t="inlineStr">
        <is>
          <t>L001-100044638</t>
        </is>
      </c>
      <c r="E1094" t="inlineStr">
        <is>
          <t>174745</t>
        </is>
      </c>
      <c r="F1094" t="inlineStr">
        <is>
          <t>26-08-2024</t>
        </is>
      </c>
      <c r="G1094" t="n">
        <v>2497</v>
      </c>
      <c r="I1094">
        <f>G1094</f>
        <v/>
      </c>
      <c r="K1094">
        <f>I1094-G1094</f>
        <v/>
      </c>
      <c r="M1094">
        <f>R1094=E1094</f>
        <v/>
      </c>
      <c r="N1094">
        <f>AND(MONTH(F1094)=MONTH(Q1094), YEAR(F1094)=YEAR(Q1094))</f>
        <v/>
      </c>
      <c r="O1094">
        <f>"L001-902303751"=S1094</f>
        <v/>
      </c>
      <c r="P1094">
        <f>G1094-U1094</f>
        <v/>
      </c>
      <c r="Q1094" s="35" t="n">
        <v>45460</v>
      </c>
      <c r="R1094" t="inlineStr"/>
      <c r="S1094" t="inlineStr">
        <is>
          <t>L001-107032791</t>
        </is>
      </c>
      <c r="T1094" t="inlineStr">
        <is>
          <t>នីបផន អិចប្រេស (ខេមបូឌា) ខូ អិលធីឌី</t>
        </is>
      </c>
      <c r="U1094" t="n">
        <v>0</v>
      </c>
      <c r="V1094" t="n">
        <v>0</v>
      </c>
    </row>
    <row r="1095">
      <c r="A1095" t="n">
        <v>1094</v>
      </c>
      <c r="B1095" t="inlineStr">
        <is>
          <t>Lift-On &amp; Lift-Off</t>
        </is>
      </c>
      <c r="C1095" t="inlineStr">
        <is>
          <t>កំពង់ផែស្វយ័តក្រុងព្រះសីហនុ</t>
        </is>
      </c>
      <c r="D1095" t="inlineStr">
        <is>
          <t>L001-100044638</t>
        </is>
      </c>
      <c r="E1095" t="inlineStr">
        <is>
          <t>178722</t>
        </is>
      </c>
      <c r="F1095" t="inlineStr">
        <is>
          <t>30-08-2024</t>
        </is>
      </c>
      <c r="G1095" t="n">
        <v>23125</v>
      </c>
      <c r="I1095">
        <f>G1095</f>
        <v/>
      </c>
      <c r="K1095">
        <f>I1095-G1095</f>
        <v/>
      </c>
      <c r="M1095">
        <f>R1095=E1095</f>
        <v/>
      </c>
      <c r="N1095">
        <f>AND(MONTH(F1095)=MONTH(Q1095), YEAR(F1095)=YEAR(Q1095))</f>
        <v/>
      </c>
      <c r="O1095">
        <f>"L001-902303751"=S1095</f>
        <v/>
      </c>
      <c r="P1095">
        <f>G1095-U1095</f>
        <v/>
      </c>
      <c r="Q1095" s="35" t="n">
        <v>45467</v>
      </c>
      <c r="R1095" t="inlineStr"/>
      <c r="S1095" t="inlineStr">
        <is>
          <t>L001-107032791</t>
        </is>
      </c>
      <c r="T1095" t="inlineStr">
        <is>
          <t>នីបផន អិចប្រេស (ខេមបូឌា) ខូ អិលធីឌី</t>
        </is>
      </c>
      <c r="U1095" t="n">
        <v>0</v>
      </c>
      <c r="V1095" t="n">
        <v>0</v>
      </c>
    </row>
    <row r="1096">
      <c r="A1096" t="n">
        <v>1095</v>
      </c>
      <c r="B1096" t="inlineStr">
        <is>
          <t>Charge from Warehouse/cy to trucks</t>
        </is>
      </c>
      <c r="C1096" t="inlineStr">
        <is>
          <t>កំពង់ផែស្វយ័តក្រុងព្រះសីហនុ</t>
        </is>
      </c>
      <c r="D1096" t="inlineStr">
        <is>
          <t>L001-100044638</t>
        </is>
      </c>
      <c r="E1096" t="inlineStr">
        <is>
          <t>179498</t>
        </is>
      </c>
      <c r="F1096" t="inlineStr">
        <is>
          <t>31-08-2024</t>
        </is>
      </c>
      <c r="G1096" t="n">
        <v>1243</v>
      </c>
      <c r="I1096">
        <f>G1096</f>
        <v/>
      </c>
      <c r="K1096">
        <f>I1096-G1096</f>
        <v/>
      </c>
      <c r="M1096">
        <f>R1096=E1096</f>
        <v/>
      </c>
      <c r="N1096">
        <f>AND(MONTH(F1096)=MONTH(Q1096), YEAR(F1096)=YEAR(Q1096))</f>
        <v/>
      </c>
      <c r="O1096">
        <f>"L001-902303751"=S1096</f>
        <v/>
      </c>
      <c r="P1096">
        <f>G1096-U1096</f>
        <v/>
      </c>
      <c r="Q1096" s="35" t="n">
        <v>45467</v>
      </c>
      <c r="R1096" t="n">
        <v>180088</v>
      </c>
      <c r="S1096" t="inlineStr">
        <is>
          <t>K003-901635943</t>
        </is>
      </c>
      <c r="T1096" t="inlineStr">
        <is>
          <t>អ៊ីឃ្យូឡាញ វើលវ៉ាយដ៍ ឡូជីស្ទីក</t>
        </is>
      </c>
      <c r="U1096" t="n">
        <v>180088</v>
      </c>
      <c r="V1096" t="n">
        <v>0</v>
      </c>
    </row>
    <row r="1097">
      <c r="A1097" t="n">
        <v>1096</v>
      </c>
      <c r="B1097" t="inlineStr">
        <is>
          <t>Cargo Terminal</t>
        </is>
      </c>
      <c r="C1097" t="inlineStr">
        <is>
          <t>សូស៊ីយេតេ កុងសេស្យូនែរ ដឺ ឡាអេរ៉ូព័រ</t>
        </is>
      </c>
      <c r="D1097" t="inlineStr">
        <is>
          <t>L001-100047300</t>
        </is>
      </c>
      <c r="E1097" t="inlineStr">
        <is>
          <t>2400-067295</t>
        </is>
      </c>
      <c r="F1097" t="inlineStr">
        <is>
          <t>22-08-2024</t>
        </is>
      </c>
      <c r="G1097" t="n">
        <v>18267</v>
      </c>
      <c r="I1097">
        <f>G1097</f>
        <v/>
      </c>
      <c r="K1097">
        <f>I1097-G1097</f>
        <v/>
      </c>
      <c r="M1097">
        <f>R1097=E1097</f>
        <v/>
      </c>
      <c r="N1097">
        <f>AND(MONTH(F1097)=MONTH(Q1097), YEAR(F1097)=YEAR(Q1097))</f>
        <v/>
      </c>
      <c r="O1097">
        <f>"L001-902303751"=S1097</f>
        <v/>
      </c>
      <c r="P1097">
        <f>G1097-U1097</f>
        <v/>
      </c>
      <c r="Q1097" s="35" t="n">
        <v>45467</v>
      </c>
      <c r="R1097" t="inlineStr"/>
      <c r="S1097" t="inlineStr">
        <is>
          <t>L001-100045995</t>
        </is>
      </c>
      <c r="T1097" t="inlineStr">
        <is>
          <t>ឌីអេចអិល ឡូជីស្ទីក (ខេមបូឌា)</t>
        </is>
      </c>
      <c r="U1097" t="n">
        <v>0</v>
      </c>
      <c r="V1097" t="n">
        <v>0</v>
      </c>
    </row>
    <row r="1098">
      <c r="A1098" t="n">
        <v>1097</v>
      </c>
      <c r="B1098" t="inlineStr">
        <is>
          <t>Cargo Terminal</t>
        </is>
      </c>
      <c r="C1098" t="inlineStr">
        <is>
          <t>សូស៊ីយេតេ កុងសេស្យូនែរ ដឺ ឡាអេរ៉ូព័រ</t>
        </is>
      </c>
      <c r="D1098" t="inlineStr">
        <is>
          <t>L001-100047300</t>
        </is>
      </c>
      <c r="E1098" t="inlineStr">
        <is>
          <t>2400-067294</t>
        </is>
      </c>
      <c r="F1098" t="inlineStr">
        <is>
          <t>22-08-2024</t>
        </is>
      </c>
      <c r="G1098" t="n">
        <v>2384</v>
      </c>
      <c r="I1098">
        <f>G1098</f>
        <v/>
      </c>
      <c r="K1098">
        <f>I1098-G1098</f>
        <v/>
      </c>
      <c r="M1098">
        <f>R1098=E1098</f>
        <v/>
      </c>
      <c r="N1098">
        <f>AND(MONTH(F1098)=MONTH(Q1098), YEAR(F1098)=YEAR(Q1098))</f>
        <v/>
      </c>
      <c r="O1098">
        <f>"L001-902303751"=S1098</f>
        <v/>
      </c>
      <c r="P1098">
        <f>G1098-U1098</f>
        <v/>
      </c>
      <c r="Q1098" s="35" t="n">
        <v>45453</v>
      </c>
      <c r="R1098" t="n">
        <v>207757</v>
      </c>
      <c r="S1098" t="inlineStr">
        <is>
          <t>L001-107032791</t>
        </is>
      </c>
      <c r="T1098" t="inlineStr">
        <is>
          <t>នីបផន អិចប្រេស (ខេមបូឌា) ខូ អិលធីឌី</t>
        </is>
      </c>
      <c r="U1098" t="n">
        <v>207757</v>
      </c>
      <c r="V1098" t="n">
        <v>0</v>
      </c>
    </row>
    <row r="1099">
      <c r="A1099" t="n">
        <v>1098</v>
      </c>
      <c r="B1099" t="inlineStr">
        <is>
          <t>Cargo Terminal</t>
        </is>
      </c>
      <c r="C1099" t="inlineStr">
        <is>
          <t>សូស៊ីយេតេ កុងសេស្យូនែរ ដឺ ឡាអេរ៉ូព័រ</t>
        </is>
      </c>
      <c r="D1099" t="inlineStr">
        <is>
          <t>L001-100047300</t>
        </is>
      </c>
      <c r="E1099" t="inlineStr">
        <is>
          <t>2400-060571</t>
        </is>
      </c>
      <c r="F1099" t="inlineStr">
        <is>
          <t>01-08-2024</t>
        </is>
      </c>
      <c r="G1099" t="n">
        <v>29518</v>
      </c>
      <c r="I1099">
        <f>G1099</f>
        <v/>
      </c>
      <c r="K1099">
        <f>I1099-G1099</f>
        <v/>
      </c>
      <c r="M1099">
        <f>R1099=E1099</f>
        <v/>
      </c>
      <c r="N1099">
        <f>AND(MONTH(F1099)=MONTH(Q1099), YEAR(F1099)=YEAR(Q1099))</f>
        <v/>
      </c>
      <c r="O1099">
        <f>"L001-902303751"=S1099</f>
        <v/>
      </c>
      <c r="P1099">
        <f>G1099-U1099</f>
        <v/>
      </c>
      <c r="Q1099" s="35" t="n">
        <v>45453</v>
      </c>
      <c r="R1099" t="n">
        <v>294151</v>
      </c>
      <c r="S1099" t="inlineStr">
        <is>
          <t>L001-100045995</t>
        </is>
      </c>
      <c r="T1099" t="inlineStr">
        <is>
          <t>ឌីអេចអិល ឡូជីស្ទីក (ខេមបូឌា)</t>
        </is>
      </c>
      <c r="U1099" t="n">
        <v>294151</v>
      </c>
      <c r="V1099" t="n">
        <v>0</v>
      </c>
    </row>
    <row r="1100">
      <c r="A1100" t="n">
        <v>1099</v>
      </c>
      <c r="B1100" t="inlineStr">
        <is>
          <t>Customs Clearance Fee</t>
        </is>
      </c>
      <c r="C1100" t="inlineStr">
        <is>
          <t>ត្រាយអ៊ែងហ្គល ឡូជីស្ទីក (ខេមបូឌា) ឯ.ក</t>
        </is>
      </c>
      <c r="D1100" t="inlineStr">
        <is>
          <t>K010-902101743</t>
        </is>
      </c>
      <c r="E1100" t="inlineStr">
        <is>
          <t>TAG-24-00519</t>
        </is>
      </c>
      <c r="F1100" t="inlineStr">
        <is>
          <t>06-08-2024</t>
        </is>
      </c>
      <c r="G1100" t="n">
        <v>8218</v>
      </c>
      <c r="I1100">
        <f>G1100</f>
        <v/>
      </c>
      <c r="K1100">
        <f>I1100-G1100</f>
        <v/>
      </c>
      <c r="M1100">
        <f>R1100=E1100</f>
        <v/>
      </c>
      <c r="N1100">
        <f>AND(MONTH(F1100)=MONTH(Q1100), YEAR(F1100)=YEAR(Q1100))</f>
        <v/>
      </c>
      <c r="O1100">
        <f>"L001-902303751"=S1100</f>
        <v/>
      </c>
      <c r="P1100">
        <f>G1100-U1100</f>
        <v/>
      </c>
      <c r="Q1100" s="35" t="n">
        <v>45446</v>
      </c>
      <c r="R1100" t="inlineStr"/>
      <c r="S1100" t="inlineStr">
        <is>
          <t>L001-107032791</t>
        </is>
      </c>
      <c r="T1100" t="inlineStr">
        <is>
          <t>នីបផន អិចប្រេស (ខេមបូឌា) ខូ អិលធីឌី</t>
        </is>
      </c>
      <c r="U1100" t="n">
        <v>0</v>
      </c>
      <c r="V1100" t="n">
        <v>0</v>
      </c>
    </row>
    <row r="1101">
      <c r="A1101" t="n">
        <v>1100</v>
      </c>
      <c r="B1101" t="inlineStr">
        <is>
          <t>Cargo Terminal</t>
        </is>
      </c>
      <c r="C1101" t="inlineStr">
        <is>
          <t>សូស៊ីយេតេ កុងសេស្យូនែរ ដឺ ឡាអេរ៉ូព័រ</t>
        </is>
      </c>
      <c r="D1101" t="inlineStr">
        <is>
          <t>L001-100047300</t>
        </is>
      </c>
      <c r="E1101" t="inlineStr">
        <is>
          <t>2400-060582</t>
        </is>
      </c>
      <c r="F1101" t="inlineStr">
        <is>
          <t>01-08-2024</t>
        </is>
      </c>
      <c r="G1101" t="n">
        <v>14497</v>
      </c>
      <c r="I1101">
        <f>G1101</f>
        <v/>
      </c>
      <c r="K1101">
        <f>I1101-G1101</f>
        <v/>
      </c>
      <c r="M1101">
        <f>R1101=E1101</f>
        <v/>
      </c>
      <c r="N1101">
        <f>AND(MONTH(F1101)=MONTH(Q1101), YEAR(F1101)=YEAR(Q1101))</f>
        <v/>
      </c>
      <c r="O1101">
        <f>"L001-902303751"=S1101</f>
        <v/>
      </c>
      <c r="P1101">
        <f>G1101-U1101</f>
        <v/>
      </c>
      <c r="Q1101" s="35" t="n">
        <v>45446</v>
      </c>
      <c r="R1101" t="n">
        <v>84030</v>
      </c>
      <c r="S1101" t="inlineStr">
        <is>
          <t>L001-107032791</t>
        </is>
      </c>
      <c r="T1101" t="inlineStr">
        <is>
          <t>នីបផន អិចប្រេស (ខេមបូឌា) ខូ អិលធីឌី</t>
        </is>
      </c>
      <c r="U1101" t="n">
        <v>84030</v>
      </c>
      <c r="V1101" t="n">
        <v>0</v>
      </c>
    </row>
    <row r="1102">
      <c r="A1102" t="n">
        <v>1101</v>
      </c>
      <c r="B1102" t="inlineStr">
        <is>
          <t>Customs Clearance Fee</t>
        </is>
      </c>
      <c r="C1102" t="inlineStr">
        <is>
          <t>ត្រាយអ៊ែងហ្គល ឡូជីស្ទីក (ខេមបូឌា) ឯ.ក</t>
        </is>
      </c>
      <c r="D1102" t="inlineStr">
        <is>
          <t>K010-902101743</t>
        </is>
      </c>
      <c r="E1102" t="inlineStr">
        <is>
          <t>TAG-24-00518</t>
        </is>
      </c>
      <c r="F1102" t="inlineStr">
        <is>
          <t>06-08-2024</t>
        </is>
      </c>
      <c r="G1102" t="n">
        <v>8218</v>
      </c>
      <c r="I1102">
        <f>G1102</f>
        <v/>
      </c>
      <c r="K1102">
        <f>I1102-G1102</f>
        <v/>
      </c>
      <c r="M1102">
        <f>R1102=E1102</f>
        <v/>
      </c>
      <c r="N1102">
        <f>AND(MONTH(F1102)=MONTH(Q1102), YEAR(F1102)=YEAR(Q1102))</f>
        <v/>
      </c>
      <c r="O1102">
        <f>"L001-902303751"=S1102</f>
        <v/>
      </c>
      <c r="P1102">
        <f>G1102-U1102</f>
        <v/>
      </c>
      <c r="Q1102" s="35" t="n">
        <v>45446</v>
      </c>
      <c r="R1102" t="inlineStr"/>
      <c r="S1102" t="inlineStr">
        <is>
          <t>L001-100045995</t>
        </is>
      </c>
      <c r="T1102" t="inlineStr">
        <is>
          <t>ឌីអេចអិល ឡូជីស្ទីក (ខេមបូឌា)</t>
        </is>
      </c>
      <c r="U1102" t="n">
        <v>0</v>
      </c>
      <c r="V1102" t="n">
        <v>0</v>
      </c>
    </row>
    <row r="1103">
      <c r="A1103" t="n">
        <v>1102</v>
      </c>
      <c r="B1103" t="inlineStr">
        <is>
          <t>Cargo Terminal</t>
        </is>
      </c>
      <c r="C1103" t="inlineStr">
        <is>
          <t>សូស៊ីយេតេ កុងសេស្យូនែរ ដឺ ឡាអេរ៉ូព័រ</t>
        </is>
      </c>
      <c r="D1103" t="inlineStr">
        <is>
          <t>L001-100047300</t>
        </is>
      </c>
      <c r="E1103" t="inlineStr">
        <is>
          <t>2400-061229</t>
        </is>
      </c>
      <c r="F1103" t="inlineStr">
        <is>
          <t>03-08-2024</t>
        </is>
      </c>
      <c r="G1103" t="n">
        <v>3876</v>
      </c>
      <c r="I1103">
        <f>G1103</f>
        <v/>
      </c>
      <c r="K1103">
        <f>I1103-G1103</f>
        <v/>
      </c>
      <c r="M1103">
        <f>R1103=E1103</f>
        <v/>
      </c>
      <c r="N1103">
        <f>AND(MONTH(F1103)=MONTH(Q1103), YEAR(F1103)=YEAR(Q1103))</f>
        <v/>
      </c>
      <c r="O1103">
        <f>"L001-902303751"=S1103</f>
        <v/>
      </c>
      <c r="P1103">
        <f>G1103-U1103</f>
        <v/>
      </c>
      <c r="Q1103" s="35" t="n">
        <v>45444</v>
      </c>
      <c r="R1103" t="n">
        <v>98641</v>
      </c>
      <c r="S1103" t="inlineStr">
        <is>
          <t>L001-100045340</t>
        </is>
      </c>
      <c r="T1103" t="inlineStr">
        <is>
          <t xml:space="preserve">ស៊ីវ៉ា អ៊ែរ អ៊ែន អូសៀន (ខេមបូឌា) ឯ.ក </t>
        </is>
      </c>
      <c r="U1103" t="n">
        <v>98641</v>
      </c>
      <c r="V1103" t="n">
        <v>0</v>
      </c>
    </row>
    <row r="1104">
      <c r="A1104" t="n">
        <v>1103</v>
      </c>
      <c r="B1104" t="inlineStr">
        <is>
          <t>Customs Clearance Fee</t>
        </is>
      </c>
      <c r="C1104" t="inlineStr">
        <is>
          <t>ត្រាយអ៊ែងហ្គល ឡូជីស្ទីក (ខេមបូឌា) ឯ.ក</t>
        </is>
      </c>
      <c r="D1104" t="inlineStr">
        <is>
          <t>K010-902101743</t>
        </is>
      </c>
      <c r="E1104" t="inlineStr">
        <is>
          <t>TAG-24-00517</t>
        </is>
      </c>
      <c r="F1104" t="inlineStr">
        <is>
          <t>06-08-2024</t>
        </is>
      </c>
      <c r="G1104" t="n">
        <v>8218</v>
      </c>
      <c r="I1104">
        <f>G1104</f>
        <v/>
      </c>
      <c r="K1104">
        <f>I1104-G1104</f>
        <v/>
      </c>
      <c r="M1104">
        <f>R1104=E1104</f>
        <v/>
      </c>
      <c r="N1104">
        <f>AND(MONTH(F1104)=MONTH(Q1104), YEAR(F1104)=YEAR(Q1104))</f>
        <v/>
      </c>
      <c r="O1104">
        <f>"L001-902303751"=S1104</f>
        <v/>
      </c>
      <c r="P1104">
        <f>G1104-U1104</f>
        <v/>
      </c>
      <c r="Q1104" s="35" t="n">
        <v>45460</v>
      </c>
      <c r="R1104" t="n">
        <v>175143</v>
      </c>
      <c r="S1104" t="inlineStr">
        <is>
          <t>L001-107032791</t>
        </is>
      </c>
      <c r="T1104" t="inlineStr">
        <is>
          <t>នីបផន អិចប្រេស (ខេមបូឌា) ខូ អិលធីឌី</t>
        </is>
      </c>
      <c r="U1104" t="n">
        <v>175143</v>
      </c>
      <c r="V1104" t="n">
        <v>0</v>
      </c>
    </row>
    <row r="1105">
      <c r="A1105" t="n">
        <v>1104</v>
      </c>
      <c r="B1105" t="inlineStr">
        <is>
          <t>Cargo Terminal</t>
        </is>
      </c>
      <c r="C1105" t="inlineStr">
        <is>
          <t>សូស៊ីយេតេ កុងសេស្យូនែរ ដឺ ឡាអេរ៉ូព័រ</t>
        </is>
      </c>
      <c r="D1105" t="inlineStr">
        <is>
          <t>L001-100047300</t>
        </is>
      </c>
      <c r="E1105" t="inlineStr">
        <is>
          <t>2400-066934</t>
        </is>
      </c>
      <c r="F1105" t="inlineStr">
        <is>
          <t>21-08-2024</t>
        </is>
      </c>
      <c r="G1105" t="n">
        <v>8731</v>
      </c>
      <c r="I1105">
        <f>G1105</f>
        <v/>
      </c>
      <c r="K1105">
        <f>I1105-G1105</f>
        <v/>
      </c>
      <c r="M1105">
        <f>R1105=E1105</f>
        <v/>
      </c>
      <c r="N1105">
        <f>AND(MONTH(F1105)=MONTH(Q1105), YEAR(F1105)=YEAR(Q1105))</f>
        <v/>
      </c>
      <c r="O1105">
        <f>"L001-902303751"=S1105</f>
        <v/>
      </c>
      <c r="P1105">
        <f>G1105-U1105</f>
        <v/>
      </c>
      <c r="Q1105" s="35" t="n">
        <v>45460</v>
      </c>
      <c r="R1105" t="inlineStr"/>
      <c r="S1105" t="inlineStr">
        <is>
          <t>L001-100045995</t>
        </is>
      </c>
      <c r="T1105" t="inlineStr">
        <is>
          <t>ឌីអេចអិល ឡូជីស្ទីក (ខេមបូឌា)</t>
        </is>
      </c>
      <c r="U1105" t="n">
        <v>0</v>
      </c>
      <c r="V1105" t="n">
        <v>0</v>
      </c>
    </row>
    <row r="1106">
      <c r="A1106" t="n">
        <v>1105</v>
      </c>
      <c r="B1106" t="inlineStr">
        <is>
          <t>Customs Clearance Fee</t>
        </is>
      </c>
      <c r="C1106" t="inlineStr">
        <is>
          <t>ត្រាយអ៊ែងហ្គល ឡូជីស្ទីក (ខេមបូឌា) ឯ.ក</t>
        </is>
      </c>
      <c r="D1106" t="inlineStr">
        <is>
          <t>K010-902101743</t>
        </is>
      </c>
      <c r="E1106" t="inlineStr">
        <is>
          <t>TAG-24-00593</t>
        </is>
      </c>
      <c r="F1106" t="inlineStr">
        <is>
          <t>29-08-2024</t>
        </is>
      </c>
      <c r="G1106" t="n">
        <v>8122</v>
      </c>
      <c r="I1106">
        <f>G1106</f>
        <v/>
      </c>
      <c r="K1106">
        <f>I1106-G1106</f>
        <v/>
      </c>
      <c r="M1106">
        <f>R1106=E1106</f>
        <v/>
      </c>
      <c r="N1106">
        <f>AND(MONTH(F1106)=MONTH(Q1106), YEAR(F1106)=YEAR(Q1106))</f>
        <v/>
      </c>
      <c r="O1106">
        <f>"L001-902303751"=S1106</f>
        <v/>
      </c>
      <c r="P1106">
        <f>G1106-U1106</f>
        <v/>
      </c>
      <c r="Q1106" s="35" t="n">
        <v>45460</v>
      </c>
      <c r="R1106" t="n">
        <v>84481</v>
      </c>
      <c r="S1106" t="inlineStr">
        <is>
          <t>L001-100045995</t>
        </is>
      </c>
      <c r="T1106" t="inlineStr">
        <is>
          <t>ឌីអេចអិល ឡូជីស្ទីក (ខេមបូឌា)</t>
        </is>
      </c>
      <c r="U1106" t="n">
        <v>84481</v>
      </c>
      <c r="V1106" t="n">
        <v>0</v>
      </c>
    </row>
    <row r="1107">
      <c r="A1107" t="n">
        <v>1106</v>
      </c>
      <c r="B1107" t="inlineStr">
        <is>
          <t>Customs Clearance Fee</t>
        </is>
      </c>
      <c r="C1107" t="inlineStr">
        <is>
          <t>ត្រាយអ៊ែងហ្គល ឡូជីស្ទីក (ខេមបូឌា) ឯ.ក</t>
        </is>
      </c>
      <c r="D1107" t="inlineStr">
        <is>
          <t>K010-902101743</t>
        </is>
      </c>
      <c r="E1107" t="inlineStr">
        <is>
          <t>TAG-24-00592</t>
        </is>
      </c>
      <c r="F1107" t="inlineStr">
        <is>
          <t>29-08-2024</t>
        </is>
      </c>
      <c r="G1107" t="n">
        <v>8122</v>
      </c>
      <c r="I1107">
        <f>G1107</f>
        <v/>
      </c>
      <c r="K1107">
        <f>I1107-G1107</f>
        <v/>
      </c>
      <c r="M1107">
        <f>R1107=E1107</f>
        <v/>
      </c>
      <c r="N1107">
        <f>AND(MONTH(F1107)=MONTH(Q1107), YEAR(F1107)=YEAR(Q1107))</f>
        <v/>
      </c>
      <c r="O1107">
        <f>"L001-902303751"=S1107</f>
        <v/>
      </c>
      <c r="P1107">
        <f>G1107-U1107</f>
        <v/>
      </c>
      <c r="Q1107" s="35" t="n">
        <v>45467</v>
      </c>
      <c r="R1107" t="n">
        <v>113328</v>
      </c>
      <c r="S1107" t="inlineStr">
        <is>
          <t>L001-107032791</t>
        </is>
      </c>
      <c r="T1107" t="inlineStr">
        <is>
          <t>នីបផន អិចប្រេស (ខេមបូឌា) ខូ អិលធីឌី</t>
        </is>
      </c>
      <c r="U1107" t="n">
        <v>113328</v>
      </c>
      <c r="V1107" t="n">
        <v>0</v>
      </c>
    </row>
    <row r="1108">
      <c r="A1108" t="n">
        <v>1107</v>
      </c>
      <c r="B1108" t="inlineStr">
        <is>
          <t>Charge from Warehouse/cy to trucks</t>
        </is>
      </c>
      <c r="C1108" t="inlineStr">
        <is>
          <t>កំពង់ផែស្វយ័តក្រុងព្រះសីហនុ</t>
        </is>
      </c>
      <c r="D1108" t="inlineStr">
        <is>
          <t>L001-100044638</t>
        </is>
      </c>
      <c r="E1108" t="inlineStr">
        <is>
          <t>173997</t>
        </is>
      </c>
      <c r="F1108" t="inlineStr">
        <is>
          <t>24-08-2024</t>
        </is>
      </c>
      <c r="G1108" t="n">
        <v>3125</v>
      </c>
      <c r="I1108">
        <f>G1108</f>
        <v/>
      </c>
      <c r="K1108">
        <f>I1108-G1108</f>
        <v/>
      </c>
      <c r="M1108">
        <f>R1108=E1108</f>
        <v/>
      </c>
      <c r="N1108">
        <f>AND(MONTH(F1108)=MONTH(Q1108), YEAR(F1108)=YEAR(Q1108))</f>
        <v/>
      </c>
      <c r="O1108">
        <f>"L001-902303751"=S1108</f>
        <v/>
      </c>
      <c r="P1108">
        <f>G1108-U1108</f>
        <v/>
      </c>
      <c r="Q1108" s="35" t="n">
        <v>45467</v>
      </c>
      <c r="R1108" t="n">
        <v>113328</v>
      </c>
      <c r="S1108" t="inlineStr">
        <is>
          <t>L001-107032791</t>
        </is>
      </c>
      <c r="T1108" t="inlineStr">
        <is>
          <t>នីបផន អិចប្រេស (ខេមបូឌា) ខូ អិលធីឌី</t>
        </is>
      </c>
      <c r="U1108" t="n">
        <v>113328</v>
      </c>
      <c r="V1108" t="n">
        <v>0</v>
      </c>
    </row>
    <row r="1109">
      <c r="A1109" t="n">
        <v>1108</v>
      </c>
      <c r="B1109" t="inlineStr">
        <is>
          <t>Charge from Warehouse/cy to trucks</t>
        </is>
      </c>
      <c r="C1109" t="inlineStr">
        <is>
          <t>កំពង់ផែស្វយ័តក្រុងព្រះសីហនុ</t>
        </is>
      </c>
      <c r="D1109" t="inlineStr">
        <is>
          <t>L001-100044638</t>
        </is>
      </c>
      <c r="E1109" t="inlineStr">
        <is>
          <t>174001</t>
        </is>
      </c>
      <c r="F1109" t="inlineStr">
        <is>
          <t>24-08-2024</t>
        </is>
      </c>
      <c r="G1109" t="n">
        <v>1251</v>
      </c>
      <c r="I1109">
        <f>G1109</f>
        <v/>
      </c>
      <c r="K1109">
        <f>I1109-G1109</f>
        <v/>
      </c>
      <c r="M1109">
        <f>R1109=E1109</f>
        <v/>
      </c>
      <c r="N1109">
        <f>AND(MONTH(F1109)=MONTH(Q1109), YEAR(F1109)=YEAR(Q1109))</f>
        <v/>
      </c>
      <c r="O1109">
        <f>"L001-902303751"=S1109</f>
        <v/>
      </c>
      <c r="P1109">
        <f>G1109-U1109</f>
        <v/>
      </c>
      <c r="Q1109" s="35" t="n">
        <v>45453</v>
      </c>
      <c r="R1109" t="n">
        <v>113135</v>
      </c>
      <c r="S1109" t="inlineStr">
        <is>
          <t>L001-100045995</t>
        </is>
      </c>
      <c r="T1109" t="inlineStr">
        <is>
          <t>ឌីអេចអិល ឡូជីស្ទីក (ខេមបូឌា)</t>
        </is>
      </c>
      <c r="U1109" t="n">
        <v>113135</v>
      </c>
      <c r="V1109" t="n">
        <v>0</v>
      </c>
    </row>
    <row r="1110">
      <c r="A1110" t="n">
        <v>1109</v>
      </c>
      <c r="B1110" t="inlineStr">
        <is>
          <t>Customs Clearance Fee and Trucking Fee</t>
        </is>
      </c>
      <c r="C1110" t="inlineStr">
        <is>
          <t>ត្រាយអ៊ែងហ្គល ឡូជីស្ទីក (ខេមបូឌា) ឯ.ក</t>
        </is>
      </c>
      <c r="D1110" t="inlineStr">
        <is>
          <t>K010-902101743</t>
        </is>
      </c>
      <c r="E1110" t="inlineStr">
        <is>
          <t>TAG-24-00607</t>
        </is>
      </c>
      <c r="F1110" t="inlineStr">
        <is>
          <t>31-08-2024</t>
        </is>
      </c>
      <c r="G1110" t="n">
        <v>28399</v>
      </c>
      <c r="I1110">
        <f>G1110</f>
        <v/>
      </c>
      <c r="K1110">
        <f>I1110-G1110</f>
        <v/>
      </c>
      <c r="M1110">
        <f>R1110=E1110</f>
        <v/>
      </c>
      <c r="N1110">
        <f>AND(MONTH(F1110)=MONTH(Q1110), YEAR(F1110)=YEAR(Q1110))</f>
        <v/>
      </c>
      <c r="O1110">
        <f>"L001-902303751"=S1110</f>
        <v/>
      </c>
      <c r="P1110">
        <f>G1110-U1110</f>
        <v/>
      </c>
      <c r="Q1110" s="35" t="n">
        <v>45446</v>
      </c>
      <c r="R1110" t="inlineStr"/>
      <c r="S1110" t="inlineStr">
        <is>
          <t>L001-107032791</t>
        </is>
      </c>
      <c r="T1110" t="inlineStr">
        <is>
          <t>នីបផន អិចប្រេស (ខេមបូឌា) ខូ អិលធីឌី</t>
        </is>
      </c>
      <c r="U1110" t="n">
        <v>0</v>
      </c>
      <c r="V1110" t="n">
        <v>0</v>
      </c>
    </row>
    <row r="1111">
      <c r="A1111" t="n">
        <v>1110</v>
      </c>
      <c r="B1111" t="inlineStr">
        <is>
          <t>Customs Clearance Fee and Trucking Fee</t>
        </is>
      </c>
      <c r="C1111" t="inlineStr">
        <is>
          <t>ត្រាយអ៊ែងហ្គល ឡូជីស្ទីក (ខេមបូឌា) ឯ.ក</t>
        </is>
      </c>
      <c r="D1111" t="inlineStr">
        <is>
          <t>K010-902101743</t>
        </is>
      </c>
      <c r="E1111" t="inlineStr">
        <is>
          <t>TAG-24-00604</t>
        </is>
      </c>
      <c r="F1111" t="inlineStr">
        <is>
          <t>30-08-2024</t>
        </is>
      </c>
      <c r="G1111" t="n">
        <v>68969</v>
      </c>
      <c r="I1111">
        <f>G1111</f>
        <v/>
      </c>
      <c r="K1111">
        <f>I1111-G1111</f>
        <v/>
      </c>
      <c r="M1111">
        <f>R1111=E1111</f>
        <v/>
      </c>
      <c r="N1111">
        <f>AND(MONTH(F1111)=MONTH(Q1111), YEAR(F1111)=YEAR(Q1111))</f>
        <v/>
      </c>
      <c r="O1111">
        <f>"L001-902303751"=S1111</f>
        <v/>
      </c>
      <c r="P1111">
        <f>G1111-U1111</f>
        <v/>
      </c>
      <c r="Q1111" s="35" t="n">
        <v>45446</v>
      </c>
      <c r="R1111" t="n">
        <v>112723</v>
      </c>
      <c r="S1111" t="inlineStr">
        <is>
          <t>L001-107032791</t>
        </is>
      </c>
      <c r="T1111" t="inlineStr">
        <is>
          <t>នីបផន អិចប្រេស (ខេមបូឌា) ខូ អិលធីឌី</t>
        </is>
      </c>
      <c r="U1111" t="n">
        <v>112723</v>
      </c>
      <c r="V1111" t="n">
        <v>0</v>
      </c>
    </row>
    <row r="1112">
      <c r="A1112" t="n">
        <v>1111</v>
      </c>
      <c r="B1112" t="inlineStr">
        <is>
          <t>Terminal Handling Charge, EMF, 3 Party Trucking, Container Imbalance Charge, D/O Fee, Document Fee and Handling Charge</t>
        </is>
      </c>
      <c r="C1112" t="inlineStr">
        <is>
          <t>ខេអិលអិន ហ្វ្រេត (ខេមបូឌា) ឯ.ក</t>
        </is>
      </c>
      <c r="D1112" t="inlineStr">
        <is>
          <t>L001-100074669</t>
        </is>
      </c>
      <c r="E1112" t="inlineStr">
        <is>
          <t>IVO14061</t>
        </is>
      </c>
      <c r="F1112" t="inlineStr">
        <is>
          <t>09-08-2024</t>
        </is>
      </c>
      <c r="G1112" t="n">
        <v>141023</v>
      </c>
      <c r="I1112">
        <f>G1112</f>
        <v/>
      </c>
      <c r="K1112">
        <f>I1112-G1112</f>
        <v/>
      </c>
      <c r="M1112">
        <f>R1112=E1112</f>
        <v/>
      </c>
      <c r="N1112">
        <f>AND(MONTH(F1112)=MONTH(Q1112), YEAR(F1112)=YEAR(Q1112))</f>
        <v/>
      </c>
      <c r="O1112">
        <f>"L001-902303751"=S1112</f>
        <v/>
      </c>
      <c r="P1112">
        <f>G1112-U1112</f>
        <v/>
      </c>
      <c r="Q1112" s="35" t="n">
        <v>45446</v>
      </c>
      <c r="R1112" t="n">
        <v>293079</v>
      </c>
      <c r="S1112" t="inlineStr">
        <is>
          <t>L001-100045995</t>
        </is>
      </c>
      <c r="T1112" t="inlineStr">
        <is>
          <t>ឌីអេចអិល ឡូជីស្ទីក (ខេមបូឌា)</t>
        </is>
      </c>
      <c r="U1112" t="n">
        <v>293079</v>
      </c>
      <c r="V1112" t="n">
        <v>0</v>
      </c>
    </row>
    <row r="1113">
      <c r="A1113" t="n">
        <v>1112</v>
      </c>
      <c r="B1113" t="inlineStr">
        <is>
          <t>Terminal Handling Charge, EMF, 3 Party Trucking, Container Imbalance Charge, D/O Fee, Document Fee and Handling Charge</t>
        </is>
      </c>
      <c r="C1113" t="inlineStr">
        <is>
          <t>ខេអិលអិន ហ្វ្រេត (ខេមបូឌា) ឯ.ក</t>
        </is>
      </c>
      <c r="D1113" t="inlineStr">
        <is>
          <t>L001-100074669</t>
        </is>
      </c>
      <c r="E1113" t="inlineStr">
        <is>
          <t>IVO13346</t>
        </is>
      </c>
      <c r="F1113" t="inlineStr">
        <is>
          <t>25-08-2024</t>
        </is>
      </c>
      <c r="G1113" t="n">
        <v>86600</v>
      </c>
      <c r="I1113">
        <f>G1113</f>
        <v/>
      </c>
      <c r="K1113">
        <f>I1113-G1113</f>
        <v/>
      </c>
      <c r="M1113">
        <f>R1113=E1113</f>
        <v/>
      </c>
      <c r="N1113">
        <f>AND(MONTH(F1113)=MONTH(Q1113), YEAR(F1113)=YEAR(Q1113))</f>
        <v/>
      </c>
      <c r="O1113">
        <f>"L001-902303751"=S1113</f>
        <v/>
      </c>
      <c r="P1113">
        <f>G1113-U1113</f>
        <v/>
      </c>
      <c r="Q1113" s="35" t="n">
        <v>45444</v>
      </c>
      <c r="R1113" t="inlineStr"/>
      <c r="S1113" t="inlineStr">
        <is>
          <t>L001-103007369</t>
        </is>
      </c>
      <c r="T1113" t="inlineStr">
        <is>
          <t>អូរៀនថល ឡូជីស្ទីក &amp; ឌីស្ទ្រីប៊្យូសិន (ខេមបូឌា)</t>
        </is>
      </c>
      <c r="U1113" t="n">
        <v>0</v>
      </c>
      <c r="V1113" t="n">
        <v>0</v>
      </c>
    </row>
    <row r="1114">
      <c r="A1114" t="n">
        <v>1113</v>
      </c>
      <c r="B1114" t="inlineStr">
        <is>
          <t>Terminal Handling Charge, EMF, 3 Party Trucking, Container Imbalance Charge, D/O Fee, Document Fee and Handling Charge</t>
        </is>
      </c>
      <c r="C1114" t="inlineStr">
        <is>
          <t>ខេអិលអិន ហ្វ្រេត (ខេមបូឌា) ឯ.ក</t>
        </is>
      </c>
      <c r="D1114" t="inlineStr">
        <is>
          <t>L001-100074669</t>
        </is>
      </c>
      <c r="E1114" t="inlineStr">
        <is>
          <t>IVO12173</t>
        </is>
      </c>
      <c r="F1114" t="inlineStr">
        <is>
          <t>09-08-2024</t>
        </is>
      </c>
      <c r="G1114" t="n">
        <v>90230</v>
      </c>
      <c r="I1114">
        <f>G1114</f>
        <v/>
      </c>
      <c r="K1114">
        <f>I1114-G1114</f>
        <v/>
      </c>
      <c r="M1114">
        <f>R1114=E1114</f>
        <v/>
      </c>
      <c r="N1114">
        <f>AND(MONTH(F1114)=MONTH(Q1114), YEAR(F1114)=YEAR(Q1114))</f>
        <v/>
      </c>
      <c r="O1114">
        <f>"L001-902303751"=S1114</f>
        <v/>
      </c>
      <c r="P1114">
        <f>G1114-U1114</f>
        <v/>
      </c>
      <c r="Q1114" s="35" t="n">
        <v>45444</v>
      </c>
      <c r="R1114" t="inlineStr"/>
      <c r="S1114" t="inlineStr">
        <is>
          <t>L001-100045340</t>
        </is>
      </c>
      <c r="T1114" t="inlineStr">
        <is>
          <t xml:space="preserve">ស៊ីវ៉ា អ៊ែរ អ៊ែន អូសៀន (ខេមបូឌា) ឯ.ក </t>
        </is>
      </c>
      <c r="U1114" t="n">
        <v>0</v>
      </c>
      <c r="V1114" t="n">
        <v>0</v>
      </c>
    </row>
    <row r="1115">
      <c r="A1115" t="n">
        <v>1114</v>
      </c>
      <c r="B1115" t="inlineStr">
        <is>
          <t>Trucking, Customs Clearance, Extra Truckng and Trucking Fuel Surcharge</t>
        </is>
      </c>
      <c r="C1115" t="inlineStr">
        <is>
          <t>អេស អ វី ស៊ី ហ្វ្រេត សឺវីស (ខេមបូឌា) ខូ អិលធីឌី</t>
        </is>
      </c>
      <c r="D1115" t="inlineStr">
        <is>
          <t>K005-100150195</t>
        </is>
      </c>
      <c r="E1115" t="inlineStr">
        <is>
          <t>SRVI2405074</t>
        </is>
      </c>
      <c r="F1115" t="inlineStr">
        <is>
          <t>23-08-2024</t>
        </is>
      </c>
      <c r="G1115" t="n">
        <v>163320</v>
      </c>
      <c r="I1115">
        <f>G1115</f>
        <v/>
      </c>
      <c r="K1115">
        <f>I1115-G1115</f>
        <v/>
      </c>
      <c r="M1115">
        <f>R1115=E1115</f>
        <v/>
      </c>
      <c r="N1115">
        <f>AND(MONTH(F1115)=MONTH(Q1115), YEAR(F1115)=YEAR(Q1115))</f>
        <v/>
      </c>
      <c r="O1115">
        <f>"L001-902303751"=S1115</f>
        <v/>
      </c>
      <c r="P1115">
        <f>G1115-U1115</f>
        <v/>
      </c>
      <c r="Q1115" s="35" t="n">
        <v>45446</v>
      </c>
      <c r="R1115" t="inlineStr"/>
      <c r="S1115" t="inlineStr">
        <is>
          <t>L001-107041723</t>
        </is>
      </c>
      <c r="T1115" t="inlineStr">
        <is>
          <t>ឌីប៊ី សេនឃើរ (ខេមបូឌា) លីមីធីត</t>
        </is>
      </c>
      <c r="U1115" t="n">
        <v>0</v>
      </c>
      <c r="V1115" t="n">
        <v>0</v>
      </c>
    </row>
    <row r="1116">
      <c r="A1116" t="n">
        <v>1115</v>
      </c>
      <c r="B1116" t="inlineStr">
        <is>
          <t>Trucking, Customs Clearance, Extra Truckng and Trucking Fuel Surcharge</t>
        </is>
      </c>
      <c r="C1116" t="inlineStr">
        <is>
          <t>អេស អ វី ស៊ី ហ្វ្រេត សឺវីស (ខេមបូឌា) ខូ អិលធីឌី</t>
        </is>
      </c>
      <c r="D1116" t="inlineStr">
        <is>
          <t>K005-100150195</t>
        </is>
      </c>
      <c r="E1116" t="inlineStr">
        <is>
          <t>SRVI2404782</t>
        </is>
      </c>
      <c r="F1116" t="inlineStr">
        <is>
          <t>14-08-2024</t>
        </is>
      </c>
      <c r="G1116" t="n">
        <v>177959</v>
      </c>
      <c r="I1116">
        <f>G1116</f>
        <v/>
      </c>
      <c r="K1116">
        <f>I1116-G1116</f>
        <v/>
      </c>
      <c r="M1116">
        <f>R1116=E1116</f>
        <v/>
      </c>
      <c r="N1116">
        <f>AND(MONTH(F1116)=MONTH(Q1116), YEAR(F1116)=YEAR(Q1116))</f>
        <v/>
      </c>
      <c r="O1116">
        <f>"L001-902303751"=S1116</f>
        <v/>
      </c>
      <c r="P1116">
        <f>G1116-U1116</f>
        <v/>
      </c>
      <c r="Q1116" s="35" t="n">
        <v>45446</v>
      </c>
      <c r="R1116" t="inlineStr"/>
      <c r="S1116" t="inlineStr">
        <is>
          <t>L001-100045995</t>
        </is>
      </c>
      <c r="T1116" t="inlineStr">
        <is>
          <t>ឌីអេចអិល ឡូជីស្ទីក (ខេមបូឌា)</t>
        </is>
      </c>
      <c r="U1116" t="n">
        <v>0</v>
      </c>
      <c r="V1116" t="n">
        <v>0</v>
      </c>
    </row>
    <row r="1117">
      <c r="A1117" t="n">
        <v>1116</v>
      </c>
      <c r="B1117" t="inlineStr">
        <is>
          <t>Trucking, Customs Clearance, Extra Truckng and Trucking Fuel Surcharge</t>
        </is>
      </c>
      <c r="C1117" t="inlineStr">
        <is>
          <t>អេស អ វី ស៊ី ហ្វ្រេត សឺវីស (ខេមបូឌា) ខូ អិលធីឌី</t>
        </is>
      </c>
      <c r="D1117" t="inlineStr">
        <is>
          <t>K005-100150195</t>
        </is>
      </c>
      <c r="E1117" t="inlineStr">
        <is>
          <t>SRVI2404676</t>
        </is>
      </c>
      <c r="F1117" t="inlineStr">
        <is>
          <t>08-08-2024</t>
        </is>
      </c>
      <c r="G1117" t="n">
        <v>164200</v>
      </c>
      <c r="I1117">
        <f>G1117</f>
        <v/>
      </c>
      <c r="K1117">
        <f>I1117-G1117</f>
        <v/>
      </c>
      <c r="M1117">
        <f>R1117=E1117</f>
        <v/>
      </c>
      <c r="N1117">
        <f>AND(MONTH(F1117)=MONTH(Q1117), YEAR(F1117)=YEAR(Q1117))</f>
        <v/>
      </c>
      <c r="O1117">
        <f>"L001-902303751"=S1117</f>
        <v/>
      </c>
      <c r="P1117">
        <f>G1117-U1117</f>
        <v/>
      </c>
      <c r="Q1117" s="35" t="n">
        <v>45467</v>
      </c>
      <c r="R1117" t="n">
        <v>128163</v>
      </c>
      <c r="S1117" t="inlineStr">
        <is>
          <t>L001-100045340</t>
        </is>
      </c>
      <c r="T1117" t="inlineStr">
        <is>
          <t xml:space="preserve">ស៊ីវ៉ា អ៊ែរ អ៊ែន អូសៀន (ខេមបូឌា) ឯ.ក </t>
        </is>
      </c>
      <c r="U1117" t="n">
        <v>128163</v>
      </c>
      <c r="V1117" t="n">
        <v>0</v>
      </c>
    </row>
    <row r="1118">
      <c r="A1118" t="n">
        <v>1117</v>
      </c>
      <c r="B1118" t="inlineStr">
        <is>
          <t>Trucking, Customs Clearance, Extra Truckng and Trucking Fuel Surcharge</t>
        </is>
      </c>
      <c r="C1118" t="inlineStr">
        <is>
          <t>អេស អ វី ស៊ី ហ្វ្រេត សឺវីស (ខេមបូឌា) ខូ អិលធីឌី</t>
        </is>
      </c>
      <c r="D1118" t="inlineStr">
        <is>
          <t>K005-100150195</t>
        </is>
      </c>
      <c r="E1118" t="inlineStr">
        <is>
          <t>SRVI2404675</t>
        </is>
      </c>
      <c r="F1118" t="inlineStr">
        <is>
          <t>08-08-2024</t>
        </is>
      </c>
      <c r="G1118" t="n">
        <v>164200</v>
      </c>
      <c r="I1118">
        <f>G1118</f>
        <v/>
      </c>
      <c r="K1118">
        <f>I1118-G1118</f>
        <v/>
      </c>
      <c r="M1118">
        <f>R1118=E1118</f>
        <v/>
      </c>
      <c r="N1118">
        <f>AND(MONTH(F1118)=MONTH(Q1118), YEAR(F1118)=YEAR(Q1118))</f>
        <v/>
      </c>
      <c r="O1118">
        <f>"L001-902303751"=S1118</f>
        <v/>
      </c>
      <c r="P1118">
        <f>G1118-U1118</f>
        <v/>
      </c>
      <c r="Q1118" s="35" t="n">
        <v>45460</v>
      </c>
      <c r="R1118" t="inlineStr"/>
      <c r="S1118" t="inlineStr">
        <is>
          <t>L001-107032791</t>
        </is>
      </c>
      <c r="T1118" t="inlineStr">
        <is>
          <t>នីបផន អិចប្រេស (ខេមបូឌា) ខូ អិលធីឌី</t>
        </is>
      </c>
      <c r="U1118" t="n">
        <v>0</v>
      </c>
      <c r="V1118" t="n">
        <v>0</v>
      </c>
    </row>
    <row r="1119">
      <c r="A1119" t="n">
        <v>1118</v>
      </c>
      <c r="B1119" t="inlineStr">
        <is>
          <t>Trucking , Customs Clearance, Extra Truckng and Trucking Fuel Surcharge</t>
        </is>
      </c>
      <c r="C1119" t="inlineStr">
        <is>
          <t>អេស អ វី ស៊ី ហ្វ្រេត សឺវីស (ខេមបូឌា) ខូ អិលធីឌី</t>
        </is>
      </c>
      <c r="D1119" t="inlineStr">
        <is>
          <t>K005-100150195</t>
        </is>
      </c>
      <c r="E1119" t="inlineStr">
        <is>
          <t>SRVI2404583</t>
        </is>
      </c>
      <c r="F1119" t="inlineStr">
        <is>
          <t>02-08-2024</t>
        </is>
      </c>
      <c r="G1119" t="n">
        <v>164320</v>
      </c>
      <c r="I1119">
        <f>G1119</f>
        <v/>
      </c>
      <c r="K1119">
        <f>I1119-G1119</f>
        <v/>
      </c>
      <c r="M1119">
        <f>R1119=E1119</f>
        <v/>
      </c>
      <c r="N1119">
        <f>AND(MONTH(F1119)=MONTH(Q1119), YEAR(F1119)=YEAR(Q1119))</f>
        <v/>
      </c>
      <c r="O1119">
        <f>"L001-902303751"=S1119</f>
        <v/>
      </c>
      <c r="P1119">
        <f>G1119-U1119</f>
        <v/>
      </c>
      <c r="Q1119" s="35" t="n">
        <v>45467</v>
      </c>
      <c r="R1119" t="n">
        <v>113328</v>
      </c>
      <c r="S1119" t="inlineStr">
        <is>
          <t>L001-107032791</t>
        </is>
      </c>
      <c r="T1119" t="inlineStr">
        <is>
          <t>នីបផន អិចប្រេស (ខេមបូឌា) ខូ អិលធីឌី</t>
        </is>
      </c>
      <c r="U1119" t="n">
        <v>113328</v>
      </c>
      <c r="V1119" t="n">
        <v>0</v>
      </c>
    </row>
    <row r="1120">
      <c r="A1120" t="n">
        <v>1119</v>
      </c>
      <c r="B1120" t="inlineStr">
        <is>
          <t>Trucking, Customs Clearance, Extra Truckng Fee and Trucking Fuel Surcharge</t>
        </is>
      </c>
      <c r="C1120" t="inlineStr">
        <is>
          <t>អេស អ វី ស៊ី ហ្វ្រេត សឺវីស (ខេមបូឌា) ខូ អិលធីឌី</t>
        </is>
      </c>
      <c r="D1120" t="inlineStr">
        <is>
          <t>K005-100150195</t>
        </is>
      </c>
      <c r="E1120" t="inlineStr">
        <is>
          <t>SRVI2404577</t>
        </is>
      </c>
      <c r="F1120" t="inlineStr">
        <is>
          <t>02-08-2024</t>
        </is>
      </c>
      <c r="G1120" t="n">
        <v>172536</v>
      </c>
      <c r="I1120">
        <f>G1120</f>
        <v/>
      </c>
      <c r="K1120">
        <f>I1120-G1120</f>
        <v/>
      </c>
      <c r="M1120">
        <f>R1120=E1120</f>
        <v/>
      </c>
      <c r="N1120">
        <f>AND(MONTH(F1120)=MONTH(Q1120), YEAR(F1120)=YEAR(Q1120))</f>
        <v/>
      </c>
      <c r="O1120">
        <f>"L001-902303751"=S1120</f>
        <v/>
      </c>
      <c r="P1120">
        <f>G1120-U1120</f>
        <v/>
      </c>
      <c r="Q1120" s="35" t="n">
        <v>45467</v>
      </c>
      <c r="R1120" t="n">
        <v>113328</v>
      </c>
      <c r="S1120" t="inlineStr">
        <is>
          <t>K002-901800477</t>
        </is>
      </c>
      <c r="T1120" t="inlineStr">
        <is>
          <t>អាយធីអាយ អ៊ិនធើណេសិនណល ត្រេនស័្ពរថេសិន (ខេមបូឌា) ឯ.ក</t>
        </is>
      </c>
      <c r="U1120" t="n">
        <v>113328</v>
      </c>
      <c r="V1120" t="n">
        <v>0</v>
      </c>
    </row>
    <row r="1121">
      <c r="A1121" t="n">
        <v>1120</v>
      </c>
      <c r="B1121" t="inlineStr">
        <is>
          <t>Terminal Handling Charge, EMF, 3 Party Trucking, Container Imbalance Charge, D/O Fee, Document Fee and Handling Charge</t>
        </is>
      </c>
      <c r="C1121" t="inlineStr">
        <is>
          <t>ខេអិលអិន ហ្វ្រេត (ខេមបូឌា) ឯ.ក</t>
        </is>
      </c>
      <c r="D1121" t="inlineStr">
        <is>
          <t>L001-100074669</t>
        </is>
      </c>
      <c r="E1121" t="inlineStr">
        <is>
          <t>IVO13405</t>
        </is>
      </c>
      <c r="F1121" t="inlineStr">
        <is>
          <t>25-08-2024</t>
        </is>
      </c>
      <c r="G1121" t="n">
        <v>127126</v>
      </c>
      <c r="I1121">
        <f>G1121</f>
        <v/>
      </c>
      <c r="K1121">
        <f>I1121-G1121</f>
        <v/>
      </c>
      <c r="M1121">
        <f>R1121=E1121</f>
        <v/>
      </c>
      <c r="N1121">
        <f>AND(MONTH(F1121)=MONTH(Q1121), YEAR(F1121)=YEAR(Q1121))</f>
        <v/>
      </c>
      <c r="O1121">
        <f>"L001-902303751"=S1121</f>
        <v/>
      </c>
      <c r="P1121">
        <f>G1121-U1121</f>
        <v/>
      </c>
      <c r="Q1121" s="35" t="n">
        <v>45467</v>
      </c>
      <c r="R1121" t="n">
        <v>1717221</v>
      </c>
      <c r="S1121" t="inlineStr">
        <is>
          <t>K004-105012505</t>
        </is>
      </c>
      <c r="T1121" t="inlineStr">
        <is>
          <t>អេស៊ាន ហ្វ្រេត (ខេមបូឌា)</t>
        </is>
      </c>
      <c r="U1121" t="n">
        <v>1717221</v>
      </c>
      <c r="V1121" t="n">
        <v>0</v>
      </c>
    </row>
    <row r="1122">
      <c r="A1122" t="n">
        <v>1121</v>
      </c>
      <c r="B1122" t="inlineStr">
        <is>
          <t>Customs Clearance Fee</t>
        </is>
      </c>
      <c r="C1122" t="inlineStr">
        <is>
          <t>ត្រាយអ៊ែងហ្គល ឡូជីស្ទីក (ខេមបូឌា) ឯ.ក</t>
        </is>
      </c>
      <c r="D1122" t="inlineStr">
        <is>
          <t>K010-902101743</t>
        </is>
      </c>
      <c r="E1122" t="inlineStr">
        <is>
          <t>TAG-24-00538</t>
        </is>
      </c>
      <c r="F1122" t="inlineStr">
        <is>
          <t>09-08-2024</t>
        </is>
      </c>
      <c r="G1122" t="n">
        <v>8200</v>
      </c>
      <c r="I1122">
        <f>G1122</f>
        <v/>
      </c>
      <c r="K1122">
        <f>I1122-G1122</f>
        <v/>
      </c>
      <c r="M1122">
        <f>R1122=E1122</f>
        <v/>
      </c>
      <c r="N1122">
        <f>AND(MONTH(F1122)=MONTH(Q1122), YEAR(F1122)=YEAR(Q1122))</f>
        <v/>
      </c>
      <c r="O1122">
        <f>"L001-902303751"=S1122</f>
        <v/>
      </c>
      <c r="P1122">
        <f>G1122-U1122</f>
        <v/>
      </c>
      <c r="Q1122" s="35" t="n">
        <v>45467</v>
      </c>
      <c r="R1122" t="inlineStr"/>
      <c r="S1122" t="inlineStr">
        <is>
          <t>L001-100045340</t>
        </is>
      </c>
      <c r="T1122" t="inlineStr">
        <is>
          <t xml:space="preserve">ស៊ីវ៉ា អ៊ែរ អ៊ែន អូសៀន (ខេមបូឌា) ឯ.ក </t>
        </is>
      </c>
      <c r="U1122" t="n">
        <v>0</v>
      </c>
      <c r="V1122" t="n">
        <v>0</v>
      </c>
    </row>
    <row r="1123">
      <c r="A1123" t="n">
        <v>1122</v>
      </c>
      <c r="B1123" t="inlineStr">
        <is>
          <t>Customs Clearance Fee and Trucking Fee</t>
        </is>
      </c>
      <c r="C1123" t="inlineStr">
        <is>
          <t>ត្រាយអ៊ែងហ្គល ឡូជីស្ទីក (ខេមបូឌា) ឯ.ក</t>
        </is>
      </c>
      <c r="D1123" t="inlineStr">
        <is>
          <t>K010-902101743</t>
        </is>
      </c>
      <c r="E1123" t="inlineStr">
        <is>
          <t>TAG-24-00535</t>
        </is>
      </c>
      <c r="F1123" t="inlineStr">
        <is>
          <t>08-08-2024</t>
        </is>
      </c>
      <c r="G1123" t="n">
        <v>65680</v>
      </c>
      <c r="I1123">
        <f>G1123</f>
        <v/>
      </c>
      <c r="K1123">
        <f>I1123-G1123</f>
        <v/>
      </c>
      <c r="M1123">
        <f>R1123=E1123</f>
        <v/>
      </c>
      <c r="N1123">
        <f>AND(MONTH(F1123)=MONTH(Q1123), YEAR(F1123)=YEAR(Q1123))</f>
        <v/>
      </c>
      <c r="O1123">
        <f>"L001-902303751"=S1123</f>
        <v/>
      </c>
      <c r="P1123">
        <f>G1123-U1123</f>
        <v/>
      </c>
      <c r="Q1123" s="35" t="n">
        <v>45453</v>
      </c>
      <c r="R1123" t="n">
        <v>113135</v>
      </c>
      <c r="S1123" t="inlineStr">
        <is>
          <t>L001-107032791</t>
        </is>
      </c>
      <c r="T1123" t="inlineStr">
        <is>
          <t>នីបផន អិចប្រេស (ខេមបូឌា) ខូ អិលធីឌី</t>
        </is>
      </c>
      <c r="U1123" t="n">
        <v>113135</v>
      </c>
      <c r="V1123" t="n">
        <v>0</v>
      </c>
    </row>
    <row r="1124">
      <c r="A1124" t="n">
        <v>1123</v>
      </c>
      <c r="B1124" t="inlineStr">
        <is>
          <t>Terminal Handling Charges, CFS Fee, Scan Fee, D/O Fee, Document Fee, Handling Fee, Co-Loader Agency Fee and CIC</t>
        </is>
      </c>
      <c r="C1124" t="inlineStr">
        <is>
          <t>ត្រាយអ៊ែងហ្គល ឡូជីស្ទីក (ខេមបូឌា) ឯ.ក</t>
        </is>
      </c>
      <c r="D1124" t="inlineStr">
        <is>
          <t>K010-902101743</t>
        </is>
      </c>
      <c r="E1124" t="inlineStr">
        <is>
          <t>TAG-24-00556</t>
        </is>
      </c>
      <c r="F1124" t="inlineStr">
        <is>
          <t>20-08-2024</t>
        </is>
      </c>
      <c r="G1124" t="n">
        <v>100517</v>
      </c>
      <c r="I1124">
        <f>G1124</f>
        <v/>
      </c>
      <c r="K1124">
        <f>I1124-G1124</f>
        <v/>
      </c>
      <c r="M1124">
        <f>R1124=E1124</f>
        <v/>
      </c>
      <c r="N1124">
        <f>AND(MONTH(F1124)=MONTH(Q1124), YEAR(F1124)=YEAR(Q1124))</f>
        <v/>
      </c>
      <c r="O1124">
        <f>"L001-902303751"=S1124</f>
        <v/>
      </c>
      <c r="P1124">
        <f>G1124-U1124</f>
        <v/>
      </c>
      <c r="Q1124" s="35" t="n">
        <v>45453</v>
      </c>
      <c r="R1124" t="inlineStr"/>
      <c r="S1124" t="inlineStr">
        <is>
          <t>L001-100011888</t>
        </is>
      </c>
      <c r="T1124" t="inlineStr">
        <is>
          <t>ត្រេន ស្តារ ហ្រេ្វត</t>
        </is>
      </c>
      <c r="U1124" t="n">
        <v>0</v>
      </c>
      <c r="V1124" t="n">
        <v>0</v>
      </c>
    </row>
    <row r="1125">
      <c r="A1125" t="n">
        <v>1124</v>
      </c>
      <c r="B1125" t="inlineStr">
        <is>
          <t>Customs Clearance Fee and Trucking Fee</t>
        </is>
      </c>
      <c r="C1125" t="inlineStr">
        <is>
          <t>ត្រាយអ៊ែងហ្គល ឡូជីស្ទីក (ខេមបូឌា) ឯ.ក</t>
        </is>
      </c>
      <c r="D1125" t="inlineStr">
        <is>
          <t>K010-902101743</t>
        </is>
      </c>
      <c r="E1125" t="inlineStr">
        <is>
          <t>TAG-24-00582</t>
        </is>
      </c>
      <c r="F1125" t="inlineStr">
        <is>
          <t>23-08-2024</t>
        </is>
      </c>
      <c r="G1125" t="n">
        <v>65056</v>
      </c>
      <c r="I1125">
        <f>G1125</f>
        <v/>
      </c>
      <c r="K1125">
        <f>I1125-G1125</f>
        <v/>
      </c>
      <c r="M1125">
        <f>R1125=E1125</f>
        <v/>
      </c>
      <c r="N1125">
        <f>AND(MONTH(F1125)=MONTH(Q1125), YEAR(F1125)=YEAR(Q1125))</f>
        <v/>
      </c>
      <c r="O1125">
        <f>"L001-902303751"=S1125</f>
        <v/>
      </c>
      <c r="P1125">
        <f>G1125-U1125</f>
        <v/>
      </c>
      <c r="Q1125" s="35" t="n">
        <v>45446</v>
      </c>
      <c r="R1125" t="inlineStr"/>
      <c r="S1125" t="inlineStr">
        <is>
          <t>L001-107032791</t>
        </is>
      </c>
      <c r="T1125" t="inlineStr">
        <is>
          <t>នីបផន អិចប្រេស (ខេមបូឌា) ខូ អិលធីឌី</t>
        </is>
      </c>
      <c r="U1125" t="n">
        <v>0</v>
      </c>
      <c r="V1125" t="n">
        <v>0</v>
      </c>
    </row>
    <row r="1126">
      <c r="A1126" t="n">
        <v>1125</v>
      </c>
      <c r="B1126" t="inlineStr">
        <is>
          <t>Customs Clearance Fee</t>
        </is>
      </c>
      <c r="C1126" t="inlineStr">
        <is>
          <t>ត្រាយអ៊ែងហ្គល ឡូជីស្ទីក (ខេមបូឌា) ឯ.ក</t>
        </is>
      </c>
      <c r="D1126" t="inlineStr">
        <is>
          <t>K010-902101743</t>
        </is>
      </c>
      <c r="E1126" t="inlineStr">
        <is>
          <t>TAG-24-00575</t>
        </is>
      </c>
      <c r="F1126" t="inlineStr">
        <is>
          <t>26-08-2024</t>
        </is>
      </c>
      <c r="G1126" t="n">
        <v>8162</v>
      </c>
      <c r="I1126">
        <f>G1126</f>
        <v/>
      </c>
      <c r="K1126">
        <f>I1126-G1126</f>
        <v/>
      </c>
      <c r="M1126">
        <f>R1126=E1126</f>
        <v/>
      </c>
      <c r="N1126">
        <f>AND(MONTH(F1126)=MONTH(Q1126), YEAR(F1126)=YEAR(Q1126))</f>
        <v/>
      </c>
      <c r="O1126">
        <f>"L001-902303751"=S1126</f>
        <v/>
      </c>
      <c r="P1126">
        <f>G1126-U1126</f>
        <v/>
      </c>
      <c r="Q1126" s="35" t="n">
        <v>45446</v>
      </c>
      <c r="R1126" t="n">
        <v>84030</v>
      </c>
      <c r="S1126" t="inlineStr">
        <is>
          <t>L001-107032791</t>
        </is>
      </c>
      <c r="T1126" t="inlineStr">
        <is>
          <t>នីបផន អិចប្រេស (ខេមបូឌា) ខូ អិលធីឌី</t>
        </is>
      </c>
      <c r="U1126" t="n">
        <v>84030</v>
      </c>
      <c r="V1126" t="n">
        <v>0</v>
      </c>
    </row>
    <row r="1127">
      <c r="A1127" t="n">
        <v>1126</v>
      </c>
      <c r="B1127" t="inlineStr">
        <is>
          <t>Customs Clearance Fee</t>
        </is>
      </c>
      <c r="C1127" t="inlineStr">
        <is>
          <t>ត្រាយអ៊ែងហ្គល ឡូជីស្ទីក (ខេមបូឌា) ឯ.ក</t>
        </is>
      </c>
      <c r="D1127" t="inlineStr">
        <is>
          <t>K010-902101743</t>
        </is>
      </c>
      <c r="E1127" t="inlineStr">
        <is>
          <t>TAG-24-00557</t>
        </is>
      </c>
      <c r="F1127" t="inlineStr">
        <is>
          <t>20-08-2024</t>
        </is>
      </c>
      <c r="G1127" t="n">
        <v>8180</v>
      </c>
      <c r="I1127">
        <f>G1127</f>
        <v/>
      </c>
      <c r="K1127">
        <f>I1127-G1127</f>
        <v/>
      </c>
      <c r="M1127">
        <f>R1127=E1127</f>
        <v/>
      </c>
      <c r="N1127">
        <f>AND(MONTH(F1127)=MONTH(Q1127), YEAR(F1127)=YEAR(Q1127))</f>
        <v/>
      </c>
      <c r="O1127">
        <f>"L001-902303751"=S1127</f>
        <v/>
      </c>
      <c r="P1127">
        <f>G1127-U1127</f>
        <v/>
      </c>
      <c r="Q1127" s="35" t="n">
        <v>45446</v>
      </c>
      <c r="R1127" t="inlineStr"/>
      <c r="S1127" t="inlineStr">
        <is>
          <t>L001-100045995</t>
        </is>
      </c>
      <c r="T1127" t="inlineStr">
        <is>
          <t>ឌីអេចអិល ឡូជីស្ទីក (ខេមបូឌា)</t>
        </is>
      </c>
      <c r="U1127" t="n">
        <v>0</v>
      </c>
      <c r="V1127" t="n">
        <v>0</v>
      </c>
    </row>
    <row r="1128">
      <c r="A1128" t="n">
        <v>1127</v>
      </c>
      <c r="B1128" t="inlineStr">
        <is>
          <t>Customs Clearance Fee and Trucking Fee</t>
        </is>
      </c>
      <c r="C1128" t="inlineStr">
        <is>
          <t>ត្រាយអ៊ែងហ្គល ឡូជីស្ទីក (ខេមបូឌា) ឯ.ក</t>
        </is>
      </c>
      <c r="D1128" t="inlineStr">
        <is>
          <t>K010-902101743</t>
        </is>
      </c>
      <c r="E1128" t="inlineStr">
        <is>
          <t>TAG-24-00605</t>
        </is>
      </c>
      <c r="F1128" t="inlineStr">
        <is>
          <t>30-08-2024</t>
        </is>
      </c>
      <c r="G1128" t="n">
        <v>32456</v>
      </c>
      <c r="I1128">
        <f>G1128</f>
        <v/>
      </c>
      <c r="K1128">
        <f>I1128-G1128</f>
        <v/>
      </c>
      <c r="M1128">
        <f>R1128=E1128</f>
        <v/>
      </c>
      <c r="N1128">
        <f>AND(MONTH(F1128)=MONTH(Q1128), YEAR(F1128)=YEAR(Q1128))</f>
        <v/>
      </c>
      <c r="O1128">
        <f>"L001-902303751"=S1128</f>
        <v/>
      </c>
      <c r="P1128">
        <f>G1128-U1128</f>
        <v/>
      </c>
      <c r="Q1128" s="35" t="n">
        <v>45446</v>
      </c>
      <c r="R1128" t="n">
        <v>202901</v>
      </c>
      <c r="S1128" t="inlineStr">
        <is>
          <t>L001-100045995</t>
        </is>
      </c>
      <c r="T1128" t="inlineStr">
        <is>
          <t>ឌីអេចអិល ឡូជីស្ទីក (ខេមបូឌា)</t>
        </is>
      </c>
      <c r="U1128" t="n">
        <v>202901</v>
      </c>
      <c r="V1128" t="n">
        <v>0</v>
      </c>
    </row>
    <row r="1129">
      <c r="A1129" t="n">
        <v>1128</v>
      </c>
      <c r="B1129" t="inlineStr">
        <is>
          <t>Terminal Handling Charges, CFS Fee, Scan Fee, D/O Fee, Document Fee, Handling Fee, Co-Loader Agency Fee and CIC</t>
        </is>
      </c>
      <c r="C1129" t="inlineStr">
        <is>
          <t>ត្រាយអ៊ែងហ្គល ឡូជីស្ទីក (ខេមបូឌា) ឯ.ក</t>
        </is>
      </c>
      <c r="D1129" t="inlineStr">
        <is>
          <t>K010-902101743</t>
        </is>
      </c>
      <c r="E1129" t="inlineStr">
        <is>
          <t>TAG-24-00555</t>
        </is>
      </c>
      <c r="F1129" t="inlineStr">
        <is>
          <t>20-08-2024</t>
        </is>
      </c>
      <c r="G1129" t="n">
        <v>184195</v>
      </c>
      <c r="I1129">
        <f>G1129</f>
        <v/>
      </c>
      <c r="K1129">
        <f>I1129-G1129</f>
        <v/>
      </c>
      <c r="M1129">
        <f>R1129=E1129</f>
        <v/>
      </c>
      <c r="N1129">
        <f>AND(MONTH(F1129)=MONTH(Q1129), YEAR(F1129)=YEAR(Q1129))</f>
        <v/>
      </c>
      <c r="O1129">
        <f>"L001-902303751"=S1129</f>
        <v/>
      </c>
      <c r="P1129">
        <f>G1129-U1129</f>
        <v/>
      </c>
      <c r="Q1129" s="35" t="n">
        <v>45460</v>
      </c>
      <c r="R1129" t="n">
        <v>113328</v>
      </c>
      <c r="S1129" t="inlineStr">
        <is>
          <t>L001-107032791</t>
        </is>
      </c>
      <c r="T1129" t="inlineStr">
        <is>
          <t>នីបផន អិចប្រេស (ខេមបូឌា) ខូ អិលធីឌី</t>
        </is>
      </c>
      <c r="U1129" t="n">
        <v>113328</v>
      </c>
      <c r="V1129" t="n">
        <v>0</v>
      </c>
    </row>
    <row r="1130">
      <c r="A1130" t="n">
        <v>1129</v>
      </c>
      <c r="B1130" t="inlineStr">
        <is>
          <t>Customs Clearance Fee and Trucking Fee</t>
        </is>
      </c>
      <c r="C1130" t="inlineStr">
        <is>
          <t>ត្រាយអ៊ែងហ្គល ឡូជីស្ទីក (ខេមបូឌា) ឯ.ក</t>
        </is>
      </c>
      <c r="D1130" t="inlineStr">
        <is>
          <t>K010-902101743</t>
        </is>
      </c>
      <c r="E1130" t="inlineStr">
        <is>
          <t>TAG-24-00570</t>
        </is>
      </c>
      <c r="F1130" t="inlineStr">
        <is>
          <t>26-08-2024</t>
        </is>
      </c>
      <c r="G1130" t="n">
        <v>73907</v>
      </c>
      <c r="I1130">
        <f>G1130</f>
        <v/>
      </c>
      <c r="K1130">
        <f>I1130-G1130</f>
        <v/>
      </c>
      <c r="M1130">
        <f>R1130=E1130</f>
        <v/>
      </c>
      <c r="N1130">
        <f>AND(MONTH(F1130)=MONTH(Q1130), YEAR(F1130)=YEAR(Q1130))</f>
        <v/>
      </c>
      <c r="O1130">
        <f>"L001-902303751"=S1130</f>
        <v/>
      </c>
      <c r="P1130">
        <f>G1130-U1130</f>
        <v/>
      </c>
      <c r="Q1130" s="35" t="n">
        <v>45460</v>
      </c>
      <c r="R1130" t="inlineStr"/>
      <c r="S1130" t="inlineStr">
        <is>
          <t>K005-901805913</t>
        </is>
      </c>
      <c r="T1130" t="inlineStr">
        <is>
          <t>ស្តារ ខង់ខដ (ខេមបូឌា) ឯ.ក</t>
        </is>
      </c>
      <c r="U1130" t="n">
        <v>0</v>
      </c>
      <c r="V1130" t="n">
        <v>0</v>
      </c>
    </row>
    <row r="1131">
      <c r="A1131" t="n">
        <v>1130</v>
      </c>
      <c r="B1131" t="inlineStr">
        <is>
          <t>Customs Clearance Fee and Trucking Fee</t>
        </is>
      </c>
      <c r="C1131" t="inlineStr">
        <is>
          <t>ត្រាយអ៊ែងហ្គល ឡូជីស្ទីក (ខេមបូឌា) ឯ.ក</t>
        </is>
      </c>
      <c r="D1131" t="inlineStr">
        <is>
          <t>K010-902101743</t>
        </is>
      </c>
      <c r="E1131" t="inlineStr">
        <is>
          <t>TAG-24-00598</t>
        </is>
      </c>
      <c r="F1131" t="inlineStr">
        <is>
          <t>29-08-2024</t>
        </is>
      </c>
      <c r="G1131" t="n">
        <v>28427</v>
      </c>
      <c r="I1131">
        <f>G1131</f>
        <v/>
      </c>
      <c r="K1131">
        <f>I1131-G1131</f>
        <v/>
      </c>
      <c r="M1131">
        <f>R1131=E1131</f>
        <v/>
      </c>
      <c r="N1131">
        <f>AND(MONTH(F1131)=MONTH(Q1131), YEAR(F1131)=YEAR(Q1131))</f>
        <v/>
      </c>
      <c r="O1131">
        <f>"L001-902303751"=S1131</f>
        <v/>
      </c>
      <c r="P1131">
        <f>G1131-U1131</f>
        <v/>
      </c>
      <c r="Q1131" s="35" t="n">
        <v>45467</v>
      </c>
      <c r="R1131" t="inlineStr"/>
      <c r="S1131" t="inlineStr">
        <is>
          <t>K002-901800477</t>
        </is>
      </c>
      <c r="T1131" t="inlineStr">
        <is>
          <t>អាយធីអាយ អ៊ិនធើណេសិនណល ត្រេនស័្ពរថេសិន (ខេមបូឌា) ឯ.ក</t>
        </is>
      </c>
      <c r="U1131" t="n">
        <v>0</v>
      </c>
      <c r="V1131" t="n">
        <v>0</v>
      </c>
    </row>
    <row r="1132">
      <c r="A1132" t="n">
        <v>1131</v>
      </c>
      <c r="B1132" t="inlineStr">
        <is>
          <t>Customs Clearance Fee</t>
        </is>
      </c>
      <c r="C1132" t="inlineStr">
        <is>
          <t>ត្រាយអ៊ែងហ្គល ឡូជីស្ទីក (ខេមបូឌា) ឯ.ក</t>
        </is>
      </c>
      <c r="D1132" t="inlineStr">
        <is>
          <t>K010-902101743</t>
        </is>
      </c>
      <c r="E1132" t="inlineStr">
        <is>
          <t>TAG-24-00553</t>
        </is>
      </c>
      <c r="F1132" t="inlineStr">
        <is>
          <t>16-08-2024</t>
        </is>
      </c>
      <c r="G1132" t="n">
        <v>8196</v>
      </c>
      <c r="I1132">
        <f>G1132</f>
        <v/>
      </c>
      <c r="K1132">
        <f>I1132-G1132</f>
        <v/>
      </c>
      <c r="M1132">
        <f>R1132=E1132</f>
        <v/>
      </c>
      <c r="N1132">
        <f>AND(MONTH(F1132)=MONTH(Q1132), YEAR(F1132)=YEAR(Q1132))</f>
        <v/>
      </c>
      <c r="O1132">
        <f>"L001-902303751"=S1132</f>
        <v/>
      </c>
      <c r="P1132">
        <f>G1132-U1132</f>
        <v/>
      </c>
      <c r="Q1132" s="35" t="n">
        <v>45453</v>
      </c>
      <c r="R1132" t="n">
        <v>84337</v>
      </c>
      <c r="S1132" t="inlineStr">
        <is>
          <t>L001-107032791</t>
        </is>
      </c>
      <c r="T1132" t="inlineStr">
        <is>
          <t>នីបផន អិចប្រេស (ខេមបូឌា) ខូ អិលធីឌី</t>
        </is>
      </c>
      <c r="U1132" t="n">
        <v>84337</v>
      </c>
      <c r="V1132" t="n">
        <v>0</v>
      </c>
    </row>
    <row r="1133">
      <c r="A1133" t="n">
        <v>1132</v>
      </c>
      <c r="B1133" t="inlineStr">
        <is>
          <t>Customs Clearance Fee</t>
        </is>
      </c>
      <c r="C1133" t="inlineStr">
        <is>
          <t>ត្រាយអ៊ែងហ្គល ឡូជីស្ទីក (ខេមបូឌា) ឯ.ក</t>
        </is>
      </c>
      <c r="D1133" t="inlineStr">
        <is>
          <t>K010-902101743</t>
        </is>
      </c>
      <c r="E1133" t="inlineStr">
        <is>
          <t>TAG-24-00543</t>
        </is>
      </c>
      <c r="F1133" t="inlineStr">
        <is>
          <t>13-08-2024</t>
        </is>
      </c>
      <c r="G1133" t="n">
        <v>8182</v>
      </c>
      <c r="I1133">
        <f>G1133</f>
        <v/>
      </c>
      <c r="K1133">
        <f>I1133-G1133</f>
        <v/>
      </c>
      <c r="M1133">
        <f>R1133=E1133</f>
        <v/>
      </c>
      <c r="N1133">
        <f>AND(MONTH(F1133)=MONTH(Q1133), YEAR(F1133)=YEAR(Q1133))</f>
        <v/>
      </c>
      <c r="O1133">
        <f>"L001-902303751"=S1133</f>
        <v/>
      </c>
      <c r="P1133">
        <f>G1133-U1133</f>
        <v/>
      </c>
      <c r="Q1133" s="35" t="n">
        <v>45453</v>
      </c>
      <c r="R1133" t="n">
        <v>86805</v>
      </c>
      <c r="S1133" t="inlineStr">
        <is>
          <t>K005-901805913</t>
        </is>
      </c>
      <c r="T1133" t="inlineStr">
        <is>
          <t>ស្តារ ខង់ខដ (ខេមបូឌា) ឯ.ក</t>
        </is>
      </c>
      <c r="U1133" t="n">
        <v>86805</v>
      </c>
      <c r="V1133" t="n">
        <v>0</v>
      </c>
    </row>
    <row r="1134">
      <c r="A1134" t="n">
        <v>1133</v>
      </c>
      <c r="B1134" t="inlineStr">
        <is>
          <t>Customs Clearance Fee</t>
        </is>
      </c>
      <c r="C1134" t="inlineStr">
        <is>
          <t>ត្រាយអ៊ែងហ្គល ឡូជីស្ទីក (ខេមបូឌា) ឯ.ក</t>
        </is>
      </c>
      <c r="D1134" t="inlineStr">
        <is>
          <t>K010-902101743</t>
        </is>
      </c>
      <c r="E1134" t="inlineStr">
        <is>
          <t>TAG-24-00546</t>
        </is>
      </c>
      <c r="F1134" t="inlineStr">
        <is>
          <t>14-08-2024</t>
        </is>
      </c>
      <c r="G1134" t="n">
        <v>8182</v>
      </c>
      <c r="I1134">
        <f>G1134</f>
        <v/>
      </c>
      <c r="K1134">
        <f>I1134-G1134</f>
        <v/>
      </c>
      <c r="M1134">
        <f>R1134=E1134</f>
        <v/>
      </c>
      <c r="N1134">
        <f>AND(MONTH(F1134)=MONTH(Q1134), YEAR(F1134)=YEAR(Q1134))</f>
        <v/>
      </c>
      <c r="O1134">
        <f>"L001-902303751"=S1134</f>
        <v/>
      </c>
      <c r="P1134">
        <f>G1134-U1134</f>
        <v/>
      </c>
      <c r="Q1134" s="35" t="n">
        <v>45446</v>
      </c>
      <c r="R1134" t="inlineStr"/>
      <c r="S1134" t="inlineStr">
        <is>
          <t>L001-107032791</t>
        </is>
      </c>
      <c r="T1134" t="inlineStr">
        <is>
          <t>នីបផន អិចប្រេស (ខេមបូឌា) ខូ អិលធីឌី</t>
        </is>
      </c>
      <c r="U1134" t="n">
        <v>0</v>
      </c>
      <c r="V1134" t="n">
        <v>0</v>
      </c>
    </row>
    <row r="1135">
      <c r="A1135" t="n">
        <v>1134</v>
      </c>
      <c r="B1135" t="inlineStr">
        <is>
          <t>Customs Clearance Fee and Trucking Fee</t>
        </is>
      </c>
      <c r="C1135" t="inlineStr">
        <is>
          <t>ត្រាយអ៊ែងហ្គល ឡូជីស្ទីក (ខេមបូឌា) ឯ.ក</t>
        </is>
      </c>
      <c r="D1135" t="inlineStr">
        <is>
          <t>K010-902101743</t>
        </is>
      </c>
      <c r="E1135" t="inlineStr">
        <is>
          <t>TAG-24-00580</t>
        </is>
      </c>
      <c r="F1135" t="inlineStr">
        <is>
          <t>28-08-2024</t>
        </is>
      </c>
      <c r="G1135" t="n">
        <v>57460</v>
      </c>
      <c r="I1135">
        <f>G1135</f>
        <v/>
      </c>
      <c r="K1135">
        <f>I1135-G1135</f>
        <v/>
      </c>
      <c r="M1135">
        <f>R1135=E1135</f>
        <v/>
      </c>
      <c r="N1135">
        <f>AND(MONTH(F1135)=MONTH(Q1135), YEAR(F1135)=YEAR(Q1135))</f>
        <v/>
      </c>
      <c r="O1135">
        <f>"L001-902303751"=S1135</f>
        <v/>
      </c>
      <c r="P1135">
        <f>G1135-U1135</f>
        <v/>
      </c>
      <c r="Q1135" s="35" t="n">
        <v>45444</v>
      </c>
      <c r="R1135" t="n">
        <v>16372</v>
      </c>
      <c r="S1135" t="inlineStr">
        <is>
          <t>K005-901805913</t>
        </is>
      </c>
      <c r="T1135" t="inlineStr">
        <is>
          <t>ស្តារ ខង់ខដ (ខេមបូឌា) ឯ.ក</t>
        </is>
      </c>
      <c r="U1135" t="n">
        <v>16372</v>
      </c>
      <c r="V1135" t="n">
        <v>0</v>
      </c>
    </row>
    <row r="1136">
      <c r="A1136" t="n">
        <v>1135</v>
      </c>
      <c r="B1136" t="inlineStr">
        <is>
          <t>Customs Clearance Fee</t>
        </is>
      </c>
      <c r="C1136" t="inlineStr">
        <is>
          <t>ត្រាយអ៊ែងហ្គល ឡូជីស្ទីក (ខេមបូឌា) ឯ.ក</t>
        </is>
      </c>
      <c r="D1136" t="inlineStr">
        <is>
          <t>K010-902101743</t>
        </is>
      </c>
      <c r="E1136" t="inlineStr">
        <is>
          <t>TAG-24-00578</t>
        </is>
      </c>
      <c r="F1136" t="inlineStr">
        <is>
          <t>28-08-2024</t>
        </is>
      </c>
      <c r="G1136" t="n">
        <v>8132</v>
      </c>
      <c r="I1136">
        <f>G1136</f>
        <v/>
      </c>
      <c r="K1136">
        <f>I1136-G1136</f>
        <v/>
      </c>
      <c r="M1136">
        <f>R1136=E1136</f>
        <v/>
      </c>
      <c r="N1136">
        <f>AND(MONTH(F1136)=MONTH(Q1136), YEAR(F1136)=YEAR(Q1136))</f>
        <v/>
      </c>
      <c r="O1136">
        <f>"L001-902303751"=S1136</f>
        <v/>
      </c>
      <c r="P1136">
        <f>G1136-U1136</f>
        <v/>
      </c>
      <c r="Q1136" s="35" t="n">
        <v>45444</v>
      </c>
      <c r="R1136" t="n">
        <v>3388595</v>
      </c>
      <c r="S1136" t="inlineStr">
        <is>
          <t>K004-105012505</t>
        </is>
      </c>
      <c r="T1136" t="inlineStr">
        <is>
          <t>អេស៊ាន ហ្វ្រេត (ខេមបូឌា)</t>
        </is>
      </c>
      <c r="U1136" t="n">
        <v>3388595</v>
      </c>
      <c r="V1136" t="n">
        <v>0</v>
      </c>
    </row>
    <row r="1137">
      <c r="A1137" t="n">
        <v>1136</v>
      </c>
      <c r="B1137" t="inlineStr">
        <is>
          <t>Customs Clearance Fee</t>
        </is>
      </c>
      <c r="C1137" t="inlineStr">
        <is>
          <t>ត្រាយអ៊ែងហ្គល ឡូជីស្ទីក (ខេមបូឌា) ឯ.ក</t>
        </is>
      </c>
      <c r="D1137" t="inlineStr">
        <is>
          <t>K010-902101743</t>
        </is>
      </c>
      <c r="E1137" t="inlineStr">
        <is>
          <t>TAG-24-00567</t>
        </is>
      </c>
      <c r="F1137" t="inlineStr">
        <is>
          <t>23-08-2024</t>
        </is>
      </c>
      <c r="G1137" t="n">
        <v>8166</v>
      </c>
      <c r="I1137">
        <f>G1137</f>
        <v/>
      </c>
      <c r="K1137">
        <f>I1137-G1137</f>
        <v/>
      </c>
      <c r="M1137">
        <f>R1137=E1137</f>
        <v/>
      </c>
      <c r="N1137">
        <f>AND(MONTH(F1137)=MONTH(Q1137), YEAR(F1137)=YEAR(Q1137))</f>
        <v/>
      </c>
      <c r="O1137">
        <f>"L001-902303751"=S1137</f>
        <v/>
      </c>
      <c r="P1137">
        <f>G1137-U1137</f>
        <v/>
      </c>
      <c r="Q1137" s="35" t="n">
        <v>45453</v>
      </c>
      <c r="R1137" t="inlineStr"/>
      <c r="S1137" t="inlineStr">
        <is>
          <t>L001-107032791</t>
        </is>
      </c>
      <c r="T1137" t="inlineStr">
        <is>
          <t>នីបផន អិចប្រេស (ខេមបូឌា) ខូ អិលធីឌី</t>
        </is>
      </c>
      <c r="U1137" t="n">
        <v>0</v>
      </c>
      <c r="V1137" t="n">
        <v>0</v>
      </c>
    </row>
    <row r="1138">
      <c r="A1138" t="n">
        <v>1137</v>
      </c>
      <c r="B1138" t="inlineStr">
        <is>
          <t>Customs Clearance Fee and Trucking Fee</t>
        </is>
      </c>
      <c r="C1138" t="inlineStr">
        <is>
          <t>ត្រាយអ៊ែងហ្គល ឡូជីស្ទីក (ខេមបូឌា) ឯ.ក</t>
        </is>
      </c>
      <c r="D1138" t="inlineStr">
        <is>
          <t>K010-902101743</t>
        </is>
      </c>
      <c r="E1138" t="inlineStr">
        <is>
          <t>TAG-24-00568</t>
        </is>
      </c>
      <c r="F1138" t="inlineStr">
        <is>
          <t>23-08-2024</t>
        </is>
      </c>
      <c r="G1138" t="n">
        <v>32664</v>
      </c>
      <c r="I1138">
        <f>G1138</f>
        <v/>
      </c>
      <c r="K1138">
        <f>I1138-G1138</f>
        <v/>
      </c>
      <c r="M1138">
        <f>R1138=E1138</f>
        <v/>
      </c>
      <c r="N1138">
        <f>AND(MONTH(F1138)=MONTH(Q1138), YEAR(F1138)=YEAR(Q1138))</f>
        <v/>
      </c>
      <c r="O1138">
        <f>"L001-902303751"=S1138</f>
        <v/>
      </c>
      <c r="P1138">
        <f>G1138-U1138</f>
        <v/>
      </c>
      <c r="Q1138" s="35" t="n">
        <v>45460</v>
      </c>
      <c r="R1138" t="inlineStr"/>
      <c r="S1138" t="inlineStr">
        <is>
          <t>L001-100045995</t>
        </is>
      </c>
      <c r="T1138" t="inlineStr">
        <is>
          <t>ឌីអេចអិល ឡូជីស្ទីក (ខេមបូឌា)</t>
        </is>
      </c>
      <c r="U1138" t="n">
        <v>0</v>
      </c>
      <c r="V1138" t="n">
        <v>0</v>
      </c>
    </row>
    <row r="1139">
      <c r="A1139" t="n">
        <v>1138</v>
      </c>
      <c r="B1139" t="inlineStr">
        <is>
          <t>Export Custom Clearance PNH/LZC/00908</t>
        </is>
      </c>
      <c r="C1139" t="inlineStr">
        <is>
          <t>អ៊ីឃ្យូឡាញ វើលវ៉ាយដ៍ ឡូជីស្ទីក</t>
        </is>
      </c>
      <c r="D1139" t="inlineStr">
        <is>
          <t>K003-901635943</t>
        </is>
      </c>
      <c r="E1139" t="inlineStr">
        <is>
          <t>PPTI24/004154</t>
        </is>
      </c>
      <c r="F1139" t="inlineStr">
        <is>
          <t>17-08-2024</t>
        </is>
      </c>
      <c r="G1139" t="n">
        <v>65568</v>
      </c>
      <c r="I1139">
        <f>G1139</f>
        <v/>
      </c>
      <c r="K1139">
        <f>I1139-G1139</f>
        <v/>
      </c>
      <c r="M1139">
        <f>R1139=E1139</f>
        <v/>
      </c>
      <c r="N1139">
        <f>AND(MONTH(F1139)=MONTH(Q1139), YEAR(F1139)=YEAR(Q1139))</f>
        <v/>
      </c>
      <c r="O1139">
        <f>"L001-902303751"=S1139</f>
        <v/>
      </c>
      <c r="P1139">
        <f>G1139-U1139</f>
        <v/>
      </c>
      <c r="Q1139" s="35" t="n">
        <v>45460</v>
      </c>
      <c r="R1139" t="n">
        <v>113328</v>
      </c>
      <c r="S1139" t="inlineStr">
        <is>
          <t>L001-100045995</t>
        </is>
      </c>
      <c r="T1139" t="inlineStr">
        <is>
          <t>ឌីអេចអិល ឡូជីស្ទីក (ខេមបូឌា)</t>
        </is>
      </c>
      <c r="U1139" t="n">
        <v>113328</v>
      </c>
      <c r="V1139" t="n">
        <v>0</v>
      </c>
    </row>
    <row r="1140">
      <c r="A1140" t="n">
        <v>1139</v>
      </c>
      <c r="B1140" t="inlineStr">
        <is>
          <t>Export Adminstration Fee, Customs Processing Fee and Overtime Charges</t>
        </is>
      </c>
      <c r="C1140" t="inlineStr">
        <is>
          <t>ជី លីង អិចប្រេស ឡូជីស្ទីក (ខេមបូឌា) លីមីធីត</t>
        </is>
      </c>
      <c r="D1140" t="inlineStr">
        <is>
          <t>L001-100044956</t>
        </is>
      </c>
      <c r="E1140" t="inlineStr">
        <is>
          <t>24156935</t>
        </is>
      </c>
      <c r="F1140" t="inlineStr">
        <is>
          <t>02-08-2024</t>
        </is>
      </c>
      <c r="G1140" t="n">
        <v>193076</v>
      </c>
      <c r="I1140">
        <f>G1140</f>
        <v/>
      </c>
      <c r="K1140">
        <f>I1140-G1140</f>
        <v/>
      </c>
      <c r="M1140">
        <f>R1140=E1140</f>
        <v/>
      </c>
      <c r="N1140">
        <f>AND(MONTH(F1140)=MONTH(Q1140), YEAR(F1140)=YEAR(Q1140))</f>
        <v/>
      </c>
      <c r="O1140">
        <f>"L001-902303751"=S1140</f>
        <v/>
      </c>
      <c r="P1140">
        <f>G1140-U1140</f>
        <v/>
      </c>
      <c r="Q1140" s="35" t="n">
        <v>45460</v>
      </c>
      <c r="R1140" t="inlineStr"/>
      <c r="S1140" t="inlineStr">
        <is>
          <t>L001-100045995</t>
        </is>
      </c>
      <c r="T1140" t="inlineStr">
        <is>
          <t>ឌីអេចអិល ឡូជីស្ទីក (ខេមបូឌា)</t>
        </is>
      </c>
      <c r="U1140" t="n">
        <v>0</v>
      </c>
      <c r="V1140" t="n">
        <v>0</v>
      </c>
    </row>
    <row r="1141">
      <c r="A1141" t="n">
        <v>1140</v>
      </c>
      <c r="B1141" t="inlineStr">
        <is>
          <t>Send Document</t>
        </is>
      </c>
      <c r="C1141" t="inlineStr">
        <is>
          <t>ឌី អេច អិល អិចប្រេស (ខេមបូឌា)</t>
        </is>
      </c>
      <c r="D1141" t="inlineStr">
        <is>
          <t>L001-100045197</t>
        </is>
      </c>
      <c r="E1141" t="inlineStr">
        <is>
          <t>PNHIR00234638</t>
        </is>
      </c>
      <c r="F1141" t="inlineStr">
        <is>
          <t>08-08-2024</t>
        </is>
      </c>
      <c r="G1141" t="n">
        <v>8210</v>
      </c>
      <c r="I1141">
        <f>G1141</f>
        <v/>
      </c>
      <c r="K1141">
        <f>I1141-G1141</f>
        <v/>
      </c>
      <c r="M1141">
        <f>R1141=E1141</f>
        <v/>
      </c>
      <c r="N1141">
        <f>AND(MONTH(F1141)=MONTH(Q1141), YEAR(F1141)=YEAR(Q1141))</f>
        <v/>
      </c>
      <c r="O1141">
        <f>"L001-902303751"=S1141</f>
        <v/>
      </c>
      <c r="P1141">
        <f>G1141-U1141</f>
        <v/>
      </c>
      <c r="Q1141" s="35" t="n">
        <v>45467</v>
      </c>
      <c r="R1141" t="inlineStr"/>
      <c r="S1141" t="inlineStr">
        <is>
          <t>L001-100045340</t>
        </is>
      </c>
      <c r="T1141" t="inlineStr">
        <is>
          <t xml:space="preserve">ស៊ីវ៉ា អ៊ែរ អ៊ែន អូសៀន (ខេមបូឌា) ឯ.ក </t>
        </is>
      </c>
      <c r="U1141" t="n">
        <v>0</v>
      </c>
      <c r="V1141" t="n">
        <v>0</v>
      </c>
    </row>
    <row r="1142">
      <c r="A1142" t="n">
        <v>1141</v>
      </c>
      <c r="B1142" t="inlineStr">
        <is>
          <t>Send Document</t>
        </is>
      </c>
      <c r="C1142" t="inlineStr">
        <is>
          <t>ឌី អេច អិល អិចប្រេស (ខេមបូឌា)</t>
        </is>
      </c>
      <c r="D1142" t="inlineStr">
        <is>
          <t>L001-100045197</t>
        </is>
      </c>
      <c r="E1142" t="inlineStr">
        <is>
          <t>PNHIR00236015</t>
        </is>
      </c>
      <c r="F1142" t="inlineStr">
        <is>
          <t>14-08-2024</t>
        </is>
      </c>
      <c r="G1142" t="n">
        <v>19580</v>
      </c>
      <c r="I1142">
        <f>G1142</f>
        <v/>
      </c>
      <c r="K1142">
        <f>I1142-G1142</f>
        <v/>
      </c>
      <c r="M1142">
        <f>R1142=E1142</f>
        <v/>
      </c>
      <c r="N1142">
        <f>AND(MONTH(F1142)=MONTH(Q1142), YEAR(F1142)=YEAR(Q1142))</f>
        <v/>
      </c>
      <c r="O1142">
        <f>"L001-902303751"=S1142</f>
        <v/>
      </c>
      <c r="P1142">
        <f>G1142-U1142</f>
        <v/>
      </c>
      <c r="Q1142" s="35" t="n">
        <v>45467</v>
      </c>
      <c r="R1142" t="n">
        <v>86953</v>
      </c>
      <c r="S1142" t="inlineStr">
        <is>
          <t>L001-100045340</t>
        </is>
      </c>
      <c r="T1142" t="inlineStr">
        <is>
          <t xml:space="preserve">ស៊ីវ៉ា អ៊ែរ អ៊ែន អូសៀន (ខេមបូឌា) ឯ.ក </t>
        </is>
      </c>
      <c r="U1142" t="n">
        <v>86953</v>
      </c>
      <c r="V1142" t="n">
        <v>0</v>
      </c>
    </row>
    <row r="1143">
      <c r="A1143" t="n">
        <v>1142</v>
      </c>
      <c r="B1143" t="inlineStr">
        <is>
          <t>Laco QC inspection fee in July</t>
        </is>
      </c>
      <c r="C1143" t="inlineStr">
        <is>
          <t>តេនតាក់ (ខេមបូឌា) អ៊ិនស្ពេកសិន</t>
        </is>
      </c>
      <c r="D1143" t="inlineStr">
        <is>
          <t>K009-901638542</t>
        </is>
      </c>
      <c r="E1143" t="inlineStr">
        <is>
          <t>TI-2024-0097</t>
        </is>
      </c>
      <c r="F1143" t="inlineStr">
        <is>
          <t>01-08-2024</t>
        </is>
      </c>
      <c r="G1143" t="n">
        <v>306129</v>
      </c>
      <c r="I1143">
        <f>G1143</f>
        <v/>
      </c>
      <c r="K1143">
        <f>I1143-G1143</f>
        <v/>
      </c>
      <c r="M1143">
        <f>R1143=E1143</f>
        <v/>
      </c>
      <c r="N1143">
        <f>AND(MONTH(F1143)=MONTH(Q1143), YEAR(F1143)=YEAR(Q1143))</f>
        <v/>
      </c>
      <c r="O1143">
        <f>"L001-902303751"=S1143</f>
        <v/>
      </c>
      <c r="P1143">
        <f>G1143-U1143</f>
        <v/>
      </c>
      <c r="Q1143" s="35" t="n">
        <v>45453</v>
      </c>
      <c r="R1143" t="n">
        <v>113135</v>
      </c>
      <c r="S1143" t="inlineStr">
        <is>
          <t>K005-100150195</t>
        </is>
      </c>
      <c r="T1143" t="inlineStr">
        <is>
          <t>អេស អ វី ស៊ី ហ្វ្រេត សឺវីស (ខេមបូឌា) ខូ អិលធីឌី</t>
        </is>
      </c>
      <c r="U1143" t="n">
        <v>113135</v>
      </c>
      <c r="V1143" t="n">
        <v>0</v>
      </c>
    </row>
    <row r="1144">
      <c r="A1144" t="n">
        <v>1143</v>
      </c>
      <c r="B1144" t="inlineStr">
        <is>
          <t>Send Document</t>
        </is>
      </c>
      <c r="C1144" t="inlineStr">
        <is>
          <t>ឌី អេច អិល អិចប្រេស (ខេមបូឌា)</t>
        </is>
      </c>
      <c r="D1144" t="inlineStr">
        <is>
          <t>L001-100045197</t>
        </is>
      </c>
      <c r="E1144" t="inlineStr">
        <is>
          <t>PNHIR00236838</t>
        </is>
      </c>
      <c r="F1144" t="inlineStr">
        <is>
          <t>19-08-2024</t>
        </is>
      </c>
      <c r="G1144" t="n">
        <v>6147</v>
      </c>
      <c r="I1144">
        <f>G1144</f>
        <v/>
      </c>
      <c r="K1144">
        <f>I1144-G1144</f>
        <v/>
      </c>
      <c r="M1144">
        <f>R1144=E1144</f>
        <v/>
      </c>
      <c r="N1144">
        <f>AND(MONTH(F1144)=MONTH(Q1144), YEAR(F1144)=YEAR(Q1144))</f>
        <v/>
      </c>
      <c r="O1144">
        <f>"L001-902303751"=S1144</f>
        <v/>
      </c>
      <c r="P1144">
        <f>G1144-U1144</f>
        <v/>
      </c>
      <c r="Q1144" s="35" t="n">
        <v>45446</v>
      </c>
      <c r="R1144" t="n">
        <v>112723</v>
      </c>
      <c r="S1144" t="inlineStr">
        <is>
          <t>L001-107032791</t>
        </is>
      </c>
      <c r="T1144" t="inlineStr">
        <is>
          <t>នីបផន អិចប្រេស (ខេមបូឌា) ខូ អិលធីឌី</t>
        </is>
      </c>
      <c r="U1144" t="n">
        <v>112723</v>
      </c>
      <c r="V1144" t="n">
        <v>0</v>
      </c>
    </row>
    <row r="1145">
      <c r="A1145" t="n">
        <v>1144</v>
      </c>
      <c r="B1145" t="inlineStr">
        <is>
          <t>Send Document</t>
        </is>
      </c>
      <c r="C1145" t="inlineStr">
        <is>
          <t>ឌី អេច អិល អិចប្រេស (ខេមបូឌា)</t>
        </is>
      </c>
      <c r="D1145" t="inlineStr">
        <is>
          <t>L001-100045197</t>
        </is>
      </c>
      <c r="E1145" t="inlineStr">
        <is>
          <t>PNHIR00236014</t>
        </is>
      </c>
      <c r="F1145" t="inlineStr">
        <is>
          <t>14-08-2024</t>
        </is>
      </c>
      <c r="G1145" t="n">
        <v>6137</v>
      </c>
      <c r="I1145">
        <f>G1145</f>
        <v/>
      </c>
      <c r="K1145">
        <f>I1145-G1145</f>
        <v/>
      </c>
      <c r="M1145">
        <f>R1145=E1145</f>
        <v/>
      </c>
      <c r="N1145">
        <f>AND(MONTH(F1145)=MONTH(Q1145), YEAR(F1145)=YEAR(Q1145))</f>
        <v/>
      </c>
      <c r="O1145">
        <f>"L001-902303751"=S1145</f>
        <v/>
      </c>
      <c r="P1145">
        <f>G1145-U1145</f>
        <v/>
      </c>
      <c r="Q1145" s="35" t="n">
        <v>45446</v>
      </c>
      <c r="R1145" t="n">
        <v>84030</v>
      </c>
      <c r="S1145" t="inlineStr">
        <is>
          <t>L001-107041723</t>
        </is>
      </c>
      <c r="T1145" t="inlineStr">
        <is>
          <t>ឌីប៊ី សេនឃើរ (ខេមបូឌា) លីមីធីត</t>
        </is>
      </c>
      <c r="U1145" t="n">
        <v>84030</v>
      </c>
      <c r="V1145" t="n">
        <v>0</v>
      </c>
    </row>
    <row r="1146">
      <c r="A1146" t="n">
        <v>1145</v>
      </c>
      <c r="B1146" t="inlineStr">
        <is>
          <t>Send Document</t>
        </is>
      </c>
      <c r="C1146" t="inlineStr">
        <is>
          <t>ឌី អេច អិល អិចប្រេស (ខេមបូឌា)</t>
        </is>
      </c>
      <c r="D1146" t="inlineStr">
        <is>
          <t>L001-100045197</t>
        </is>
      </c>
      <c r="E1146" t="inlineStr">
        <is>
          <t>PNHIR00235446</t>
        </is>
      </c>
      <c r="F1146" t="inlineStr">
        <is>
          <t>12-08-2024</t>
        </is>
      </c>
      <c r="G1146" t="n">
        <v>12291</v>
      </c>
      <c r="I1146">
        <f>G1146</f>
        <v/>
      </c>
      <c r="K1146">
        <f>I1146-G1146</f>
        <v/>
      </c>
      <c r="M1146">
        <f>R1146=E1146</f>
        <v/>
      </c>
      <c r="N1146">
        <f>AND(MONTH(F1146)=MONTH(Q1146), YEAR(F1146)=YEAR(Q1146))</f>
        <v/>
      </c>
      <c r="O1146">
        <f>"L001-902303751"=S1146</f>
        <v/>
      </c>
      <c r="P1146">
        <f>G1146-U1146</f>
        <v/>
      </c>
      <c r="Q1146" s="35" t="n">
        <v>45446</v>
      </c>
      <c r="R1146" t="n">
        <v>112723</v>
      </c>
      <c r="S1146" t="inlineStr">
        <is>
          <t>L001-100045995</t>
        </is>
      </c>
      <c r="T1146" t="inlineStr">
        <is>
          <t>ឌីអេចអិល ឡូជីស្ទីក (ខេមបូឌា)</t>
        </is>
      </c>
      <c r="U1146" t="n">
        <v>112723</v>
      </c>
      <c r="V1146" t="n">
        <v>0</v>
      </c>
    </row>
    <row r="1147">
      <c r="A1147" t="n">
        <v>1146</v>
      </c>
      <c r="B1147" t="inlineStr">
        <is>
          <t>Send Document</t>
        </is>
      </c>
      <c r="C1147" t="inlineStr">
        <is>
          <t>ឌី អេច អិល អិចប្រេស (ខេមបូឌា)</t>
        </is>
      </c>
      <c r="D1147" t="inlineStr">
        <is>
          <t>L001-100045197</t>
        </is>
      </c>
      <c r="E1147" t="inlineStr">
        <is>
          <t>PNHIR00234042</t>
        </is>
      </c>
      <c r="F1147" t="inlineStr">
        <is>
          <t>07-08-2024</t>
        </is>
      </c>
      <c r="G1147" t="n">
        <v>6162</v>
      </c>
      <c r="I1147">
        <f>G1147</f>
        <v/>
      </c>
      <c r="K1147">
        <f>I1147-G1147</f>
        <v/>
      </c>
      <c r="M1147">
        <f>R1147=E1147</f>
        <v/>
      </c>
      <c r="N1147">
        <f>AND(MONTH(F1147)=MONTH(Q1147), YEAR(F1147)=YEAR(Q1147))</f>
        <v/>
      </c>
      <c r="O1147">
        <f>"L001-902303751"=S1147</f>
        <v/>
      </c>
      <c r="P1147">
        <f>G1147-U1147</f>
        <v/>
      </c>
      <c r="Q1147" s="35" t="n">
        <v>45488</v>
      </c>
      <c r="R1147" t="n">
        <v>112915</v>
      </c>
      <c r="S1147" t="inlineStr">
        <is>
          <t>L001-107032791</t>
        </is>
      </c>
      <c r="T1147" t="inlineStr">
        <is>
          <t>នីបផន អិចប្រេស (ខេមបូឌា) ខូ អិលធីឌី</t>
        </is>
      </c>
      <c r="U1147" t="n">
        <v>112915</v>
      </c>
      <c r="V1147" t="n">
        <v>0</v>
      </c>
    </row>
    <row r="1148">
      <c r="A1148" t="n">
        <v>1147</v>
      </c>
      <c r="B1148" t="inlineStr">
        <is>
          <t>Sodium metabisulfite</t>
        </is>
      </c>
      <c r="C1148" t="inlineStr">
        <is>
          <t>គី ស៊ីង អ៊ីមផត អិចផត ឯ.ក</t>
        </is>
      </c>
      <c r="D1148" t="inlineStr">
        <is>
          <t>B108-901805414</t>
        </is>
      </c>
      <c r="E1148" t="inlineStr">
        <is>
          <t>QX0269</t>
        </is>
      </c>
      <c r="F1148" t="inlineStr">
        <is>
          <t>21-08-2024</t>
        </is>
      </c>
      <c r="G1148" t="n">
        <v>261568</v>
      </c>
      <c r="I1148">
        <f>G1148</f>
        <v/>
      </c>
      <c r="K1148">
        <f>I1148-G1148</f>
        <v/>
      </c>
      <c r="M1148">
        <f>R1148=E1148</f>
        <v/>
      </c>
      <c r="N1148">
        <f>AND(MONTH(F1148)=MONTH(Q1148), YEAR(F1148)=YEAR(Q1148))</f>
        <v/>
      </c>
      <c r="O1148">
        <f>"L001-902303751"=S1148</f>
        <v/>
      </c>
      <c r="P1148">
        <f>G1148-U1148</f>
        <v/>
      </c>
      <c r="Q1148" s="35" t="n">
        <v>45502</v>
      </c>
      <c r="R1148" t="n">
        <v>115322</v>
      </c>
      <c r="S1148" t="inlineStr">
        <is>
          <t>K005-901805913</t>
        </is>
      </c>
      <c r="T1148" t="inlineStr">
        <is>
          <t>ស្តារ ខង់ខដ (ខេមបូឌា) ឯ.ក</t>
        </is>
      </c>
      <c r="U1148" t="n">
        <v>115322</v>
      </c>
      <c r="V1148" t="n">
        <v>0</v>
      </c>
    </row>
    <row r="1149">
      <c r="A1149" t="n">
        <v>1148</v>
      </c>
      <c r="B1149" t="inlineStr">
        <is>
          <t>Express Worldwide nondoc</t>
        </is>
      </c>
      <c r="C1149" t="inlineStr">
        <is>
          <t>ឌី អេច អិល អិចប្រេស (ខេមបូឌា)</t>
        </is>
      </c>
      <c r="D1149" t="inlineStr">
        <is>
          <t>L001-100045197</t>
        </is>
      </c>
      <c r="E1149" t="inlineStr">
        <is>
          <t>PNHR000505935</t>
        </is>
      </c>
      <c r="F1149" t="inlineStr">
        <is>
          <t>30-09-2024</t>
        </is>
      </c>
      <c r="G1149" t="n">
        <v>59035</v>
      </c>
      <c r="I1149">
        <f>G1149</f>
        <v/>
      </c>
      <c r="K1149">
        <f>I1149-G1149</f>
        <v/>
      </c>
      <c r="M1149">
        <f>R1149=E1149</f>
        <v/>
      </c>
      <c r="N1149">
        <f>AND(MONTH(F1149)=MONTH(Q1149), YEAR(F1149)=YEAR(Q1149))</f>
        <v/>
      </c>
      <c r="O1149">
        <f>"L001-902303751"=S1149</f>
        <v/>
      </c>
      <c r="P1149">
        <f>G1149-U1149</f>
        <v/>
      </c>
      <c r="Q1149" s="35" t="n">
        <v>45495</v>
      </c>
      <c r="R1149" t="n">
        <v>86700</v>
      </c>
      <c r="S1149" t="inlineStr">
        <is>
          <t>K005-901805913</t>
        </is>
      </c>
      <c r="T1149" t="inlineStr">
        <is>
          <t>ស្តារ ខង់ខដ (ខេមបូឌា) ឯ.ក</t>
        </is>
      </c>
      <c r="U1149" t="n">
        <v>86700</v>
      </c>
      <c r="V1149" t="n">
        <v>0</v>
      </c>
    </row>
    <row r="1150">
      <c r="A1150" t="n">
        <v>1149</v>
      </c>
      <c r="B1150" t="inlineStr">
        <is>
          <t>Express Worldwide nondoc</t>
        </is>
      </c>
      <c r="C1150" t="inlineStr">
        <is>
          <t>ឌី អេច អិល អិចប្រេស (ខេមបូឌា)</t>
        </is>
      </c>
      <c r="D1150" t="inlineStr">
        <is>
          <t>L001-100045197</t>
        </is>
      </c>
      <c r="E1150" t="inlineStr">
        <is>
          <t>PNHIR00245476</t>
        </is>
      </c>
      <c r="F1150" t="inlineStr">
        <is>
          <t>30-09-2024</t>
        </is>
      </c>
      <c r="G1150" t="n">
        <v>6672</v>
      </c>
      <c r="I1150">
        <f>G1150</f>
        <v/>
      </c>
      <c r="K1150">
        <f>I1150-G1150</f>
        <v/>
      </c>
      <c r="M1150">
        <f>R1150=E1150</f>
        <v/>
      </c>
      <c r="N1150">
        <f>AND(MONTH(F1150)=MONTH(Q1150), YEAR(F1150)=YEAR(Q1150))</f>
        <v/>
      </c>
      <c r="O1150">
        <f>"L001-902303751"=S1150</f>
        <v/>
      </c>
      <c r="P1150">
        <f>G1150-U1150</f>
        <v/>
      </c>
      <c r="Q1150" s="35" t="n">
        <v>45495</v>
      </c>
      <c r="R1150" t="inlineStr"/>
      <c r="S1150" t="inlineStr">
        <is>
          <t>L001-100045340</t>
        </is>
      </c>
      <c r="T1150" t="inlineStr">
        <is>
          <t xml:space="preserve">ស៊ីវ៉ា អ៊ែរ អ៊ែន អូសៀន (ខេមបូឌា) ឯ.ក </t>
        </is>
      </c>
      <c r="U1150" t="n">
        <v>0</v>
      </c>
      <c r="V1150" t="n">
        <v>0</v>
      </c>
    </row>
    <row r="1151">
      <c r="A1151" t="n">
        <v>1150</v>
      </c>
      <c r="B1151" t="inlineStr">
        <is>
          <t>Duties &amp; Taxes</t>
        </is>
      </c>
      <c r="C1151" t="inlineStr">
        <is>
          <t>ឌី អេច អិល អិចប្រេស (ខេមបូឌា)</t>
        </is>
      </c>
      <c r="D1151" t="inlineStr">
        <is>
          <t>L001-100045197</t>
        </is>
      </c>
      <c r="E1151" t="inlineStr">
        <is>
          <t>PNHIR00244747</t>
        </is>
      </c>
      <c r="F1151" t="inlineStr">
        <is>
          <t>30-09-2024</t>
        </is>
      </c>
      <c r="G1151" t="n">
        <v>32488</v>
      </c>
      <c r="I1151">
        <f>G1151</f>
        <v/>
      </c>
      <c r="K1151">
        <f>I1151-G1151</f>
        <v/>
      </c>
      <c r="M1151">
        <f>R1151=E1151</f>
        <v/>
      </c>
      <c r="N1151">
        <f>AND(MONTH(F1151)=MONTH(Q1151), YEAR(F1151)=YEAR(Q1151))</f>
        <v/>
      </c>
      <c r="O1151">
        <f>"L001-902303751"=S1151</f>
        <v/>
      </c>
      <c r="P1151">
        <f>G1151-U1151</f>
        <v/>
      </c>
      <c r="Q1151" s="35" t="n">
        <v>45481</v>
      </c>
      <c r="R1151" t="inlineStr"/>
      <c r="S1151" t="inlineStr">
        <is>
          <t>K005-901501155</t>
        </is>
      </c>
      <c r="T1151" t="inlineStr">
        <is>
          <t>ផេនដា គ្លូប៊ល ឡូជីស្ទីក (ខេមបូឌា)</t>
        </is>
      </c>
      <c r="U1151" t="n">
        <v>0</v>
      </c>
      <c r="V1151" t="n">
        <v>0</v>
      </c>
    </row>
    <row r="1152">
      <c r="A1152" t="n">
        <v>1151</v>
      </c>
      <c r="B1152" t="inlineStr">
        <is>
          <t>Duties &amp; Taxes</t>
        </is>
      </c>
      <c r="C1152" t="inlineStr">
        <is>
          <t>ឌី អេច អិល អិចប្រេស (ខេមបូឌា)</t>
        </is>
      </c>
      <c r="D1152" t="inlineStr">
        <is>
          <t>L001-100045197</t>
        </is>
      </c>
      <c r="E1152" t="inlineStr">
        <is>
          <t>PNHIR00244746</t>
        </is>
      </c>
      <c r="F1152" t="inlineStr">
        <is>
          <t>30-09-2024</t>
        </is>
      </c>
      <c r="G1152" t="n">
        <v>24366</v>
      </c>
      <c r="I1152">
        <f>G1152</f>
        <v/>
      </c>
      <c r="K1152">
        <f>I1152-G1152</f>
        <v/>
      </c>
      <c r="M1152">
        <f>R1152=E1152</f>
        <v/>
      </c>
      <c r="N1152">
        <f>AND(MONTH(F1152)=MONTH(Q1152), YEAR(F1152)=YEAR(Q1152))</f>
        <v/>
      </c>
      <c r="O1152">
        <f>"L001-902303751"=S1152</f>
        <v/>
      </c>
      <c r="P1152">
        <f>G1152-U1152</f>
        <v/>
      </c>
      <c r="Q1152" s="35" t="n">
        <v>45481</v>
      </c>
      <c r="R1152" t="n">
        <v>113273</v>
      </c>
      <c r="S1152" t="inlineStr">
        <is>
          <t>K005-100150195</t>
        </is>
      </c>
      <c r="T1152" t="inlineStr">
        <is>
          <t>អេស អ វី ស៊ី ហ្វ្រេត សឺវីស (ខេមបូឌា) ខូ អិលធីឌី</t>
        </is>
      </c>
      <c r="U1152" t="n">
        <v>113273</v>
      </c>
      <c r="V1152" t="n">
        <v>0</v>
      </c>
    </row>
    <row r="1153">
      <c r="A1153" t="n">
        <v>1152</v>
      </c>
      <c r="B1153" t="inlineStr">
        <is>
          <t>Duties &amp; Taxes</t>
        </is>
      </c>
      <c r="C1153" t="inlineStr">
        <is>
          <t>ឌី អេច អិល អិចប្រេស (ខេមបូឌា)</t>
        </is>
      </c>
      <c r="D1153" t="inlineStr">
        <is>
          <t>L001-100045197</t>
        </is>
      </c>
      <c r="E1153" t="inlineStr">
        <is>
          <t>PNHIR00243682</t>
        </is>
      </c>
      <c r="F1153" t="inlineStr">
        <is>
          <t>27-09-2024</t>
        </is>
      </c>
      <c r="G1153" t="n">
        <v>8122</v>
      </c>
      <c r="I1153">
        <f>G1153</f>
        <v/>
      </c>
      <c r="K1153">
        <f>I1153-G1153</f>
        <v/>
      </c>
      <c r="M1153">
        <f>R1153=E1153</f>
        <v/>
      </c>
      <c r="N1153">
        <f>AND(MONTH(F1153)=MONTH(Q1153), YEAR(F1153)=YEAR(Q1153))</f>
        <v/>
      </c>
      <c r="O1153">
        <f>"L001-902303751"=S1153</f>
        <v/>
      </c>
      <c r="P1153">
        <f>G1153-U1153</f>
        <v/>
      </c>
      <c r="Q1153" s="35" t="n">
        <v>45481</v>
      </c>
      <c r="R1153" t="n">
        <v>113273</v>
      </c>
      <c r="S1153" t="inlineStr">
        <is>
          <t>L001-107032791</t>
        </is>
      </c>
      <c r="T1153" t="inlineStr">
        <is>
          <t>នីបផន អិចប្រេស (ខេមបូឌា) ខូ អិលធីឌី</t>
        </is>
      </c>
      <c r="U1153" t="n">
        <v>113273</v>
      </c>
      <c r="V1153" t="n">
        <v>0</v>
      </c>
    </row>
    <row r="1154">
      <c r="A1154" t="n">
        <v>1153</v>
      </c>
      <c r="B1154" t="inlineStr">
        <is>
          <t>Express Worldwide doc and nondoc</t>
        </is>
      </c>
      <c r="C1154" t="inlineStr">
        <is>
          <t>ឌី អេច អិល អិចប្រេស (ខេមបូឌា)</t>
        </is>
      </c>
      <c r="D1154" t="inlineStr">
        <is>
          <t>L001-100045197</t>
        </is>
      </c>
      <c r="E1154" t="inlineStr">
        <is>
          <t>PNHR000505429</t>
        </is>
      </c>
      <c r="F1154" t="inlineStr">
        <is>
          <t>26-09-2024</t>
        </is>
      </c>
      <c r="G1154" t="n">
        <v>266882</v>
      </c>
      <c r="I1154">
        <f>G1154</f>
        <v/>
      </c>
      <c r="K1154">
        <f>I1154-G1154</f>
        <v/>
      </c>
      <c r="M1154">
        <f>R1154=E1154</f>
        <v/>
      </c>
      <c r="N1154">
        <f>AND(MONTH(F1154)=MONTH(Q1154), YEAR(F1154)=YEAR(Q1154))</f>
        <v/>
      </c>
      <c r="O1154">
        <f>"L001-902303751"=S1154</f>
        <v/>
      </c>
      <c r="P1154">
        <f>G1154-U1154</f>
        <v/>
      </c>
      <c r="Q1154" s="35" t="n">
        <v>45488</v>
      </c>
      <c r="R1154" t="n">
        <v>112915</v>
      </c>
      <c r="S1154" t="inlineStr">
        <is>
          <t>L001-107032791</t>
        </is>
      </c>
      <c r="T1154" t="inlineStr">
        <is>
          <t>នីបផន អិចប្រេស (ខេមបូឌា) ខូ អិលធីឌី</t>
        </is>
      </c>
      <c r="U1154" t="n">
        <v>112915</v>
      </c>
      <c r="V1154" t="n">
        <v>0</v>
      </c>
    </row>
    <row r="1155">
      <c r="A1155" t="n">
        <v>1154</v>
      </c>
      <c r="B1155" t="inlineStr">
        <is>
          <t>Express Worldwide doc and nondoc</t>
        </is>
      </c>
      <c r="C1155" t="inlineStr">
        <is>
          <t>ឌី អេច អិល អិចប្រេស (ខេមបូឌា)</t>
        </is>
      </c>
      <c r="D1155" t="inlineStr">
        <is>
          <t>L001-100045197</t>
        </is>
      </c>
      <c r="E1155" t="inlineStr">
        <is>
          <t>PNHIR00243529</t>
        </is>
      </c>
      <c r="F1155" t="inlineStr">
        <is>
          <t>26-09-2024</t>
        </is>
      </c>
      <c r="G1155" t="n">
        <v>102611</v>
      </c>
      <c r="I1155">
        <f>G1155</f>
        <v/>
      </c>
      <c r="K1155">
        <f>I1155-G1155</f>
        <v/>
      </c>
      <c r="M1155">
        <f>R1155=E1155</f>
        <v/>
      </c>
      <c r="N1155">
        <f>AND(MONTH(F1155)=MONTH(Q1155), YEAR(F1155)=YEAR(Q1155))</f>
        <v/>
      </c>
      <c r="O1155">
        <f>"L001-902303751"=S1155</f>
        <v/>
      </c>
      <c r="P1155">
        <f>G1155-U1155</f>
        <v/>
      </c>
      <c r="Q1155" s="35" t="n">
        <v>45488</v>
      </c>
      <c r="R1155" t="inlineStr"/>
      <c r="S1155" t="inlineStr">
        <is>
          <t>L001-107032791</t>
        </is>
      </c>
      <c r="T1155" t="inlineStr">
        <is>
          <t>នីបផន អិចប្រេស (ខេមបូឌា) ខូ អិលធីឌី</t>
        </is>
      </c>
      <c r="U1155" t="n">
        <v>0</v>
      </c>
      <c r="V1155" t="n">
        <v>0</v>
      </c>
    </row>
    <row r="1156">
      <c r="A1156" t="n">
        <v>1155</v>
      </c>
      <c r="B1156" t="inlineStr">
        <is>
          <t>Duties &amp; Taxes</t>
        </is>
      </c>
      <c r="C1156" t="inlineStr">
        <is>
          <t>ឌី អេច អិល អិចប្រេស (ខេមបូឌា)</t>
        </is>
      </c>
      <c r="D1156" t="inlineStr">
        <is>
          <t>L001-100045197</t>
        </is>
      </c>
      <c r="E1156" t="inlineStr">
        <is>
          <t>PNHIR00243486</t>
        </is>
      </c>
      <c r="F1156" t="inlineStr">
        <is>
          <t>25-09-2024</t>
        </is>
      </c>
      <c r="G1156" t="n">
        <v>16252</v>
      </c>
      <c r="I1156">
        <f>G1156</f>
        <v/>
      </c>
      <c r="K1156">
        <f>I1156-G1156</f>
        <v/>
      </c>
      <c r="M1156">
        <f>R1156=E1156</f>
        <v/>
      </c>
      <c r="N1156">
        <f>AND(MONTH(F1156)=MONTH(Q1156), YEAR(F1156)=YEAR(Q1156))</f>
        <v/>
      </c>
      <c r="O1156">
        <f>"L001-902303751"=S1156</f>
        <v/>
      </c>
      <c r="P1156">
        <f>G1156-U1156</f>
        <v/>
      </c>
      <c r="Q1156" s="35" t="n">
        <v>45488</v>
      </c>
      <c r="R1156" t="n">
        <v>115379</v>
      </c>
      <c r="S1156" t="inlineStr">
        <is>
          <t>K005-901805913</t>
        </is>
      </c>
      <c r="T1156" t="inlineStr">
        <is>
          <t>ស្តារ ខង់ខដ (ខេមបូឌា) ឯ.ក</t>
        </is>
      </c>
      <c r="U1156" t="n">
        <v>115379</v>
      </c>
      <c r="V1156" t="n">
        <v>0</v>
      </c>
    </row>
    <row r="1157">
      <c r="A1157" t="n">
        <v>1156</v>
      </c>
      <c r="B1157" t="inlineStr">
        <is>
          <t>Duties &amp; Taxes</t>
        </is>
      </c>
      <c r="C1157" t="inlineStr">
        <is>
          <t>ឌី អេច អិល អិចប្រេស (ខេមបូឌា)</t>
        </is>
      </c>
      <c r="D1157" t="inlineStr">
        <is>
          <t>L001-100045197</t>
        </is>
      </c>
      <c r="E1157" t="inlineStr">
        <is>
          <t>PNHIR00243454</t>
        </is>
      </c>
      <c r="F1157" t="inlineStr">
        <is>
          <t>23-09-2024</t>
        </is>
      </c>
      <c r="G1157" t="n">
        <v>8126</v>
      </c>
      <c r="I1157">
        <f>G1157</f>
        <v/>
      </c>
      <c r="K1157">
        <f>I1157-G1157</f>
        <v/>
      </c>
      <c r="M1157">
        <f>R1157=E1157</f>
        <v/>
      </c>
      <c r="N1157">
        <f>AND(MONTH(F1157)=MONTH(Q1157), YEAR(F1157)=YEAR(Q1157))</f>
        <v/>
      </c>
      <c r="O1157">
        <f>"L001-902303751"=S1157</f>
        <v/>
      </c>
      <c r="P1157">
        <f>G1157-U1157</f>
        <v/>
      </c>
      <c r="Q1157" s="35" t="n">
        <v>45502</v>
      </c>
      <c r="R1157" t="n">
        <v>84132</v>
      </c>
      <c r="S1157" t="inlineStr">
        <is>
          <t>L001-107032791</t>
        </is>
      </c>
      <c r="T1157" t="inlineStr">
        <is>
          <t>នីបផន អិចប្រេស (ខេមបូឌា) ខូ អិលធីឌី</t>
        </is>
      </c>
      <c r="U1157" t="n">
        <v>84132</v>
      </c>
      <c r="V1157" t="n">
        <v>0</v>
      </c>
    </row>
    <row r="1158">
      <c r="A1158" t="n">
        <v>1157</v>
      </c>
      <c r="B1158" t="inlineStr">
        <is>
          <t>Express Worldwide nondoc</t>
        </is>
      </c>
      <c r="C1158" t="inlineStr">
        <is>
          <t>ឌី អេច អិល អិចប្រេស (ខេមបូឌា)</t>
        </is>
      </c>
      <c r="D1158" t="inlineStr">
        <is>
          <t>L001-100045197</t>
        </is>
      </c>
      <c r="E1158" t="inlineStr">
        <is>
          <t>PNHR000504843</t>
        </is>
      </c>
      <c r="F1158" t="inlineStr">
        <is>
          <t>19-09-2024</t>
        </is>
      </c>
      <c r="G1158" t="n">
        <v>43918</v>
      </c>
      <c r="I1158">
        <f>G1158</f>
        <v/>
      </c>
      <c r="K1158">
        <f>I1158-G1158</f>
        <v/>
      </c>
      <c r="M1158">
        <f>R1158=E1158</f>
        <v/>
      </c>
      <c r="N1158">
        <f>AND(MONTH(F1158)=MONTH(Q1158), YEAR(F1158)=YEAR(Q1158))</f>
        <v/>
      </c>
      <c r="O1158">
        <f>"L001-902303751"=S1158</f>
        <v/>
      </c>
      <c r="P1158">
        <f>G1158-U1158</f>
        <v/>
      </c>
      <c r="Q1158" s="35" t="n">
        <v>45474</v>
      </c>
      <c r="R1158" t="n">
        <v>301410</v>
      </c>
      <c r="S1158" t="inlineStr">
        <is>
          <t>K003-901635943</t>
        </is>
      </c>
      <c r="T1158" t="inlineStr">
        <is>
          <t>អ៊ីឃ្យូឡាញ វើលវ៉ាយដ៍ ឡូជីស្ទីក</t>
        </is>
      </c>
      <c r="U1158" t="n">
        <v>301410</v>
      </c>
      <c r="V1158" t="n">
        <v>0</v>
      </c>
    </row>
    <row r="1159">
      <c r="A1159" t="n">
        <v>1158</v>
      </c>
      <c r="B1159" t="inlineStr">
        <is>
          <t>Express Worldwide nondoc</t>
        </is>
      </c>
      <c r="C1159" t="inlineStr">
        <is>
          <t>ឌី អេច អិល អិចប្រេស (ខេមបូឌា)</t>
        </is>
      </c>
      <c r="D1159" t="inlineStr">
        <is>
          <t>L001-100045197</t>
        </is>
      </c>
      <c r="E1159" t="inlineStr">
        <is>
          <t>PNHIR00243032</t>
        </is>
      </c>
      <c r="F1159" t="inlineStr">
        <is>
          <t>19-09-2024</t>
        </is>
      </c>
      <c r="G1159" t="n">
        <v>80441</v>
      </c>
      <c r="I1159">
        <f>G1159</f>
        <v/>
      </c>
      <c r="K1159">
        <f>I1159-G1159</f>
        <v/>
      </c>
      <c r="M1159">
        <f>R1159=E1159</f>
        <v/>
      </c>
      <c r="N1159">
        <f>AND(MONTH(F1159)=MONTH(Q1159), YEAR(F1159)=YEAR(Q1159))</f>
        <v/>
      </c>
      <c r="O1159">
        <f>"L001-902303751"=S1159</f>
        <v/>
      </c>
      <c r="P1159">
        <f>G1159-U1159</f>
        <v/>
      </c>
      <c r="Q1159" s="35" t="n">
        <v>45474</v>
      </c>
      <c r="R1159" t="inlineStr"/>
      <c r="S1159" t="inlineStr">
        <is>
          <t>K002-901800477</t>
        </is>
      </c>
      <c r="T1159" t="inlineStr">
        <is>
          <t>អាយធីអាយ អ៊ិនធើណេសិនណល ត្រេនស័្ពរថេសិន (ខេមបូឌា) ឯ.ក</t>
        </is>
      </c>
      <c r="U1159" t="n">
        <v>0</v>
      </c>
      <c r="V1159" t="n">
        <v>0</v>
      </c>
    </row>
    <row r="1160">
      <c r="A1160" t="n">
        <v>1159</v>
      </c>
      <c r="B1160" t="inlineStr">
        <is>
          <t>Duties &amp; Taxes</t>
        </is>
      </c>
      <c r="C1160" t="inlineStr">
        <is>
          <t>ឌី អេច អិល អិចប្រេស (ខេមបូឌា)</t>
        </is>
      </c>
      <c r="D1160" t="inlineStr">
        <is>
          <t>L001-100045197</t>
        </is>
      </c>
      <c r="E1160" t="inlineStr">
        <is>
          <t>PNHIR00242724</t>
        </is>
      </c>
      <c r="F1160" t="inlineStr">
        <is>
          <t>19-09-2024</t>
        </is>
      </c>
      <c r="G1160" t="n">
        <v>12425</v>
      </c>
      <c r="I1160">
        <f>G1160</f>
        <v/>
      </c>
      <c r="K1160">
        <f>I1160-G1160</f>
        <v/>
      </c>
      <c r="M1160">
        <f>R1160=E1160</f>
        <v/>
      </c>
      <c r="N1160">
        <f>AND(MONTH(F1160)=MONTH(Q1160), YEAR(F1160)=YEAR(Q1160))</f>
        <v/>
      </c>
      <c r="O1160">
        <f>"L001-902303751"=S1160</f>
        <v/>
      </c>
      <c r="P1160">
        <f>G1160-U1160</f>
        <v/>
      </c>
      <c r="Q1160" s="35" t="n">
        <v>45474</v>
      </c>
      <c r="R1160" t="inlineStr"/>
      <c r="S1160" t="inlineStr">
        <is>
          <t>L001-100045995</t>
        </is>
      </c>
      <c r="T1160" t="inlineStr">
        <is>
          <t>ឌីអេចអិល ឡូជីស្ទីក (ខេមបូឌា)</t>
        </is>
      </c>
      <c r="U1160" t="n">
        <v>0</v>
      </c>
      <c r="V1160" t="n">
        <v>0</v>
      </c>
    </row>
    <row r="1161">
      <c r="A1161" t="n">
        <v>1160</v>
      </c>
      <c r="B1161" t="inlineStr">
        <is>
          <t>Duties &amp; Taxes</t>
        </is>
      </c>
      <c r="C1161" t="inlineStr">
        <is>
          <t>ឌី អេច អិល អិចប្រេស (ខេមបូឌា)</t>
        </is>
      </c>
      <c r="D1161" t="inlineStr">
        <is>
          <t>L001-100045197</t>
        </is>
      </c>
      <c r="E1161" t="inlineStr">
        <is>
          <t>PNHIR00242647</t>
        </is>
      </c>
      <c r="F1161" t="inlineStr">
        <is>
          <t>18-09-2024</t>
        </is>
      </c>
      <c r="G1161" t="n">
        <v>12165</v>
      </c>
      <c r="I1161">
        <f>G1161</f>
        <v/>
      </c>
      <c r="K1161">
        <f>I1161-G1161</f>
        <v/>
      </c>
      <c r="M1161">
        <f>R1161=E1161</f>
        <v/>
      </c>
      <c r="N1161">
        <f>AND(MONTH(F1161)=MONTH(Q1161), YEAR(F1161)=YEAR(Q1161))</f>
        <v/>
      </c>
      <c r="O1161">
        <f>"L001-902303751"=S1161</f>
        <v/>
      </c>
      <c r="P1161">
        <f>G1161-U1161</f>
        <v/>
      </c>
      <c r="Q1161" s="35" t="n">
        <v>45482</v>
      </c>
      <c r="R1161" t="n">
        <v>16464</v>
      </c>
      <c r="S1161" t="inlineStr">
        <is>
          <t>L001-107032791</t>
        </is>
      </c>
      <c r="T1161" t="inlineStr">
        <is>
          <t>នីបផន អិចប្រេស (ខេមបូឌា) ខូ អិលធីឌី</t>
        </is>
      </c>
      <c r="U1161" t="n">
        <v>16464</v>
      </c>
      <c r="V1161" t="n">
        <v>0</v>
      </c>
    </row>
    <row r="1162">
      <c r="A1162" t="n">
        <v>1161</v>
      </c>
      <c r="B1162" t="inlineStr">
        <is>
          <t>Duties &amp; Taxes</t>
        </is>
      </c>
      <c r="C1162" t="inlineStr">
        <is>
          <t>ឌី អេច អិល អិចប្រេស (ខេមបូឌា)</t>
        </is>
      </c>
      <c r="D1162" t="inlineStr">
        <is>
          <t>L001-100045197</t>
        </is>
      </c>
      <c r="E1162" t="inlineStr">
        <is>
          <t>PNHIR00241978</t>
        </is>
      </c>
      <c r="F1162" t="inlineStr">
        <is>
          <t>16-09-2024</t>
        </is>
      </c>
      <c r="G1162" t="n">
        <v>6081</v>
      </c>
      <c r="I1162">
        <f>G1162</f>
        <v/>
      </c>
      <c r="K1162">
        <f>I1162-G1162</f>
        <v/>
      </c>
      <c r="M1162">
        <f>R1162=E1162</f>
        <v/>
      </c>
      <c r="N1162">
        <f>AND(MONTH(F1162)=MONTH(Q1162), YEAR(F1162)=YEAR(Q1162))</f>
        <v/>
      </c>
      <c r="O1162">
        <f>"L001-902303751"=S1162</f>
        <v/>
      </c>
      <c r="P1162">
        <f>G1162-U1162</f>
        <v/>
      </c>
      <c r="Q1162" s="35" t="n">
        <v>45488</v>
      </c>
      <c r="R1162" t="inlineStr"/>
      <c r="S1162" t="inlineStr">
        <is>
          <t>L001-107032791</t>
        </is>
      </c>
      <c r="T1162" t="inlineStr">
        <is>
          <t>នីបផន អិចប្រេស (ខេមបូឌា) ខូ អិលធីឌី</t>
        </is>
      </c>
      <c r="U1162" t="n">
        <v>0</v>
      </c>
      <c r="V1162" t="n">
        <v>0</v>
      </c>
    </row>
    <row r="1163">
      <c r="A1163" t="n">
        <v>1162</v>
      </c>
      <c r="B1163" t="inlineStr">
        <is>
          <t>Duties &amp; Taxes</t>
        </is>
      </c>
      <c r="C1163" t="inlineStr">
        <is>
          <t>ឌី អេច អិល អិចប្រេស (ខេមបូឌា)</t>
        </is>
      </c>
      <c r="D1163" t="inlineStr">
        <is>
          <t>L001-100045197</t>
        </is>
      </c>
      <c r="E1163" t="inlineStr">
        <is>
          <t>PNHIR00241893</t>
        </is>
      </c>
      <c r="F1163" t="inlineStr">
        <is>
          <t>13-09-2024</t>
        </is>
      </c>
      <c r="G1163" t="n">
        <v>6085</v>
      </c>
      <c r="I1163">
        <f>G1163</f>
        <v/>
      </c>
      <c r="K1163">
        <f>I1163-G1163</f>
        <v/>
      </c>
      <c r="M1163">
        <f>R1163=E1163</f>
        <v/>
      </c>
      <c r="N1163">
        <f>AND(MONTH(F1163)=MONTH(Q1163), YEAR(F1163)=YEAR(Q1163))</f>
        <v/>
      </c>
      <c r="O1163">
        <f>"L001-902303751"=S1163</f>
        <v/>
      </c>
      <c r="P1163">
        <f>G1163-U1163</f>
        <v/>
      </c>
      <c r="Q1163" s="35" t="n">
        <v>45488</v>
      </c>
      <c r="R1163" t="inlineStr"/>
      <c r="S1163" t="inlineStr">
        <is>
          <t>L001-107032791</t>
        </is>
      </c>
      <c r="T1163" t="inlineStr">
        <is>
          <t>នីបផន អិចប្រេស (ខេមបូឌា) ខូ អិលធីឌី</t>
        </is>
      </c>
      <c r="U1163" t="n">
        <v>0</v>
      </c>
      <c r="V1163" t="n">
        <v>0</v>
      </c>
    </row>
    <row r="1164">
      <c r="A1164" t="n">
        <v>1163</v>
      </c>
      <c r="B1164" t="inlineStr">
        <is>
          <t>Express Worldwide doc and nondoc</t>
        </is>
      </c>
      <c r="C1164" t="inlineStr">
        <is>
          <t>ឌី អេច អិល អិចប្រេស (ខេមបូឌា)</t>
        </is>
      </c>
      <c r="D1164" t="inlineStr">
        <is>
          <t>L001-100045197</t>
        </is>
      </c>
      <c r="E1164" t="inlineStr">
        <is>
          <t>PNHR000504225</t>
        </is>
      </c>
      <c r="F1164" t="inlineStr">
        <is>
          <t>12-09-2024</t>
        </is>
      </c>
      <c r="G1164" t="n">
        <v>70888</v>
      </c>
      <c r="I1164">
        <f>G1164</f>
        <v/>
      </c>
      <c r="K1164">
        <f>I1164-G1164</f>
        <v/>
      </c>
      <c r="M1164">
        <f>R1164=E1164</f>
        <v/>
      </c>
      <c r="N1164">
        <f>AND(MONTH(F1164)=MONTH(Q1164), YEAR(F1164)=YEAR(Q1164))</f>
        <v/>
      </c>
      <c r="O1164">
        <f>"L001-902303751"=S1164</f>
        <v/>
      </c>
      <c r="P1164">
        <f>G1164-U1164</f>
        <v/>
      </c>
      <c r="Q1164" s="35" t="n">
        <v>45502</v>
      </c>
      <c r="R1164" t="n">
        <v>84132</v>
      </c>
      <c r="S1164" t="inlineStr">
        <is>
          <t>L001-107032791</t>
        </is>
      </c>
      <c r="T1164" t="inlineStr">
        <is>
          <t>នីបផន អិចប្រេស (ខេមបូឌា) ខូ អិលធីឌី</t>
        </is>
      </c>
      <c r="U1164" t="n">
        <v>84132</v>
      </c>
      <c r="V1164" t="n">
        <v>0</v>
      </c>
    </row>
    <row r="1165">
      <c r="A1165" t="n">
        <v>1164</v>
      </c>
      <c r="B1165" t="inlineStr">
        <is>
          <t>Express Worldwide nondoc</t>
        </is>
      </c>
      <c r="C1165" t="inlineStr">
        <is>
          <t>ឌី អេច អិល អិចប្រេស (ខេមបូឌា)</t>
        </is>
      </c>
      <c r="D1165" t="inlineStr">
        <is>
          <t>L001-100045197</t>
        </is>
      </c>
      <c r="E1165" t="inlineStr">
        <is>
          <t>PNHIR00241721</t>
        </is>
      </c>
      <c r="F1165" t="inlineStr">
        <is>
          <t>12-09-2024</t>
        </is>
      </c>
      <c r="G1165" t="n">
        <v>108970</v>
      </c>
      <c r="I1165">
        <f>G1165</f>
        <v/>
      </c>
      <c r="K1165">
        <f>I1165-G1165</f>
        <v/>
      </c>
      <c r="M1165">
        <f>R1165=E1165</f>
        <v/>
      </c>
      <c r="N1165">
        <f>AND(MONTH(F1165)=MONTH(Q1165), YEAR(F1165)=YEAR(Q1165))</f>
        <v/>
      </c>
      <c r="O1165">
        <f>"L001-902303751"=S1165</f>
        <v/>
      </c>
      <c r="P1165">
        <f>G1165-U1165</f>
        <v/>
      </c>
      <c r="Q1165" s="35" t="n">
        <v>45502</v>
      </c>
      <c r="R1165" t="inlineStr"/>
      <c r="S1165" t="inlineStr">
        <is>
          <t>L001-107032791</t>
        </is>
      </c>
      <c r="T1165" t="inlineStr">
        <is>
          <t>នីបផន អិចប្រេស (ខេមបូឌា) ខូ អិលធីឌី</t>
        </is>
      </c>
      <c r="U1165" t="n">
        <v>0</v>
      </c>
      <c r="V1165" t="n">
        <v>0</v>
      </c>
    </row>
    <row r="1166">
      <c r="A1166" t="n">
        <v>1165</v>
      </c>
      <c r="B1166" t="inlineStr">
        <is>
          <t>Duties &amp; Taxes</t>
        </is>
      </c>
      <c r="C1166" t="inlineStr">
        <is>
          <t>ឌី អេច អិល អិចប្រេស (ខេមបូឌា)</t>
        </is>
      </c>
      <c r="D1166" t="inlineStr">
        <is>
          <t>L001-100045197</t>
        </is>
      </c>
      <c r="E1166" t="inlineStr">
        <is>
          <t>PNHIR00241696</t>
        </is>
      </c>
      <c r="F1166" t="inlineStr">
        <is>
          <t>12-09-2024</t>
        </is>
      </c>
      <c r="G1166" t="n">
        <v>8120</v>
      </c>
      <c r="I1166">
        <f>G1166</f>
        <v/>
      </c>
      <c r="K1166">
        <f>I1166-G1166</f>
        <v/>
      </c>
      <c r="M1166">
        <f>R1166=E1166</f>
        <v/>
      </c>
      <c r="N1166">
        <f>AND(MONTH(F1166)=MONTH(Q1166), YEAR(F1166)=YEAR(Q1166))</f>
        <v/>
      </c>
      <c r="O1166">
        <f>"L001-902303751"=S1166</f>
        <v/>
      </c>
      <c r="P1166">
        <f>G1166-U1166</f>
        <v/>
      </c>
      <c r="Q1166" s="35" t="n">
        <v>45502</v>
      </c>
      <c r="R1166" t="n">
        <v>84132</v>
      </c>
      <c r="S1166" t="inlineStr">
        <is>
          <t>L001-107032791</t>
        </is>
      </c>
      <c r="T1166" t="inlineStr">
        <is>
          <t>នីបផន អិចប្រេស (ខេមបូឌា) ខូ អិលធីឌី</t>
        </is>
      </c>
      <c r="U1166" t="n">
        <v>84132</v>
      </c>
      <c r="V1166" t="n">
        <v>0</v>
      </c>
    </row>
    <row r="1167">
      <c r="A1167" t="n">
        <v>1166</v>
      </c>
      <c r="B1167" t="inlineStr">
        <is>
          <t>Duties &amp; Taxes</t>
        </is>
      </c>
      <c r="C1167" t="inlineStr">
        <is>
          <t>ឌី អេច អិល អិចប្រេស (ខេមបូឌា)</t>
        </is>
      </c>
      <c r="D1167" t="inlineStr">
        <is>
          <t>L001-100045197</t>
        </is>
      </c>
      <c r="E1167" t="inlineStr">
        <is>
          <t>PNHIR00240733</t>
        </is>
      </c>
      <c r="F1167" t="inlineStr">
        <is>
          <t>09-09-2024</t>
        </is>
      </c>
      <c r="G1167" t="n">
        <v>6111</v>
      </c>
      <c r="I1167">
        <f>G1167</f>
        <v/>
      </c>
      <c r="K1167">
        <f>I1167-G1167</f>
        <v/>
      </c>
      <c r="M1167">
        <f>R1167=E1167</f>
        <v/>
      </c>
      <c r="N1167">
        <f>AND(MONTH(F1167)=MONTH(Q1167), YEAR(F1167)=YEAR(Q1167))</f>
        <v/>
      </c>
      <c r="O1167">
        <f>"L001-902303751"=S1167</f>
        <v/>
      </c>
      <c r="P1167">
        <f>G1167-U1167</f>
        <v/>
      </c>
      <c r="Q1167" s="35" t="n">
        <v>45495</v>
      </c>
      <c r="R1167" t="inlineStr"/>
      <c r="S1167" t="inlineStr">
        <is>
          <t>L001-107032791</t>
        </is>
      </c>
      <c r="T1167" t="inlineStr">
        <is>
          <t>នីបផន អិចប្រេស (ខេមបូឌា) ខូ អិលធីឌី</t>
        </is>
      </c>
      <c r="U1167" t="n">
        <v>0</v>
      </c>
      <c r="V1167" t="n">
        <v>0</v>
      </c>
    </row>
    <row r="1168">
      <c r="A1168" t="n">
        <v>1167</v>
      </c>
      <c r="B1168" t="inlineStr">
        <is>
          <t>Duties &amp; Taxes</t>
        </is>
      </c>
      <c r="C1168" t="inlineStr">
        <is>
          <t>ឌី អេច អិល អិចប្រេស (ខេមបូឌា)</t>
        </is>
      </c>
      <c r="D1168" t="inlineStr">
        <is>
          <t>L001-100045197</t>
        </is>
      </c>
      <c r="E1168" t="inlineStr">
        <is>
          <t>PNHIR00240136</t>
        </is>
      </c>
      <c r="F1168" t="inlineStr">
        <is>
          <t>06-09-2024</t>
        </is>
      </c>
      <c r="G1168" t="n">
        <v>18333</v>
      </c>
      <c r="I1168">
        <f>G1168</f>
        <v/>
      </c>
      <c r="K1168">
        <f>I1168-G1168</f>
        <v/>
      </c>
      <c r="M1168">
        <f>R1168=E1168</f>
        <v/>
      </c>
      <c r="N1168">
        <f>AND(MONTH(F1168)=MONTH(Q1168), YEAR(F1168)=YEAR(Q1168))</f>
        <v/>
      </c>
      <c r="O1168">
        <f>"L001-902303751"=S1168</f>
        <v/>
      </c>
      <c r="P1168">
        <f>G1168-U1168</f>
        <v/>
      </c>
      <c r="Q1168" s="35" t="n">
        <v>45474</v>
      </c>
      <c r="R1168" t="n">
        <v>86763</v>
      </c>
      <c r="S1168" t="inlineStr">
        <is>
          <t>K005-901805913</t>
        </is>
      </c>
      <c r="T1168" t="inlineStr">
        <is>
          <t>ស្តារ ខង់ខដ (ខេមបូឌា) ឯ.ក</t>
        </is>
      </c>
      <c r="U1168" t="n">
        <v>86763</v>
      </c>
      <c r="V1168" t="n">
        <v>0</v>
      </c>
    </row>
    <row r="1169">
      <c r="A1169" t="n">
        <v>1168</v>
      </c>
      <c r="B1169" t="inlineStr">
        <is>
          <t>Express Worldwide doc and nondoc</t>
        </is>
      </c>
      <c r="C1169" t="inlineStr">
        <is>
          <t>ឌី អេច អិល អិចប្រេស (ខេមបូឌា)</t>
        </is>
      </c>
      <c r="D1169" t="inlineStr">
        <is>
          <t>L001-100045197</t>
        </is>
      </c>
      <c r="E1169" t="inlineStr">
        <is>
          <t>PNHR000503626</t>
        </is>
      </c>
      <c r="F1169" t="inlineStr">
        <is>
          <t>05-09-2024</t>
        </is>
      </c>
      <c r="G1169" t="n">
        <v>37776</v>
      </c>
      <c r="I1169">
        <f>G1169</f>
        <v/>
      </c>
      <c r="K1169">
        <f>I1169-G1169</f>
        <v/>
      </c>
      <c r="M1169">
        <f>R1169=E1169</f>
        <v/>
      </c>
      <c r="N1169">
        <f>AND(MONTH(F1169)=MONTH(Q1169), YEAR(F1169)=YEAR(Q1169))</f>
        <v/>
      </c>
      <c r="O1169">
        <f>"L001-902303751"=S1169</f>
        <v/>
      </c>
      <c r="P1169">
        <f>G1169-U1169</f>
        <v/>
      </c>
      <c r="Q1169" s="35" t="n">
        <v>45481</v>
      </c>
      <c r="R1169" t="inlineStr"/>
      <c r="S1169" t="inlineStr">
        <is>
          <t>K003-901635943</t>
        </is>
      </c>
      <c r="T1169" t="inlineStr">
        <is>
          <t>អ៊ីឃ្យូឡាញ វើលវ៉ាយដ៍ ឡូជីស្ទីក</t>
        </is>
      </c>
      <c r="U1169" t="n">
        <v>0</v>
      </c>
      <c r="V1169" t="n">
        <v>0</v>
      </c>
    </row>
    <row r="1170">
      <c r="A1170" t="n">
        <v>1169</v>
      </c>
      <c r="B1170" t="inlineStr">
        <is>
          <t>Express Worldwide nondoc</t>
        </is>
      </c>
      <c r="C1170" t="inlineStr">
        <is>
          <t>ឌី អេច អិល អិចប្រេស (ខេមបូឌា)</t>
        </is>
      </c>
      <c r="D1170" t="inlineStr">
        <is>
          <t>L001-100045197</t>
        </is>
      </c>
      <c r="E1170" t="inlineStr">
        <is>
          <t>PNHIR00240009</t>
        </is>
      </c>
      <c r="F1170" t="inlineStr">
        <is>
          <t>05-09-2024</t>
        </is>
      </c>
      <c r="G1170" t="n">
        <v>49438</v>
      </c>
      <c r="I1170">
        <f>G1170</f>
        <v/>
      </c>
      <c r="K1170">
        <f>I1170-G1170</f>
        <v/>
      </c>
      <c r="M1170">
        <f>R1170=E1170</f>
        <v/>
      </c>
      <c r="N1170">
        <f>AND(MONTH(F1170)=MONTH(Q1170), YEAR(F1170)=YEAR(Q1170))</f>
        <v/>
      </c>
      <c r="O1170">
        <f>"L001-902303751"=S1170</f>
        <v/>
      </c>
      <c r="P1170">
        <f>G1170-U1170</f>
        <v/>
      </c>
      <c r="Q1170" s="35" t="n">
        <v>45476</v>
      </c>
      <c r="R1170" t="n">
        <v>16472</v>
      </c>
      <c r="S1170" t="inlineStr">
        <is>
          <t>K003-901635943</t>
        </is>
      </c>
      <c r="T1170" t="inlineStr">
        <is>
          <t>អ៊ីឃ្យូឡាញ វើលវ៉ាយដ៍ ឡូជីស្ទីក</t>
        </is>
      </c>
      <c r="U1170" t="n">
        <v>16472</v>
      </c>
      <c r="V1170" t="n">
        <v>0</v>
      </c>
    </row>
    <row r="1171">
      <c r="A1171" t="n">
        <v>1170</v>
      </c>
      <c r="B1171" t="inlineStr">
        <is>
          <t>Duties &amp; Taxes</t>
        </is>
      </c>
      <c r="C1171" t="inlineStr">
        <is>
          <t>ឌី អេច អិល អិចប្រេស (ខេមបូឌា)</t>
        </is>
      </c>
      <c r="D1171" t="inlineStr">
        <is>
          <t>L001-100045197</t>
        </is>
      </c>
      <c r="E1171" t="inlineStr">
        <is>
          <t>PNHIR00239973</t>
        </is>
      </c>
      <c r="F1171" t="inlineStr">
        <is>
          <t>03-09-2024</t>
        </is>
      </c>
      <c r="G1171" t="n">
        <v>11504</v>
      </c>
      <c r="I1171">
        <f>G1171</f>
        <v/>
      </c>
      <c r="K1171">
        <f>I1171-G1171</f>
        <v/>
      </c>
      <c r="M1171">
        <f>R1171=E1171</f>
        <v/>
      </c>
      <c r="N1171">
        <f>AND(MONTH(F1171)=MONTH(Q1171), YEAR(F1171)=YEAR(Q1171))</f>
        <v/>
      </c>
      <c r="O1171">
        <f>"L001-902303751"=S1171</f>
        <v/>
      </c>
      <c r="P1171">
        <f>G1171-U1171</f>
        <v/>
      </c>
      <c r="Q1171" s="35" t="n">
        <v>45474</v>
      </c>
      <c r="R1171" t="n">
        <v>84296</v>
      </c>
      <c r="S1171" t="inlineStr">
        <is>
          <t>L001-100011888</t>
        </is>
      </c>
      <c r="T1171" t="inlineStr">
        <is>
          <t>ត្រេន ស្តារ ហ្រេ្វត</t>
        </is>
      </c>
      <c r="U1171" t="n">
        <v>84296</v>
      </c>
      <c r="V1171" t="n">
        <v>0</v>
      </c>
    </row>
    <row r="1172">
      <c r="A1172" t="n">
        <v>1171</v>
      </c>
      <c r="B1172" t="inlineStr">
        <is>
          <t>Document Origin, Handling Charges Origin, Airfreight, Overtime Fee, PLACI fee and HAWB Transmission Fee</t>
        </is>
      </c>
      <c r="C1172" t="inlineStr">
        <is>
          <t>ឌីប៊ី សេនឃើរ (ខេមបូឌា) លីមីធីត</t>
        </is>
      </c>
      <c r="D1172" t="inlineStr">
        <is>
          <t>L001-107041723</t>
        </is>
      </c>
      <c r="E1172" t="inlineStr">
        <is>
          <t>2400007078</t>
        </is>
      </c>
      <c r="F1172" t="inlineStr">
        <is>
          <t>02-09-2024</t>
        </is>
      </c>
      <c r="G1172" t="n">
        <v>49926</v>
      </c>
      <c r="I1172">
        <f>G1172</f>
        <v/>
      </c>
      <c r="K1172">
        <f>I1172-G1172</f>
        <v/>
      </c>
      <c r="M1172">
        <f>R1172=E1172</f>
        <v/>
      </c>
      <c r="N1172">
        <f>AND(MONTH(F1172)=MONTH(Q1172), YEAR(F1172)=YEAR(Q1172))</f>
        <v/>
      </c>
      <c r="O1172">
        <f>"L001-902303751"=S1172</f>
        <v/>
      </c>
      <c r="P1172">
        <f>G1172-U1172</f>
        <v/>
      </c>
      <c r="Q1172" s="35" t="n">
        <v>45474</v>
      </c>
      <c r="R1172" t="n">
        <v>113080</v>
      </c>
      <c r="S1172" t="inlineStr">
        <is>
          <t>K002-901800477</t>
        </is>
      </c>
      <c r="T1172" t="inlineStr">
        <is>
          <t>អាយធីអាយ អ៊ិនធើណេសិនណល ត្រេនស័្ពរថេសិន (ខេមបូឌា) ឯ.ក</t>
        </is>
      </c>
      <c r="U1172" t="n">
        <v>113080</v>
      </c>
      <c r="V1172" t="n">
        <v>0</v>
      </c>
    </row>
    <row r="1173">
      <c r="A1173" t="n">
        <v>1172</v>
      </c>
      <c r="B1173" t="inlineStr">
        <is>
          <t>Documentation Origin, Handling Charge Orgin, Airfreight, Overtime Fee, PLACI Fee and HAWB Transmission Fee</t>
        </is>
      </c>
      <c r="C1173" t="inlineStr">
        <is>
          <t>ឌីប៊ី សេនឃើរ (ខេមបូឌា) លីមីធីត</t>
        </is>
      </c>
      <c r="D1173" t="inlineStr">
        <is>
          <t>L001-107041723</t>
        </is>
      </c>
      <c r="E1173" t="inlineStr">
        <is>
          <t>2400007083</t>
        </is>
      </c>
      <c r="F1173" t="inlineStr">
        <is>
          <t>02-09-2024</t>
        </is>
      </c>
      <c r="G1173" t="n">
        <v>70221</v>
      </c>
      <c r="I1173">
        <f>G1173</f>
        <v/>
      </c>
      <c r="K1173">
        <f>I1173-G1173</f>
        <v/>
      </c>
      <c r="M1173">
        <f>R1173=E1173</f>
        <v/>
      </c>
      <c r="N1173">
        <f>AND(MONTH(F1173)=MONTH(Q1173), YEAR(F1173)=YEAR(Q1173))</f>
        <v/>
      </c>
      <c r="O1173">
        <f>"L001-902303751"=S1173</f>
        <v/>
      </c>
      <c r="P1173">
        <f>G1173-U1173</f>
        <v/>
      </c>
      <c r="Q1173" s="35" t="n">
        <v>45481</v>
      </c>
      <c r="R1173" t="n">
        <v>84440</v>
      </c>
      <c r="S1173" t="inlineStr">
        <is>
          <t>L001-107032791</t>
        </is>
      </c>
      <c r="T1173" t="inlineStr">
        <is>
          <t>នីបផន អិចប្រេស (ខេមបូឌា) ខូ អិលធីឌី</t>
        </is>
      </c>
      <c r="U1173" t="n">
        <v>84440</v>
      </c>
      <c r="V1173" t="n">
        <v>0</v>
      </c>
    </row>
    <row r="1174">
      <c r="A1174" t="n">
        <v>1173</v>
      </c>
      <c r="B1174" t="inlineStr">
        <is>
          <t>Documentation Origin, Handling Charge Orgin, Airfreight, Overtime Fee, PLACI Fee and HAWB Trasmission Fee</t>
        </is>
      </c>
      <c r="C1174" t="inlineStr">
        <is>
          <t>ឌីប៊ី សេនឃើរ (ខេមបូឌា) លីមីធីត</t>
        </is>
      </c>
      <c r="D1174" t="inlineStr">
        <is>
          <t>L001-107041723</t>
        </is>
      </c>
      <c r="E1174" t="inlineStr">
        <is>
          <t>2400007079</t>
        </is>
      </c>
      <c r="F1174" t="inlineStr">
        <is>
          <t>02-09-2024</t>
        </is>
      </c>
      <c r="G1174" t="n">
        <v>82398</v>
      </c>
      <c r="I1174">
        <f>G1174</f>
        <v/>
      </c>
      <c r="K1174">
        <f>I1174-G1174</f>
        <v/>
      </c>
      <c r="M1174">
        <f>R1174=E1174</f>
        <v/>
      </c>
      <c r="N1174">
        <f>AND(MONTH(F1174)=MONTH(Q1174), YEAR(F1174)=YEAR(Q1174))</f>
        <v/>
      </c>
      <c r="O1174">
        <f>"L001-902303751"=S1174</f>
        <v/>
      </c>
      <c r="P1174">
        <f>G1174-U1174</f>
        <v/>
      </c>
      <c r="Q1174" s="35" t="n">
        <v>45481</v>
      </c>
      <c r="R1174" t="n">
        <v>115744</v>
      </c>
      <c r="S1174" t="inlineStr">
        <is>
          <t>K005-901805913</t>
        </is>
      </c>
      <c r="T1174" t="inlineStr">
        <is>
          <t>ស្តារ ខង់ខដ (ខេមបូឌា) ឯ.ក</t>
        </is>
      </c>
      <c r="U1174" t="n">
        <v>115744</v>
      </c>
      <c r="V1174" t="n">
        <v>0</v>
      </c>
    </row>
    <row r="1175">
      <c r="A1175" t="n">
        <v>1174</v>
      </c>
      <c r="B1175" t="inlineStr">
        <is>
          <t>Customs Clearance Fee</t>
        </is>
      </c>
      <c r="C1175" t="inlineStr">
        <is>
          <t>ត្រាយអ៊ែងហ្គល ឡូជីស្ទីក (ខេមបូឌា) ឯ.ក</t>
        </is>
      </c>
      <c r="D1175" t="inlineStr">
        <is>
          <t>K010-902101743</t>
        </is>
      </c>
      <c r="E1175" t="inlineStr">
        <is>
          <t>TAG-24-00632</t>
        </is>
      </c>
      <c r="F1175" t="inlineStr">
        <is>
          <t>11-09-2024</t>
        </is>
      </c>
      <c r="G1175" t="n">
        <v>8128</v>
      </c>
      <c r="I1175">
        <f>G1175</f>
        <v/>
      </c>
      <c r="K1175">
        <f>I1175-G1175</f>
        <v/>
      </c>
      <c r="M1175">
        <f>R1175=E1175</f>
        <v/>
      </c>
      <c r="N1175">
        <f>AND(MONTH(F1175)=MONTH(Q1175), YEAR(F1175)=YEAR(Q1175))</f>
        <v/>
      </c>
      <c r="O1175">
        <f>"L001-902303751"=S1175</f>
        <v/>
      </c>
      <c r="P1175">
        <f>G1175-U1175</f>
        <v/>
      </c>
      <c r="Q1175" s="35" t="n">
        <v>45481</v>
      </c>
      <c r="R1175" t="inlineStr"/>
      <c r="S1175" t="inlineStr">
        <is>
          <t>L001-100045995</t>
        </is>
      </c>
      <c r="T1175" t="inlineStr">
        <is>
          <t>ឌីអេចអិល ឡូជីស្ទីក (ខេមបូឌា)</t>
        </is>
      </c>
      <c r="U1175" t="n">
        <v>0</v>
      </c>
      <c r="V1175" t="n">
        <v>0</v>
      </c>
    </row>
    <row r="1176">
      <c r="A1176" t="n">
        <v>1175</v>
      </c>
      <c r="B1176" t="inlineStr">
        <is>
          <t>Cargo Terminal</t>
        </is>
      </c>
      <c r="C1176" t="inlineStr">
        <is>
          <t>សូស៊ីយេតេ កុងសេស្យូនែរ ដឺ ឡាអេរ៉ូព័រ</t>
        </is>
      </c>
      <c r="D1176" t="inlineStr">
        <is>
          <t>L001-100047300</t>
        </is>
      </c>
      <c r="E1176" t="inlineStr">
        <is>
          <t>2400-078622</t>
        </is>
      </c>
      <c r="F1176" t="inlineStr">
        <is>
          <t>28-09-2024</t>
        </is>
      </c>
      <c r="G1176" t="n">
        <v>21863</v>
      </c>
      <c r="I1176">
        <f>G1176</f>
        <v/>
      </c>
      <c r="K1176">
        <f>I1176-G1176</f>
        <v/>
      </c>
      <c r="M1176">
        <f>R1176=E1176</f>
        <v/>
      </c>
      <c r="N1176">
        <f>AND(MONTH(F1176)=MONTH(Q1176), YEAR(F1176)=YEAR(Q1176))</f>
        <v/>
      </c>
      <c r="O1176">
        <f>"L001-902303751"=S1176</f>
        <v/>
      </c>
      <c r="P1176">
        <f>G1176-U1176</f>
        <v/>
      </c>
      <c r="Q1176" s="35" t="n">
        <v>45481</v>
      </c>
      <c r="R1176" t="inlineStr"/>
      <c r="S1176" t="inlineStr">
        <is>
          <t>L001-107032791</t>
        </is>
      </c>
      <c r="T1176" t="inlineStr">
        <is>
          <t>នីបផន អិចប្រេស (ខេមបូឌា) ខូ អិលធីឌី</t>
        </is>
      </c>
      <c r="U1176" t="n">
        <v>0</v>
      </c>
      <c r="V1176" t="n">
        <v>0</v>
      </c>
    </row>
    <row r="1177">
      <c r="A1177" t="n">
        <v>1176</v>
      </c>
      <c r="B1177" t="inlineStr">
        <is>
          <t>Customs Clearance Fee</t>
        </is>
      </c>
      <c r="C1177" t="inlineStr">
        <is>
          <t>ត្រាយអ៊ែងហ្គល ឡូជីស្ទីក (ខេមបូឌា) ឯ.ក</t>
        </is>
      </c>
      <c r="D1177" t="inlineStr">
        <is>
          <t>K010-902101743</t>
        </is>
      </c>
      <c r="E1177" t="inlineStr">
        <is>
          <t>TAG-24-00720</t>
        </is>
      </c>
      <c r="F1177" t="inlineStr">
        <is>
          <t>30-09-2024</t>
        </is>
      </c>
      <c r="G1177" t="n">
        <v>8122</v>
      </c>
      <c r="I1177">
        <f>G1177</f>
        <v/>
      </c>
      <c r="K1177">
        <f>I1177-G1177</f>
        <v/>
      </c>
      <c r="M1177">
        <f>R1177=E1177</f>
        <v/>
      </c>
      <c r="N1177">
        <f>AND(MONTH(F1177)=MONTH(Q1177), YEAR(F1177)=YEAR(Q1177))</f>
        <v/>
      </c>
      <c r="O1177">
        <f>"L001-902303751"=S1177</f>
        <v/>
      </c>
      <c r="P1177">
        <f>G1177-U1177</f>
        <v/>
      </c>
      <c r="Q1177" s="35" t="n">
        <v>45488</v>
      </c>
      <c r="R1177" t="n">
        <v>84173</v>
      </c>
      <c r="S1177" t="inlineStr">
        <is>
          <t>L001-107032791</t>
        </is>
      </c>
      <c r="T1177" t="inlineStr">
        <is>
          <t>នីបផន អិចប្រេស (ខេមបូឌា) ខូ អិលធីឌី</t>
        </is>
      </c>
      <c r="U1177" t="n">
        <v>84173</v>
      </c>
      <c r="V1177" t="n">
        <v>0</v>
      </c>
    </row>
    <row r="1178">
      <c r="A1178" t="n">
        <v>1177</v>
      </c>
      <c r="B1178" t="inlineStr">
        <is>
          <t>Cargo Terminal</t>
        </is>
      </c>
      <c r="C1178" t="inlineStr">
        <is>
          <t>សូស៊ីយេតេ កុងសេស្យូនែរ ដឺ ឡាអេរ៉ូព័រ</t>
        </is>
      </c>
      <c r="D1178" t="inlineStr">
        <is>
          <t>L001-100047300</t>
        </is>
      </c>
      <c r="E1178" t="inlineStr">
        <is>
          <t>2400-079053</t>
        </is>
      </c>
      <c r="F1178" t="inlineStr">
        <is>
          <t>29-09-2024</t>
        </is>
      </c>
      <c r="G1178" t="n">
        <v>16502</v>
      </c>
      <c r="I1178">
        <f>G1178</f>
        <v/>
      </c>
      <c r="K1178">
        <f>I1178-G1178</f>
        <v/>
      </c>
      <c r="M1178">
        <f>R1178=E1178</f>
        <v/>
      </c>
      <c r="N1178">
        <f>AND(MONTH(F1178)=MONTH(Q1178), YEAR(F1178)=YEAR(Q1178))</f>
        <v/>
      </c>
      <c r="O1178">
        <f>"L001-902303751"=S1178</f>
        <v/>
      </c>
      <c r="P1178">
        <f>G1178-U1178</f>
        <v/>
      </c>
      <c r="Q1178" s="35" t="n">
        <v>45488</v>
      </c>
      <c r="R1178" t="inlineStr"/>
      <c r="S1178" t="inlineStr">
        <is>
          <t>L001-100011888</t>
        </is>
      </c>
      <c r="T1178" t="inlineStr">
        <is>
          <t>ត្រេន ស្តារ ហ្រេ្វត</t>
        </is>
      </c>
      <c r="U1178" t="n">
        <v>0</v>
      </c>
      <c r="V1178" t="n">
        <v>0</v>
      </c>
    </row>
    <row r="1179">
      <c r="A1179" t="n">
        <v>1178</v>
      </c>
      <c r="B1179" t="inlineStr">
        <is>
          <t>Customs Clearance Fee</t>
        </is>
      </c>
      <c r="C1179" t="inlineStr">
        <is>
          <t>ត្រាយអ៊ែងហ្គល ឡូជីស្ទីក (ខេមបូឌា) ឯ.ក</t>
        </is>
      </c>
      <c r="D1179" t="inlineStr">
        <is>
          <t>K010-902101743</t>
        </is>
      </c>
      <c r="E1179" t="inlineStr">
        <is>
          <t>TAG-24-00719</t>
        </is>
      </c>
      <c r="F1179" t="inlineStr">
        <is>
          <t>30-09-2024</t>
        </is>
      </c>
      <c r="G1179" t="n">
        <v>8122</v>
      </c>
      <c r="I1179">
        <f>G1179</f>
        <v/>
      </c>
      <c r="K1179">
        <f>I1179-G1179</f>
        <v/>
      </c>
      <c r="M1179">
        <f>R1179=E1179</f>
        <v/>
      </c>
      <c r="N1179">
        <f>AND(MONTH(F1179)=MONTH(Q1179), YEAR(F1179)=YEAR(Q1179))</f>
        <v/>
      </c>
      <c r="O1179">
        <f>"L001-902303751"=S1179</f>
        <v/>
      </c>
      <c r="P1179">
        <f>G1179-U1179</f>
        <v/>
      </c>
      <c r="Q1179" s="35" t="n">
        <v>45491</v>
      </c>
      <c r="R1179" t="n">
        <v>866988</v>
      </c>
      <c r="S1179" t="inlineStr">
        <is>
          <t>K004-105012505</t>
        </is>
      </c>
      <c r="T1179" t="inlineStr">
        <is>
          <t>អេស៊ាន ហ្វ្រេត (ខេមបូឌា)</t>
        </is>
      </c>
      <c r="U1179" t="n">
        <v>866988</v>
      </c>
      <c r="V1179" t="n">
        <v>0</v>
      </c>
    </row>
    <row r="1180">
      <c r="A1180" t="n">
        <v>1179</v>
      </c>
      <c r="B1180" t="inlineStr">
        <is>
          <t>Cargo Terminal</t>
        </is>
      </c>
      <c r="C1180" t="inlineStr">
        <is>
          <t>សូស៊ីយេតេ កុងសេស្យូនែរ ដឺ ឡាអេរ៉ូព័រ</t>
        </is>
      </c>
      <c r="D1180" t="inlineStr">
        <is>
          <t>L001-100047300</t>
        </is>
      </c>
      <c r="E1180" t="inlineStr">
        <is>
          <t>2400-077656</t>
        </is>
      </c>
      <c r="F1180" t="inlineStr">
        <is>
          <t>25-09-2024</t>
        </is>
      </c>
      <c r="G1180" t="n">
        <v>14919</v>
      </c>
      <c r="I1180">
        <f>G1180</f>
        <v/>
      </c>
      <c r="K1180">
        <f>I1180-G1180</f>
        <v/>
      </c>
      <c r="M1180">
        <f>R1180=E1180</f>
        <v/>
      </c>
      <c r="N1180">
        <f>AND(MONTH(F1180)=MONTH(Q1180), YEAR(F1180)=YEAR(Q1180))</f>
        <v/>
      </c>
      <c r="O1180">
        <f>"L001-902303751"=S1180</f>
        <v/>
      </c>
      <c r="P1180">
        <f>G1180-U1180</f>
        <v/>
      </c>
      <c r="Q1180" s="35" t="n">
        <v>45488</v>
      </c>
      <c r="R1180" t="n">
        <v>179432</v>
      </c>
      <c r="S1180" t="inlineStr">
        <is>
          <t>K003-901635943</t>
        </is>
      </c>
      <c r="T1180" t="inlineStr">
        <is>
          <t>អ៊ីឃ្យូឡាញ វើលវ៉ាយដ៍ ឡូជីស្ទីក</t>
        </is>
      </c>
      <c r="U1180" t="n">
        <v>179432</v>
      </c>
      <c r="V1180" t="n">
        <v>0</v>
      </c>
    </row>
    <row r="1181">
      <c r="A1181" t="n">
        <v>1180</v>
      </c>
      <c r="B1181" t="inlineStr">
        <is>
          <t>Customs Clearance Fee</t>
        </is>
      </c>
      <c r="C1181" t="inlineStr">
        <is>
          <t>ត្រាយអ៊ែងហ្គល ឡូជីស្ទីក (ខេមបូឌា) ឯ.ក</t>
        </is>
      </c>
      <c r="D1181" t="inlineStr">
        <is>
          <t>K010-902101743</t>
        </is>
      </c>
      <c r="E1181" t="inlineStr">
        <is>
          <t>TAG-24-00689</t>
        </is>
      </c>
      <c r="F1181" t="inlineStr">
        <is>
          <t>27-09-2024</t>
        </is>
      </c>
      <c r="G1181" t="n">
        <v>8122</v>
      </c>
      <c r="I1181">
        <f>G1181</f>
        <v/>
      </c>
      <c r="K1181">
        <f>I1181-G1181</f>
        <v/>
      </c>
      <c r="M1181">
        <f>R1181=E1181</f>
        <v/>
      </c>
      <c r="N1181">
        <f>AND(MONTH(F1181)=MONTH(Q1181), YEAR(F1181)=YEAR(Q1181))</f>
        <v/>
      </c>
      <c r="O1181">
        <f>"L001-902303751"=S1181</f>
        <v/>
      </c>
      <c r="P1181">
        <f>G1181-U1181</f>
        <v/>
      </c>
      <c r="Q1181" s="35" t="n">
        <v>45488</v>
      </c>
      <c r="R1181" t="inlineStr"/>
      <c r="S1181" t="inlineStr">
        <is>
          <t>L001-100045340</t>
        </is>
      </c>
      <c r="T1181" t="inlineStr">
        <is>
          <t xml:space="preserve">ស៊ីវ៉ា អ៊ែរ អ៊ែន អូសៀន (ខេមបូឌា) ឯ.ក </t>
        </is>
      </c>
      <c r="U1181" t="n">
        <v>0</v>
      </c>
      <c r="V1181" t="n">
        <v>0</v>
      </c>
    </row>
    <row r="1182">
      <c r="A1182" t="n">
        <v>1181</v>
      </c>
      <c r="B1182" t="inlineStr">
        <is>
          <t>Cargo Terminal</t>
        </is>
      </c>
      <c r="C1182" t="inlineStr">
        <is>
          <t>សូស៊ីយេតេ កុងសេស្យូនែរ ដឺ ឡាអេរ៉ូព័រ</t>
        </is>
      </c>
      <c r="D1182" t="inlineStr">
        <is>
          <t>L001-100047300</t>
        </is>
      </c>
      <c r="E1182" t="inlineStr">
        <is>
          <t>2400-075990</t>
        </is>
      </c>
      <c r="F1182" t="inlineStr">
        <is>
          <t>19-09-2024</t>
        </is>
      </c>
      <c r="G1182" t="n">
        <v>10749</v>
      </c>
      <c r="I1182">
        <f>G1182</f>
        <v/>
      </c>
      <c r="K1182">
        <f>I1182-G1182</f>
        <v/>
      </c>
      <c r="M1182">
        <f>R1182=E1182</f>
        <v/>
      </c>
      <c r="N1182">
        <f>AND(MONTH(F1182)=MONTH(Q1182), YEAR(F1182)=YEAR(Q1182))</f>
        <v/>
      </c>
      <c r="O1182">
        <f>"L001-902303751"=S1182</f>
        <v/>
      </c>
      <c r="P1182">
        <f>G1182-U1182</f>
        <v/>
      </c>
      <c r="Q1182" s="35" t="n">
        <v>45474</v>
      </c>
      <c r="R1182" t="n">
        <v>113080</v>
      </c>
      <c r="S1182" t="inlineStr">
        <is>
          <t>L001-107032791</t>
        </is>
      </c>
      <c r="T1182" t="inlineStr">
        <is>
          <t>នីបផន អិចប្រេស (ខេមបូឌា) ខូ អិលធីឌី</t>
        </is>
      </c>
      <c r="U1182" t="n">
        <v>113080</v>
      </c>
      <c r="V1182" t="n">
        <v>0</v>
      </c>
    </row>
    <row r="1183">
      <c r="A1183" t="n">
        <v>1182</v>
      </c>
      <c r="B1183" t="inlineStr">
        <is>
          <t>Customs Clearance Fee</t>
        </is>
      </c>
      <c r="C1183" t="inlineStr">
        <is>
          <t>ត្រាយអ៊ែងហ្គល ឡូជីស្ទីក (ខេមបូឌា) ឯ.ក</t>
        </is>
      </c>
      <c r="D1183" t="inlineStr">
        <is>
          <t>K010-902101743</t>
        </is>
      </c>
      <c r="E1183" t="inlineStr">
        <is>
          <t>TAG-24-00686</t>
        </is>
      </c>
      <c r="F1183" t="inlineStr">
        <is>
          <t>27-09-2024</t>
        </is>
      </c>
      <c r="G1183" t="n">
        <v>8122</v>
      </c>
      <c r="I1183">
        <f>G1183</f>
        <v/>
      </c>
      <c r="K1183">
        <f>I1183-G1183</f>
        <v/>
      </c>
      <c r="M1183">
        <f>R1183=E1183</f>
        <v/>
      </c>
      <c r="N1183">
        <f>AND(MONTH(F1183)=MONTH(Q1183), YEAR(F1183)=YEAR(Q1183))</f>
        <v/>
      </c>
      <c r="O1183">
        <f>"L001-902303751"=S1183</f>
        <v/>
      </c>
      <c r="P1183">
        <f>G1183-U1183</f>
        <v/>
      </c>
      <c r="Q1183" s="35" t="n">
        <v>45474</v>
      </c>
      <c r="R1183" t="n">
        <v>84296</v>
      </c>
      <c r="S1183" t="inlineStr">
        <is>
          <t>L001-107032791</t>
        </is>
      </c>
      <c r="T1183" t="inlineStr">
        <is>
          <t>នីបផន អិចប្រេស (ខេមបូឌា) ខូ អិលធីឌី</t>
        </is>
      </c>
      <c r="U1183" t="n">
        <v>84296</v>
      </c>
      <c r="V1183" t="n">
        <v>0</v>
      </c>
    </row>
    <row r="1184">
      <c r="A1184" t="n">
        <v>1183</v>
      </c>
      <c r="B1184" t="inlineStr">
        <is>
          <t>Cargo Terminal</t>
        </is>
      </c>
      <c r="C1184" t="inlineStr">
        <is>
          <t>សូស៊ីយេតេ កុងសេស្យូនែរ ដឺ ឡាអេរ៉ូព័រ</t>
        </is>
      </c>
      <c r="D1184" t="inlineStr">
        <is>
          <t>L001-100047300</t>
        </is>
      </c>
      <c r="E1184" t="inlineStr">
        <is>
          <t>2400-075989</t>
        </is>
      </c>
      <c r="F1184" t="inlineStr">
        <is>
          <t>19-09-2024</t>
        </is>
      </c>
      <c r="G1184" t="n">
        <v>20749</v>
      </c>
      <c r="I1184">
        <f>G1184</f>
        <v/>
      </c>
      <c r="K1184">
        <f>I1184-G1184</f>
        <v/>
      </c>
      <c r="M1184">
        <f>R1184=E1184</f>
        <v/>
      </c>
      <c r="N1184">
        <f>AND(MONTH(F1184)=MONTH(Q1184), YEAR(F1184)=YEAR(Q1184))</f>
        <v/>
      </c>
      <c r="O1184">
        <f>"L001-902303751"=S1184</f>
        <v/>
      </c>
      <c r="P1184">
        <f>G1184-U1184</f>
        <v/>
      </c>
      <c r="Q1184" s="35" t="n">
        <v>45474</v>
      </c>
      <c r="R1184" t="inlineStr"/>
      <c r="S1184" t="inlineStr">
        <is>
          <t>L001-107032791</t>
        </is>
      </c>
      <c r="T1184" t="inlineStr">
        <is>
          <t>នីបផន អិចប្រេស (ខេមបូឌា) ខូ អិលធីឌី</t>
        </is>
      </c>
      <c r="U1184" t="n">
        <v>0</v>
      </c>
      <c r="V1184" t="n">
        <v>0</v>
      </c>
    </row>
    <row r="1185">
      <c r="A1185" t="n">
        <v>1184</v>
      </c>
      <c r="B1185" t="inlineStr">
        <is>
          <t>Customs Clearance Fee</t>
        </is>
      </c>
      <c r="C1185" t="inlineStr">
        <is>
          <t>ត្រាយអ៊ែងហ្គល ឡូជីស្ទីក (ខេមបូឌា) ឯ.ក</t>
        </is>
      </c>
      <c r="D1185" t="inlineStr">
        <is>
          <t>K010-902101743</t>
        </is>
      </c>
      <c r="E1185" t="inlineStr">
        <is>
          <t>TAG-24-00685</t>
        </is>
      </c>
      <c r="F1185" t="inlineStr">
        <is>
          <t>27-09-2024</t>
        </is>
      </c>
      <c r="G1185" t="n">
        <v>8122</v>
      </c>
      <c r="I1185">
        <f>G1185</f>
        <v/>
      </c>
      <c r="K1185">
        <f>I1185-G1185</f>
        <v/>
      </c>
      <c r="M1185">
        <f>R1185=E1185</f>
        <v/>
      </c>
      <c r="N1185">
        <f>AND(MONTH(F1185)=MONTH(Q1185), YEAR(F1185)=YEAR(Q1185))</f>
        <v/>
      </c>
      <c r="O1185">
        <f>"L001-902303751"=S1185</f>
        <v/>
      </c>
      <c r="P1185">
        <f>G1185-U1185</f>
        <v/>
      </c>
      <c r="Q1185" s="35" t="n">
        <v>45474</v>
      </c>
      <c r="R1185" t="n">
        <v>113080</v>
      </c>
      <c r="S1185" t="inlineStr">
        <is>
          <t>L001-100045995</t>
        </is>
      </c>
      <c r="T1185" t="inlineStr">
        <is>
          <t>ឌីអេចអិល ឡូជីស្ទីក (ខេមបូឌា)</t>
        </is>
      </c>
      <c r="U1185" t="n">
        <v>113080</v>
      </c>
      <c r="V1185" t="n">
        <v>0</v>
      </c>
    </row>
    <row r="1186">
      <c r="A1186" t="n">
        <v>1185</v>
      </c>
      <c r="B1186" t="inlineStr">
        <is>
          <t>Cargo Terminal</t>
        </is>
      </c>
      <c r="C1186" t="inlineStr">
        <is>
          <t>សូស៊ីយេតេ កុងសេស្យូនែរ ដឺ ឡាអេរ៉ូព័រ</t>
        </is>
      </c>
      <c r="D1186" t="inlineStr">
        <is>
          <t>L001-100047300</t>
        </is>
      </c>
      <c r="E1186" t="inlineStr">
        <is>
          <t>2400-075762</t>
        </is>
      </c>
      <c r="F1186" t="inlineStr">
        <is>
          <t>18-09-2024</t>
        </is>
      </c>
      <c r="G1186" t="n">
        <v>11159</v>
      </c>
      <c r="I1186">
        <f>G1186</f>
        <v/>
      </c>
      <c r="K1186">
        <f>I1186-G1186</f>
        <v/>
      </c>
      <c r="M1186">
        <f>R1186=E1186</f>
        <v/>
      </c>
      <c r="N1186">
        <f>AND(MONTH(F1186)=MONTH(Q1186), YEAR(F1186)=YEAR(Q1186))</f>
        <v/>
      </c>
      <c r="O1186">
        <f>"L001-902303751"=S1186</f>
        <v/>
      </c>
      <c r="P1186">
        <f>G1186-U1186</f>
        <v/>
      </c>
      <c r="Q1186" s="35" t="n">
        <v>45481</v>
      </c>
      <c r="R1186" t="inlineStr"/>
      <c r="S1186" t="inlineStr">
        <is>
          <t>L001-100045995</t>
        </is>
      </c>
      <c r="T1186" t="inlineStr">
        <is>
          <t>ឌីអេចអិល ឡូជីស្ទីក (ខេមបូឌា)</t>
        </is>
      </c>
      <c r="U1186" t="n">
        <v>0</v>
      </c>
      <c r="V1186" t="n">
        <v>0</v>
      </c>
    </row>
    <row r="1187">
      <c r="A1187" t="n">
        <v>1186</v>
      </c>
      <c r="B1187" t="inlineStr">
        <is>
          <t>Customs Clearance Fee</t>
        </is>
      </c>
      <c r="C1187" t="inlineStr">
        <is>
          <t>ត្រាយអ៊ែងហ្គល ឡូជីស្ទីក (ខេមបូឌា) ឯ.ក</t>
        </is>
      </c>
      <c r="D1187" t="inlineStr">
        <is>
          <t>K010-902101743</t>
        </is>
      </c>
      <c r="E1187" t="inlineStr">
        <is>
          <t>TAG-24-00684</t>
        </is>
      </c>
      <c r="F1187" t="inlineStr">
        <is>
          <t>27-09-2024</t>
        </is>
      </c>
      <c r="G1187" t="n">
        <v>8122</v>
      </c>
      <c r="I1187">
        <f>G1187</f>
        <v/>
      </c>
      <c r="K1187">
        <f>I1187-G1187</f>
        <v/>
      </c>
      <c r="M1187">
        <f>R1187=E1187</f>
        <v/>
      </c>
      <c r="N1187">
        <f>AND(MONTH(F1187)=MONTH(Q1187), YEAR(F1187)=YEAR(Q1187))</f>
        <v/>
      </c>
      <c r="O1187">
        <f>"L001-902303751"=S1187</f>
        <v/>
      </c>
      <c r="P1187">
        <f>G1187-U1187</f>
        <v/>
      </c>
      <c r="Q1187" s="35" t="n">
        <v>45488</v>
      </c>
      <c r="R1187" t="inlineStr"/>
      <c r="S1187" t="inlineStr">
        <is>
          <t>K005-100150195</t>
        </is>
      </c>
      <c r="T1187" t="inlineStr">
        <is>
          <t>អេស អ វី ស៊ី ហ្វ្រេត សឺវីស (ខេមបូឌា) ខូ អិលធីឌី</t>
        </is>
      </c>
      <c r="U1187" t="n">
        <v>0</v>
      </c>
      <c r="V1187" t="n">
        <v>0</v>
      </c>
    </row>
    <row r="1188">
      <c r="A1188" t="n">
        <v>1187</v>
      </c>
      <c r="B1188" t="inlineStr">
        <is>
          <t>Cargo Terminal</t>
        </is>
      </c>
      <c r="C1188" t="inlineStr">
        <is>
          <t>សូស៊ីយេតេ កុងសេស្យូនែរ ដឺ ឡាអេរ៉ូព័រ</t>
        </is>
      </c>
      <c r="D1188" t="inlineStr">
        <is>
          <t>L001-100047300</t>
        </is>
      </c>
      <c r="E1188" t="inlineStr">
        <is>
          <t>2400-075761</t>
        </is>
      </c>
      <c r="F1188" t="inlineStr">
        <is>
          <t>18-09-2024</t>
        </is>
      </c>
      <c r="G1188" t="n">
        <v>6812</v>
      </c>
      <c r="I1188">
        <f>G1188</f>
        <v/>
      </c>
      <c r="K1188">
        <f>I1188-G1188</f>
        <v/>
      </c>
      <c r="M1188">
        <f>R1188=E1188</f>
        <v/>
      </c>
      <c r="N1188">
        <f>AND(MONTH(F1188)=MONTH(Q1188), YEAR(F1188)=YEAR(Q1188))</f>
        <v/>
      </c>
      <c r="O1188">
        <f>"L001-902303751"=S1188</f>
        <v/>
      </c>
      <c r="P1188">
        <f>G1188-U1188</f>
        <v/>
      </c>
      <c r="Q1188" s="35" t="n">
        <v>45488</v>
      </c>
      <c r="R1188" t="inlineStr"/>
      <c r="S1188" t="inlineStr">
        <is>
          <t>L001-107032791</t>
        </is>
      </c>
      <c r="T1188" t="inlineStr">
        <is>
          <t>នីបផន អិចប្រេស (ខេមបូឌា) ខូ អិលធីឌី</t>
        </is>
      </c>
      <c r="U1188" t="n">
        <v>0</v>
      </c>
      <c r="V1188" t="n">
        <v>0</v>
      </c>
    </row>
    <row r="1189">
      <c r="A1189" t="n">
        <v>1188</v>
      </c>
      <c r="B1189" t="inlineStr">
        <is>
          <t>Customs Clearance Fee</t>
        </is>
      </c>
      <c r="C1189" t="inlineStr">
        <is>
          <t>ត្រាយអ៊ែងហ្គល ឡូជីស្ទីក (ខេមបូឌា) ឯ.ក</t>
        </is>
      </c>
      <c r="D1189" t="inlineStr">
        <is>
          <t>K010-902101743</t>
        </is>
      </c>
      <c r="E1189" t="inlineStr">
        <is>
          <t>TAG-24-00683</t>
        </is>
      </c>
      <c r="F1189" t="inlineStr">
        <is>
          <t>27-09-2024</t>
        </is>
      </c>
      <c r="G1189" t="n">
        <v>8122</v>
      </c>
      <c r="I1189">
        <f>G1189</f>
        <v/>
      </c>
      <c r="K1189">
        <f>I1189-G1189</f>
        <v/>
      </c>
      <c r="M1189">
        <f>R1189=E1189</f>
        <v/>
      </c>
      <c r="N1189">
        <f>AND(MONTH(F1189)=MONTH(Q1189), YEAR(F1189)=YEAR(Q1189))</f>
        <v/>
      </c>
      <c r="O1189">
        <f>"L001-902303751"=S1189</f>
        <v/>
      </c>
      <c r="P1189">
        <f>G1189-U1189</f>
        <v/>
      </c>
      <c r="Q1189" s="35" t="n">
        <v>45488</v>
      </c>
      <c r="R1189" t="inlineStr"/>
      <c r="S1189" t="inlineStr">
        <is>
          <t>L001-107032791</t>
        </is>
      </c>
      <c r="T1189" t="inlineStr">
        <is>
          <t>នីបផន អិចប្រេស (ខេមបូឌា) ខូ អិលធីឌី</t>
        </is>
      </c>
      <c r="U1189" t="n">
        <v>0</v>
      </c>
      <c r="V1189" t="n">
        <v>0</v>
      </c>
    </row>
    <row r="1190">
      <c r="A1190" t="n">
        <v>1189</v>
      </c>
      <c r="B1190" t="inlineStr">
        <is>
          <t>Customs Clearance Fee</t>
        </is>
      </c>
      <c r="C1190" t="inlineStr">
        <is>
          <t>ត្រាយអ៊ែងហ្គល ឡូជីស្ទីក (ខេមបូឌា) ឯ.ក</t>
        </is>
      </c>
      <c r="D1190" t="inlineStr">
        <is>
          <t>K010-902101743</t>
        </is>
      </c>
      <c r="E1190" t="inlineStr">
        <is>
          <t>TAG-24-00682</t>
        </is>
      </c>
      <c r="F1190" t="inlineStr">
        <is>
          <t>27-09-2024</t>
        </is>
      </c>
      <c r="G1190" t="n">
        <v>8122</v>
      </c>
      <c r="I1190">
        <f>G1190</f>
        <v/>
      </c>
      <c r="K1190">
        <f>I1190-G1190</f>
        <v/>
      </c>
      <c r="M1190">
        <f>R1190=E1190</f>
        <v/>
      </c>
      <c r="N1190">
        <f>AND(MONTH(F1190)=MONTH(Q1190), YEAR(F1190)=YEAR(Q1190))</f>
        <v/>
      </c>
      <c r="O1190">
        <f>"L001-902303751"=S1190</f>
        <v/>
      </c>
      <c r="P1190">
        <f>G1190-U1190</f>
        <v/>
      </c>
      <c r="Q1190" s="35" t="n">
        <v>45502</v>
      </c>
      <c r="R1190" t="n">
        <v>84132</v>
      </c>
      <c r="S1190" t="inlineStr">
        <is>
          <t>L001-107032791</t>
        </is>
      </c>
      <c r="T1190" t="inlineStr">
        <is>
          <t>នីបផន អិចប្រេស (ខេមបូឌា) ខូ អិលធីឌី</t>
        </is>
      </c>
      <c r="U1190" t="n">
        <v>84132</v>
      </c>
      <c r="V1190" t="n">
        <v>0</v>
      </c>
    </row>
    <row r="1191">
      <c r="A1191" t="n">
        <v>1190</v>
      </c>
      <c r="B1191" t="inlineStr">
        <is>
          <t>Cargo Terminal</t>
        </is>
      </c>
      <c r="C1191" t="inlineStr">
        <is>
          <t>សូស៊ីយេតេ កុងសេស្យូនែរ ដឺ ឡាអេរ៉ូព័រ</t>
        </is>
      </c>
      <c r="D1191" t="inlineStr">
        <is>
          <t>L001-100047300</t>
        </is>
      </c>
      <c r="E1191" t="inlineStr">
        <is>
          <t>2400-075027</t>
        </is>
      </c>
      <c r="F1191" t="inlineStr">
        <is>
          <t>16-09-2024</t>
        </is>
      </c>
      <c r="G1191" t="n">
        <v>8690</v>
      </c>
      <c r="I1191">
        <f>G1191</f>
        <v/>
      </c>
      <c r="K1191">
        <f>I1191-G1191</f>
        <v/>
      </c>
      <c r="M1191">
        <f>R1191=E1191</f>
        <v/>
      </c>
      <c r="N1191">
        <f>AND(MONTH(F1191)=MONTH(Q1191), YEAR(F1191)=YEAR(Q1191))</f>
        <v/>
      </c>
      <c r="O1191">
        <f>"L001-902303751"=S1191</f>
        <v/>
      </c>
      <c r="P1191">
        <f>G1191-U1191</f>
        <v/>
      </c>
      <c r="Q1191" s="35" t="n">
        <v>45502</v>
      </c>
      <c r="R1191" t="inlineStr"/>
      <c r="S1191" t="inlineStr">
        <is>
          <t>L001-107032791</t>
        </is>
      </c>
      <c r="T1191" t="inlineStr">
        <is>
          <t>នីបផន អិចប្រេស (ខេមបូឌា) ខូ អិលធីឌី</t>
        </is>
      </c>
      <c r="U1191" t="n">
        <v>0</v>
      </c>
      <c r="V1191" t="n">
        <v>0</v>
      </c>
    </row>
    <row r="1192">
      <c r="A1192" t="n">
        <v>1191</v>
      </c>
      <c r="B1192" t="inlineStr">
        <is>
          <t>Customs Clearance Fee</t>
        </is>
      </c>
      <c r="C1192" t="inlineStr">
        <is>
          <t>ត្រាយអ៊ែងហ្គល ឡូជីស្ទីក (ខេមបូឌា) ឯ.ក</t>
        </is>
      </c>
      <c r="D1192" t="inlineStr">
        <is>
          <t>K010-902101743</t>
        </is>
      </c>
      <c r="E1192" t="inlineStr">
        <is>
          <t>TAG-24-00681</t>
        </is>
      </c>
      <c r="F1192" t="inlineStr">
        <is>
          <t>27-09-2024</t>
        </is>
      </c>
      <c r="G1192" t="n">
        <v>8122</v>
      </c>
      <c r="I1192">
        <f>G1192</f>
        <v/>
      </c>
      <c r="K1192">
        <f>I1192-G1192</f>
        <v/>
      </c>
      <c r="M1192">
        <f>R1192=E1192</f>
        <v/>
      </c>
      <c r="N1192">
        <f>AND(MONTH(F1192)=MONTH(Q1192), YEAR(F1192)=YEAR(Q1192))</f>
        <v/>
      </c>
      <c r="O1192">
        <f>"L001-902303751"=S1192</f>
        <v/>
      </c>
      <c r="P1192">
        <f>G1192-U1192</f>
        <v/>
      </c>
      <c r="Q1192" s="35" t="n">
        <v>45502</v>
      </c>
      <c r="R1192" t="inlineStr"/>
      <c r="S1192" t="inlineStr">
        <is>
          <t>L001-107032791</t>
        </is>
      </c>
      <c r="T1192" t="inlineStr">
        <is>
          <t>នីបផន អិចប្រេស (ខេមបូឌា) ខូ អិលធីឌី</t>
        </is>
      </c>
      <c r="U1192" t="n">
        <v>0</v>
      </c>
      <c r="V1192" t="n">
        <v>0</v>
      </c>
    </row>
    <row r="1193">
      <c r="A1193" t="n">
        <v>1192</v>
      </c>
      <c r="B1193" t="inlineStr">
        <is>
          <t>Cargo Terminal</t>
        </is>
      </c>
      <c r="C1193" t="inlineStr">
        <is>
          <t>សូស៊ីយេតេ កុងសេស្យូនែរ ដឺ ឡាអេរ៉ូព័រ</t>
        </is>
      </c>
      <c r="D1193" t="inlineStr">
        <is>
          <t>L001-100047300</t>
        </is>
      </c>
      <c r="E1193" t="inlineStr">
        <is>
          <t>2400-075116</t>
        </is>
      </c>
      <c r="F1193" t="inlineStr">
        <is>
          <t>17-09-2024</t>
        </is>
      </c>
      <c r="G1193" t="n">
        <v>27796</v>
      </c>
      <c r="I1193">
        <f>G1193</f>
        <v/>
      </c>
      <c r="K1193">
        <f>I1193-G1193</f>
        <v/>
      </c>
      <c r="M1193">
        <f>R1193=E1193</f>
        <v/>
      </c>
      <c r="N1193">
        <f>AND(MONTH(F1193)=MONTH(Q1193), YEAR(F1193)=YEAR(Q1193))</f>
        <v/>
      </c>
      <c r="O1193">
        <f>"L001-902303751"=S1193</f>
        <v/>
      </c>
      <c r="P1193">
        <f>G1193-U1193</f>
        <v/>
      </c>
      <c r="Q1193" s="35" t="n">
        <v>45495</v>
      </c>
      <c r="R1193" t="n">
        <v>115463</v>
      </c>
      <c r="S1193" t="inlineStr">
        <is>
          <t>L001-100045340</t>
        </is>
      </c>
      <c r="T1193" t="inlineStr">
        <is>
          <t xml:space="preserve">ស៊ីវ៉ា អ៊ែរ អ៊ែន អូសៀន (ខេមបូឌា) ឯ.ក </t>
        </is>
      </c>
      <c r="U1193" t="n">
        <v>115463</v>
      </c>
      <c r="V1193" t="n">
        <v>0</v>
      </c>
    </row>
    <row r="1194">
      <c r="A1194" t="n">
        <v>1193</v>
      </c>
      <c r="B1194" t="inlineStr">
        <is>
          <t>Customs Clearance Fee</t>
        </is>
      </c>
      <c r="C1194" t="inlineStr">
        <is>
          <t>ត្រាយអ៊ែងហ្គល ឡូជីស្ទីក (ខេមបូឌា) ឯ.ក</t>
        </is>
      </c>
      <c r="D1194" t="inlineStr">
        <is>
          <t>K010-902101743</t>
        </is>
      </c>
      <c r="E1194" t="inlineStr">
        <is>
          <t>TAG-24-00680</t>
        </is>
      </c>
      <c r="F1194" t="inlineStr">
        <is>
          <t>27-09-2024</t>
        </is>
      </c>
      <c r="G1194" t="n">
        <v>8122</v>
      </c>
      <c r="I1194">
        <f>G1194</f>
        <v/>
      </c>
      <c r="K1194">
        <f>I1194-G1194</f>
        <v/>
      </c>
      <c r="M1194">
        <f>R1194=E1194</f>
        <v/>
      </c>
      <c r="N1194">
        <f>AND(MONTH(F1194)=MONTH(Q1194), YEAR(F1194)=YEAR(Q1194))</f>
        <v/>
      </c>
      <c r="O1194">
        <f>"L001-902303751"=S1194</f>
        <v/>
      </c>
      <c r="P1194">
        <f>G1194-U1194</f>
        <v/>
      </c>
      <c r="Q1194" s="35" t="n">
        <v>45474</v>
      </c>
      <c r="R1194" t="inlineStr"/>
      <c r="S1194" t="inlineStr">
        <is>
          <t>K003-901635943</t>
        </is>
      </c>
      <c r="T1194" t="inlineStr">
        <is>
          <t>អ៊ីឃ្យូឡាញ វើលវ៉ាយដ៍ ឡូជីស្ទីក</t>
        </is>
      </c>
      <c r="U1194" t="n">
        <v>0</v>
      </c>
      <c r="V1194" t="n">
        <v>0</v>
      </c>
    </row>
    <row r="1195">
      <c r="A1195" t="n">
        <v>1194</v>
      </c>
      <c r="B1195" t="inlineStr">
        <is>
          <t>Customs Clearance Fee</t>
        </is>
      </c>
      <c r="C1195" t="inlineStr">
        <is>
          <t>ត្រាយអ៊ែងហ្គល ឡូជីស្ទីក (ខេមបូឌា) ឯ.ក</t>
        </is>
      </c>
      <c r="D1195" t="inlineStr">
        <is>
          <t>K010-902101743</t>
        </is>
      </c>
      <c r="E1195" t="inlineStr">
        <is>
          <t>TAG-24-00679</t>
        </is>
      </c>
      <c r="F1195" t="inlineStr">
        <is>
          <t>27-09-2024</t>
        </is>
      </c>
      <c r="G1195" t="n">
        <v>8122</v>
      </c>
      <c r="I1195">
        <f>G1195</f>
        <v/>
      </c>
      <c r="K1195">
        <f>I1195-G1195</f>
        <v/>
      </c>
      <c r="M1195">
        <f>R1195=E1195</f>
        <v/>
      </c>
      <c r="N1195">
        <f>AND(MONTH(F1195)=MONTH(Q1195), YEAR(F1195)=YEAR(Q1195))</f>
        <v/>
      </c>
      <c r="O1195">
        <f>"L001-902303751"=S1195</f>
        <v/>
      </c>
      <c r="P1195">
        <f>G1195-U1195</f>
        <v/>
      </c>
      <c r="Q1195" s="35" t="n">
        <v>45481</v>
      </c>
      <c r="R1195" t="inlineStr"/>
      <c r="S1195" t="inlineStr">
        <is>
          <t>K005-901805913</t>
        </is>
      </c>
      <c r="T1195" t="inlineStr">
        <is>
          <t>ស្តារ ខង់ខដ (ខេមបូឌា) ឯ.ក</t>
        </is>
      </c>
      <c r="U1195" t="n">
        <v>0</v>
      </c>
      <c r="V1195" t="n">
        <v>0</v>
      </c>
    </row>
    <row r="1196">
      <c r="A1196" t="n">
        <v>1195</v>
      </c>
      <c r="B1196" t="inlineStr">
        <is>
          <t>Cargo Terminal</t>
        </is>
      </c>
      <c r="C1196" t="inlineStr">
        <is>
          <t>សូស៊ីយេតេ កុងសេស្យូនែរ ដឺ ឡាអេរ៉ូព័រ</t>
        </is>
      </c>
      <c r="D1196" t="inlineStr">
        <is>
          <t>L001-100047300</t>
        </is>
      </c>
      <c r="E1196" t="inlineStr">
        <is>
          <t>2400-076550</t>
        </is>
      </c>
      <c r="F1196" t="inlineStr">
        <is>
          <t>21-09-2024</t>
        </is>
      </c>
      <c r="G1196" t="n">
        <v>25145</v>
      </c>
      <c r="I1196">
        <f>G1196</f>
        <v/>
      </c>
      <c r="K1196">
        <f>I1196-G1196</f>
        <v/>
      </c>
      <c r="M1196">
        <f>R1196=E1196</f>
        <v/>
      </c>
      <c r="N1196">
        <f>AND(MONTH(F1196)=MONTH(Q1196), YEAR(F1196)=YEAR(Q1196))</f>
        <v/>
      </c>
      <c r="O1196">
        <f>"L001-902303751"=S1196</f>
        <v/>
      </c>
      <c r="P1196">
        <f>G1196-U1196</f>
        <v/>
      </c>
      <c r="Q1196" s="35" t="n">
        <v>45481</v>
      </c>
      <c r="R1196" t="inlineStr"/>
      <c r="S1196" t="inlineStr">
        <is>
          <t>L001-100011888</t>
        </is>
      </c>
      <c r="T1196" t="inlineStr">
        <is>
          <t>ត្រេន ស្តារ ហ្រេ្វត</t>
        </is>
      </c>
      <c r="U1196" t="n">
        <v>0</v>
      </c>
      <c r="V1196" t="n">
        <v>0</v>
      </c>
    </row>
    <row r="1197">
      <c r="A1197" t="n">
        <v>1196</v>
      </c>
      <c r="B1197" t="inlineStr">
        <is>
          <t>Customs Clearance Fee</t>
        </is>
      </c>
      <c r="C1197" t="inlineStr">
        <is>
          <t>ត្រាយអ៊ែងហ្គល ឡូជីស្ទីក (ខេមបូឌា) ឯ.ក</t>
        </is>
      </c>
      <c r="D1197" t="inlineStr">
        <is>
          <t>K010-902101743</t>
        </is>
      </c>
      <c r="E1197" t="inlineStr">
        <is>
          <t>TAG-24-00678</t>
        </is>
      </c>
      <c r="F1197" t="inlineStr">
        <is>
          <t>27-09-2024</t>
        </is>
      </c>
      <c r="G1197" t="n">
        <v>8122</v>
      </c>
      <c r="I1197">
        <f>G1197</f>
        <v/>
      </c>
      <c r="K1197">
        <f>I1197-G1197</f>
        <v/>
      </c>
      <c r="M1197">
        <f>R1197=E1197</f>
        <v/>
      </c>
      <c r="N1197">
        <f>AND(MONTH(F1197)=MONTH(Q1197), YEAR(F1197)=YEAR(Q1197))</f>
        <v/>
      </c>
      <c r="O1197">
        <f>"L001-902303751"=S1197</f>
        <v/>
      </c>
      <c r="P1197">
        <f>G1197-U1197</f>
        <v/>
      </c>
      <c r="Q1197" s="35" t="n">
        <v>45488</v>
      </c>
      <c r="R1197" t="n">
        <v>84173</v>
      </c>
      <c r="S1197" t="inlineStr">
        <is>
          <t>L001-107032791</t>
        </is>
      </c>
      <c r="T1197" t="inlineStr">
        <is>
          <t>នីបផន អិចប្រេស (ខេមបូឌា) ខូ អិលធីឌី</t>
        </is>
      </c>
      <c r="U1197" t="n">
        <v>84173</v>
      </c>
      <c r="V1197" t="n">
        <v>0</v>
      </c>
    </row>
    <row r="1198">
      <c r="A1198" t="n">
        <v>1197</v>
      </c>
      <c r="B1198" t="inlineStr">
        <is>
          <t>Cargo Terminal</t>
        </is>
      </c>
      <c r="C1198" t="inlineStr">
        <is>
          <t>សូស៊ីយេតេ កុងសេស្យូនែរ ដឺ ឡាអេរ៉ូព័រ</t>
        </is>
      </c>
      <c r="D1198" t="inlineStr">
        <is>
          <t>L001-100047300</t>
        </is>
      </c>
      <c r="E1198" t="inlineStr">
        <is>
          <t>2400-073820</t>
        </is>
      </c>
      <c r="F1198" t="inlineStr">
        <is>
          <t>13-09-2024</t>
        </is>
      </c>
      <c r="G1198" t="n">
        <v>4382</v>
      </c>
      <c r="I1198">
        <f>G1198</f>
        <v/>
      </c>
      <c r="K1198">
        <f>I1198-G1198</f>
        <v/>
      </c>
      <c r="M1198">
        <f>R1198=E1198</f>
        <v/>
      </c>
      <c r="N1198">
        <f>AND(MONTH(F1198)=MONTH(Q1198), YEAR(F1198)=YEAR(Q1198))</f>
        <v/>
      </c>
      <c r="O1198">
        <f>"L001-902303751"=S1198</f>
        <v/>
      </c>
      <c r="P1198">
        <f>G1198-U1198</f>
        <v/>
      </c>
      <c r="Q1198" s="35" t="n">
        <v>45495</v>
      </c>
      <c r="R1198" t="n">
        <v>84235</v>
      </c>
      <c r="S1198" t="inlineStr">
        <is>
          <t>L001-107032791</t>
        </is>
      </c>
      <c r="T1198" t="inlineStr">
        <is>
          <t>នីបផន អិចប្រេស (ខេមបូឌា) ខូ អិលធីឌី</t>
        </is>
      </c>
      <c r="U1198" t="n">
        <v>84235</v>
      </c>
      <c r="V1198" t="n">
        <v>0</v>
      </c>
    </row>
    <row r="1199">
      <c r="A1199" t="n">
        <v>1198</v>
      </c>
      <c r="B1199" t="inlineStr">
        <is>
          <t>Customs Clearance Fee</t>
        </is>
      </c>
      <c r="C1199" t="inlineStr">
        <is>
          <t>ត្រាយអ៊ែងហ្គល ឡូជីស្ទីក (ខេមបូឌា) ឯ.ក</t>
        </is>
      </c>
      <c r="D1199" t="inlineStr">
        <is>
          <t>K010-902101743</t>
        </is>
      </c>
      <c r="E1199" t="inlineStr">
        <is>
          <t>TAG-24-00642</t>
        </is>
      </c>
      <c r="F1199" t="inlineStr">
        <is>
          <t>16-09-2024</t>
        </is>
      </c>
      <c r="G1199" t="n">
        <v>8108</v>
      </c>
      <c r="I1199">
        <f>G1199</f>
        <v/>
      </c>
      <c r="K1199">
        <f>I1199-G1199</f>
        <v/>
      </c>
      <c r="M1199">
        <f>R1199=E1199</f>
        <v/>
      </c>
      <c r="N1199">
        <f>AND(MONTH(F1199)=MONTH(Q1199), YEAR(F1199)=YEAR(Q1199))</f>
        <v/>
      </c>
      <c r="O1199">
        <f>"L001-902303751"=S1199</f>
        <v/>
      </c>
      <c r="P1199">
        <f>G1199-U1199</f>
        <v/>
      </c>
      <c r="Q1199" s="35" t="n">
        <v>45488</v>
      </c>
      <c r="R1199" t="inlineStr"/>
      <c r="S1199" t="inlineStr">
        <is>
          <t>L001-107032791</t>
        </is>
      </c>
      <c r="T1199" t="inlineStr">
        <is>
          <t>នីបផន អិចប្រេស (ខេមបូឌា) ខូ អិលធីឌី</t>
        </is>
      </c>
      <c r="U1199" t="n">
        <v>0</v>
      </c>
      <c r="V1199" t="n">
        <v>0</v>
      </c>
    </row>
    <row r="1200">
      <c r="A1200" t="n">
        <v>1199</v>
      </c>
      <c r="B1200" t="inlineStr">
        <is>
          <t>Cargo Terminal</t>
        </is>
      </c>
      <c r="C1200" t="inlineStr">
        <is>
          <t>សូស៊ីយេតេ កុងសេស្យូនែរ ដឺ ឡាអេរ៉ូព័រ</t>
        </is>
      </c>
      <c r="D1200" t="inlineStr">
        <is>
          <t>L001-100047300</t>
        </is>
      </c>
      <c r="E1200" t="inlineStr">
        <is>
          <t>2400-074398</t>
        </is>
      </c>
      <c r="F1200" t="inlineStr">
        <is>
          <t>14-09-2024</t>
        </is>
      </c>
      <c r="G1200" t="n">
        <v>13727</v>
      </c>
      <c r="I1200">
        <f>G1200</f>
        <v/>
      </c>
      <c r="K1200">
        <f>I1200-G1200</f>
        <v/>
      </c>
      <c r="M1200">
        <f>R1200=E1200</f>
        <v/>
      </c>
      <c r="N1200">
        <f>AND(MONTH(F1200)=MONTH(Q1200), YEAR(F1200)=YEAR(Q1200))</f>
        <v/>
      </c>
      <c r="O1200">
        <f>"L001-902303751"=S1200</f>
        <v/>
      </c>
      <c r="P1200">
        <f>G1200-U1200</f>
        <v/>
      </c>
      <c r="Q1200" s="35" t="n">
        <v>45495</v>
      </c>
      <c r="R1200" t="inlineStr"/>
      <c r="S1200" t="inlineStr">
        <is>
          <t>L001-107032791</t>
        </is>
      </c>
      <c r="T1200" t="inlineStr">
        <is>
          <t>នីបផន អិចប្រេស (ខេមបូឌា) ខូ អិលធីឌី</t>
        </is>
      </c>
      <c r="U1200" t="n">
        <v>0</v>
      </c>
      <c r="V1200" t="n">
        <v>0</v>
      </c>
    </row>
    <row r="1201">
      <c r="A1201" t="n">
        <v>1200</v>
      </c>
      <c r="B1201" t="inlineStr">
        <is>
          <t>Customs Clearance Fee</t>
        </is>
      </c>
      <c r="C1201" t="inlineStr">
        <is>
          <t>ត្រាយអ៊ែងហ្គល ឡូជីស្ទីក (ខេមបូឌា) ឯ.ក</t>
        </is>
      </c>
      <c r="D1201" t="inlineStr">
        <is>
          <t>K010-902101743</t>
        </is>
      </c>
      <c r="E1201" t="inlineStr">
        <is>
          <t>TAG-24-00641</t>
        </is>
      </c>
      <c r="F1201" t="inlineStr">
        <is>
          <t>16-09-2024</t>
        </is>
      </c>
      <c r="G1201" t="n">
        <v>8108</v>
      </c>
      <c r="I1201">
        <f>G1201</f>
        <v/>
      </c>
      <c r="K1201">
        <f>I1201-G1201</f>
        <v/>
      </c>
      <c r="M1201">
        <f>R1201=E1201</f>
        <v/>
      </c>
      <c r="N1201">
        <f>AND(MONTH(F1201)=MONTH(Q1201), YEAR(F1201)=YEAR(Q1201))</f>
        <v/>
      </c>
      <c r="O1201">
        <f>"L001-902303751"=S1201</f>
        <v/>
      </c>
      <c r="P1201">
        <f>G1201-U1201</f>
        <v/>
      </c>
      <c r="Q1201" s="35" t="n">
        <v>45495</v>
      </c>
      <c r="R1201" t="inlineStr"/>
      <c r="S1201" t="inlineStr">
        <is>
          <t>L001-107032791</t>
        </is>
      </c>
      <c r="T1201" t="inlineStr">
        <is>
          <t>នីបផន អិចប្រេស (ខេមបូឌា) ខូ អិលធីឌី</t>
        </is>
      </c>
      <c r="U1201" t="n">
        <v>0</v>
      </c>
      <c r="V1201" t="n">
        <v>0</v>
      </c>
    </row>
    <row r="1202">
      <c r="A1202" t="n">
        <v>1201</v>
      </c>
      <c r="B1202" t="inlineStr">
        <is>
          <t>Cargo Terminal</t>
        </is>
      </c>
      <c r="C1202" t="inlineStr">
        <is>
          <t>សូស៊ីយេតេ កុងសេស្យូនែរ ដឺ ឡាអេរ៉ូព័រ</t>
        </is>
      </c>
      <c r="D1202" t="inlineStr">
        <is>
          <t>L001-100047300</t>
        </is>
      </c>
      <c r="E1202" t="inlineStr">
        <is>
          <t>2400-074395</t>
        </is>
      </c>
      <c r="F1202" t="inlineStr">
        <is>
          <t>14-09-2024</t>
        </is>
      </c>
      <c r="G1202" t="n">
        <v>21908</v>
      </c>
      <c r="I1202">
        <f>G1202</f>
        <v/>
      </c>
      <c r="K1202">
        <f>I1202-G1202</f>
        <v/>
      </c>
      <c r="M1202">
        <f>R1202=E1202</f>
        <v/>
      </c>
      <c r="N1202">
        <f>AND(MONTH(F1202)=MONTH(Q1202), YEAR(F1202)=YEAR(Q1202))</f>
        <v/>
      </c>
      <c r="O1202">
        <f>"L001-902303751"=S1202</f>
        <v/>
      </c>
      <c r="P1202">
        <f>G1202-U1202</f>
        <v/>
      </c>
      <c r="Q1202" s="35" t="n">
        <v>45502</v>
      </c>
      <c r="R1202" t="n">
        <v>112860</v>
      </c>
      <c r="S1202" t="inlineStr">
        <is>
          <t>L001-107032791</t>
        </is>
      </c>
      <c r="T1202" t="inlineStr">
        <is>
          <t>នីបផន អិចប្រេស (ខេមបូឌា) ខូ អិលធីឌី</t>
        </is>
      </c>
      <c r="U1202" t="n">
        <v>112860</v>
      </c>
      <c r="V1202" t="n">
        <v>0</v>
      </c>
    </row>
    <row r="1203">
      <c r="A1203" t="n">
        <v>1202</v>
      </c>
      <c r="B1203" t="inlineStr">
        <is>
          <t>Customs Clearance Fee</t>
        </is>
      </c>
      <c r="C1203" t="inlineStr">
        <is>
          <t>ត្រាយអ៊ែងហ្គល ឡូជីស្ទីក (ខេមបូឌា) ឯ.ក</t>
        </is>
      </c>
      <c r="D1203" t="inlineStr">
        <is>
          <t>K010-902101743</t>
        </is>
      </c>
      <c r="E1203" t="inlineStr">
        <is>
          <t>TAG-24-00640</t>
        </is>
      </c>
      <c r="F1203" t="inlineStr">
        <is>
          <t>16-09-2024</t>
        </is>
      </c>
      <c r="G1203" t="n">
        <v>8108</v>
      </c>
      <c r="I1203">
        <f>G1203</f>
        <v/>
      </c>
      <c r="K1203">
        <f>I1203-G1203</f>
        <v/>
      </c>
      <c r="M1203">
        <f>R1203=E1203</f>
        <v/>
      </c>
      <c r="N1203">
        <f>AND(MONTH(F1203)=MONTH(Q1203), YEAR(F1203)=YEAR(Q1203))</f>
        <v/>
      </c>
      <c r="O1203">
        <f>"L001-902303751"=S1203</f>
        <v/>
      </c>
      <c r="P1203">
        <f>G1203-U1203</f>
        <v/>
      </c>
      <c r="Q1203" s="35" t="n">
        <v>45495</v>
      </c>
      <c r="R1203" t="inlineStr"/>
      <c r="S1203" t="inlineStr">
        <is>
          <t>L001-100045340</t>
        </is>
      </c>
      <c r="T1203" t="inlineStr">
        <is>
          <t xml:space="preserve">ស៊ីវ៉ា អ៊ែរ អ៊ែន អូសៀន (ខេមបូឌា) ឯ.ក </t>
        </is>
      </c>
      <c r="U1203" t="n">
        <v>0</v>
      </c>
      <c r="V1203" t="n">
        <v>0</v>
      </c>
    </row>
    <row r="1204">
      <c r="A1204" t="n">
        <v>1203</v>
      </c>
      <c r="B1204" t="inlineStr">
        <is>
          <t>Cargo Terminal</t>
        </is>
      </c>
      <c r="C1204" t="inlineStr">
        <is>
          <t>សូស៊ីយេតេ កុងសេស្យូនែរ ដឺ ឡាអេរ៉ូព័រ</t>
        </is>
      </c>
      <c r="D1204" t="inlineStr">
        <is>
          <t>L001-100047300</t>
        </is>
      </c>
      <c r="E1204" t="inlineStr">
        <is>
          <t>2400-074400</t>
        </is>
      </c>
      <c r="F1204" t="inlineStr">
        <is>
          <t>14-09-2024</t>
        </is>
      </c>
      <c r="G1204" t="n">
        <v>15808</v>
      </c>
      <c r="I1204">
        <f>G1204</f>
        <v/>
      </c>
      <c r="K1204">
        <f>I1204-G1204</f>
        <v/>
      </c>
      <c r="M1204">
        <f>R1204=E1204</f>
        <v/>
      </c>
      <c r="N1204">
        <f>AND(MONTH(F1204)=MONTH(Q1204), YEAR(F1204)=YEAR(Q1204))</f>
        <v/>
      </c>
      <c r="O1204">
        <f>"L001-902303751"=S1204</f>
        <v/>
      </c>
      <c r="P1204">
        <f>G1204-U1204</f>
        <v/>
      </c>
      <c r="Q1204" s="35" t="n">
        <v>45481</v>
      </c>
      <c r="R1204" t="n">
        <v>208833</v>
      </c>
      <c r="S1204" t="inlineStr">
        <is>
          <t>K003-901635943</t>
        </is>
      </c>
      <c r="T1204" t="inlineStr">
        <is>
          <t>អ៊ីឃ្យូឡាញ វើលវ៉ាយដ៍ ឡូជីស្ទីក</t>
        </is>
      </c>
      <c r="U1204" t="n">
        <v>208833</v>
      </c>
      <c r="V1204" t="n">
        <v>0</v>
      </c>
    </row>
    <row r="1205">
      <c r="A1205" t="n">
        <v>1204</v>
      </c>
      <c r="B1205" t="inlineStr">
        <is>
          <t>Customs Clearance Fee</t>
        </is>
      </c>
      <c r="C1205" t="inlineStr">
        <is>
          <t>ត្រាយអ៊ែងហ្គល ឡូជីស្ទីក (ខេមបូឌា) ឯ.ក</t>
        </is>
      </c>
      <c r="D1205" t="inlineStr">
        <is>
          <t>K010-902101743</t>
        </is>
      </c>
      <c r="E1205" t="inlineStr">
        <is>
          <t>TAG-24-00638</t>
        </is>
      </c>
      <c r="F1205" t="inlineStr">
        <is>
          <t>16-09-2024</t>
        </is>
      </c>
      <c r="G1205" t="n">
        <v>8108</v>
      </c>
      <c r="I1205">
        <f>G1205</f>
        <v/>
      </c>
      <c r="K1205">
        <f>I1205-G1205</f>
        <v/>
      </c>
      <c r="M1205">
        <f>R1205=E1205</f>
        <v/>
      </c>
      <c r="N1205">
        <f>AND(MONTH(F1205)=MONTH(Q1205), YEAR(F1205)=YEAR(Q1205))</f>
        <v/>
      </c>
      <c r="O1205">
        <f>"L001-902303751"=S1205</f>
        <v/>
      </c>
      <c r="P1205">
        <f>G1205-U1205</f>
        <v/>
      </c>
      <c r="Q1205" s="35" t="n">
        <v>45474</v>
      </c>
      <c r="R1205" t="inlineStr"/>
      <c r="S1205" t="inlineStr">
        <is>
          <t>K005-901805913</t>
        </is>
      </c>
      <c r="T1205" t="inlineStr">
        <is>
          <t>ស្តារ ខង់ខដ (ខេមបូឌា) ឯ.ក</t>
        </is>
      </c>
      <c r="U1205" t="n">
        <v>0</v>
      </c>
      <c r="V1205" t="n">
        <v>0</v>
      </c>
    </row>
    <row r="1206">
      <c r="A1206" t="n">
        <v>1205</v>
      </c>
      <c r="B1206" t="inlineStr">
        <is>
          <t>Cargo Terminal</t>
        </is>
      </c>
      <c r="C1206" t="inlineStr">
        <is>
          <t>សូស៊ីយេតេ កុងសេស្យូនែរ ដឺ ឡាអេរ៉ូព័រ</t>
        </is>
      </c>
      <c r="D1206" t="inlineStr">
        <is>
          <t>L001-100047300</t>
        </is>
      </c>
      <c r="E1206" t="inlineStr">
        <is>
          <t>2400-073488</t>
        </is>
      </c>
      <c r="F1206" t="inlineStr">
        <is>
          <t>12-09-2024</t>
        </is>
      </c>
      <c r="G1206" t="n">
        <v>21274</v>
      </c>
      <c r="I1206">
        <f>G1206</f>
        <v/>
      </c>
      <c r="K1206">
        <f>I1206-G1206</f>
        <v/>
      </c>
      <c r="M1206">
        <f>R1206=E1206</f>
        <v/>
      </c>
      <c r="N1206">
        <f>AND(MONTH(F1206)=MONTH(Q1206), YEAR(F1206)=YEAR(Q1206))</f>
        <v/>
      </c>
      <c r="O1206">
        <f>"L001-902303751"=S1206</f>
        <v/>
      </c>
      <c r="P1206">
        <f>G1206-U1206</f>
        <v/>
      </c>
      <c r="Q1206" s="35" t="n">
        <v>45488</v>
      </c>
      <c r="R1206" t="inlineStr"/>
      <c r="S1206" t="inlineStr">
        <is>
          <t>K003-901635943</t>
        </is>
      </c>
      <c r="T1206" t="inlineStr">
        <is>
          <t>អ៊ីឃ្យូឡាញ វើលវ៉ាយដ៍ ឡូជីស្ទីក</t>
        </is>
      </c>
      <c r="U1206" t="n">
        <v>0</v>
      </c>
      <c r="V1206" t="n">
        <v>0</v>
      </c>
    </row>
    <row r="1207">
      <c r="A1207" t="n">
        <v>1206</v>
      </c>
      <c r="B1207" t="inlineStr">
        <is>
          <t>Customs Clearance Fee</t>
        </is>
      </c>
      <c r="C1207" t="inlineStr">
        <is>
          <t>ត្រាយអ៊ែងហ្គល ឡូជីស្ទីក (ខេមបូឌា) ឯ.ក</t>
        </is>
      </c>
      <c r="D1207" t="inlineStr">
        <is>
          <t>K010-902101743</t>
        </is>
      </c>
      <c r="E1207" t="inlineStr">
        <is>
          <t>TAG-24-00637</t>
        </is>
      </c>
      <c r="F1207" t="inlineStr">
        <is>
          <t>13-09-2024</t>
        </is>
      </c>
      <c r="G1207" t="n">
        <v>8114</v>
      </c>
      <c r="I1207">
        <f>G1207</f>
        <v/>
      </c>
      <c r="K1207">
        <f>I1207-G1207</f>
        <v/>
      </c>
      <c r="M1207">
        <f>R1207=E1207</f>
        <v/>
      </c>
      <c r="N1207">
        <f>AND(MONTH(F1207)=MONTH(Q1207), YEAR(F1207)=YEAR(Q1207))</f>
        <v/>
      </c>
      <c r="O1207">
        <f>"L001-902303751"=S1207</f>
        <v/>
      </c>
      <c r="P1207">
        <f>G1207-U1207</f>
        <v/>
      </c>
      <c r="Q1207" s="35" t="n">
        <v>45502</v>
      </c>
      <c r="R1207" t="inlineStr"/>
      <c r="S1207" t="inlineStr">
        <is>
          <t>K005-901805913</t>
        </is>
      </c>
      <c r="T1207" t="inlineStr">
        <is>
          <t>ស្តារ ខង់ខដ (ខេមបូឌា) ឯ.ក</t>
        </is>
      </c>
      <c r="U1207" t="n">
        <v>0</v>
      </c>
      <c r="V1207" t="n">
        <v>0</v>
      </c>
    </row>
    <row r="1208">
      <c r="A1208" t="n">
        <v>1207</v>
      </c>
      <c r="B1208" t="inlineStr">
        <is>
          <t>Cargo Terminal</t>
        </is>
      </c>
      <c r="C1208" t="inlineStr">
        <is>
          <t>សូស៊ីយេតេ កុងសេស្យូនែរ ដឺ ឡាអេរ៉ូព័រ</t>
        </is>
      </c>
      <c r="D1208" t="inlineStr">
        <is>
          <t>L001-100047300</t>
        </is>
      </c>
      <c r="E1208" t="inlineStr">
        <is>
          <t>2400-072711</t>
        </is>
      </c>
      <c r="F1208" t="inlineStr">
        <is>
          <t>09-09-2024</t>
        </is>
      </c>
      <c r="G1208" t="n">
        <v>13133</v>
      </c>
      <c r="I1208">
        <f>G1208</f>
        <v/>
      </c>
      <c r="K1208">
        <f>I1208-G1208</f>
        <v/>
      </c>
      <c r="M1208">
        <f>R1208=E1208</f>
        <v/>
      </c>
      <c r="N1208">
        <f>AND(MONTH(F1208)=MONTH(Q1208), YEAR(F1208)=YEAR(Q1208))</f>
        <v/>
      </c>
      <c r="O1208">
        <f>"L001-902303751"=S1208</f>
        <v/>
      </c>
      <c r="P1208">
        <f>G1208-U1208</f>
        <v/>
      </c>
      <c r="Q1208" s="35" t="n">
        <v>45495</v>
      </c>
      <c r="R1208" t="inlineStr"/>
      <c r="S1208" t="inlineStr">
        <is>
          <t>L001-100045995</t>
        </is>
      </c>
      <c r="T1208" t="inlineStr">
        <is>
          <t>ឌីអេចអិល ឡូជីស្ទីក (ខេមបូឌា)</t>
        </is>
      </c>
      <c r="U1208" t="n">
        <v>0</v>
      </c>
      <c r="V1208" t="n">
        <v>0</v>
      </c>
    </row>
    <row r="1209">
      <c r="A1209" t="n">
        <v>1208</v>
      </c>
      <c r="B1209" t="inlineStr">
        <is>
          <t>Customs Clearance Fee</t>
        </is>
      </c>
      <c r="C1209" t="inlineStr">
        <is>
          <t>ត្រាយអ៊ែងហ្គល ឡូជីស្ទីក (ខេមបូឌា) ឯ.ក</t>
        </is>
      </c>
      <c r="D1209" t="inlineStr">
        <is>
          <t>K010-902101743</t>
        </is>
      </c>
      <c r="E1209" t="inlineStr">
        <is>
          <t>TAG-24-00636</t>
        </is>
      </c>
      <c r="F1209" t="inlineStr">
        <is>
          <t>12-09-2024</t>
        </is>
      </c>
      <c r="G1209" t="n">
        <v>8120</v>
      </c>
      <c r="I1209">
        <f>G1209</f>
        <v/>
      </c>
      <c r="K1209">
        <f>I1209-G1209</f>
        <v/>
      </c>
      <c r="M1209">
        <f>R1209=E1209</f>
        <v/>
      </c>
      <c r="N1209">
        <f>AND(MONTH(F1209)=MONTH(Q1209), YEAR(F1209)=YEAR(Q1209))</f>
        <v/>
      </c>
      <c r="O1209">
        <f>"L001-902303751"=S1209</f>
        <v/>
      </c>
      <c r="P1209">
        <f>G1209-U1209</f>
        <v/>
      </c>
      <c r="Q1209" s="35" t="n">
        <v>45488</v>
      </c>
      <c r="R1209" t="n">
        <v>98955</v>
      </c>
      <c r="S1209" t="inlineStr">
        <is>
          <t>L001-100045340</t>
        </is>
      </c>
      <c r="T1209" t="inlineStr">
        <is>
          <t xml:space="preserve">ស៊ីវ៉ា អ៊ែរ អ៊ែន អូសៀន (ខេមបូឌា) ឯ.ក </t>
        </is>
      </c>
      <c r="U1209" t="n">
        <v>98955</v>
      </c>
      <c r="V1209" t="n">
        <v>0</v>
      </c>
    </row>
    <row r="1210">
      <c r="A1210" t="n">
        <v>1209</v>
      </c>
      <c r="B1210" t="inlineStr">
        <is>
          <t>Cargo Terminal</t>
        </is>
      </c>
      <c r="C1210" t="inlineStr">
        <is>
          <t>សូស៊ីយេតេ កុងសេស្យូនែរ ដឺ ឡាអេរ៉ូព័រ</t>
        </is>
      </c>
      <c r="D1210" t="inlineStr">
        <is>
          <t>L001-100047300</t>
        </is>
      </c>
      <c r="E1210" t="inlineStr">
        <is>
          <t>2400-072709</t>
        </is>
      </c>
      <c r="F1210" t="inlineStr">
        <is>
          <t>09-09-2024</t>
        </is>
      </c>
      <c r="G1210" t="n">
        <v>27670</v>
      </c>
      <c r="I1210">
        <f>G1210</f>
        <v/>
      </c>
      <c r="K1210">
        <f>I1210-G1210</f>
        <v/>
      </c>
      <c r="M1210">
        <f>R1210=E1210</f>
        <v/>
      </c>
      <c r="N1210">
        <f>AND(MONTH(F1210)=MONTH(Q1210), YEAR(F1210)=YEAR(Q1210))</f>
        <v/>
      </c>
      <c r="O1210">
        <f>"L001-902303751"=S1210</f>
        <v/>
      </c>
      <c r="P1210">
        <f>G1210-U1210</f>
        <v/>
      </c>
      <c r="Q1210" s="35" t="n">
        <v>45474</v>
      </c>
      <c r="R1210" t="n">
        <v>113080</v>
      </c>
      <c r="S1210" t="inlineStr">
        <is>
          <t>L001-107032791</t>
        </is>
      </c>
      <c r="T1210" t="inlineStr">
        <is>
          <t>នីបផន អិចប្រេស (ខេមបូឌា) ខូ អិលធីឌី</t>
        </is>
      </c>
      <c r="U1210" t="n">
        <v>113080</v>
      </c>
      <c r="V1210" t="n">
        <v>0</v>
      </c>
    </row>
    <row r="1211">
      <c r="A1211" t="n">
        <v>1210</v>
      </c>
      <c r="B1211" t="inlineStr">
        <is>
          <t>Customs Clearance Fee</t>
        </is>
      </c>
      <c r="C1211" t="inlineStr">
        <is>
          <t>ត្រាយអ៊ែងហ្គល ឡូជីស្ទីក (ខេមបូឌា) ឯ.ក</t>
        </is>
      </c>
      <c r="D1211" t="inlineStr">
        <is>
          <t>K010-902101743</t>
        </is>
      </c>
      <c r="E1211" t="inlineStr">
        <is>
          <t>TAG-24-00635</t>
        </is>
      </c>
      <c r="F1211" t="inlineStr">
        <is>
          <t>12-09-2024</t>
        </is>
      </c>
      <c r="G1211" t="n">
        <v>8120</v>
      </c>
      <c r="I1211">
        <f>G1211</f>
        <v/>
      </c>
      <c r="K1211">
        <f>I1211-G1211</f>
        <v/>
      </c>
      <c r="M1211">
        <f>R1211=E1211</f>
        <v/>
      </c>
      <c r="N1211">
        <f>AND(MONTH(F1211)=MONTH(Q1211), YEAR(F1211)=YEAR(Q1211))</f>
        <v/>
      </c>
      <c r="O1211">
        <f>"L001-902303751"=S1211</f>
        <v/>
      </c>
      <c r="P1211">
        <f>G1211-U1211</f>
        <v/>
      </c>
      <c r="Q1211" s="35" t="n">
        <v>45483</v>
      </c>
      <c r="R1211" t="n">
        <v>16440</v>
      </c>
      <c r="S1211" t="inlineStr">
        <is>
          <t>K003-901635943</t>
        </is>
      </c>
      <c r="T1211" t="inlineStr">
        <is>
          <t>អ៊ីឃ្យូឡាញ វើលវ៉ាយដ៍ ឡូជីស្ទីក</t>
        </is>
      </c>
      <c r="U1211" t="n">
        <v>16440</v>
      </c>
      <c r="V1211" t="n">
        <v>0</v>
      </c>
    </row>
    <row r="1212">
      <c r="A1212" t="n">
        <v>1211</v>
      </c>
      <c r="B1212" t="inlineStr">
        <is>
          <t>Cargo Terminal</t>
        </is>
      </c>
      <c r="C1212" t="inlineStr">
        <is>
          <t>សូស៊ីយេតេ កុងសេស្យូនែរ ដឺ ឡាអេរ៉ូព័រ</t>
        </is>
      </c>
      <c r="D1212" t="inlineStr">
        <is>
          <t>L001-100047300</t>
        </is>
      </c>
      <c r="E1212" t="inlineStr">
        <is>
          <t>2400-072713</t>
        </is>
      </c>
      <c r="F1212" t="inlineStr">
        <is>
          <t>09-09-2024</t>
        </is>
      </c>
      <c r="G1212" t="n">
        <v>32885</v>
      </c>
      <c r="I1212">
        <f>G1212</f>
        <v/>
      </c>
      <c r="K1212">
        <f>I1212-G1212</f>
        <v/>
      </c>
      <c r="M1212">
        <f>R1212=E1212</f>
        <v/>
      </c>
      <c r="N1212">
        <f>AND(MONTH(F1212)=MONTH(Q1212), YEAR(F1212)=YEAR(Q1212))</f>
        <v/>
      </c>
      <c r="O1212">
        <f>"L001-902303751"=S1212</f>
        <v/>
      </c>
      <c r="P1212">
        <f>G1212-U1212</f>
        <v/>
      </c>
      <c r="Q1212" s="35" t="n">
        <v>45488</v>
      </c>
      <c r="R1212" t="n">
        <v>112915</v>
      </c>
      <c r="S1212" t="inlineStr">
        <is>
          <t>L001-107032791</t>
        </is>
      </c>
      <c r="T1212" t="inlineStr">
        <is>
          <t>នីបផន អិចប្រេស (ខេមបូឌា) ខូ អិលធីឌី</t>
        </is>
      </c>
      <c r="U1212" t="n">
        <v>112915</v>
      </c>
      <c r="V1212" t="n">
        <v>0</v>
      </c>
    </row>
    <row r="1213">
      <c r="A1213" t="n">
        <v>1212</v>
      </c>
      <c r="B1213" t="inlineStr">
        <is>
          <t>Customs Clearance Fee</t>
        </is>
      </c>
      <c r="C1213" t="inlineStr">
        <is>
          <t>ត្រាយអ៊ែងហ្គល ឡូជីស្ទីក (ខេមបូឌា) ឯ.ក</t>
        </is>
      </c>
      <c r="D1213" t="inlineStr">
        <is>
          <t>K010-902101743</t>
        </is>
      </c>
      <c r="E1213" t="inlineStr">
        <is>
          <t>TAG-24-00634</t>
        </is>
      </c>
      <c r="F1213" t="inlineStr">
        <is>
          <t>12-09-2024</t>
        </is>
      </c>
      <c r="G1213" t="n">
        <v>8120</v>
      </c>
      <c r="I1213">
        <f>G1213</f>
        <v/>
      </c>
      <c r="K1213">
        <f>I1213-G1213</f>
        <v/>
      </c>
      <c r="M1213">
        <f>R1213=E1213</f>
        <v/>
      </c>
      <c r="N1213">
        <f>AND(MONTH(F1213)=MONTH(Q1213), YEAR(F1213)=YEAR(Q1213))</f>
        <v/>
      </c>
      <c r="O1213">
        <f>"L001-902303751"=S1213</f>
        <v/>
      </c>
      <c r="P1213">
        <f>G1213-U1213</f>
        <v/>
      </c>
      <c r="Q1213" s="35" t="n">
        <v>45502</v>
      </c>
      <c r="R1213" t="inlineStr"/>
      <c r="S1213" t="inlineStr">
        <is>
          <t>L001-107032791</t>
        </is>
      </c>
      <c r="T1213" t="inlineStr">
        <is>
          <t>នីបផន អិចប្រេស (ខេមបូឌា) ខូ អិលធីឌី</t>
        </is>
      </c>
      <c r="U1213" t="n">
        <v>0</v>
      </c>
      <c r="V1213" t="n">
        <v>0</v>
      </c>
    </row>
    <row r="1214">
      <c r="A1214" t="n">
        <v>1213</v>
      </c>
      <c r="B1214" t="inlineStr">
        <is>
          <t>Cargo Terminal</t>
        </is>
      </c>
      <c r="C1214" t="inlineStr">
        <is>
          <t>សូស៊ីយេតេ កុងសេស្យូនែរ ដឺ ឡាអេរ៉ូព័រ</t>
        </is>
      </c>
      <c r="D1214" t="inlineStr">
        <is>
          <t>L001-100047300</t>
        </is>
      </c>
      <c r="E1214" t="inlineStr">
        <is>
          <t>2400-073421</t>
        </is>
      </c>
      <c r="F1214" t="inlineStr">
        <is>
          <t>11-09-2024</t>
        </is>
      </c>
      <c r="G1214" t="n">
        <v>28285</v>
      </c>
      <c r="I1214">
        <f>G1214</f>
        <v/>
      </c>
      <c r="K1214">
        <f>I1214-G1214</f>
        <v/>
      </c>
      <c r="M1214">
        <f>R1214=E1214</f>
        <v/>
      </c>
      <c r="N1214">
        <f>AND(MONTH(F1214)=MONTH(Q1214), YEAR(F1214)=YEAR(Q1214))</f>
        <v/>
      </c>
      <c r="O1214">
        <f>"L001-902303751"=S1214</f>
        <v/>
      </c>
      <c r="P1214">
        <f>G1214-U1214</f>
        <v/>
      </c>
      <c r="Q1214" s="35" t="n">
        <v>45502</v>
      </c>
      <c r="R1214" t="inlineStr"/>
      <c r="S1214" t="inlineStr">
        <is>
          <t>L001-107032791</t>
        </is>
      </c>
      <c r="T1214" t="inlineStr">
        <is>
          <t>នីបផន អិចប្រេស (ខេមបូឌា) ខូ អិលធីឌី</t>
        </is>
      </c>
      <c r="U1214" t="n">
        <v>0</v>
      </c>
      <c r="V1214" t="n">
        <v>0</v>
      </c>
    </row>
    <row r="1215">
      <c r="A1215" t="n">
        <v>1214</v>
      </c>
      <c r="B1215" t="inlineStr">
        <is>
          <t>Customs Clearance Fee</t>
        </is>
      </c>
      <c r="C1215" t="inlineStr">
        <is>
          <t>ត្រាយអ៊ែងហ្គល ឡូជីស្ទីក (ខេមបូឌា) ឯ.ក</t>
        </is>
      </c>
      <c r="D1215" t="inlineStr">
        <is>
          <t>K010-902101743</t>
        </is>
      </c>
      <c r="E1215" t="inlineStr">
        <is>
          <t>TAG-24-00633</t>
        </is>
      </c>
      <c r="F1215" t="inlineStr">
        <is>
          <t>12-09-2024</t>
        </is>
      </c>
      <c r="G1215" t="n">
        <v>8120</v>
      </c>
      <c r="I1215">
        <f>G1215</f>
        <v/>
      </c>
      <c r="K1215">
        <f>I1215-G1215</f>
        <v/>
      </c>
      <c r="M1215">
        <f>R1215=E1215</f>
        <v/>
      </c>
      <c r="N1215">
        <f>AND(MONTH(F1215)=MONTH(Q1215), YEAR(F1215)=YEAR(Q1215))</f>
        <v/>
      </c>
      <c r="O1215">
        <f>"L001-902303751"=S1215</f>
        <v/>
      </c>
      <c r="P1215">
        <f>G1215-U1215</f>
        <v/>
      </c>
      <c r="Q1215" s="35" t="n">
        <v>45496</v>
      </c>
      <c r="R1215" t="n">
        <v>112970</v>
      </c>
      <c r="S1215" t="inlineStr">
        <is>
          <t>K002-901800477</t>
        </is>
      </c>
      <c r="T1215" t="inlineStr">
        <is>
          <t>អាយធីអាយ អ៊ិនធើណេសិនណល ត្រេនស័្ពរថេសិន (ខេមបូឌា) ឯ.ក</t>
        </is>
      </c>
      <c r="U1215" t="n">
        <v>112970</v>
      </c>
      <c r="V1215" t="n">
        <v>0</v>
      </c>
    </row>
    <row r="1216">
      <c r="A1216" t="n">
        <v>1215</v>
      </c>
      <c r="B1216" t="inlineStr">
        <is>
          <t>Cargo Terminal</t>
        </is>
      </c>
      <c r="C1216" t="inlineStr">
        <is>
          <t>សូស៊ីយេតេ កុងសេស្យូនែរ ដឺ ឡាអេរ៉ូព័រ</t>
        </is>
      </c>
      <c r="D1216" t="inlineStr">
        <is>
          <t>L001-100047300</t>
        </is>
      </c>
      <c r="E1216" t="inlineStr">
        <is>
          <t>2400-070712</t>
        </is>
      </c>
      <c r="F1216" t="inlineStr">
        <is>
          <t>03-09-2024</t>
        </is>
      </c>
      <c r="G1216" t="n">
        <v>1496</v>
      </c>
      <c r="I1216">
        <f>G1216</f>
        <v/>
      </c>
      <c r="K1216">
        <f>I1216-G1216</f>
        <v/>
      </c>
      <c r="M1216">
        <f>R1216=E1216</f>
        <v/>
      </c>
      <c r="N1216">
        <f>AND(MONTH(F1216)=MONTH(Q1216), YEAR(F1216)=YEAR(Q1216))</f>
        <v/>
      </c>
      <c r="O1216">
        <f>"L001-902303751"=S1216</f>
        <v/>
      </c>
      <c r="P1216">
        <f>G1216-U1216</f>
        <v/>
      </c>
      <c r="Q1216" s="35" t="n">
        <v>45483</v>
      </c>
      <c r="R1216" t="inlineStr"/>
      <c r="S1216" t="inlineStr">
        <is>
          <t>L001-107032791</t>
        </is>
      </c>
      <c r="T1216" t="inlineStr">
        <is>
          <t>នីបផន អិចប្រេស (ខេមបូឌា) ខូ អិលធីឌី</t>
        </is>
      </c>
      <c r="U1216" t="n">
        <v>0</v>
      </c>
      <c r="V1216" t="n">
        <v>0</v>
      </c>
    </row>
    <row r="1217">
      <c r="A1217" t="n">
        <v>1216</v>
      </c>
      <c r="B1217" t="inlineStr">
        <is>
          <t>Cargo Terminal</t>
        </is>
      </c>
      <c r="C1217" t="inlineStr">
        <is>
          <t>សូស៊ីយេតេ កុងសេស្យូនែរ ដឺ ឡាអេរ៉ូព័រ</t>
        </is>
      </c>
      <c r="D1217" t="inlineStr">
        <is>
          <t>L001-100047300</t>
        </is>
      </c>
      <c r="E1217" t="inlineStr">
        <is>
          <t>2400-071397</t>
        </is>
      </c>
      <c r="F1217" t="inlineStr">
        <is>
          <t>04-09-2024</t>
        </is>
      </c>
      <c r="G1217" t="n">
        <v>1107</v>
      </c>
      <c r="I1217">
        <f>G1217</f>
        <v/>
      </c>
      <c r="K1217">
        <f>I1217-G1217</f>
        <v/>
      </c>
      <c r="M1217">
        <f>R1217=E1217</f>
        <v/>
      </c>
      <c r="N1217">
        <f>AND(MONTH(F1217)=MONTH(Q1217), YEAR(F1217)=YEAR(Q1217))</f>
        <v/>
      </c>
      <c r="O1217">
        <f>"L001-902303751"=S1217</f>
        <v/>
      </c>
      <c r="P1217">
        <f>G1217-U1217</f>
        <v/>
      </c>
      <c r="Q1217" s="35" t="n">
        <v>45481</v>
      </c>
      <c r="R1217" t="inlineStr"/>
      <c r="S1217" t="inlineStr">
        <is>
          <t>L001-100045995</t>
        </is>
      </c>
      <c r="T1217" t="inlineStr">
        <is>
          <t>ឌីអេចអិល ឡូជីស្ទីក (ខេមបូឌា)</t>
        </is>
      </c>
      <c r="U1217" t="n">
        <v>0</v>
      </c>
      <c r="V1217" t="n">
        <v>0</v>
      </c>
    </row>
    <row r="1218">
      <c r="A1218" t="n">
        <v>1217</v>
      </c>
      <c r="B1218" t="inlineStr">
        <is>
          <t>Customs Clearance Fee</t>
        </is>
      </c>
      <c r="C1218" t="inlineStr">
        <is>
          <t>ត្រាយអ៊ែងហ្គល ឡូជីស្ទីក (ខេមបូឌា) ឯ.ក</t>
        </is>
      </c>
      <c r="D1218" t="inlineStr">
        <is>
          <t>K010-902101743</t>
        </is>
      </c>
      <c r="E1218" t="inlineStr">
        <is>
          <t>TAG-24-00631</t>
        </is>
      </c>
      <c r="F1218" t="inlineStr">
        <is>
          <t>11-09-2024</t>
        </is>
      </c>
      <c r="G1218" t="n">
        <v>8128</v>
      </c>
      <c r="I1218">
        <f>G1218</f>
        <v/>
      </c>
      <c r="K1218">
        <f>I1218-G1218</f>
        <v/>
      </c>
      <c r="M1218">
        <f>R1218=E1218</f>
        <v/>
      </c>
      <c r="N1218">
        <f>AND(MONTH(F1218)=MONTH(Q1218), YEAR(F1218)=YEAR(Q1218))</f>
        <v/>
      </c>
      <c r="O1218">
        <f>"L001-902303751"=S1218</f>
        <v/>
      </c>
      <c r="P1218">
        <f>G1218-U1218</f>
        <v/>
      </c>
      <c r="Q1218" s="35" t="n">
        <v>45481</v>
      </c>
      <c r="R1218" t="inlineStr"/>
      <c r="S1218" t="inlineStr">
        <is>
          <t>L001-107032791</t>
        </is>
      </c>
      <c r="T1218" t="inlineStr">
        <is>
          <t>នីបផន អិចប្រេស (ខេមបូឌា) ខូ អិលធីឌី</t>
        </is>
      </c>
      <c r="U1218" t="n">
        <v>0</v>
      </c>
      <c r="V1218" t="n">
        <v>0</v>
      </c>
    </row>
    <row r="1219">
      <c r="A1219" t="n">
        <v>1218</v>
      </c>
      <c r="B1219" t="inlineStr">
        <is>
          <t>Cargo Terminal</t>
        </is>
      </c>
      <c r="C1219" t="inlineStr">
        <is>
          <t>សូស៊ីយេតេ កុងសេស្យូនែរ ដឺ ឡាអេរ៉ូព័រ</t>
        </is>
      </c>
      <c r="D1219" t="inlineStr">
        <is>
          <t>L001-100047300</t>
        </is>
      </c>
      <c r="E1219" t="inlineStr">
        <is>
          <t>2400-071394</t>
        </is>
      </c>
      <c r="F1219" t="inlineStr">
        <is>
          <t>04-09-2024</t>
        </is>
      </c>
      <c r="G1219" t="n">
        <v>4888</v>
      </c>
      <c r="I1219">
        <f>G1219</f>
        <v/>
      </c>
      <c r="K1219">
        <f>I1219-G1219</f>
        <v/>
      </c>
      <c r="M1219">
        <f>R1219=E1219</f>
        <v/>
      </c>
      <c r="N1219">
        <f>AND(MONTH(F1219)=MONTH(Q1219), YEAR(F1219)=YEAR(Q1219))</f>
        <v/>
      </c>
      <c r="O1219">
        <f>"L001-902303751"=S1219</f>
        <v/>
      </c>
      <c r="P1219">
        <f>G1219-U1219</f>
        <v/>
      </c>
      <c r="Q1219" s="35" t="n">
        <v>45488</v>
      </c>
      <c r="R1219" t="n">
        <v>84173</v>
      </c>
      <c r="S1219" t="inlineStr">
        <is>
          <t>K005-100150195</t>
        </is>
      </c>
      <c r="T1219" t="inlineStr">
        <is>
          <t>អេស អ វី ស៊ី ហ្វ្រេត សឺវីស (ខេមបូឌា) ខូ អិលធីឌី</t>
        </is>
      </c>
      <c r="U1219" t="n">
        <v>84173</v>
      </c>
      <c r="V1219" t="n">
        <v>0</v>
      </c>
    </row>
    <row r="1220">
      <c r="A1220" t="n">
        <v>1219</v>
      </c>
      <c r="B1220" t="inlineStr">
        <is>
          <t>Customs Clearance Fee</t>
        </is>
      </c>
      <c r="C1220" t="inlineStr">
        <is>
          <t>ត្រាយអ៊ែងហ្គល ឡូជីស្ទីក (ខេមបូឌា) ឯ.ក</t>
        </is>
      </c>
      <c r="D1220" t="inlineStr">
        <is>
          <t>K010-902101743</t>
        </is>
      </c>
      <c r="E1220" t="inlineStr">
        <is>
          <t>TAG-24-00630</t>
        </is>
      </c>
      <c r="F1220" t="inlineStr">
        <is>
          <t>11-09-2024</t>
        </is>
      </c>
      <c r="G1220" t="n">
        <v>8128</v>
      </c>
      <c r="I1220">
        <f>G1220</f>
        <v/>
      </c>
      <c r="K1220">
        <f>I1220-G1220</f>
        <v/>
      </c>
      <c r="M1220">
        <f>R1220=E1220</f>
        <v/>
      </c>
      <c r="N1220">
        <f>AND(MONTH(F1220)=MONTH(Q1220), YEAR(F1220)=YEAR(Q1220))</f>
        <v/>
      </c>
      <c r="O1220">
        <f>"L001-902303751"=S1220</f>
        <v/>
      </c>
      <c r="P1220">
        <f>G1220-U1220</f>
        <v/>
      </c>
      <c r="Q1220" s="35" t="n">
        <v>45488</v>
      </c>
      <c r="R1220" t="n">
        <v>564575</v>
      </c>
      <c r="S1220" t="inlineStr">
        <is>
          <t>L001-100011888</t>
        </is>
      </c>
      <c r="T1220" t="inlineStr">
        <is>
          <t>ត្រេន ស្តារ ហ្រេ្វត</t>
        </is>
      </c>
      <c r="U1220" t="n">
        <v>564575</v>
      </c>
      <c r="V1220" t="n">
        <v>0</v>
      </c>
    </row>
    <row r="1221">
      <c r="A1221" t="n">
        <v>1220</v>
      </c>
      <c r="B1221" t="inlineStr">
        <is>
          <t>Cargo Terminal</t>
        </is>
      </c>
      <c r="C1221" t="inlineStr">
        <is>
          <t>សូស៊ីយេតេ កុងសេស្យូនែរ ដឺ ឡាអេរ៉ូព័រ</t>
        </is>
      </c>
      <c r="D1221" t="inlineStr">
        <is>
          <t>L001-100047300</t>
        </is>
      </c>
      <c r="E1221" t="inlineStr">
        <is>
          <t>2400-071396</t>
        </is>
      </c>
      <c r="F1221" t="inlineStr">
        <is>
          <t>04-09-2024</t>
        </is>
      </c>
      <c r="G1221" t="n">
        <v>25056</v>
      </c>
      <c r="I1221">
        <f>G1221</f>
        <v/>
      </c>
      <c r="K1221">
        <f>I1221-G1221</f>
        <v/>
      </c>
      <c r="M1221">
        <f>R1221=E1221</f>
        <v/>
      </c>
      <c r="N1221">
        <f>AND(MONTH(F1221)=MONTH(Q1221), YEAR(F1221)=YEAR(Q1221))</f>
        <v/>
      </c>
      <c r="O1221">
        <f>"L001-902303751"=S1221</f>
        <v/>
      </c>
      <c r="P1221">
        <f>G1221-U1221</f>
        <v/>
      </c>
      <c r="Q1221" s="35" t="n">
        <v>45488</v>
      </c>
      <c r="R1221" t="inlineStr"/>
      <c r="S1221" t="inlineStr">
        <is>
          <t>L001-107032791</t>
        </is>
      </c>
      <c r="T1221" t="inlineStr">
        <is>
          <t>នីបផន អិចប្រេស (ខេមបូឌា) ខូ អិលធីឌី</t>
        </is>
      </c>
      <c r="U1221" t="n">
        <v>0</v>
      </c>
      <c r="V1221" t="n">
        <v>0</v>
      </c>
    </row>
    <row r="1222">
      <c r="A1222" t="n">
        <v>1221</v>
      </c>
      <c r="B1222" t="inlineStr">
        <is>
          <t>Customs Clearance Fee</t>
        </is>
      </c>
      <c r="C1222" t="inlineStr">
        <is>
          <t>ត្រាយអ៊ែងហ្គល ឡូជីស្ទីក (ខេមបូឌា) ឯ.ក</t>
        </is>
      </c>
      <c r="D1222" t="inlineStr">
        <is>
          <t>K010-902101743</t>
        </is>
      </c>
      <c r="E1222" t="inlineStr">
        <is>
          <t>TAG-24-00629</t>
        </is>
      </c>
      <c r="F1222" t="inlineStr">
        <is>
          <t>11-09-2024</t>
        </is>
      </c>
      <c r="G1222" t="n">
        <v>8128</v>
      </c>
      <c r="I1222">
        <f>G1222</f>
        <v/>
      </c>
      <c r="K1222">
        <f>I1222-G1222</f>
        <v/>
      </c>
      <c r="M1222">
        <f>R1222=E1222</f>
        <v/>
      </c>
      <c r="N1222">
        <f>AND(MONTH(F1222)=MONTH(Q1222), YEAR(F1222)=YEAR(Q1222))</f>
        <v/>
      </c>
      <c r="O1222">
        <f>"L001-902303751"=S1222</f>
        <v/>
      </c>
      <c r="P1222">
        <f>G1222-U1222</f>
        <v/>
      </c>
      <c r="Q1222" s="35" t="n">
        <v>45488</v>
      </c>
      <c r="R1222" t="n">
        <v>866777</v>
      </c>
      <c r="S1222" t="inlineStr">
        <is>
          <t>K004-105012505</t>
        </is>
      </c>
      <c r="T1222" t="inlineStr">
        <is>
          <t>អេស៊ាន ហ្វ្រេត (ខេមបូឌា)</t>
        </is>
      </c>
      <c r="U1222" t="n">
        <v>866777</v>
      </c>
      <c r="V1222" t="n">
        <v>0</v>
      </c>
    </row>
    <row r="1223">
      <c r="A1223" t="n">
        <v>1222</v>
      </c>
      <c r="B1223" t="inlineStr">
        <is>
          <t>Cargo Terminal</t>
        </is>
      </c>
      <c r="C1223" t="inlineStr">
        <is>
          <t>សូស៊ីយេតេ កុងសេស្យូនែរ ដឺ ឡាអេរ៉ូព័រ</t>
        </is>
      </c>
      <c r="D1223" t="inlineStr">
        <is>
          <t>L001-100047300</t>
        </is>
      </c>
      <c r="E1223" t="inlineStr">
        <is>
          <t>2400-071392</t>
        </is>
      </c>
      <c r="F1223" t="inlineStr">
        <is>
          <t>04-09-2024</t>
        </is>
      </c>
      <c r="G1223" t="n">
        <v>815</v>
      </c>
      <c r="I1223">
        <f>G1223</f>
        <v/>
      </c>
      <c r="K1223">
        <f>I1223-G1223</f>
        <v/>
      </c>
      <c r="M1223">
        <f>R1223=E1223</f>
        <v/>
      </c>
      <c r="N1223">
        <f>AND(MONTH(F1223)=MONTH(Q1223), YEAR(F1223)=YEAR(Q1223))</f>
        <v/>
      </c>
      <c r="O1223">
        <f>"L001-902303751"=S1223</f>
        <v/>
      </c>
      <c r="P1223">
        <f>G1223-U1223</f>
        <v/>
      </c>
      <c r="Q1223" s="35" t="n">
        <v>45488</v>
      </c>
      <c r="R1223" t="n">
        <v>112915</v>
      </c>
      <c r="S1223" t="inlineStr">
        <is>
          <t>L001-107032791</t>
        </is>
      </c>
      <c r="T1223" t="inlineStr">
        <is>
          <t>នីបផន អិចប្រេស (ខេមបូឌា) ខូ អិលធីឌី</t>
        </is>
      </c>
      <c r="U1223" t="n">
        <v>112915</v>
      </c>
      <c r="V1223" t="n">
        <v>0</v>
      </c>
    </row>
    <row r="1224">
      <c r="A1224" t="n">
        <v>1223</v>
      </c>
      <c r="B1224" t="inlineStr">
        <is>
          <t>Customs Clearance Fee</t>
        </is>
      </c>
      <c r="C1224" t="inlineStr">
        <is>
          <t>ត្រាយអ៊ែងហ្គល ឡូជីស្ទីក (ខេមបូឌា) ឯ.ក</t>
        </is>
      </c>
      <c r="D1224" t="inlineStr">
        <is>
          <t>K010-902101743</t>
        </is>
      </c>
      <c r="E1224" t="inlineStr">
        <is>
          <t>TAG-24-00628</t>
        </is>
      </c>
      <c r="F1224" t="inlineStr">
        <is>
          <t>11-09-2024</t>
        </is>
      </c>
      <c r="G1224" t="n">
        <v>8128</v>
      </c>
      <c r="I1224">
        <f>G1224</f>
        <v/>
      </c>
      <c r="K1224">
        <f>I1224-G1224</f>
        <v/>
      </c>
      <c r="M1224">
        <f>R1224=E1224</f>
        <v/>
      </c>
      <c r="N1224">
        <f>AND(MONTH(F1224)=MONTH(Q1224), YEAR(F1224)=YEAR(Q1224))</f>
        <v/>
      </c>
      <c r="O1224">
        <f>"L001-902303751"=S1224</f>
        <v/>
      </c>
      <c r="P1224">
        <f>G1224-U1224</f>
        <v/>
      </c>
      <c r="Q1224" s="35" t="n">
        <v>45495</v>
      </c>
      <c r="R1224" t="n">
        <v>84235</v>
      </c>
      <c r="S1224" t="inlineStr">
        <is>
          <t>L001-100045995</t>
        </is>
      </c>
      <c r="T1224" t="inlineStr">
        <is>
          <t>ឌីអេចអិល ឡូជីស្ទីក (ខេមបូឌា)</t>
        </is>
      </c>
      <c r="U1224" t="n">
        <v>84235</v>
      </c>
      <c r="V1224" t="n">
        <v>0</v>
      </c>
    </row>
    <row r="1225">
      <c r="A1225" t="n">
        <v>1224</v>
      </c>
      <c r="B1225" t="inlineStr">
        <is>
          <t>Cargo Terminal</t>
        </is>
      </c>
      <c r="C1225" t="inlineStr">
        <is>
          <t>សូស៊ីយេតេ កុងសេស្យូនែរ ដឺ ឡាអេរ៉ូព័រ</t>
        </is>
      </c>
      <c r="D1225" t="inlineStr">
        <is>
          <t>L001-100047300</t>
        </is>
      </c>
      <c r="E1225" t="inlineStr">
        <is>
          <t>2400-071482</t>
        </is>
      </c>
      <c r="F1225" t="inlineStr">
        <is>
          <t>05-09-2024</t>
        </is>
      </c>
      <c r="G1225" t="n">
        <v>2349</v>
      </c>
      <c r="I1225">
        <f>G1225</f>
        <v/>
      </c>
      <c r="K1225">
        <f>I1225-G1225</f>
        <v/>
      </c>
      <c r="M1225">
        <f>R1225=E1225</f>
        <v/>
      </c>
      <c r="N1225">
        <f>AND(MONTH(F1225)=MONTH(Q1225), YEAR(F1225)=YEAR(Q1225))</f>
        <v/>
      </c>
      <c r="O1225">
        <f>"L001-902303751"=S1225</f>
        <v/>
      </c>
      <c r="P1225">
        <f>G1225-U1225</f>
        <v/>
      </c>
      <c r="Q1225" s="35" t="n">
        <v>45496</v>
      </c>
      <c r="R1225" t="inlineStr"/>
      <c r="S1225" t="inlineStr">
        <is>
          <t>K002-901800477</t>
        </is>
      </c>
      <c r="T1225" t="inlineStr">
        <is>
          <t>អាយធីអាយ អ៊ិនធើណេសិនណល ត្រេនស័្ពរថេសិន (ខេមបូឌា) ឯ.ក</t>
        </is>
      </c>
      <c r="U1225" t="n">
        <v>0</v>
      </c>
      <c r="V1225" t="n">
        <v>0</v>
      </c>
    </row>
    <row r="1226">
      <c r="A1226" t="n">
        <v>1225</v>
      </c>
      <c r="B1226" t="inlineStr">
        <is>
          <t>Customs Clearance Fee</t>
        </is>
      </c>
      <c r="C1226" t="inlineStr">
        <is>
          <t>ត្រាយអ៊ែងហ្គល ឡូជីស្ទីក (ខេមបូឌា) ឯ.ក</t>
        </is>
      </c>
      <c r="D1226" t="inlineStr">
        <is>
          <t>K010-902101743</t>
        </is>
      </c>
      <c r="E1226" t="inlineStr">
        <is>
          <t>TAG-24-00627</t>
        </is>
      </c>
      <c r="F1226" t="inlineStr">
        <is>
          <t>11-09-2024</t>
        </is>
      </c>
      <c r="G1226" t="n">
        <v>8128</v>
      </c>
      <c r="I1226">
        <f>G1226</f>
        <v/>
      </c>
      <c r="K1226">
        <f>I1226-G1226</f>
        <v/>
      </c>
      <c r="M1226">
        <f>R1226=E1226</f>
        <v/>
      </c>
      <c r="N1226">
        <f>AND(MONTH(F1226)=MONTH(Q1226), YEAR(F1226)=YEAR(Q1226))</f>
        <v/>
      </c>
      <c r="O1226">
        <f>"L001-902303751"=S1226</f>
        <v/>
      </c>
      <c r="P1226">
        <f>G1226-U1226</f>
        <v/>
      </c>
      <c r="Q1226" s="35" t="n">
        <v>45474</v>
      </c>
      <c r="R1226" t="n">
        <v>113080</v>
      </c>
      <c r="S1226" t="inlineStr">
        <is>
          <t>L001-107032791</t>
        </is>
      </c>
      <c r="T1226" t="inlineStr">
        <is>
          <t>នីបផន អិចប្រេស (ខេមបូឌា) ខូ អិលធីឌី</t>
        </is>
      </c>
      <c r="U1226" t="n">
        <v>113080</v>
      </c>
      <c r="V1226" t="n">
        <v>0</v>
      </c>
    </row>
    <row r="1227">
      <c r="A1227" t="n">
        <v>1226</v>
      </c>
      <c r="B1227" t="inlineStr">
        <is>
          <t>Cargo Terminal</t>
        </is>
      </c>
      <c r="C1227" t="inlineStr">
        <is>
          <t>សូស៊ីយេតេ កុងសេស្យូនែរ ដឺ ឡាអេរ៉ូព័រ</t>
        </is>
      </c>
      <c r="D1227" t="inlineStr">
        <is>
          <t>L001-100047300</t>
        </is>
      </c>
      <c r="E1227" t="inlineStr">
        <is>
          <t>2400-072058</t>
        </is>
      </c>
      <c r="F1227" t="inlineStr">
        <is>
          <t>06-09-2024</t>
        </is>
      </c>
      <c r="G1227" t="n">
        <v>1883</v>
      </c>
      <c r="I1227">
        <f>G1227</f>
        <v/>
      </c>
      <c r="K1227">
        <f>I1227-G1227</f>
        <v/>
      </c>
      <c r="M1227">
        <f>R1227=E1227</f>
        <v/>
      </c>
      <c r="N1227">
        <f>AND(MONTH(F1227)=MONTH(Q1227), YEAR(F1227)=YEAR(Q1227))</f>
        <v/>
      </c>
      <c r="O1227">
        <f>"L001-902303751"=S1227</f>
        <v/>
      </c>
      <c r="P1227">
        <f>G1227-U1227</f>
        <v/>
      </c>
      <c r="Q1227" s="35" t="n">
        <v>45474</v>
      </c>
      <c r="R1227" t="inlineStr"/>
      <c r="S1227" t="inlineStr">
        <is>
          <t>L001-100011888</t>
        </is>
      </c>
      <c r="T1227" t="inlineStr">
        <is>
          <t>ត្រេន ស្តារ ហ្រេ្វត</t>
        </is>
      </c>
      <c r="U1227" t="n">
        <v>0</v>
      </c>
      <c r="V1227" t="n">
        <v>0</v>
      </c>
    </row>
    <row r="1228">
      <c r="A1228" t="n">
        <v>1227</v>
      </c>
      <c r="B1228" t="inlineStr">
        <is>
          <t>Customs Clearance Fee</t>
        </is>
      </c>
      <c r="C1228" t="inlineStr">
        <is>
          <t>ត្រាយអ៊ែងហ្គល ឡូជីស្ទីក (ខេមបូឌា) ឯ.ក</t>
        </is>
      </c>
      <c r="D1228" t="inlineStr">
        <is>
          <t>K010-902101743</t>
        </is>
      </c>
      <c r="E1228" t="inlineStr">
        <is>
          <t>TAG-24-00626</t>
        </is>
      </c>
      <c r="F1228" t="inlineStr">
        <is>
          <t>11-09-2024</t>
        </is>
      </c>
      <c r="G1228" t="n">
        <v>8128</v>
      </c>
      <c r="I1228">
        <f>G1228</f>
        <v/>
      </c>
      <c r="K1228">
        <f>I1228-G1228</f>
        <v/>
      </c>
      <c r="M1228">
        <f>R1228=E1228</f>
        <v/>
      </c>
      <c r="N1228">
        <f>AND(MONTH(F1228)=MONTH(Q1228), YEAR(F1228)=YEAR(Q1228))</f>
        <v/>
      </c>
      <c r="O1228">
        <f>"L001-902303751"=S1228</f>
        <v/>
      </c>
      <c r="P1228">
        <f>G1228-U1228</f>
        <v/>
      </c>
      <c r="Q1228" s="35" t="n">
        <v>45474</v>
      </c>
      <c r="R1228" t="n">
        <v>113080</v>
      </c>
      <c r="S1228" t="inlineStr">
        <is>
          <t>L001-107032791</t>
        </is>
      </c>
      <c r="T1228" t="inlineStr">
        <is>
          <t>នីបផន អិចប្រេស (ខេមបូឌា) ខូ អិលធីឌី</t>
        </is>
      </c>
      <c r="U1228" t="n">
        <v>113080</v>
      </c>
      <c r="V1228" t="n">
        <v>0</v>
      </c>
    </row>
    <row r="1229">
      <c r="A1229" t="n">
        <v>1228</v>
      </c>
      <c r="B1229" t="inlineStr">
        <is>
          <t>Non Woven Interlining</t>
        </is>
      </c>
      <c r="C1229" t="inlineStr">
        <is>
          <t>ដេលី ហ្គាមេន អេកសេសឺរី</t>
        </is>
      </c>
      <c r="D1229" t="inlineStr">
        <is>
          <t>L001-108012794</t>
        </is>
      </c>
      <c r="E1229" t="inlineStr">
        <is>
          <t>00408</t>
        </is>
      </c>
      <c r="F1229" t="inlineStr">
        <is>
          <t>28-09-2024</t>
        </is>
      </c>
      <c r="G1229" t="n">
        <v>616357</v>
      </c>
      <c r="I1229">
        <f>G1229</f>
        <v/>
      </c>
      <c r="K1229">
        <f>I1229-G1229</f>
        <v/>
      </c>
      <c r="M1229">
        <f>R1229=E1229</f>
        <v/>
      </c>
      <c r="N1229">
        <f>AND(MONTH(F1229)=MONTH(Q1229), YEAR(F1229)=YEAR(Q1229))</f>
        <v/>
      </c>
      <c r="O1229">
        <f>"L001-902303751"=S1229</f>
        <v/>
      </c>
      <c r="P1229">
        <f>G1229-U1229</f>
        <v/>
      </c>
      <c r="Q1229" s="35" t="n">
        <v>45481</v>
      </c>
      <c r="R1229" t="n">
        <v>84440</v>
      </c>
      <c r="S1229" t="inlineStr">
        <is>
          <t>L001-100045995</t>
        </is>
      </c>
      <c r="T1229" t="inlineStr">
        <is>
          <t>ឌីអេចអិល ឡូជីស្ទីក (ខេមបូឌា)</t>
        </is>
      </c>
      <c r="U1229" t="n">
        <v>84440</v>
      </c>
      <c r="V1229" t="n">
        <v>0</v>
      </c>
    </row>
    <row r="1230">
      <c r="A1230" t="n">
        <v>1229</v>
      </c>
      <c r="B1230" t="inlineStr">
        <is>
          <t>Stationary</t>
        </is>
      </c>
      <c r="C1230" t="inlineStr">
        <is>
          <t>ស៊ី &amp; ជី ត្រេឌីង ឯ.ក</t>
        </is>
      </c>
      <c r="D1230" t="inlineStr">
        <is>
          <t>K010-902205065</t>
        </is>
      </c>
      <c r="E1230" t="inlineStr">
        <is>
          <t>2024-0070</t>
        </is>
      </c>
      <c r="F1230" t="inlineStr">
        <is>
          <t>25-09-2024</t>
        </is>
      </c>
      <c r="G1230" t="n">
        <v>910884</v>
      </c>
      <c r="I1230">
        <f>G1230</f>
        <v/>
      </c>
      <c r="K1230">
        <f>I1230-G1230</f>
        <v/>
      </c>
      <c r="M1230">
        <f>R1230=E1230</f>
        <v/>
      </c>
      <c r="N1230">
        <f>AND(MONTH(F1230)=MONTH(Q1230), YEAR(F1230)=YEAR(Q1230))</f>
        <v/>
      </c>
      <c r="O1230">
        <f>"L001-902303751"=S1230</f>
        <v/>
      </c>
      <c r="P1230">
        <f>G1230-U1230</f>
        <v/>
      </c>
      <c r="Q1230" s="35" t="n">
        <v>45481</v>
      </c>
      <c r="R1230" t="n">
        <v>175058</v>
      </c>
      <c r="S1230" t="inlineStr">
        <is>
          <t>L001-100011888</t>
        </is>
      </c>
      <c r="T1230" t="inlineStr">
        <is>
          <t>ត្រេន ស្តារ ហ្រេ្វត</t>
        </is>
      </c>
      <c r="U1230" t="n">
        <v>175058</v>
      </c>
      <c r="V1230" t="n">
        <v>0</v>
      </c>
    </row>
    <row r="1231">
      <c r="A1231" t="n">
        <v>1230</v>
      </c>
      <c r="B1231" t="inlineStr">
        <is>
          <t>Shipping</t>
        </is>
      </c>
      <c r="C1231" t="inlineStr">
        <is>
          <t>យូ អេហ្វ អេស គ្លូប៊ល អិចប្រេស ឡូជីស្ទីក</t>
        </is>
      </c>
      <c r="D1231" t="inlineStr">
        <is>
          <t>K010-108005623</t>
        </is>
      </c>
      <c r="E1231" t="inlineStr">
        <is>
          <t>UFS-00716</t>
        </is>
      </c>
      <c r="F1231" t="inlineStr">
        <is>
          <t>27-09-2024</t>
        </is>
      </c>
      <c r="G1231" t="n">
        <v>4328652</v>
      </c>
      <c r="I1231">
        <f>G1231</f>
        <v/>
      </c>
      <c r="K1231">
        <f>I1231-G1231</f>
        <v/>
      </c>
      <c r="M1231">
        <f>R1231=E1231</f>
        <v/>
      </c>
      <c r="N1231">
        <f>AND(MONTH(F1231)=MONTH(Q1231), YEAR(F1231)=YEAR(Q1231))</f>
        <v/>
      </c>
      <c r="O1231">
        <f>"L001-902303751"=S1231</f>
        <v/>
      </c>
      <c r="P1231">
        <f>G1231-U1231</f>
        <v/>
      </c>
      <c r="Q1231" s="35" t="n">
        <v>45481</v>
      </c>
      <c r="R1231" t="inlineStr"/>
      <c r="S1231" t="inlineStr">
        <is>
          <t>L001-107032791</t>
        </is>
      </c>
      <c r="T1231" t="inlineStr">
        <is>
          <t>នីបផន អិចប្រេស (ខេមបូឌា) ខូ អិលធីឌី</t>
        </is>
      </c>
      <c r="U1231" t="n">
        <v>0</v>
      </c>
      <c r="V1231" t="n">
        <v>0</v>
      </c>
    </row>
    <row r="1232">
      <c r="A1232" t="n">
        <v>1231</v>
      </c>
      <c r="B1232" t="inlineStr">
        <is>
          <t>Import Shipment Expense</t>
        </is>
      </c>
      <c r="C1232" t="inlineStr">
        <is>
          <t>ឌីអេចអិល ឡូជីស្ទីក (ខេមបូឌា)</t>
        </is>
      </c>
      <c r="D1232" t="inlineStr">
        <is>
          <t>L001-100045995</t>
        </is>
      </c>
      <c r="E1232" t="inlineStr">
        <is>
          <t>INV2407537</t>
        </is>
      </c>
      <c r="F1232" t="inlineStr">
        <is>
          <t>12-09-2024</t>
        </is>
      </c>
      <c r="G1232" t="n">
        <v>176544</v>
      </c>
      <c r="I1232">
        <f>G1232</f>
        <v/>
      </c>
      <c r="K1232">
        <f>I1232-G1232</f>
        <v/>
      </c>
      <c r="M1232">
        <f>R1232=E1232</f>
        <v/>
      </c>
      <c r="N1232">
        <f>AND(MONTH(F1232)=MONTH(Q1232), YEAR(F1232)=YEAR(Q1232))</f>
        <v/>
      </c>
      <c r="O1232">
        <f>"L001-902303751"=S1232</f>
        <v/>
      </c>
      <c r="P1232">
        <f>G1232-U1232</f>
        <v/>
      </c>
      <c r="Q1232" s="35" t="n">
        <v>45488</v>
      </c>
      <c r="R1232" t="inlineStr"/>
      <c r="S1232" t="inlineStr">
        <is>
          <t>K005-901805913</t>
        </is>
      </c>
      <c r="T1232" t="inlineStr">
        <is>
          <t>ស្តារ ខង់ខដ (ខេមបូឌា) ឯ.ក</t>
        </is>
      </c>
      <c r="U1232" t="n">
        <v>0</v>
      </c>
      <c r="V1232" t="n">
        <v>0</v>
      </c>
    </row>
    <row r="1233">
      <c r="A1233" t="n">
        <v>1232</v>
      </c>
      <c r="B1233" t="inlineStr">
        <is>
          <t>Export Administration Fee and Customs Processing Fee</t>
        </is>
      </c>
      <c r="C1233" t="inlineStr">
        <is>
          <t>ជី លីង អិចប្រេស ឡូជីស្ទីក (ខេមបូឌា) លីមីធីត</t>
        </is>
      </c>
      <c r="D1233" t="inlineStr">
        <is>
          <t>L001-100044956</t>
        </is>
      </c>
      <c r="E1233" t="inlineStr">
        <is>
          <t>24158063</t>
        </is>
      </c>
      <c r="F1233" t="inlineStr">
        <is>
          <t>12-09-2024</t>
        </is>
      </c>
      <c r="G1233" t="n">
        <v>64960</v>
      </c>
      <c r="I1233">
        <f>G1233</f>
        <v/>
      </c>
      <c r="K1233">
        <f>I1233-G1233</f>
        <v/>
      </c>
      <c r="M1233">
        <f>R1233=E1233</f>
        <v/>
      </c>
      <c r="N1233">
        <f>AND(MONTH(F1233)=MONTH(Q1233), YEAR(F1233)=YEAR(Q1233))</f>
        <v/>
      </c>
      <c r="O1233">
        <f>"L001-902303751"=S1233</f>
        <v/>
      </c>
      <c r="P1233">
        <f>G1233-U1233</f>
        <v/>
      </c>
      <c r="Q1233" s="35" t="n">
        <v>45495</v>
      </c>
      <c r="R1233" t="n">
        <v>84235</v>
      </c>
      <c r="S1233" t="inlineStr">
        <is>
          <t>L001-107032791</t>
        </is>
      </c>
      <c r="T1233" t="inlineStr">
        <is>
          <t>នីបផន អិចប្រេស (ខេមបូឌា) ខូ អិលធីឌី</t>
        </is>
      </c>
      <c r="U1233" t="n">
        <v>84235</v>
      </c>
      <c r="V1233" t="n">
        <v>0</v>
      </c>
    </row>
    <row r="1234">
      <c r="A1234" t="n">
        <v>1233</v>
      </c>
      <c r="B1234" t="inlineStr">
        <is>
          <t>HAWB Fee, AMS Fee and Handling Fee</t>
        </is>
      </c>
      <c r="C1234" t="inlineStr">
        <is>
          <t>រែភីដ ហ្រ្វេត ឡូជីស្ទីក (ខេមបូឌា)</t>
        </is>
      </c>
      <c r="D1234" t="inlineStr">
        <is>
          <t>L001-105000965</t>
        </is>
      </c>
      <c r="E1234" t="inlineStr">
        <is>
          <t>2024-1460</t>
        </is>
      </c>
      <c r="F1234" t="inlineStr">
        <is>
          <t>04-09-2024</t>
        </is>
      </c>
      <c r="G1234" t="n">
        <v>40730</v>
      </c>
      <c r="I1234">
        <f>G1234</f>
        <v/>
      </c>
      <c r="K1234">
        <f>I1234-G1234</f>
        <v/>
      </c>
      <c r="M1234">
        <f>R1234=E1234</f>
        <v/>
      </c>
      <c r="N1234">
        <f>AND(MONTH(F1234)=MONTH(Q1234), YEAR(F1234)=YEAR(Q1234))</f>
        <v/>
      </c>
      <c r="O1234">
        <f>"L001-902303751"=S1234</f>
        <v/>
      </c>
      <c r="P1234">
        <f>G1234-U1234</f>
        <v/>
      </c>
      <c r="Q1234" s="35" t="n">
        <v>45474</v>
      </c>
      <c r="R1234" t="inlineStr"/>
      <c r="S1234" t="inlineStr">
        <is>
          <t>L001-107032791</t>
        </is>
      </c>
      <c r="T1234" t="inlineStr">
        <is>
          <t>នីបផន អិចប្រេស (ខេមបូឌា) ខូ អិលធីឌី</t>
        </is>
      </c>
      <c r="U1234" t="n">
        <v>0</v>
      </c>
      <c r="V1234" t="n">
        <v>0</v>
      </c>
    </row>
    <row r="1235">
      <c r="A1235" t="n">
        <v>1234</v>
      </c>
      <c r="B1235" t="inlineStr">
        <is>
          <t>Export Administration Fee, Port Formality, Service Charge</t>
        </is>
      </c>
      <c r="C1235" t="inlineStr">
        <is>
          <t>ឆាយ ដា ឡូយីស្ទីក</t>
        </is>
      </c>
      <c r="D1235" t="inlineStr">
        <is>
          <t>L001-100063098</t>
        </is>
      </c>
      <c r="E1235" t="inlineStr">
        <is>
          <t>2409013233</t>
        </is>
      </c>
      <c r="F1235" t="inlineStr">
        <is>
          <t>03-09-2024</t>
        </is>
      </c>
      <c r="G1235" t="n">
        <v>76772</v>
      </c>
      <c r="I1235">
        <f>G1235</f>
        <v/>
      </c>
      <c r="K1235">
        <f>I1235-G1235</f>
        <v/>
      </c>
      <c r="M1235">
        <f>R1235=E1235</f>
        <v/>
      </c>
      <c r="N1235">
        <f>AND(MONTH(F1235)=MONTH(Q1235), YEAR(F1235)=YEAR(Q1235))</f>
        <v/>
      </c>
      <c r="O1235">
        <f>"L001-902303751"=S1235</f>
        <v/>
      </c>
      <c r="P1235">
        <f>G1235-U1235</f>
        <v/>
      </c>
      <c r="Q1235" s="35" t="n">
        <v>45474</v>
      </c>
      <c r="R1235" t="n">
        <v>99099</v>
      </c>
      <c r="S1235" t="inlineStr">
        <is>
          <t>K005-901805913</t>
        </is>
      </c>
      <c r="T1235" t="inlineStr">
        <is>
          <t>ស្តារ ខង់ខដ (ខេមបូឌា) ឯ.ក</t>
        </is>
      </c>
      <c r="U1235" t="n">
        <v>99099</v>
      </c>
      <c r="V1235" t="n">
        <v>0</v>
      </c>
    </row>
    <row r="1236">
      <c r="A1236" t="n">
        <v>1235</v>
      </c>
      <c r="B1236" t="inlineStr">
        <is>
          <t>Export Adminstration Fee and Customs Processing Fee</t>
        </is>
      </c>
      <c r="C1236" t="inlineStr">
        <is>
          <t>ជី លីង អិចប្រេស ឡូជីស្ទីក (ខេមបូឌា) លីមីធីត</t>
        </is>
      </c>
      <c r="D1236" t="inlineStr">
        <is>
          <t>L001-100044956</t>
        </is>
      </c>
      <c r="E1236" t="inlineStr">
        <is>
          <t>24157906</t>
        </is>
      </c>
      <c r="F1236" t="inlineStr">
        <is>
          <t>05-09-2024</t>
        </is>
      </c>
      <c r="G1236" t="n">
        <v>65216</v>
      </c>
      <c r="I1236">
        <f>G1236</f>
        <v/>
      </c>
      <c r="K1236">
        <f>I1236-G1236</f>
        <v/>
      </c>
      <c r="M1236">
        <f>R1236=E1236</f>
        <v/>
      </c>
      <c r="N1236">
        <f>AND(MONTH(F1236)=MONTH(Q1236), YEAR(F1236)=YEAR(Q1236))</f>
        <v/>
      </c>
      <c r="O1236">
        <f>"L001-902303751"=S1236</f>
        <v/>
      </c>
      <c r="P1236">
        <f>G1236-U1236</f>
        <v/>
      </c>
      <c r="Q1236" s="35" t="n">
        <v>45481</v>
      </c>
      <c r="R1236" t="n">
        <v>780551</v>
      </c>
      <c r="S1236" t="inlineStr">
        <is>
          <t>K005-901501155</t>
        </is>
      </c>
      <c r="T1236" t="inlineStr">
        <is>
          <t>ផេនដា គ្លូប៊ល ឡូជីស្ទីក (ខេមបូឌា)</t>
        </is>
      </c>
      <c r="U1236" t="n">
        <v>780551</v>
      </c>
      <c r="V1236" t="n">
        <v>0</v>
      </c>
    </row>
    <row r="1237">
      <c r="A1237" t="n">
        <v>1236</v>
      </c>
      <c r="B1237" t="inlineStr">
        <is>
          <t>Export Administration Fee and Customs Processing Fee</t>
        </is>
      </c>
      <c r="C1237" t="inlineStr">
        <is>
          <t>ជី លីង អិចប្រេស ឡូជីស្ទីក (ខេមបូឌា) លីមីធីត</t>
        </is>
      </c>
      <c r="D1237" t="inlineStr">
        <is>
          <t>L001-100044956</t>
        </is>
      </c>
      <c r="E1237" t="inlineStr">
        <is>
          <t>24157918</t>
        </is>
      </c>
      <c r="F1237" t="inlineStr">
        <is>
          <t>05-09-2024</t>
        </is>
      </c>
      <c r="G1237" t="n">
        <v>65216</v>
      </c>
      <c r="I1237">
        <f>G1237</f>
        <v/>
      </c>
      <c r="K1237">
        <f>I1237-G1237</f>
        <v/>
      </c>
      <c r="M1237">
        <f>R1237=E1237</f>
        <v/>
      </c>
      <c r="N1237">
        <f>AND(MONTH(F1237)=MONTH(Q1237), YEAR(F1237)=YEAR(Q1237))</f>
        <v/>
      </c>
      <c r="O1237">
        <f>"L001-902303751"=S1237</f>
        <v/>
      </c>
      <c r="P1237">
        <f>G1237-U1237</f>
        <v/>
      </c>
      <c r="Q1237" s="35" t="n">
        <v>45481</v>
      </c>
      <c r="R1237" t="inlineStr"/>
      <c r="S1237" t="inlineStr">
        <is>
          <t>K002-901800477</t>
        </is>
      </c>
      <c r="T1237" t="inlineStr">
        <is>
          <t>អាយធីអាយ អ៊ិនធើណេសិនណល ត្រេនស័្ពរថេសិន (ខេមបូឌា) ឯ.ក</t>
        </is>
      </c>
      <c r="U1237" t="n">
        <v>0</v>
      </c>
      <c r="V1237" t="n">
        <v>0</v>
      </c>
    </row>
    <row r="1238">
      <c r="A1238" t="n">
        <v>1237</v>
      </c>
      <c r="B1238" t="inlineStr">
        <is>
          <t>THC FEE, CFS FEE, DOCUMENT FEE, ADMINISTRATION FEE, CUSTOMS CLEARANCE AND TELEX-RELEASE B/L FEE</t>
        </is>
      </c>
      <c r="C1238" t="inlineStr">
        <is>
          <t>សេហ្វធី គ្លូប៊ល ឡូជីស្ទីក (ខេមបូឌា) ឯ.ក</t>
        </is>
      </c>
      <c r="D1238" t="inlineStr">
        <is>
          <t>K005-901901220</t>
        </is>
      </c>
      <c r="E1238" t="inlineStr">
        <is>
          <t>TI2024-1588</t>
        </is>
      </c>
      <c r="F1238" t="inlineStr">
        <is>
          <t>09-09-2024</t>
        </is>
      </c>
      <c r="G1238" t="n">
        <v>141897</v>
      </c>
      <c r="I1238">
        <f>G1238</f>
        <v/>
      </c>
      <c r="K1238">
        <f>I1238-G1238</f>
        <v/>
      </c>
      <c r="M1238">
        <f>R1238=E1238</f>
        <v/>
      </c>
      <c r="N1238">
        <f>AND(MONTH(F1238)=MONTH(Q1238), YEAR(F1238)=YEAR(Q1238))</f>
        <v/>
      </c>
      <c r="O1238">
        <f>"L001-902303751"=S1238</f>
        <v/>
      </c>
      <c r="P1238">
        <f>G1238-U1238</f>
        <v/>
      </c>
      <c r="Q1238" s="35" t="n">
        <v>45481</v>
      </c>
      <c r="R1238" t="n">
        <v>84440</v>
      </c>
      <c r="S1238" t="inlineStr">
        <is>
          <t>L001-107032791</t>
        </is>
      </c>
      <c r="T1238" t="inlineStr">
        <is>
          <t>នីបផន អិចប្រេស (ខេមបូឌា) ខូ អិលធីឌី</t>
        </is>
      </c>
      <c r="U1238" t="n">
        <v>84440</v>
      </c>
      <c r="V1238" t="n">
        <v>0</v>
      </c>
    </row>
    <row r="1239">
      <c r="A1239" t="n">
        <v>1238</v>
      </c>
      <c r="B1239" t="inlineStr">
        <is>
          <t>Import Shipment Expense</t>
        </is>
      </c>
      <c r="C1239" t="inlineStr">
        <is>
          <t>ត្រេនម៉ារីន ឡូជីស្ទីក (ខេមបូឌា)</t>
        </is>
      </c>
      <c r="D1239" t="inlineStr">
        <is>
          <t>L001-106004107</t>
        </is>
      </c>
      <c r="E1239" t="inlineStr">
        <is>
          <t>9961033983</t>
        </is>
      </c>
      <c r="F1239" t="inlineStr">
        <is>
          <t>04-09-2024</t>
        </is>
      </c>
      <c r="G1239" t="n">
        <v>194101</v>
      </c>
      <c r="I1239">
        <f>G1239</f>
        <v/>
      </c>
      <c r="K1239">
        <f>I1239-G1239</f>
        <v/>
      </c>
      <c r="M1239">
        <f>R1239=E1239</f>
        <v/>
      </c>
      <c r="N1239">
        <f>AND(MONTH(F1239)=MONTH(Q1239), YEAR(F1239)=YEAR(Q1239))</f>
        <v/>
      </c>
      <c r="O1239">
        <f>"L001-902303751"=S1239</f>
        <v/>
      </c>
      <c r="P1239">
        <f>G1239-U1239</f>
        <v/>
      </c>
      <c r="Q1239" s="35" t="n">
        <v>45488</v>
      </c>
      <c r="R1239" t="n">
        <v>84173</v>
      </c>
      <c r="S1239" t="inlineStr">
        <is>
          <t>L001-100011888</t>
        </is>
      </c>
      <c r="T1239" t="inlineStr">
        <is>
          <t>ត្រេន ស្តារ ហ្រេ្វត</t>
        </is>
      </c>
      <c r="U1239" t="n">
        <v>84173</v>
      </c>
      <c r="V1239" t="n">
        <v>0</v>
      </c>
    </row>
    <row r="1240">
      <c r="A1240" t="n">
        <v>1239</v>
      </c>
      <c r="B1240" t="inlineStr">
        <is>
          <t>Pest Control Service</t>
        </is>
      </c>
      <c r="C1240" t="inlineStr">
        <is>
          <t>ជីស៊ី ផេស ខិនត្រូល ឯ.ក</t>
        </is>
      </c>
      <c r="D1240" t="inlineStr">
        <is>
          <t>K004-902104767</t>
        </is>
      </c>
      <c r="E1240" t="inlineStr">
        <is>
          <t>2024-00020</t>
        </is>
      </c>
      <c r="F1240" t="inlineStr">
        <is>
          <t>12-09-2024</t>
        </is>
      </c>
      <c r="G1240" t="n">
        <v>1141875</v>
      </c>
      <c r="I1240">
        <f>G1240</f>
        <v/>
      </c>
      <c r="K1240">
        <f>I1240-G1240</f>
        <v/>
      </c>
      <c r="M1240">
        <f>R1240=E1240</f>
        <v/>
      </c>
      <c r="N1240">
        <f>AND(MONTH(F1240)=MONTH(Q1240), YEAR(F1240)=YEAR(Q1240))</f>
        <v/>
      </c>
      <c r="O1240">
        <f>"L001-902303751"=S1240</f>
        <v/>
      </c>
      <c r="P1240">
        <f>G1240-U1240</f>
        <v/>
      </c>
      <c r="Q1240" s="35" t="n">
        <v>45502</v>
      </c>
      <c r="R1240" t="n">
        <v>84132</v>
      </c>
      <c r="S1240" t="inlineStr">
        <is>
          <t>L001-107032791</t>
        </is>
      </c>
      <c r="T1240" t="inlineStr">
        <is>
          <t>នីបផន អិចប្រេស (ខេមបូឌា) ខូ អិលធីឌី</t>
        </is>
      </c>
      <c r="U1240" t="n">
        <v>84132</v>
      </c>
      <c r="V1240" t="n">
        <v>0</v>
      </c>
    </row>
    <row r="1241">
      <c r="A1241" t="n">
        <v>1240</v>
      </c>
      <c r="B1241" t="inlineStr">
        <is>
          <t>Pest Control Service</t>
        </is>
      </c>
      <c r="C1241" t="inlineStr">
        <is>
          <t>ជីស៊ី ផេស ខិនត្រូល ឯ.ក</t>
        </is>
      </c>
      <c r="D1241" t="inlineStr">
        <is>
          <t>K004-902104767</t>
        </is>
      </c>
      <c r="E1241" t="inlineStr">
        <is>
          <t>2024-00019</t>
        </is>
      </c>
      <c r="F1241" t="inlineStr">
        <is>
          <t>12-09-2024</t>
        </is>
      </c>
      <c r="G1241" t="n">
        <v>259840</v>
      </c>
      <c r="I1241">
        <f>G1241</f>
        <v/>
      </c>
      <c r="K1241">
        <f>I1241-G1241</f>
        <v/>
      </c>
      <c r="M1241">
        <f>R1241=E1241</f>
        <v/>
      </c>
      <c r="N1241">
        <f>AND(MONTH(F1241)=MONTH(Q1241), YEAR(F1241)=YEAR(Q1241))</f>
        <v/>
      </c>
      <c r="O1241">
        <f>"L001-902303751"=S1241</f>
        <v/>
      </c>
      <c r="P1241">
        <f>G1241-U1241</f>
        <v/>
      </c>
      <c r="Q1241" s="35" t="n">
        <v>45495</v>
      </c>
      <c r="R1241" t="inlineStr"/>
      <c r="S1241" t="inlineStr">
        <is>
          <t>L001-100045340</t>
        </is>
      </c>
      <c r="T1241" t="inlineStr">
        <is>
          <t xml:space="preserve">ស៊ីវ៉ា អ៊ែរ អ៊ែន អូសៀន (ខេមបូឌា) ឯ.ក </t>
        </is>
      </c>
      <c r="U1241" t="n">
        <v>0</v>
      </c>
      <c r="V1241" t="n">
        <v>0</v>
      </c>
    </row>
    <row r="1242">
      <c r="A1242" t="n">
        <v>1241</v>
      </c>
      <c r="B1242" t="inlineStr">
        <is>
          <t>Rental Machine</t>
        </is>
      </c>
      <c r="C1242" t="inlineStr">
        <is>
          <t>ក្លាក ហ៊ូ ឯ.ក</t>
        </is>
      </c>
      <c r="D1242" t="inlineStr">
        <is>
          <t>K007-901639199</t>
        </is>
      </c>
      <c r="E1242" t="inlineStr">
        <is>
          <t>IN2179</t>
        </is>
      </c>
      <c r="F1242" t="inlineStr">
        <is>
          <t>27-09-2024</t>
        </is>
      </c>
      <c r="G1242" t="n">
        <v>246097</v>
      </c>
      <c r="I1242">
        <f>G1242</f>
        <v/>
      </c>
      <c r="K1242">
        <f>I1242-G1242</f>
        <v/>
      </c>
      <c r="M1242">
        <f>R1242=E1242</f>
        <v/>
      </c>
      <c r="N1242">
        <f>AND(MONTH(F1242)=MONTH(Q1242), YEAR(F1242)=YEAR(Q1242))</f>
        <v/>
      </c>
      <c r="O1242">
        <f>"L001-902303751"=S1242</f>
        <v/>
      </c>
      <c r="P1242">
        <f>G1242-U1242</f>
        <v/>
      </c>
      <c r="Q1242" s="35" t="n">
        <v>45474</v>
      </c>
      <c r="R1242" t="inlineStr"/>
      <c r="S1242" t="inlineStr">
        <is>
          <t>L001-107032791</t>
        </is>
      </c>
      <c r="T1242" t="inlineStr">
        <is>
          <t>នីបផន អិចប្រេស (ខេមបូឌា) ខូ អិលធីឌី</t>
        </is>
      </c>
      <c r="U1242" t="n">
        <v>0</v>
      </c>
      <c r="V1242" t="n">
        <v>0</v>
      </c>
    </row>
    <row r="1243">
      <c r="A1243" t="n">
        <v>1242</v>
      </c>
      <c r="B1243" t="inlineStr">
        <is>
          <t>Rental Machine</t>
        </is>
      </c>
      <c r="C1243" t="inlineStr">
        <is>
          <t>ក្លាក ហ៊ូ ឯ.ក</t>
        </is>
      </c>
      <c r="D1243" t="inlineStr">
        <is>
          <t>K007-901639199</t>
        </is>
      </c>
      <c r="E1243" t="inlineStr">
        <is>
          <t>IN2178</t>
        </is>
      </c>
      <c r="F1243" t="inlineStr">
        <is>
          <t>27-09-2024</t>
        </is>
      </c>
      <c r="G1243" t="n">
        <v>394242</v>
      </c>
      <c r="I1243">
        <f>G1243</f>
        <v/>
      </c>
      <c r="K1243">
        <f>I1243-G1243</f>
        <v/>
      </c>
      <c r="M1243">
        <f>R1243=E1243</f>
        <v/>
      </c>
      <c r="N1243">
        <f>AND(MONTH(F1243)=MONTH(Q1243), YEAR(F1243)=YEAR(Q1243))</f>
        <v/>
      </c>
      <c r="O1243">
        <f>"L001-902303751"=S1243</f>
        <v/>
      </c>
      <c r="P1243">
        <f>G1243-U1243</f>
        <v/>
      </c>
      <c r="Q1243" s="35" t="n">
        <v>45481</v>
      </c>
      <c r="R1243" t="n">
        <v>113273</v>
      </c>
      <c r="S1243" t="inlineStr">
        <is>
          <t>L001-100045995</t>
        </is>
      </c>
      <c r="T1243" t="inlineStr">
        <is>
          <t>ឌីអេចអិល ឡូជីស្ទីក (ខេមបូឌា)</t>
        </is>
      </c>
      <c r="U1243" t="n">
        <v>113273</v>
      </c>
      <c r="V1243" t="n">
        <v>0</v>
      </c>
    </row>
    <row r="1244">
      <c r="A1244" t="n">
        <v>1243</v>
      </c>
      <c r="B1244" t="inlineStr">
        <is>
          <t>Rental Machine</t>
        </is>
      </c>
      <c r="C1244" t="inlineStr">
        <is>
          <t>ក្លាក ហ៊ូ ឯ.ក</t>
        </is>
      </c>
      <c r="D1244" t="inlineStr">
        <is>
          <t>K007-901639199</t>
        </is>
      </c>
      <c r="E1244" t="inlineStr">
        <is>
          <t>IN2177</t>
        </is>
      </c>
      <c r="F1244" t="inlineStr">
        <is>
          <t>27-09-2024</t>
        </is>
      </c>
      <c r="G1244" t="n">
        <v>612805</v>
      </c>
      <c r="I1244">
        <f>G1244</f>
        <v/>
      </c>
      <c r="K1244">
        <f>I1244-G1244</f>
        <v/>
      </c>
      <c r="M1244">
        <f>R1244=E1244</f>
        <v/>
      </c>
      <c r="N1244">
        <f>AND(MONTH(F1244)=MONTH(Q1244), YEAR(F1244)=YEAR(Q1244))</f>
        <v/>
      </c>
      <c r="O1244">
        <f>"L001-902303751"=S1244</f>
        <v/>
      </c>
      <c r="P1244">
        <f>G1244-U1244</f>
        <v/>
      </c>
      <c r="Q1244" s="35" t="n">
        <v>45488</v>
      </c>
      <c r="R1244" t="n">
        <v>84173</v>
      </c>
      <c r="S1244" t="inlineStr">
        <is>
          <t>L001-107032791</t>
        </is>
      </c>
      <c r="T1244" t="inlineStr">
        <is>
          <t>នីបផន អិចប្រេស (ខេមបូឌា) ខូ អិលធីឌី</t>
        </is>
      </c>
      <c r="U1244" t="n">
        <v>84173</v>
      </c>
      <c r="V1244" t="n">
        <v>0</v>
      </c>
    </row>
    <row r="1245">
      <c r="A1245" t="n">
        <v>1244</v>
      </c>
      <c r="B1245" t="inlineStr">
        <is>
          <t>Rental Machine</t>
        </is>
      </c>
      <c r="C1245" t="inlineStr">
        <is>
          <t>ក្លាក ហ៊ូ ឯ.ក</t>
        </is>
      </c>
      <c r="D1245" t="inlineStr">
        <is>
          <t>K007-901639199</t>
        </is>
      </c>
      <c r="E1245" t="inlineStr">
        <is>
          <t>IN2176</t>
        </is>
      </c>
      <c r="F1245" t="inlineStr">
        <is>
          <t>27-09-2024</t>
        </is>
      </c>
      <c r="G1245" t="n">
        <v>186603</v>
      </c>
      <c r="I1245">
        <f>G1245</f>
        <v/>
      </c>
      <c r="K1245">
        <f>I1245-G1245</f>
        <v/>
      </c>
      <c r="M1245">
        <f>R1245=E1245</f>
        <v/>
      </c>
      <c r="N1245">
        <f>AND(MONTH(F1245)=MONTH(Q1245), YEAR(F1245)=YEAR(Q1245))</f>
        <v/>
      </c>
      <c r="O1245">
        <f>"L001-902303751"=S1245</f>
        <v/>
      </c>
      <c r="P1245">
        <f>G1245-U1245</f>
        <v/>
      </c>
      <c r="Q1245" s="35" t="n">
        <v>45491</v>
      </c>
      <c r="R1245" t="n">
        <v>2133587</v>
      </c>
      <c r="S1245" t="inlineStr">
        <is>
          <t>K004-105012505</t>
        </is>
      </c>
      <c r="T1245" t="inlineStr">
        <is>
          <t>អេស៊ាន ហ្វ្រេត (ខេមបូឌា)</t>
        </is>
      </c>
      <c r="U1245" t="n">
        <v>2133587</v>
      </c>
      <c r="V1245" t="n">
        <v>0</v>
      </c>
    </row>
    <row r="1246">
      <c r="A1246" t="n">
        <v>1245</v>
      </c>
      <c r="B1246" t="inlineStr">
        <is>
          <t>Rental Machine</t>
        </is>
      </c>
      <c r="C1246" t="inlineStr">
        <is>
          <t>ក្លាក ហ៊ូ ឯ.ក</t>
        </is>
      </c>
      <c r="D1246" t="inlineStr">
        <is>
          <t>K007-901639199</t>
        </is>
      </c>
      <c r="E1246" t="inlineStr">
        <is>
          <t>IN2175</t>
        </is>
      </c>
      <c r="F1246" t="inlineStr">
        <is>
          <t>27-09-2024</t>
        </is>
      </c>
      <c r="G1246" t="n">
        <v>496254</v>
      </c>
      <c r="I1246">
        <f>G1246</f>
        <v/>
      </c>
      <c r="K1246">
        <f>I1246-G1246</f>
        <v/>
      </c>
      <c r="M1246">
        <f>R1246=E1246</f>
        <v/>
      </c>
      <c r="N1246">
        <f>AND(MONTH(F1246)=MONTH(Q1246), YEAR(F1246)=YEAR(Q1246))</f>
        <v/>
      </c>
      <c r="O1246">
        <f>"L001-902303751"=S1246</f>
        <v/>
      </c>
      <c r="P1246">
        <f>G1246-U1246</f>
        <v/>
      </c>
      <c r="Q1246" s="35" t="n">
        <v>45504</v>
      </c>
      <c r="R1246" t="n">
        <v>174590</v>
      </c>
      <c r="S1246" t="inlineStr">
        <is>
          <t>K002-901800477</t>
        </is>
      </c>
      <c r="T1246" t="inlineStr">
        <is>
          <t>អាយធីអាយ អ៊ិនធើណេសិនណល ត្រេនស័្ពរថេសិន (ខេមបូឌា) ឯ.ក</t>
        </is>
      </c>
      <c r="U1246" t="n">
        <v>174590</v>
      </c>
      <c r="V1246" t="n">
        <v>0</v>
      </c>
    </row>
    <row r="1247">
      <c r="A1247" t="n">
        <v>1246</v>
      </c>
      <c r="B1247" t="inlineStr">
        <is>
          <t>Rental Machine</t>
        </is>
      </c>
      <c r="C1247" t="inlineStr">
        <is>
          <t>ក្លាក ហ៊ូ ឯ.ក</t>
        </is>
      </c>
      <c r="D1247" t="inlineStr">
        <is>
          <t>K007-901639199</t>
        </is>
      </c>
      <c r="E1247" t="inlineStr">
        <is>
          <t>IN2059</t>
        </is>
      </c>
      <c r="F1247" t="inlineStr">
        <is>
          <t>23-09-2024</t>
        </is>
      </c>
      <c r="G1247" t="n">
        <v>54851</v>
      </c>
      <c r="I1247">
        <f>G1247</f>
        <v/>
      </c>
      <c r="K1247">
        <f>I1247-G1247</f>
        <v/>
      </c>
      <c r="M1247">
        <f>R1247=E1247</f>
        <v/>
      </c>
      <c r="N1247">
        <f>AND(MONTH(F1247)=MONTH(Q1247), YEAR(F1247)=YEAR(Q1247))</f>
        <v/>
      </c>
      <c r="O1247">
        <f>"L001-902303751"=S1247</f>
        <v/>
      </c>
      <c r="P1247">
        <f>G1247-U1247</f>
        <v/>
      </c>
      <c r="Q1247" s="35" t="n">
        <v>45502</v>
      </c>
      <c r="R1247" t="n">
        <v>112860</v>
      </c>
      <c r="S1247" t="inlineStr">
        <is>
          <t>L001-107032791</t>
        </is>
      </c>
      <c r="T1247" t="inlineStr">
        <is>
          <t>នីបផន អិចប្រេស (ខេមបូឌា) ខូ អិលធីឌី</t>
        </is>
      </c>
      <c r="U1247" t="n">
        <v>112860</v>
      </c>
      <c r="V1247" t="n">
        <v>0</v>
      </c>
    </row>
    <row r="1248">
      <c r="A1248" t="n">
        <v>1247</v>
      </c>
      <c r="B1248" t="inlineStr">
        <is>
          <t>Rental Machine</t>
        </is>
      </c>
      <c r="C1248" t="inlineStr">
        <is>
          <t>ក្លាក ហ៊ូ ឯ.ក</t>
        </is>
      </c>
      <c r="D1248" t="inlineStr">
        <is>
          <t>K007-901639199</t>
        </is>
      </c>
      <c r="E1248" t="inlineStr">
        <is>
          <t>IN2060</t>
        </is>
      </c>
      <c r="F1248" t="inlineStr">
        <is>
          <t>23-09-2024</t>
        </is>
      </c>
      <c r="G1248" t="n">
        <v>60945</v>
      </c>
      <c r="I1248">
        <f>G1248</f>
        <v/>
      </c>
      <c r="K1248">
        <f>I1248-G1248</f>
        <v/>
      </c>
      <c r="M1248">
        <f>R1248=E1248</f>
        <v/>
      </c>
      <c r="N1248">
        <f>AND(MONTH(F1248)=MONTH(Q1248), YEAR(F1248)=YEAR(Q1248))</f>
        <v/>
      </c>
      <c r="O1248">
        <f>"L001-902303751"=S1248</f>
        <v/>
      </c>
      <c r="P1248">
        <f>G1248-U1248</f>
        <v/>
      </c>
      <c r="Q1248" s="35" t="n">
        <v>45495</v>
      </c>
      <c r="R1248" t="n">
        <v>86700</v>
      </c>
      <c r="S1248" t="inlineStr">
        <is>
          <t>L001-100045340</t>
        </is>
      </c>
      <c r="T1248" t="inlineStr">
        <is>
          <t xml:space="preserve">ស៊ីវ៉ា អ៊ែរ អ៊ែន អូសៀន (ខេមបូឌា) ឯ.ក </t>
        </is>
      </c>
      <c r="U1248" t="n">
        <v>86700</v>
      </c>
      <c r="V1248" t="n">
        <v>0</v>
      </c>
    </row>
    <row r="1249">
      <c r="A1249" t="n">
        <v>1248</v>
      </c>
      <c r="B1249" t="inlineStr">
        <is>
          <t>Rental Machine</t>
        </is>
      </c>
      <c r="C1249" t="inlineStr">
        <is>
          <t>ក្លាក ហ៊ូ ឯ.ក</t>
        </is>
      </c>
      <c r="D1249" t="inlineStr">
        <is>
          <t>K007-901639199</t>
        </is>
      </c>
      <c r="E1249" t="inlineStr">
        <is>
          <t>IN2061</t>
        </is>
      </c>
      <c r="F1249" t="inlineStr">
        <is>
          <t>23-09-2024</t>
        </is>
      </c>
      <c r="G1249" t="n">
        <v>60945</v>
      </c>
      <c r="I1249">
        <f>G1249</f>
        <v/>
      </c>
      <c r="K1249">
        <f>I1249-G1249</f>
        <v/>
      </c>
      <c r="M1249">
        <f>R1249=E1249</f>
        <v/>
      </c>
      <c r="N1249">
        <f>AND(MONTH(F1249)=MONTH(Q1249), YEAR(F1249)=YEAR(Q1249))</f>
        <v/>
      </c>
      <c r="O1249">
        <f>"L001-902303751"=S1249</f>
        <v/>
      </c>
      <c r="P1249">
        <f>G1249-U1249</f>
        <v/>
      </c>
      <c r="Q1249" s="35" t="n">
        <v>45474</v>
      </c>
      <c r="R1249" t="inlineStr"/>
      <c r="S1249" t="inlineStr">
        <is>
          <t>K005-901805913</t>
        </is>
      </c>
      <c r="T1249" t="inlineStr">
        <is>
          <t>ស្តារ ខង់ខដ (ខេមបូឌា) ឯ.ក</t>
        </is>
      </c>
      <c r="U1249" t="n">
        <v>0</v>
      </c>
      <c r="V1249" t="n">
        <v>0</v>
      </c>
    </row>
    <row r="1250">
      <c r="A1250" t="n">
        <v>1249</v>
      </c>
      <c r="B1250" t="inlineStr">
        <is>
          <t>Rental Machine</t>
        </is>
      </c>
      <c r="C1250" t="inlineStr">
        <is>
          <t>ក្លាក ហ៊ូ ឯ.ក</t>
        </is>
      </c>
      <c r="D1250" t="inlineStr">
        <is>
          <t>K007-901639199</t>
        </is>
      </c>
      <c r="E1250" t="inlineStr">
        <is>
          <t>IN2062</t>
        </is>
      </c>
      <c r="F1250" t="inlineStr">
        <is>
          <t>23-09-2024</t>
        </is>
      </c>
      <c r="G1250" t="n">
        <v>60945</v>
      </c>
      <c r="I1250">
        <f>G1250</f>
        <v/>
      </c>
      <c r="K1250">
        <f>I1250-G1250</f>
        <v/>
      </c>
      <c r="M1250">
        <f>R1250=E1250</f>
        <v/>
      </c>
      <c r="N1250">
        <f>AND(MONTH(F1250)=MONTH(Q1250), YEAR(F1250)=YEAR(Q1250))</f>
        <v/>
      </c>
      <c r="O1250">
        <f>"L001-902303751"=S1250</f>
        <v/>
      </c>
      <c r="P1250">
        <f>G1250-U1250</f>
        <v/>
      </c>
      <c r="Q1250" s="35" t="n">
        <v>45474</v>
      </c>
      <c r="R1250" t="inlineStr"/>
      <c r="S1250" t="inlineStr">
        <is>
          <t>L001-107032791</t>
        </is>
      </c>
      <c r="T1250" t="inlineStr">
        <is>
          <t>នីបផន អិចប្រេស (ខេមបូឌា) ខូ អិលធីឌី</t>
        </is>
      </c>
      <c r="U1250" t="n">
        <v>0</v>
      </c>
      <c r="V1250" t="n">
        <v>0</v>
      </c>
    </row>
    <row r="1251">
      <c r="A1251" t="n">
        <v>1250</v>
      </c>
      <c r="B1251" t="inlineStr">
        <is>
          <t>Monthly Security for September 2024</t>
        </is>
      </c>
      <c r="C1251" t="inlineStr">
        <is>
          <t>អិល.ប៊ី.អិល.អេច ស៊ីឃ្យូរឹធី ឯ.ក</t>
        </is>
      </c>
      <c r="D1251" t="inlineStr">
        <is>
          <t>K010-902202247</t>
        </is>
      </c>
      <c r="E1251" t="inlineStr">
        <is>
          <t>L.B.L.H00009</t>
        </is>
      </c>
      <c r="F1251" t="inlineStr">
        <is>
          <t>25-09-2024</t>
        </is>
      </c>
      <c r="G1251" t="n">
        <v>1487058</v>
      </c>
      <c r="I1251">
        <f>G1251</f>
        <v/>
      </c>
      <c r="K1251">
        <f>I1251-G1251</f>
        <v/>
      </c>
      <c r="M1251">
        <f>R1251=E1251</f>
        <v/>
      </c>
      <c r="N1251">
        <f>AND(MONTH(F1251)=MONTH(Q1251), YEAR(F1251)=YEAR(Q1251))</f>
        <v/>
      </c>
      <c r="O1251">
        <f>"L001-902303751"=S1251</f>
        <v/>
      </c>
      <c r="P1251">
        <f>G1251-U1251</f>
        <v/>
      </c>
      <c r="Q1251" s="35" t="n">
        <v>45481</v>
      </c>
      <c r="R1251" t="inlineStr"/>
      <c r="S1251" t="inlineStr">
        <is>
          <t>K005-100150195</t>
        </is>
      </c>
      <c r="T1251" t="inlineStr">
        <is>
          <t>អេស អ វី ស៊ី ហ្វ្រេត សឺវីស (ខេមបូឌា) ខូ អិលធីឌី</t>
        </is>
      </c>
      <c r="U1251" t="n">
        <v>0</v>
      </c>
      <c r="V1251" t="n">
        <v>0</v>
      </c>
    </row>
    <row r="1252">
      <c r="A1252" t="n">
        <v>1251</v>
      </c>
      <c r="B1252" t="inlineStr">
        <is>
          <t>Rental Machine</t>
        </is>
      </c>
      <c r="C1252" t="inlineStr">
        <is>
          <t>ក្លាក ហ៊ូ ឯ.ក</t>
        </is>
      </c>
      <c r="D1252" t="inlineStr">
        <is>
          <t>K007-901639199</t>
        </is>
      </c>
      <c r="E1252" t="inlineStr">
        <is>
          <t>IN2063</t>
        </is>
      </c>
      <c r="F1252" t="inlineStr">
        <is>
          <t>23-09-2024</t>
        </is>
      </c>
      <c r="G1252" t="n">
        <v>72728</v>
      </c>
      <c r="I1252">
        <f>G1252</f>
        <v/>
      </c>
      <c r="K1252">
        <f>I1252-G1252</f>
        <v/>
      </c>
      <c r="M1252">
        <f>R1252=E1252</f>
        <v/>
      </c>
      <c r="N1252">
        <f>AND(MONTH(F1252)=MONTH(Q1252), YEAR(F1252)=YEAR(Q1252))</f>
        <v/>
      </c>
      <c r="O1252">
        <f>"L001-902303751"=S1252</f>
        <v/>
      </c>
      <c r="P1252">
        <f>G1252-U1252</f>
        <v/>
      </c>
      <c r="Q1252" s="35" t="n">
        <v>45481</v>
      </c>
      <c r="R1252" t="n">
        <v>113273</v>
      </c>
      <c r="S1252" t="inlineStr">
        <is>
          <t>L001-107032791</t>
        </is>
      </c>
      <c r="T1252" t="inlineStr">
        <is>
          <t>នីបផន អិចប្រេស (ខេមបូឌា) ខូ អិលធីឌី</t>
        </is>
      </c>
      <c r="U1252" t="n">
        <v>113273</v>
      </c>
      <c r="V1252" t="n">
        <v>0</v>
      </c>
    </row>
    <row r="1253">
      <c r="A1253" t="n">
        <v>1252</v>
      </c>
      <c r="B1253" t="inlineStr">
        <is>
          <t>Rental Machine</t>
        </is>
      </c>
      <c r="C1253" t="inlineStr">
        <is>
          <t>ក្លាក ហ៊ូ ឯ.ក</t>
        </is>
      </c>
      <c r="D1253" t="inlineStr">
        <is>
          <t>K007-901639199</t>
        </is>
      </c>
      <c r="E1253" t="inlineStr">
        <is>
          <t>IN2064</t>
        </is>
      </c>
      <c r="F1253" t="inlineStr">
        <is>
          <t>23-09-2024</t>
        </is>
      </c>
      <c r="G1253" t="n">
        <v>452345</v>
      </c>
      <c r="I1253">
        <f>G1253</f>
        <v/>
      </c>
      <c r="K1253">
        <f>I1253-G1253</f>
        <v/>
      </c>
      <c r="M1253">
        <f>R1253=E1253</f>
        <v/>
      </c>
      <c r="N1253">
        <f>AND(MONTH(F1253)=MONTH(Q1253), YEAR(F1253)=YEAR(Q1253))</f>
        <v/>
      </c>
      <c r="O1253">
        <f>"L001-902303751"=S1253</f>
        <v/>
      </c>
      <c r="P1253">
        <f>G1253-U1253</f>
        <v/>
      </c>
      <c r="Q1253" s="35" t="n">
        <v>45504</v>
      </c>
      <c r="R1253" t="inlineStr"/>
      <c r="S1253" t="inlineStr">
        <is>
          <t>K002-901800477</t>
        </is>
      </c>
      <c r="T1253" t="inlineStr">
        <is>
          <t>អាយធីអាយ អ៊ិនធើណេសិនណល ត្រេនស័្ពរថេសិន (ខេមបូឌា) ឯ.ក</t>
        </is>
      </c>
      <c r="U1253" t="n">
        <v>0</v>
      </c>
      <c r="V1253" t="n">
        <v>0</v>
      </c>
    </row>
    <row r="1254">
      <c r="A1254" t="n">
        <v>1253</v>
      </c>
      <c r="B1254" t="inlineStr">
        <is>
          <t>Thread</t>
        </is>
      </c>
      <c r="C1254" t="inlineStr">
        <is>
          <t>គ្លូប៊ល សុីលីន ហ្គាមុិន អេកសេសឺរី ឯ.ក</t>
        </is>
      </c>
      <c r="D1254" t="inlineStr">
        <is>
          <t>L001-902200857</t>
        </is>
      </c>
      <c r="E1254" t="inlineStr">
        <is>
          <t>000726</t>
        </is>
      </c>
      <c r="F1254" t="inlineStr">
        <is>
          <t>25-09-2024</t>
        </is>
      </c>
      <c r="G1254" t="n">
        <v>2362552</v>
      </c>
      <c r="I1254">
        <f>G1254</f>
        <v/>
      </c>
      <c r="K1254">
        <f>I1254-G1254</f>
        <v/>
      </c>
      <c r="M1254">
        <f>R1254=E1254</f>
        <v/>
      </c>
      <c r="N1254">
        <f>AND(MONTH(F1254)=MONTH(Q1254), YEAR(F1254)=YEAR(Q1254))</f>
        <v/>
      </c>
      <c r="O1254">
        <f>"L001-902303751"=S1254</f>
        <v/>
      </c>
      <c r="P1254">
        <f>G1254-U1254</f>
        <v/>
      </c>
      <c r="Q1254" s="35" t="n">
        <v>45488</v>
      </c>
      <c r="R1254" t="inlineStr"/>
      <c r="S1254" t="inlineStr">
        <is>
          <t>L001-107032791</t>
        </is>
      </c>
      <c r="T1254" t="inlineStr">
        <is>
          <t>នីបផន អិចប្រេស (ខេមបូឌា) ខូ អិលធីឌី</t>
        </is>
      </c>
      <c r="U1254" t="n">
        <v>0</v>
      </c>
      <c r="V1254" t="n">
        <v>0</v>
      </c>
    </row>
    <row r="1255">
      <c r="A1255" t="n">
        <v>1254</v>
      </c>
      <c r="B1255" t="inlineStr">
        <is>
          <t>Rental Machine</t>
        </is>
      </c>
      <c r="C1255" t="inlineStr">
        <is>
          <t>ក្លាក ហ៊ូ ឯ.ក</t>
        </is>
      </c>
      <c r="D1255" t="inlineStr">
        <is>
          <t>K007-901639199</t>
        </is>
      </c>
      <c r="E1255" t="inlineStr">
        <is>
          <t>IN2065</t>
        </is>
      </c>
      <c r="F1255" t="inlineStr">
        <is>
          <t>23-09-2024</t>
        </is>
      </c>
      <c r="G1255" t="n">
        <v>1828350</v>
      </c>
      <c r="I1255">
        <f>G1255</f>
        <v/>
      </c>
      <c r="K1255">
        <f>I1255-G1255</f>
        <v/>
      </c>
      <c r="M1255">
        <f>R1255=E1255</f>
        <v/>
      </c>
      <c r="N1255">
        <f>AND(MONTH(F1255)=MONTH(Q1255), YEAR(F1255)=YEAR(Q1255))</f>
        <v/>
      </c>
      <c r="O1255">
        <f>"L001-902303751"=S1255</f>
        <v/>
      </c>
      <c r="P1255">
        <f>G1255-U1255</f>
        <v/>
      </c>
      <c r="Q1255" s="35" t="n">
        <v>45488</v>
      </c>
      <c r="R1255" t="inlineStr"/>
      <c r="S1255" t="inlineStr">
        <is>
          <t>L001-107032791</t>
        </is>
      </c>
      <c r="T1255" t="inlineStr">
        <is>
          <t>នីបផន អិចប្រេស (ខេមបូឌា) ខូ អិលធីឌី</t>
        </is>
      </c>
      <c r="U1255" t="n">
        <v>0</v>
      </c>
      <c r="V1255" t="n">
        <v>0</v>
      </c>
    </row>
    <row r="1256">
      <c r="A1256" t="n">
        <v>1255</v>
      </c>
      <c r="B1256" t="inlineStr">
        <is>
          <t>Purchase Misc Material MM</t>
        </is>
      </c>
      <c r="C1256" t="inlineStr">
        <is>
          <t>យីស៊ូ ធេមផ្លេត ក្រាហ្វ ឯ.ក</t>
        </is>
      </c>
      <c r="D1256" t="inlineStr">
        <is>
          <t>K010-902200360</t>
        </is>
      </c>
      <c r="E1256" t="inlineStr">
        <is>
          <t>24-0203</t>
        </is>
      </c>
      <c r="F1256" t="inlineStr">
        <is>
          <t>27-09-2024</t>
        </is>
      </c>
      <c r="G1256" t="n">
        <v>1776688</v>
      </c>
      <c r="I1256">
        <f>G1256</f>
        <v/>
      </c>
      <c r="K1256">
        <f>I1256-G1256</f>
        <v/>
      </c>
      <c r="M1256">
        <f>R1256=E1256</f>
        <v/>
      </c>
      <c r="N1256">
        <f>AND(MONTH(F1256)=MONTH(Q1256), YEAR(F1256)=YEAR(Q1256))</f>
        <v/>
      </c>
      <c r="O1256">
        <f>"L001-902303751"=S1256</f>
        <v/>
      </c>
      <c r="P1256">
        <f>G1256-U1256</f>
        <v/>
      </c>
      <c r="Q1256" s="35" t="n">
        <v>45488</v>
      </c>
      <c r="R1256" t="inlineStr"/>
      <c r="S1256" t="inlineStr">
        <is>
          <t>L001-107032791</t>
        </is>
      </c>
      <c r="T1256" t="inlineStr">
        <is>
          <t>នីបផន អិចប្រេស (ខេមបូឌា) ខូ អិលធីឌី</t>
        </is>
      </c>
      <c r="U1256" t="n">
        <v>0</v>
      </c>
      <c r="V1256" t="n">
        <v>0</v>
      </c>
    </row>
    <row r="1257">
      <c r="A1257" t="n">
        <v>1256</v>
      </c>
      <c r="B1257" t="inlineStr">
        <is>
          <t>Rental Machine</t>
        </is>
      </c>
      <c r="C1257" t="inlineStr">
        <is>
          <t>ក្លាក ហ៊ូ ឯ.ក</t>
        </is>
      </c>
      <c r="D1257" t="inlineStr">
        <is>
          <t>K007-901639199</t>
        </is>
      </c>
      <c r="E1257" t="inlineStr">
        <is>
          <t>IN2066</t>
        </is>
      </c>
      <c r="F1257" t="inlineStr">
        <is>
          <t>23-09-2024</t>
        </is>
      </c>
      <c r="G1257" t="n">
        <v>116475</v>
      </c>
      <c r="I1257">
        <f>G1257</f>
        <v/>
      </c>
      <c r="K1257">
        <f>I1257-G1257</f>
        <v/>
      </c>
      <c r="M1257">
        <f>R1257=E1257</f>
        <v/>
      </c>
      <c r="N1257">
        <f>AND(MONTH(F1257)=MONTH(Q1257), YEAR(F1257)=YEAR(Q1257))</f>
        <v/>
      </c>
      <c r="O1257">
        <f>"L001-902303751"=S1257</f>
        <v/>
      </c>
      <c r="P1257">
        <f>G1257-U1257</f>
        <v/>
      </c>
      <c r="Q1257" s="35" t="n">
        <v>45474</v>
      </c>
      <c r="R1257" t="inlineStr"/>
      <c r="S1257" t="inlineStr">
        <is>
          <t>L001-107032791</t>
        </is>
      </c>
      <c r="T1257" t="inlineStr">
        <is>
          <t>នីបផន អិចប្រេស (ខេមបូឌា) ខូ អិលធីឌី</t>
        </is>
      </c>
      <c r="U1257" t="n">
        <v>0</v>
      </c>
      <c r="V1257" t="n">
        <v>0</v>
      </c>
    </row>
    <row r="1258">
      <c r="A1258" t="n">
        <v>1257</v>
      </c>
      <c r="B1258" t="inlineStr">
        <is>
          <t>Rental Machine</t>
        </is>
      </c>
      <c r="C1258" t="inlineStr">
        <is>
          <t>ក្លាក ហ៊ូ ឯ.ក</t>
        </is>
      </c>
      <c r="D1258" t="inlineStr">
        <is>
          <t>K007-901639199</t>
        </is>
      </c>
      <c r="E1258" t="inlineStr">
        <is>
          <t>IN2067</t>
        </is>
      </c>
      <c r="F1258" t="inlineStr">
        <is>
          <t>23-09-2024</t>
        </is>
      </c>
      <c r="G1258" t="n">
        <v>50108</v>
      </c>
      <c r="I1258">
        <f>G1258</f>
        <v/>
      </c>
      <c r="K1258">
        <f>I1258-G1258</f>
        <v/>
      </c>
      <c r="M1258">
        <f>R1258=E1258</f>
        <v/>
      </c>
      <c r="N1258">
        <f>AND(MONTH(F1258)=MONTH(Q1258), YEAR(F1258)=YEAR(Q1258))</f>
        <v/>
      </c>
      <c r="O1258">
        <f>"L001-902303751"=S1258</f>
        <v/>
      </c>
      <c r="P1258">
        <f>G1258-U1258</f>
        <v/>
      </c>
      <c r="Q1258" s="35" t="n">
        <v>45488</v>
      </c>
      <c r="R1258" t="n">
        <v>112915</v>
      </c>
      <c r="S1258" t="inlineStr">
        <is>
          <t>L001-107032791</t>
        </is>
      </c>
      <c r="T1258" t="inlineStr">
        <is>
          <t>នីបផន អិចប្រេស (ខេមបូឌា) ខូ អិលធីឌី</t>
        </is>
      </c>
      <c r="U1258" t="n">
        <v>112915</v>
      </c>
      <c r="V1258" t="n">
        <v>0</v>
      </c>
    </row>
    <row r="1259">
      <c r="A1259" t="n">
        <v>1258</v>
      </c>
      <c r="B1259" t="inlineStr">
        <is>
          <t>Monthly Security for September 2024</t>
        </is>
      </c>
      <c r="C1259" t="inlineStr">
        <is>
          <t>អិល.ប៊ី.អិល.អេច ស៊ីឃ្យូរឹធី ឯ.ក</t>
        </is>
      </c>
      <c r="D1259" t="inlineStr">
        <is>
          <t>K010-902202247</t>
        </is>
      </c>
      <c r="E1259" t="inlineStr">
        <is>
          <t>L.B.L.H00023</t>
        </is>
      </c>
      <c r="F1259" t="inlineStr">
        <is>
          <t>25-09-2024</t>
        </is>
      </c>
      <c r="G1259" t="n">
        <v>609450</v>
      </c>
      <c r="I1259">
        <f>G1259</f>
        <v/>
      </c>
      <c r="K1259">
        <f>I1259-G1259</f>
        <v/>
      </c>
      <c r="M1259">
        <f>R1259=E1259</f>
        <v/>
      </c>
      <c r="N1259">
        <f>AND(MONTH(F1259)=MONTH(Q1259), YEAR(F1259)=YEAR(Q1259))</f>
        <v/>
      </c>
      <c r="O1259">
        <f>"L001-902303751"=S1259</f>
        <v/>
      </c>
      <c r="P1259">
        <f>G1259-U1259</f>
        <v/>
      </c>
      <c r="Q1259" s="35" t="n">
        <v>45488</v>
      </c>
      <c r="R1259" t="n">
        <v>112915</v>
      </c>
      <c r="S1259" t="inlineStr">
        <is>
          <t>L001-107032791</t>
        </is>
      </c>
      <c r="T1259" t="inlineStr">
        <is>
          <t>នីបផន អិចប្រេស (ខេមបូឌា) ខូ អិលធីឌី</t>
        </is>
      </c>
      <c r="U1259" t="n">
        <v>112915</v>
      </c>
      <c r="V1259" t="n">
        <v>0</v>
      </c>
    </row>
    <row r="1260">
      <c r="A1260" t="n">
        <v>1259</v>
      </c>
      <c r="B1260" t="inlineStr">
        <is>
          <t>Rental Machine</t>
        </is>
      </c>
      <c r="C1260" t="inlineStr">
        <is>
          <t>ក្លាក ហ៊ូ ឯ.ក</t>
        </is>
      </c>
      <c r="D1260" t="inlineStr">
        <is>
          <t>K007-901639199</t>
        </is>
      </c>
      <c r="E1260" t="inlineStr">
        <is>
          <t>IN2068</t>
        </is>
      </c>
      <c r="F1260" t="inlineStr">
        <is>
          <t>23-09-2024</t>
        </is>
      </c>
      <c r="G1260" t="n">
        <v>379891</v>
      </c>
      <c r="I1260">
        <f>G1260</f>
        <v/>
      </c>
      <c r="K1260">
        <f>I1260-G1260</f>
        <v/>
      </c>
      <c r="M1260">
        <f>R1260=E1260</f>
        <v/>
      </c>
      <c r="N1260">
        <f>AND(MONTH(F1260)=MONTH(Q1260), YEAR(F1260)=YEAR(Q1260))</f>
        <v/>
      </c>
      <c r="O1260">
        <f>"L001-902303751"=S1260</f>
        <v/>
      </c>
      <c r="P1260">
        <f>G1260-U1260</f>
        <v/>
      </c>
      <c r="Q1260" s="35" t="n">
        <v>45488</v>
      </c>
      <c r="R1260" t="n">
        <v>84173</v>
      </c>
      <c r="S1260" t="inlineStr">
        <is>
          <t>L001-107032791</t>
        </is>
      </c>
      <c r="T1260" t="inlineStr">
        <is>
          <t>នីបផន អិចប្រេស (ខេមបូឌា) ខូ អិលធីឌី</t>
        </is>
      </c>
      <c r="U1260" t="n">
        <v>84173</v>
      </c>
      <c r="V1260" t="n">
        <v>0</v>
      </c>
    </row>
    <row r="1261">
      <c r="A1261" t="n">
        <v>1260</v>
      </c>
      <c r="B1261" t="inlineStr">
        <is>
          <t>Rental Machine</t>
        </is>
      </c>
      <c r="C1261" t="inlineStr">
        <is>
          <t>ក្លាក ហ៊ូ ឯ.ក</t>
        </is>
      </c>
      <c r="D1261" t="inlineStr">
        <is>
          <t>K007-901639199</t>
        </is>
      </c>
      <c r="E1261" t="inlineStr">
        <is>
          <t>IN2069</t>
        </is>
      </c>
      <c r="F1261" t="inlineStr">
        <is>
          <t>23-09-2024</t>
        </is>
      </c>
      <c r="G1261" t="n">
        <v>207213</v>
      </c>
      <c r="I1261">
        <f>G1261</f>
        <v/>
      </c>
      <c r="K1261">
        <f>I1261-G1261</f>
        <v/>
      </c>
      <c r="M1261">
        <f>R1261=E1261</f>
        <v/>
      </c>
      <c r="N1261">
        <f>AND(MONTH(F1261)=MONTH(Q1261), YEAR(F1261)=YEAR(Q1261))</f>
        <v/>
      </c>
      <c r="O1261">
        <f>"L001-902303751"=S1261</f>
        <v/>
      </c>
      <c r="P1261">
        <f>G1261-U1261</f>
        <v/>
      </c>
      <c r="Q1261" s="35" t="n">
        <v>45502</v>
      </c>
      <c r="R1261" t="inlineStr"/>
      <c r="S1261" t="inlineStr">
        <is>
          <t>L001-107032791</t>
        </is>
      </c>
      <c r="T1261" t="inlineStr">
        <is>
          <t>នីបផន អិចប្រេស (ខេមបូឌា) ខូ អិលធីឌី</t>
        </is>
      </c>
      <c r="U1261" t="n">
        <v>0</v>
      </c>
      <c r="V1261" t="n">
        <v>0</v>
      </c>
    </row>
    <row r="1262">
      <c r="A1262" t="n">
        <v>1261</v>
      </c>
      <c r="B1262" t="inlineStr">
        <is>
          <t>Rental Machine</t>
        </is>
      </c>
      <c r="C1262" t="inlineStr">
        <is>
          <t>ក្លាក ហ៊ូ ឯ.ក</t>
        </is>
      </c>
      <c r="D1262" t="inlineStr">
        <is>
          <t>K007-901639199</t>
        </is>
      </c>
      <c r="E1262" t="inlineStr">
        <is>
          <t>IN2070</t>
        </is>
      </c>
      <c r="F1262" t="inlineStr">
        <is>
          <t>23-09-2024</t>
        </is>
      </c>
      <c r="G1262" t="n">
        <v>201119</v>
      </c>
      <c r="I1262">
        <f>G1262</f>
        <v/>
      </c>
      <c r="K1262">
        <f>I1262-G1262</f>
        <v/>
      </c>
      <c r="M1262">
        <f>R1262=E1262</f>
        <v/>
      </c>
      <c r="N1262">
        <f>AND(MONTH(F1262)=MONTH(Q1262), YEAR(F1262)=YEAR(Q1262))</f>
        <v/>
      </c>
      <c r="O1262">
        <f>"L001-902303751"=S1262</f>
        <v/>
      </c>
      <c r="P1262">
        <f>G1262-U1262</f>
        <v/>
      </c>
      <c r="Q1262" s="35" t="n">
        <v>45502</v>
      </c>
      <c r="R1262" t="inlineStr"/>
      <c r="S1262" t="inlineStr">
        <is>
          <t>L001-107032791</t>
        </is>
      </c>
      <c r="T1262" t="inlineStr">
        <is>
          <t>នីបផន អិចប្រេស (ខេមបូឌា) ខូ អិលធីឌី</t>
        </is>
      </c>
      <c r="U1262" t="n">
        <v>0</v>
      </c>
      <c r="V1262" t="n">
        <v>0</v>
      </c>
    </row>
    <row r="1263">
      <c r="A1263" t="n">
        <v>1262</v>
      </c>
      <c r="B1263" t="inlineStr">
        <is>
          <t>Rental Machine</t>
        </is>
      </c>
      <c r="C1263" t="inlineStr">
        <is>
          <t>ក្លាក ហ៊ូ ឯ.ក</t>
        </is>
      </c>
      <c r="D1263" t="inlineStr">
        <is>
          <t>K007-901639199</t>
        </is>
      </c>
      <c r="E1263" t="inlineStr">
        <is>
          <t>IN2071</t>
        </is>
      </c>
      <c r="F1263" t="inlineStr">
        <is>
          <t>23-09-2024</t>
        </is>
      </c>
      <c r="G1263" t="n">
        <v>308788</v>
      </c>
      <c r="I1263">
        <f>G1263</f>
        <v/>
      </c>
      <c r="K1263">
        <f>I1263-G1263</f>
        <v/>
      </c>
      <c r="M1263">
        <f>R1263=E1263</f>
        <v/>
      </c>
      <c r="N1263">
        <f>AND(MONTH(F1263)=MONTH(Q1263), YEAR(F1263)=YEAR(Q1263))</f>
        <v/>
      </c>
      <c r="O1263">
        <f>"L001-902303751"=S1263</f>
        <v/>
      </c>
      <c r="P1263">
        <f>G1263-U1263</f>
        <v/>
      </c>
      <c r="Q1263" s="35" t="n">
        <v>45495</v>
      </c>
      <c r="R1263" t="n">
        <v>115463</v>
      </c>
      <c r="S1263" t="inlineStr">
        <is>
          <t>L001-100045340</t>
        </is>
      </c>
      <c r="T1263" t="inlineStr">
        <is>
          <t xml:space="preserve">ស៊ីវ៉ា អ៊ែរ អ៊ែន អូសៀន (ខេមបូឌា) ឯ.ក </t>
        </is>
      </c>
      <c r="U1263" t="n">
        <v>115463</v>
      </c>
      <c r="V1263" t="n">
        <v>0</v>
      </c>
    </row>
    <row r="1264">
      <c r="A1264" t="n">
        <v>1263</v>
      </c>
      <c r="B1264" t="inlineStr">
        <is>
          <t>PVC Thin Film</t>
        </is>
      </c>
      <c r="C1264" t="inlineStr">
        <is>
          <t>ដឹ សាយ អេឡិកត្រូមេឃែនីខល អេនជីនារីង ឯ.ក</t>
        </is>
      </c>
      <c r="D1264" t="inlineStr">
        <is>
          <t>K009-902303599</t>
        </is>
      </c>
      <c r="E1264" t="inlineStr">
        <is>
          <t>00016</t>
        </is>
      </c>
      <c r="F1264" t="inlineStr">
        <is>
          <t>20-09-2024</t>
        </is>
      </c>
      <c r="G1264" t="n">
        <v>89342</v>
      </c>
      <c r="I1264">
        <f>G1264</f>
        <v/>
      </c>
      <c r="K1264">
        <f>I1264-G1264</f>
        <v/>
      </c>
      <c r="M1264">
        <f>R1264=E1264</f>
        <v/>
      </c>
      <c r="N1264">
        <f>AND(MONTH(F1264)=MONTH(Q1264), YEAR(F1264)=YEAR(Q1264))</f>
        <v/>
      </c>
      <c r="O1264">
        <f>"L001-902303751"=S1264</f>
        <v/>
      </c>
      <c r="P1264">
        <f>G1264-U1264</f>
        <v/>
      </c>
      <c r="Q1264" s="35" t="n">
        <v>45474</v>
      </c>
      <c r="R1264" t="inlineStr"/>
      <c r="S1264" t="inlineStr">
        <is>
          <t>L001-107032791</t>
        </is>
      </c>
      <c r="T1264" t="inlineStr">
        <is>
          <t>នីបផន អិចប្រេស (ខេមបូឌា) ខូ អិលធីឌី</t>
        </is>
      </c>
      <c r="U1264" t="n">
        <v>0</v>
      </c>
      <c r="V1264" t="n">
        <v>0</v>
      </c>
    </row>
    <row r="1265">
      <c r="A1265" t="n">
        <v>1264</v>
      </c>
      <c r="B1265" t="inlineStr">
        <is>
          <t>Customs Clearance of LCL shipment, THC Charge of LCL, CFs Charge, Charge of LCL, Trucking Fee of LCL, CARGO HANDLING FEE and Bill Fee or Document Fee</t>
        </is>
      </c>
      <c r="C1265" t="inlineStr">
        <is>
          <t>អេវើរស្តារ ស៊ីលែនឌែរ</t>
        </is>
      </c>
      <c r="D1265" t="inlineStr">
        <is>
          <t>K002-100160492</t>
        </is>
      </c>
      <c r="E1265" t="inlineStr">
        <is>
          <t>TI-2024-047</t>
        </is>
      </c>
      <c r="F1265" t="inlineStr">
        <is>
          <t>19-09-2024</t>
        </is>
      </c>
      <c r="G1265" t="n">
        <v>112245</v>
      </c>
      <c r="I1265">
        <f>G1265</f>
        <v/>
      </c>
      <c r="K1265">
        <f>I1265-G1265</f>
        <v/>
      </c>
      <c r="M1265">
        <f>R1265=E1265</f>
        <v/>
      </c>
      <c r="N1265">
        <f>AND(MONTH(F1265)=MONTH(Q1265), YEAR(F1265)=YEAR(Q1265))</f>
        <v/>
      </c>
      <c r="O1265">
        <f>"L001-902303751"=S1265</f>
        <v/>
      </c>
      <c r="P1265">
        <f>G1265-U1265</f>
        <v/>
      </c>
      <c r="Q1265" s="35" t="n">
        <v>45481</v>
      </c>
      <c r="R1265" t="n">
        <v>175058</v>
      </c>
      <c r="S1265" t="inlineStr">
        <is>
          <t>K002-901800477</t>
        </is>
      </c>
      <c r="T1265" t="inlineStr">
        <is>
          <t>អាយធីអាយ អ៊ិនធើណេសិនណល ត្រេនស័្ពរថេសិន (ខេមបូឌា) ឯ.ក</t>
        </is>
      </c>
      <c r="U1265" t="n">
        <v>175058</v>
      </c>
      <c r="V1265" t="n">
        <v>0</v>
      </c>
    </row>
    <row r="1266">
      <c r="A1266" t="n">
        <v>1265</v>
      </c>
      <c r="B1266" t="inlineStr">
        <is>
          <t>EXPORT CUSTOMS CLEARANCE, ORG. TERMINAL HANDLING-CARRIER, ORG. CARGO SCREENING, ORG. MANAGEMENT FEE, VGM ADMINISTRATION FEE, ORG. DOCUMENT HANDOVER, ORG. WAYBILL/BILL OF LADING AND ORG. TERMINAL HANDL</t>
        </is>
      </c>
      <c r="C1266" t="inlineStr">
        <is>
          <t>ឌីអេចអិល ឡូជីស្ទីក (ខេមបូឌា)</t>
        </is>
      </c>
      <c r="D1266" t="inlineStr">
        <is>
          <t>L001-100045995</t>
        </is>
      </c>
      <c r="E1266" t="inlineStr">
        <is>
          <t>INV2407649</t>
        </is>
      </c>
      <c r="F1266" t="inlineStr">
        <is>
          <t>16-09-2024</t>
        </is>
      </c>
      <c r="G1266" t="n">
        <v>210318</v>
      </c>
      <c r="I1266">
        <f>G1266</f>
        <v/>
      </c>
      <c r="K1266">
        <f>I1266-G1266</f>
        <v/>
      </c>
      <c r="M1266">
        <f>R1266=E1266</f>
        <v/>
      </c>
      <c r="N1266">
        <f>AND(MONTH(F1266)=MONTH(Q1266), YEAR(F1266)=YEAR(Q1266))</f>
        <v/>
      </c>
      <c r="O1266">
        <f>"L001-902303751"=S1266</f>
        <v/>
      </c>
      <c r="P1266">
        <f>G1266-U1266</f>
        <v/>
      </c>
      <c r="Q1266" s="35" t="n">
        <v>45481</v>
      </c>
      <c r="R1266" t="inlineStr"/>
      <c r="S1266" t="inlineStr">
        <is>
          <t>L001-107032791</t>
        </is>
      </c>
      <c r="T1266" t="inlineStr">
        <is>
          <t>នីបផន អិចប្រេស (ខេមបូឌា) ខូ អិលធីឌី</t>
        </is>
      </c>
      <c r="U1266" t="n">
        <v>0</v>
      </c>
      <c r="V1266" t="n">
        <v>0</v>
      </c>
    </row>
    <row r="1267">
      <c r="A1267" t="n">
        <v>1266</v>
      </c>
      <c r="B1267" t="inlineStr">
        <is>
          <t>Rental Machine</t>
        </is>
      </c>
      <c r="C1267" t="inlineStr">
        <is>
          <t>ក្លាក ហ៊ូ ឯ.ក</t>
        </is>
      </c>
      <c r="D1267" t="inlineStr">
        <is>
          <t>K007-901639199</t>
        </is>
      </c>
      <c r="E1267" t="inlineStr">
        <is>
          <t>IN2072</t>
        </is>
      </c>
      <c r="F1267" t="inlineStr">
        <is>
          <t>23-09-2024</t>
        </is>
      </c>
      <c r="G1267" t="n">
        <v>195024</v>
      </c>
      <c r="I1267">
        <f>G1267</f>
        <v/>
      </c>
      <c r="K1267">
        <f>I1267-G1267</f>
        <v/>
      </c>
      <c r="M1267">
        <f>R1267=E1267</f>
        <v/>
      </c>
      <c r="N1267">
        <f>AND(MONTH(F1267)=MONTH(Q1267), YEAR(F1267)=YEAR(Q1267))</f>
        <v/>
      </c>
      <c r="O1267">
        <f>"L001-902303751"=S1267</f>
        <v/>
      </c>
      <c r="P1267">
        <f>G1267-U1267</f>
        <v/>
      </c>
      <c r="Q1267" s="35" t="n">
        <v>45488</v>
      </c>
      <c r="R1267" t="inlineStr"/>
      <c r="S1267" t="inlineStr">
        <is>
          <t>L001-107032791</t>
        </is>
      </c>
      <c r="T1267" t="inlineStr">
        <is>
          <t>នីបផន អិចប្រេស (ខេមបូឌា) ខូ អិលធីឌី</t>
        </is>
      </c>
      <c r="U1267" t="n">
        <v>0</v>
      </c>
      <c r="V1267" t="n">
        <v>0</v>
      </c>
    </row>
    <row r="1268">
      <c r="A1268" t="n">
        <v>1267</v>
      </c>
      <c r="B1268" t="inlineStr">
        <is>
          <t>Rental Machine</t>
        </is>
      </c>
      <c r="C1268" t="inlineStr">
        <is>
          <t>ក្លាក ហ៊ូ ឯ.ក</t>
        </is>
      </c>
      <c r="D1268" t="inlineStr">
        <is>
          <t>K007-901639199</t>
        </is>
      </c>
      <c r="E1268" t="inlineStr">
        <is>
          <t>IN2073</t>
        </is>
      </c>
      <c r="F1268" t="inlineStr">
        <is>
          <t>23-09-2024</t>
        </is>
      </c>
      <c r="G1268" t="n">
        <v>162520</v>
      </c>
      <c r="I1268">
        <f>G1268</f>
        <v/>
      </c>
      <c r="K1268">
        <f>I1268-G1268</f>
        <v/>
      </c>
      <c r="M1268">
        <f>R1268=E1268</f>
        <v/>
      </c>
      <c r="N1268">
        <f>AND(MONTH(F1268)=MONTH(Q1268), YEAR(F1268)=YEAR(Q1268))</f>
        <v/>
      </c>
      <c r="O1268">
        <f>"L001-902303751"=S1268</f>
        <v/>
      </c>
      <c r="P1268">
        <f>G1268-U1268</f>
        <v/>
      </c>
      <c r="Q1268" s="35" t="n">
        <v>45488</v>
      </c>
      <c r="R1268" t="inlineStr"/>
      <c r="S1268" t="inlineStr">
        <is>
          <t>K002-901800477</t>
        </is>
      </c>
      <c r="T1268" t="inlineStr">
        <is>
          <t>អាយធីអាយ អ៊ិនធើណេសិនណល ត្រេនស័្ពរថេសិន (ខេមបូឌា) ឯ.ក</t>
        </is>
      </c>
      <c r="U1268" t="n">
        <v>0</v>
      </c>
      <c r="V1268" t="n">
        <v>0</v>
      </c>
    </row>
    <row r="1269">
      <c r="A1269" t="n">
        <v>1268</v>
      </c>
      <c r="B1269" t="inlineStr">
        <is>
          <t>Rental Machine</t>
        </is>
      </c>
      <c r="C1269" t="inlineStr">
        <is>
          <t>ក្លាក ហ៊ូ ឯ.ក</t>
        </is>
      </c>
      <c r="D1269" t="inlineStr">
        <is>
          <t>K007-901639199</t>
        </is>
      </c>
      <c r="E1269" t="inlineStr">
        <is>
          <t>IN2074</t>
        </is>
      </c>
      <c r="F1269" t="inlineStr">
        <is>
          <t>23-09-2024</t>
        </is>
      </c>
      <c r="G1269" t="n">
        <v>292536</v>
      </c>
      <c r="I1269">
        <f>G1269</f>
        <v/>
      </c>
      <c r="K1269">
        <f>I1269-G1269</f>
        <v/>
      </c>
      <c r="M1269">
        <f>R1269=E1269</f>
        <v/>
      </c>
      <c r="N1269">
        <f>AND(MONTH(F1269)=MONTH(Q1269), YEAR(F1269)=YEAR(Q1269))</f>
        <v/>
      </c>
      <c r="O1269">
        <f>"L001-902303751"=S1269</f>
        <v/>
      </c>
      <c r="P1269">
        <f>G1269-U1269</f>
        <v/>
      </c>
      <c r="Q1269" s="35" t="n">
        <v>45495</v>
      </c>
      <c r="R1269" t="n">
        <v>84235</v>
      </c>
      <c r="S1269" t="inlineStr">
        <is>
          <t>L001-107032791</t>
        </is>
      </c>
      <c r="T1269" t="inlineStr">
        <is>
          <t>នីបផន អិចប្រេស (ខេមបូឌា) ខូ អិលធីឌី</t>
        </is>
      </c>
      <c r="U1269" t="n">
        <v>84235</v>
      </c>
      <c r="V1269" t="n">
        <v>0</v>
      </c>
    </row>
    <row r="1270">
      <c r="A1270" t="n">
        <v>1269</v>
      </c>
      <c r="B1270" t="inlineStr">
        <is>
          <t>Rental Machine</t>
        </is>
      </c>
      <c r="C1270" t="inlineStr">
        <is>
          <t>ក្លាក ហ៊ូ ឯ.ក</t>
        </is>
      </c>
      <c r="D1270" t="inlineStr">
        <is>
          <t>K007-901639199</t>
        </is>
      </c>
      <c r="E1270" t="inlineStr">
        <is>
          <t>IN2075</t>
        </is>
      </c>
      <c r="F1270" t="inlineStr">
        <is>
          <t>23-09-2024</t>
        </is>
      </c>
      <c r="G1270" t="n">
        <v>211276</v>
      </c>
      <c r="I1270">
        <f>G1270</f>
        <v/>
      </c>
      <c r="K1270">
        <f>I1270-G1270</f>
        <v/>
      </c>
      <c r="M1270">
        <f>R1270=E1270</f>
        <v/>
      </c>
      <c r="N1270">
        <f>AND(MONTH(F1270)=MONTH(Q1270), YEAR(F1270)=YEAR(Q1270))</f>
        <v/>
      </c>
      <c r="O1270">
        <f>"L001-902303751"=S1270</f>
        <v/>
      </c>
      <c r="P1270">
        <f>G1270-U1270</f>
        <v/>
      </c>
      <c r="Q1270" s="35" t="n">
        <v>45495</v>
      </c>
      <c r="R1270" t="inlineStr"/>
      <c r="S1270" t="inlineStr">
        <is>
          <t>K005-901805913</t>
        </is>
      </c>
      <c r="T1270" t="inlineStr">
        <is>
          <t>ស្តារ ខង់ខដ (ខេមបូឌា) ឯ.ក</t>
        </is>
      </c>
      <c r="U1270" t="n">
        <v>0</v>
      </c>
      <c r="V1270" t="n">
        <v>0</v>
      </c>
    </row>
    <row r="1271">
      <c r="A1271" t="n">
        <v>1270</v>
      </c>
      <c r="B1271" t="inlineStr">
        <is>
          <t>Rental Machine</t>
        </is>
      </c>
      <c r="C1271" t="inlineStr">
        <is>
          <t>ក្លាក ហ៊ូ ឯ.ក</t>
        </is>
      </c>
      <c r="D1271" t="inlineStr">
        <is>
          <t>K007-901639199</t>
        </is>
      </c>
      <c r="E1271" t="inlineStr">
        <is>
          <t>IN2076</t>
        </is>
      </c>
      <c r="F1271" t="inlineStr">
        <is>
          <t>23-09-2024</t>
        </is>
      </c>
      <c r="G1271" t="n">
        <v>195024</v>
      </c>
      <c r="I1271">
        <f>G1271</f>
        <v/>
      </c>
      <c r="K1271">
        <f>I1271-G1271</f>
        <v/>
      </c>
      <c r="M1271">
        <f>R1271=E1271</f>
        <v/>
      </c>
      <c r="N1271">
        <f>AND(MONTH(F1271)=MONTH(Q1271), YEAR(F1271)=YEAR(Q1271))</f>
        <v/>
      </c>
      <c r="O1271">
        <f>"L001-902303751"=S1271</f>
        <v/>
      </c>
      <c r="P1271">
        <f>G1271-U1271</f>
        <v/>
      </c>
      <c r="Q1271" s="35" t="n">
        <v>45474</v>
      </c>
      <c r="R1271" t="n">
        <v>84296</v>
      </c>
      <c r="S1271" t="inlineStr">
        <is>
          <t>L001-107032791</t>
        </is>
      </c>
      <c r="T1271" t="inlineStr">
        <is>
          <t>នីបផន អិចប្រេស (ខេមបូឌា) ខូ អិលធីឌី</t>
        </is>
      </c>
      <c r="U1271" t="n">
        <v>84296</v>
      </c>
      <c r="V1271" t="n">
        <v>0</v>
      </c>
    </row>
    <row r="1272">
      <c r="A1272" t="n">
        <v>1271</v>
      </c>
      <c r="B1272" t="inlineStr">
        <is>
          <t>HAWB FIEIGHT, AWB FEE, OM FORWARDING FEE AND H/C</t>
        </is>
      </c>
      <c r="C1272" t="inlineStr">
        <is>
          <t>អ៊ិចស្ពែឌីធ័រ ខេមបូឌា អិលធីឌី</t>
        </is>
      </c>
      <c r="D1272" t="inlineStr">
        <is>
          <t>L001-100045898</t>
        </is>
      </c>
      <c r="E1272" t="inlineStr">
        <is>
          <t>TI-0290949</t>
        </is>
      </c>
      <c r="F1272" t="inlineStr">
        <is>
          <t>29-09-2024</t>
        </is>
      </c>
      <c r="G1272" t="n">
        <v>46702</v>
      </c>
      <c r="I1272">
        <f>G1272</f>
        <v/>
      </c>
      <c r="K1272">
        <f>I1272-G1272</f>
        <v/>
      </c>
      <c r="M1272">
        <f>R1272=E1272</f>
        <v/>
      </c>
      <c r="N1272">
        <f>AND(MONTH(F1272)=MONTH(Q1272), YEAR(F1272)=YEAR(Q1272))</f>
        <v/>
      </c>
      <c r="O1272">
        <f>"L001-902303751"=S1272</f>
        <v/>
      </c>
      <c r="P1272">
        <f>G1272-U1272</f>
        <v/>
      </c>
      <c r="Q1272" s="35" t="n">
        <v>45476</v>
      </c>
      <c r="R1272" t="n">
        <v>2139301</v>
      </c>
      <c r="S1272" t="inlineStr">
        <is>
          <t>K004-105012505</t>
        </is>
      </c>
      <c r="T1272" t="inlineStr">
        <is>
          <t>អេស៊ាន ហ្វ្រេត (ខេមបូឌា)</t>
        </is>
      </c>
      <c r="U1272" t="n">
        <v>2139301</v>
      </c>
      <c r="V1272" t="n">
        <v>0</v>
      </c>
    </row>
    <row r="1273">
      <c r="A1273" t="n">
        <v>1272</v>
      </c>
      <c r="B1273" t="inlineStr">
        <is>
          <t>HAWB FIEIGHT, AWB FEE, OM FORWARDING FEE AND H/C</t>
        </is>
      </c>
      <c r="C1273" t="inlineStr">
        <is>
          <t>អ៊ិចស្ពែឌីធ័រ ខេមបូឌា អិលធីឌី</t>
        </is>
      </c>
      <c r="D1273" t="inlineStr">
        <is>
          <t>L001-100045898</t>
        </is>
      </c>
      <c r="E1273" t="inlineStr">
        <is>
          <t>TI-0289596</t>
        </is>
      </c>
      <c r="F1273" t="inlineStr">
        <is>
          <t>19-09-2024</t>
        </is>
      </c>
      <c r="G1273" t="n">
        <v>46679</v>
      </c>
      <c r="I1273">
        <f>G1273</f>
        <v/>
      </c>
      <c r="K1273">
        <f>I1273-G1273</f>
        <v/>
      </c>
      <c r="M1273">
        <f>R1273=E1273</f>
        <v/>
      </c>
      <c r="N1273">
        <f>AND(MONTH(F1273)=MONTH(Q1273), YEAR(F1273)=YEAR(Q1273))</f>
        <v/>
      </c>
      <c r="O1273">
        <f>"L001-902303751"=S1273</f>
        <v/>
      </c>
      <c r="P1273">
        <f>G1273-U1273</f>
        <v/>
      </c>
      <c r="Q1273" s="35" t="n">
        <v>45474</v>
      </c>
      <c r="R1273" t="inlineStr"/>
      <c r="S1273" t="inlineStr">
        <is>
          <t>L001-107032791</t>
        </is>
      </c>
      <c r="T1273" t="inlineStr">
        <is>
          <t>នីបផន អិចប្រេស (ខេមបូឌា) ខូ អិលធីឌី</t>
        </is>
      </c>
      <c r="U1273" t="n">
        <v>0</v>
      </c>
      <c r="V1273" t="n">
        <v>0</v>
      </c>
    </row>
    <row r="1274">
      <c r="A1274" t="n">
        <v>1273</v>
      </c>
      <c r="B1274" t="inlineStr">
        <is>
          <t>HAWB FIEIGHT, AWB FEE, OM FORWARDING FEE AND H/C</t>
        </is>
      </c>
      <c r="C1274" t="inlineStr">
        <is>
          <t>អ៊ិចស្ពែឌីធ័រ ខេមបូឌា អិលធីឌី</t>
        </is>
      </c>
      <c r="D1274" t="inlineStr">
        <is>
          <t>L001-100045898</t>
        </is>
      </c>
      <c r="E1274" t="inlineStr">
        <is>
          <t>TI-0290157</t>
        </is>
      </c>
      <c r="F1274" t="inlineStr">
        <is>
          <t>24-09-2024</t>
        </is>
      </c>
      <c r="G1274" t="n">
        <v>97024</v>
      </c>
      <c r="I1274">
        <f>G1274</f>
        <v/>
      </c>
      <c r="K1274">
        <f>I1274-G1274</f>
        <v/>
      </c>
      <c r="M1274">
        <f>R1274=E1274</f>
        <v/>
      </c>
      <c r="N1274">
        <f>AND(MONTH(F1274)=MONTH(Q1274), YEAR(F1274)=YEAR(Q1274))</f>
        <v/>
      </c>
      <c r="O1274">
        <f>"L001-902303751"=S1274</f>
        <v/>
      </c>
      <c r="P1274">
        <f>G1274-U1274</f>
        <v/>
      </c>
      <c r="Q1274" s="35" t="n">
        <v>45481</v>
      </c>
      <c r="R1274" t="inlineStr"/>
      <c r="S1274" t="inlineStr">
        <is>
          <t>L001-107032791</t>
        </is>
      </c>
      <c r="T1274" t="inlineStr">
        <is>
          <t>នីបផន អិចប្រេស (ខេមបូឌា) ខូ អិលធីឌី</t>
        </is>
      </c>
      <c r="U1274" t="n">
        <v>0</v>
      </c>
      <c r="V1274" t="n">
        <v>0</v>
      </c>
    </row>
    <row r="1275">
      <c r="A1275" t="n">
        <v>1274</v>
      </c>
      <c r="B1275" t="inlineStr">
        <is>
          <t>HAWB FIEIGHT, AWB FEE, OM FORWARDING FEE AND H/C</t>
        </is>
      </c>
      <c r="C1275" t="inlineStr">
        <is>
          <t>អ៊ិចស្ពែឌីធ័រ ខេមបូឌា អិលធីឌី</t>
        </is>
      </c>
      <c r="D1275" t="inlineStr">
        <is>
          <t>L001-100045898</t>
        </is>
      </c>
      <c r="E1275" t="inlineStr">
        <is>
          <t>TI-0290158</t>
        </is>
      </c>
      <c r="F1275" t="inlineStr">
        <is>
          <t>24-09-2024</t>
        </is>
      </c>
      <c r="G1275" t="n">
        <v>276975</v>
      </c>
      <c r="I1275">
        <f>G1275</f>
        <v/>
      </c>
      <c r="K1275">
        <f>I1275-G1275</f>
        <v/>
      </c>
      <c r="M1275">
        <f>R1275=E1275</f>
        <v/>
      </c>
      <c r="N1275">
        <f>AND(MONTH(F1275)=MONTH(Q1275), YEAR(F1275)=YEAR(Q1275))</f>
        <v/>
      </c>
      <c r="O1275">
        <f>"L001-902303751"=S1275</f>
        <v/>
      </c>
      <c r="P1275">
        <f>G1275-U1275</f>
        <v/>
      </c>
      <c r="Q1275" s="35" t="n">
        <v>45481</v>
      </c>
      <c r="R1275" t="inlineStr"/>
      <c r="S1275" t="inlineStr">
        <is>
          <t>L001-107032791</t>
        </is>
      </c>
      <c r="T1275" t="inlineStr">
        <is>
          <t>នីបផន អិចប្រេស (ខេមបូឌា) ខូ អិលធីឌី</t>
        </is>
      </c>
      <c r="U1275" t="n">
        <v>0</v>
      </c>
      <c r="V1275" t="n">
        <v>0</v>
      </c>
    </row>
    <row r="1276">
      <c r="A1276" t="n">
        <v>1275</v>
      </c>
      <c r="B1276" t="inlineStr">
        <is>
          <t>HAWB FIEIGHT, AWB FEE, OM FORWARDING FEE AND H/C</t>
        </is>
      </c>
      <c r="C1276" t="inlineStr">
        <is>
          <t>អ៊ិចស្ពែឌីធ័រ ខេមបូឌា អិលធីឌី</t>
        </is>
      </c>
      <c r="D1276" t="inlineStr">
        <is>
          <t>L001-100045898</t>
        </is>
      </c>
      <c r="E1276" t="inlineStr">
        <is>
          <t>TI-0289957</t>
        </is>
      </c>
      <c r="F1276" t="inlineStr">
        <is>
          <t>22-09-2024</t>
        </is>
      </c>
      <c r="G1276" t="n">
        <v>83657</v>
      </c>
      <c r="I1276">
        <f>G1276</f>
        <v/>
      </c>
      <c r="K1276">
        <f>I1276-G1276</f>
        <v/>
      </c>
      <c r="M1276">
        <f>R1276=E1276</f>
        <v/>
      </c>
      <c r="N1276">
        <f>AND(MONTH(F1276)=MONTH(Q1276), YEAR(F1276)=YEAR(Q1276))</f>
        <v/>
      </c>
      <c r="O1276">
        <f>"L001-902303751"=S1276</f>
        <v/>
      </c>
      <c r="P1276">
        <f>G1276-U1276</f>
        <v/>
      </c>
      <c r="Q1276" s="35" t="n">
        <v>45481</v>
      </c>
      <c r="R1276" t="n">
        <v>113273</v>
      </c>
      <c r="S1276" t="inlineStr">
        <is>
          <t>L001-107032791</t>
        </is>
      </c>
      <c r="T1276" t="inlineStr">
        <is>
          <t>នីបផន អិចប្រេស (ខេមបូឌា) ខូ អិលធីឌី</t>
        </is>
      </c>
      <c r="U1276" t="n">
        <v>113273</v>
      </c>
      <c r="V1276" t="n">
        <v>0</v>
      </c>
    </row>
    <row r="1277">
      <c r="A1277" t="n">
        <v>1276</v>
      </c>
      <c r="B1277" t="inlineStr">
        <is>
          <t>HAWB FIEIGHT, AWB FEE, OM FORWARDING FEE AND H/C</t>
        </is>
      </c>
      <c r="C1277" t="inlineStr">
        <is>
          <t>អ៊ិចស្ពែឌីធ័រ ខេមបូឌា អិលធីឌី</t>
        </is>
      </c>
      <c r="D1277" t="inlineStr">
        <is>
          <t>L001-100045898</t>
        </is>
      </c>
      <c r="E1277" t="inlineStr">
        <is>
          <t>TI-0289412</t>
        </is>
      </c>
      <c r="F1277" t="inlineStr">
        <is>
          <t>19-09-2024</t>
        </is>
      </c>
      <c r="G1277" t="n">
        <v>74686</v>
      </c>
      <c r="I1277">
        <f>G1277</f>
        <v/>
      </c>
      <c r="K1277">
        <f>I1277-G1277</f>
        <v/>
      </c>
      <c r="M1277">
        <f>R1277=E1277</f>
        <v/>
      </c>
      <c r="N1277">
        <f>AND(MONTH(F1277)=MONTH(Q1277), YEAR(F1277)=YEAR(Q1277))</f>
        <v/>
      </c>
      <c r="O1277">
        <f>"L001-902303751"=S1277</f>
        <v/>
      </c>
      <c r="P1277">
        <f>G1277-U1277</f>
        <v/>
      </c>
      <c r="Q1277" s="35" t="n">
        <v>45488</v>
      </c>
      <c r="R1277" t="n">
        <v>84173</v>
      </c>
      <c r="S1277" t="inlineStr">
        <is>
          <t>L001-107032791</t>
        </is>
      </c>
      <c r="T1277" t="inlineStr">
        <is>
          <t>នីបផន អិចប្រេស (ខេមបូឌា) ខូ អិលធីឌី</t>
        </is>
      </c>
      <c r="U1277" t="n">
        <v>84173</v>
      </c>
      <c r="V1277" t="n">
        <v>0</v>
      </c>
    </row>
    <row r="1278">
      <c r="A1278" t="n">
        <v>1277</v>
      </c>
      <c r="B1278" t="inlineStr">
        <is>
          <t>HAWB FIEIGHT, AWB FEE, OM FORWARDING FEE AND H/C</t>
        </is>
      </c>
      <c r="C1278" t="inlineStr">
        <is>
          <t>អ៊ិចស្ពែឌីធ័រ ខេមបូឌា អិលធីឌី</t>
        </is>
      </c>
      <c r="D1278" t="inlineStr">
        <is>
          <t>L001-100045898</t>
        </is>
      </c>
      <c r="E1278" t="inlineStr">
        <is>
          <t>TI-0289737</t>
        </is>
      </c>
      <c r="F1278" t="inlineStr">
        <is>
          <t>21-09-2024</t>
        </is>
      </c>
      <c r="G1278" t="n">
        <v>46702</v>
      </c>
      <c r="I1278">
        <f>G1278</f>
        <v/>
      </c>
      <c r="K1278">
        <f>I1278-G1278</f>
        <v/>
      </c>
      <c r="M1278">
        <f>R1278=E1278</f>
        <v/>
      </c>
      <c r="N1278">
        <f>AND(MONTH(F1278)=MONTH(Q1278), YEAR(F1278)=YEAR(Q1278))</f>
        <v/>
      </c>
      <c r="O1278">
        <f>"L001-902303751"=S1278</f>
        <v/>
      </c>
      <c r="P1278">
        <f>G1278-U1278</f>
        <v/>
      </c>
      <c r="Q1278" s="35" t="n">
        <v>45488</v>
      </c>
      <c r="R1278" t="n">
        <v>174505</v>
      </c>
      <c r="S1278" t="inlineStr">
        <is>
          <t>K002-901800477</t>
        </is>
      </c>
      <c r="T1278" t="inlineStr">
        <is>
          <t>អាយធីអាយ អ៊ិនធើណេសិនណល ត្រេនស័្ពរថេសិន (ខេមបូឌា) ឯ.ក</t>
        </is>
      </c>
      <c r="U1278" t="n">
        <v>174505</v>
      </c>
      <c r="V1278" t="n">
        <v>0</v>
      </c>
    </row>
    <row r="1279">
      <c r="A1279" t="n">
        <v>1278</v>
      </c>
      <c r="B1279" t="inlineStr">
        <is>
          <t>HAWB FIEIGHT, AWB FEE, OM FORWARDING FEE AND H/C</t>
        </is>
      </c>
      <c r="C1279" t="inlineStr">
        <is>
          <t>អ៊ិចស្ពែឌីធ័រ ខេមបូឌា អិលធីឌី</t>
        </is>
      </c>
      <c r="D1279" t="inlineStr">
        <is>
          <t>L001-100045898</t>
        </is>
      </c>
      <c r="E1279" t="inlineStr">
        <is>
          <t>TI-0289216</t>
        </is>
      </c>
      <c r="F1279" t="inlineStr">
        <is>
          <t>18-09-2024</t>
        </is>
      </c>
      <c r="G1279" t="n">
        <v>46633</v>
      </c>
      <c r="I1279">
        <f>G1279</f>
        <v/>
      </c>
      <c r="K1279">
        <f>I1279-G1279</f>
        <v/>
      </c>
      <c r="M1279">
        <f>R1279=E1279</f>
        <v/>
      </c>
      <c r="N1279">
        <f>AND(MONTH(F1279)=MONTH(Q1279), YEAR(F1279)=YEAR(Q1279))</f>
        <v/>
      </c>
      <c r="O1279">
        <f>"L001-902303751"=S1279</f>
        <v/>
      </c>
      <c r="P1279">
        <f>G1279-U1279</f>
        <v/>
      </c>
      <c r="Q1279" s="35" t="n">
        <v>45488</v>
      </c>
      <c r="R1279" t="inlineStr"/>
      <c r="S1279" t="inlineStr">
        <is>
          <t>L001-100011888</t>
        </is>
      </c>
      <c r="T1279" t="inlineStr">
        <is>
          <t>ត្រេន ស្តារ ហ្រេ្វត</t>
        </is>
      </c>
      <c r="U1279" t="n">
        <v>0</v>
      </c>
      <c r="V1279" t="n">
        <v>0</v>
      </c>
    </row>
    <row r="1280">
      <c r="A1280" t="n">
        <v>1279</v>
      </c>
      <c r="B1280" t="inlineStr">
        <is>
          <t>HAWB FIEIGHT, AWB FEE, OM FORWARDING FEE AND H/C</t>
        </is>
      </c>
      <c r="C1280" t="inlineStr">
        <is>
          <t>អ៊ិចស្ពែឌីធ័រ ខេមបូឌា អិលធីឌី</t>
        </is>
      </c>
      <c r="D1280" t="inlineStr">
        <is>
          <t>L001-100045898</t>
        </is>
      </c>
      <c r="E1280" t="inlineStr">
        <is>
          <t>TI-0289213</t>
        </is>
      </c>
      <c r="F1280" t="inlineStr">
        <is>
          <t>18-09-2024</t>
        </is>
      </c>
      <c r="G1280" t="n">
        <v>46633</v>
      </c>
      <c r="I1280">
        <f>G1280</f>
        <v/>
      </c>
      <c r="K1280">
        <f>I1280-G1280</f>
        <v/>
      </c>
      <c r="M1280">
        <f>R1280=E1280</f>
        <v/>
      </c>
      <c r="N1280">
        <f>AND(MONTH(F1280)=MONTH(Q1280), YEAR(F1280)=YEAR(Q1280))</f>
        <v/>
      </c>
      <c r="O1280">
        <f>"L001-902303751"=S1280</f>
        <v/>
      </c>
      <c r="P1280">
        <f>G1280-U1280</f>
        <v/>
      </c>
      <c r="Q1280" s="35" t="n">
        <v>45498</v>
      </c>
      <c r="R1280" t="n">
        <v>2132548</v>
      </c>
      <c r="S1280" t="inlineStr">
        <is>
          <t>K004-105012505</t>
        </is>
      </c>
      <c r="T1280" t="inlineStr">
        <is>
          <t>អេស៊ាន ហ្វ្រេត (ខេមបូឌា)</t>
        </is>
      </c>
      <c r="U1280" t="n">
        <v>2132548</v>
      </c>
      <c r="V1280" t="n">
        <v>0</v>
      </c>
    </row>
    <row r="1281">
      <c r="A1281" t="n">
        <v>1280</v>
      </c>
      <c r="B1281" t="inlineStr">
        <is>
          <t>HAWB FIEIGHT, AWB FEE, OM FORWARDING FEE AND H/C</t>
        </is>
      </c>
      <c r="C1281" t="inlineStr">
        <is>
          <t>អ៊ិចស្ពែឌីធ័រ ខេមបូឌា អិលធីឌី</t>
        </is>
      </c>
      <c r="D1281" t="inlineStr">
        <is>
          <t>L001-100045898</t>
        </is>
      </c>
      <c r="E1281" t="inlineStr">
        <is>
          <t>TI-0289025</t>
        </is>
      </c>
      <c r="F1281" t="inlineStr">
        <is>
          <t>16-09-2024</t>
        </is>
      </c>
      <c r="G1281" t="n">
        <v>46656</v>
      </c>
      <c r="I1281">
        <f>G1281</f>
        <v/>
      </c>
      <c r="K1281">
        <f>I1281-G1281</f>
        <v/>
      </c>
      <c r="M1281">
        <f>R1281=E1281</f>
        <v/>
      </c>
      <c r="N1281">
        <f>AND(MONTH(F1281)=MONTH(Q1281), YEAR(F1281)=YEAR(Q1281))</f>
        <v/>
      </c>
      <c r="O1281">
        <f>"L001-902303751"=S1281</f>
        <v/>
      </c>
      <c r="P1281">
        <f>G1281-U1281</f>
        <v/>
      </c>
      <c r="Q1281" s="35" t="n">
        <v>45474</v>
      </c>
      <c r="R1281" t="inlineStr"/>
      <c r="S1281" t="inlineStr">
        <is>
          <t>L001-107032791</t>
        </is>
      </c>
      <c r="T1281" t="inlineStr">
        <is>
          <t>នីបផន អិចប្រេស (ខេមបូឌា) ខូ អិលធីឌី</t>
        </is>
      </c>
      <c r="U1281" t="n">
        <v>0</v>
      </c>
      <c r="V1281" t="n">
        <v>0</v>
      </c>
    </row>
    <row r="1282">
      <c r="A1282" t="n">
        <v>1281</v>
      </c>
      <c r="B1282" t="inlineStr">
        <is>
          <t>HAWB FIEIGHT, AWB FEE, OM FORWARDING FEE AND H/C</t>
        </is>
      </c>
      <c r="C1282" t="inlineStr">
        <is>
          <t>អ៊ិចស្ពែឌីធ័រ ខេមបូឌា អិលធីឌី</t>
        </is>
      </c>
      <c r="D1282" t="inlineStr">
        <is>
          <t>L001-100045898</t>
        </is>
      </c>
      <c r="E1282" t="inlineStr">
        <is>
          <t>TI-0288637</t>
        </is>
      </c>
      <c r="F1282" t="inlineStr">
        <is>
          <t>13-09-2024</t>
        </is>
      </c>
      <c r="G1282" t="n">
        <v>46656</v>
      </c>
      <c r="I1282">
        <f>G1282</f>
        <v/>
      </c>
      <c r="K1282">
        <f>I1282-G1282</f>
        <v/>
      </c>
      <c r="M1282">
        <f>R1282=E1282</f>
        <v/>
      </c>
      <c r="N1282">
        <f>AND(MONTH(F1282)=MONTH(Q1282), YEAR(F1282)=YEAR(Q1282))</f>
        <v/>
      </c>
      <c r="O1282">
        <f>"L001-902303751"=S1282</f>
        <v/>
      </c>
      <c r="P1282">
        <f>G1282-U1282</f>
        <v/>
      </c>
      <c r="Q1282" s="35" t="n">
        <v>45474</v>
      </c>
      <c r="R1282" t="n">
        <v>113080</v>
      </c>
      <c r="S1282" t="inlineStr">
        <is>
          <t>L001-107032791</t>
        </is>
      </c>
      <c r="T1282" t="inlineStr">
        <is>
          <t>នីបផន អិចប្រេស (ខេមបូឌា) ខូ អិលធីឌី</t>
        </is>
      </c>
      <c r="U1282" t="n">
        <v>113080</v>
      </c>
      <c r="V1282" t="n">
        <v>0</v>
      </c>
    </row>
    <row r="1283">
      <c r="A1283" t="n">
        <v>1282</v>
      </c>
      <c r="B1283" t="inlineStr">
        <is>
          <t>HAWB FIEIGHT, AWB FEE, OM FORWARDING FEE AND H/C</t>
        </is>
      </c>
      <c r="C1283" t="inlineStr">
        <is>
          <t>អ៊ិចស្ពែឌីធ័រ ខេមបូឌា អិលធីឌី</t>
        </is>
      </c>
      <c r="D1283" t="inlineStr">
        <is>
          <t>L001-100045898</t>
        </is>
      </c>
      <c r="E1283" t="inlineStr">
        <is>
          <t>TI-0288665</t>
        </is>
      </c>
      <c r="F1283" t="inlineStr">
        <is>
          <t>14-09-2024</t>
        </is>
      </c>
      <c r="G1283" t="n">
        <v>46656</v>
      </c>
      <c r="I1283">
        <f>G1283</f>
        <v/>
      </c>
      <c r="K1283">
        <f>I1283-G1283</f>
        <v/>
      </c>
      <c r="M1283">
        <f>R1283=E1283</f>
        <v/>
      </c>
      <c r="N1283">
        <f>AND(MONTH(F1283)=MONTH(Q1283), YEAR(F1283)=YEAR(Q1283))</f>
        <v/>
      </c>
      <c r="O1283">
        <f>"L001-902303751"=S1283</f>
        <v/>
      </c>
      <c r="P1283">
        <f>G1283-U1283</f>
        <v/>
      </c>
      <c r="Q1283" s="35" t="n">
        <v>45474</v>
      </c>
      <c r="R1283" t="n">
        <v>84296</v>
      </c>
      <c r="S1283" t="inlineStr">
        <is>
          <t>L001-107032791</t>
        </is>
      </c>
      <c r="T1283" t="inlineStr">
        <is>
          <t>នីបផន អិចប្រេស (ខេមបូឌា) ខូ អិលធីឌី</t>
        </is>
      </c>
      <c r="U1283" t="n">
        <v>84296</v>
      </c>
      <c r="V1283" t="n">
        <v>0</v>
      </c>
    </row>
    <row r="1284">
      <c r="A1284" t="n">
        <v>1283</v>
      </c>
      <c r="B1284" t="inlineStr">
        <is>
          <t>Document Origin, Handling Charges Origin, Airfreight, Overtime Fee, PLACI fee and HAWB Transmission Fee</t>
        </is>
      </c>
      <c r="C1284" t="inlineStr">
        <is>
          <t>ឌីប៊ី សេនឃើរ (ខេមបូឌា) លីមីធីត</t>
        </is>
      </c>
      <c r="D1284" t="inlineStr">
        <is>
          <t>L001-107041723</t>
        </is>
      </c>
      <c r="E1284" t="inlineStr">
        <is>
          <t>2400007827</t>
        </is>
      </c>
      <c r="F1284" t="inlineStr">
        <is>
          <t>30-09-2024</t>
        </is>
      </c>
      <c r="G1284" t="n">
        <v>102743</v>
      </c>
      <c r="I1284">
        <f>G1284</f>
        <v/>
      </c>
      <c r="K1284">
        <f>I1284-G1284</f>
        <v/>
      </c>
      <c r="M1284">
        <f>R1284=E1284</f>
        <v/>
      </c>
      <c r="N1284">
        <f>AND(MONTH(F1284)=MONTH(Q1284), YEAR(F1284)=YEAR(Q1284))</f>
        <v/>
      </c>
      <c r="O1284">
        <f>"L001-902303751"=S1284</f>
        <v/>
      </c>
      <c r="P1284">
        <f>G1284-U1284</f>
        <v/>
      </c>
      <c r="Q1284" s="35" t="n">
        <v>45481</v>
      </c>
      <c r="R1284" t="n">
        <v>84440</v>
      </c>
      <c r="S1284" t="inlineStr">
        <is>
          <t>L001-107032791</t>
        </is>
      </c>
      <c r="T1284" t="inlineStr">
        <is>
          <t>នីបផន អិចប្រេស (ខេមបូឌា) ខូ អិលធីឌី</t>
        </is>
      </c>
      <c r="U1284" t="n">
        <v>84440</v>
      </c>
      <c r="V1284" t="n">
        <v>0</v>
      </c>
    </row>
    <row r="1285">
      <c r="A1285" t="n">
        <v>1284</v>
      </c>
      <c r="B1285" t="inlineStr">
        <is>
          <t>Document Origin, Handling Charges Origin, Airfreight, Overtime Fee, PLACI fee and HAWB Transmission Fee</t>
        </is>
      </c>
      <c r="C1285" t="inlineStr">
        <is>
          <t>ឌីប៊ី សេនឃើរ (ខេមបូឌា) លីមីធីត</t>
        </is>
      </c>
      <c r="D1285" t="inlineStr">
        <is>
          <t>L001-107041723</t>
        </is>
      </c>
      <c r="E1285" t="inlineStr">
        <is>
          <t>2400007693</t>
        </is>
      </c>
      <c r="F1285" t="inlineStr">
        <is>
          <t>25-09-2024</t>
        </is>
      </c>
      <c r="G1285" t="n">
        <v>49975</v>
      </c>
      <c r="I1285">
        <f>G1285</f>
        <v/>
      </c>
      <c r="K1285">
        <f>I1285-G1285</f>
        <v/>
      </c>
      <c r="M1285">
        <f>R1285=E1285</f>
        <v/>
      </c>
      <c r="N1285">
        <f>AND(MONTH(F1285)=MONTH(Q1285), YEAR(F1285)=YEAR(Q1285))</f>
        <v/>
      </c>
      <c r="O1285">
        <f>"L001-902303751"=S1285</f>
        <v/>
      </c>
      <c r="P1285">
        <f>G1285-U1285</f>
        <v/>
      </c>
      <c r="Q1285" s="35" t="n">
        <v>45481</v>
      </c>
      <c r="R1285" t="n">
        <v>84440</v>
      </c>
      <c r="S1285" t="inlineStr">
        <is>
          <t>L001-100045995</t>
        </is>
      </c>
      <c r="T1285" t="inlineStr">
        <is>
          <t>ឌីអេចអិល ឡូជីស្ទីក (ខេមបូឌា)</t>
        </is>
      </c>
      <c r="U1285" t="n">
        <v>84440</v>
      </c>
      <c r="V1285" t="n">
        <v>0</v>
      </c>
    </row>
    <row r="1286">
      <c r="A1286" t="n">
        <v>1285</v>
      </c>
      <c r="B1286" t="inlineStr">
        <is>
          <t>Document Origin, Handling Charges Origin, Airfreight, Overtime Fee, PLACI fee and HAWB Transmission Fee</t>
        </is>
      </c>
      <c r="C1286" t="inlineStr">
        <is>
          <t>ឌីប៊ី សេនឃើរ (ខេមបូឌា) លីមីធីត</t>
        </is>
      </c>
      <c r="D1286" t="inlineStr">
        <is>
          <t>L001-107041723</t>
        </is>
      </c>
      <c r="E1286" t="inlineStr">
        <is>
          <t>2400007616</t>
        </is>
      </c>
      <c r="F1286" t="inlineStr">
        <is>
          <t>20-09-2024</t>
        </is>
      </c>
      <c r="G1286" t="n">
        <v>49950</v>
      </c>
      <c r="I1286">
        <f>G1286</f>
        <v/>
      </c>
      <c r="K1286">
        <f>I1286-G1286</f>
        <v/>
      </c>
      <c r="M1286">
        <f>R1286=E1286</f>
        <v/>
      </c>
      <c r="N1286">
        <f>AND(MONTH(F1286)=MONTH(Q1286), YEAR(F1286)=YEAR(Q1286))</f>
        <v/>
      </c>
      <c r="O1286">
        <f>"L001-902303751"=S1286</f>
        <v/>
      </c>
      <c r="P1286">
        <f>G1286-U1286</f>
        <v/>
      </c>
      <c r="Q1286" s="35" t="n">
        <v>45481</v>
      </c>
      <c r="R1286" t="n">
        <v>84440</v>
      </c>
      <c r="S1286" t="inlineStr">
        <is>
          <t>L001-107032791</t>
        </is>
      </c>
      <c r="T1286" t="inlineStr">
        <is>
          <t>នីបផន អិចប្រេស (ខេមបូឌា) ខូ អិលធីឌី</t>
        </is>
      </c>
      <c r="U1286" t="n">
        <v>84440</v>
      </c>
      <c r="V1286" t="n">
        <v>0</v>
      </c>
    </row>
    <row r="1287">
      <c r="A1287" t="n">
        <v>1286</v>
      </c>
      <c r="B1287" t="inlineStr">
        <is>
          <t>Document Origin, Handling Charges Origin, Airfreight, Overtime Fee, PLACI fee and HAWB Transmission Fee</t>
        </is>
      </c>
      <c r="C1287" t="inlineStr">
        <is>
          <t>ឌីប៊ី សេនឃើរ (ខេមបូឌា) លីមីធីត</t>
        </is>
      </c>
      <c r="D1287" t="inlineStr">
        <is>
          <t>L001-107041723</t>
        </is>
      </c>
      <c r="E1287" t="inlineStr">
        <is>
          <t>2400007499</t>
        </is>
      </c>
      <c r="F1287" t="inlineStr">
        <is>
          <t>17-09-2024</t>
        </is>
      </c>
      <c r="G1287" t="n">
        <v>49864</v>
      </c>
      <c r="I1287">
        <f>G1287</f>
        <v/>
      </c>
      <c r="K1287">
        <f>I1287-G1287</f>
        <v/>
      </c>
      <c r="M1287">
        <f>R1287=E1287</f>
        <v/>
      </c>
      <c r="N1287">
        <f>AND(MONTH(F1287)=MONTH(Q1287), YEAR(F1287)=YEAR(Q1287))</f>
        <v/>
      </c>
      <c r="O1287">
        <f>"L001-902303751"=S1287</f>
        <v/>
      </c>
      <c r="P1287">
        <f>G1287-U1287</f>
        <v/>
      </c>
      <c r="Q1287" s="35" t="n">
        <v>45481</v>
      </c>
      <c r="R1287" t="inlineStr"/>
      <c r="S1287" t="inlineStr">
        <is>
          <t>L001-107032791</t>
        </is>
      </c>
      <c r="T1287" t="inlineStr">
        <is>
          <t>នីបផន អិចប្រេស (ខេមបូឌា) ខូ អិលធីឌី</t>
        </is>
      </c>
      <c r="U1287" t="n">
        <v>0</v>
      </c>
      <c r="V1287" t="n">
        <v>0</v>
      </c>
    </row>
    <row r="1288">
      <c r="A1288" t="n">
        <v>1287</v>
      </c>
      <c r="B1288" t="inlineStr">
        <is>
          <t>Document Origin, Handling Charges Origin, Airfreight, Overtime Fee, PLACI fee and HAWB Transmission Fee</t>
        </is>
      </c>
      <c r="C1288" t="inlineStr">
        <is>
          <t>ឌីប៊ី សេនឃើរ (ខេមបូឌា) លីមីធីត</t>
        </is>
      </c>
      <c r="D1288" t="inlineStr">
        <is>
          <t>L001-107041723</t>
        </is>
      </c>
      <c r="E1288" t="inlineStr">
        <is>
          <t>2400007459</t>
        </is>
      </c>
      <c r="F1288" t="inlineStr">
        <is>
          <t>16-09-2024</t>
        </is>
      </c>
      <c r="G1288" t="n">
        <v>90404</v>
      </c>
      <c r="I1288">
        <f>G1288</f>
        <v/>
      </c>
      <c r="K1288">
        <f>I1288-G1288</f>
        <v/>
      </c>
      <c r="M1288">
        <f>R1288=E1288</f>
        <v/>
      </c>
      <c r="N1288">
        <f>AND(MONTH(F1288)=MONTH(Q1288), YEAR(F1288)=YEAR(Q1288))</f>
        <v/>
      </c>
      <c r="O1288">
        <f>"L001-902303751"=S1288</f>
        <v/>
      </c>
      <c r="P1288">
        <f>G1288-U1288</f>
        <v/>
      </c>
      <c r="Q1288" s="35" t="n">
        <v>45516</v>
      </c>
      <c r="R1288" t="inlineStr"/>
      <c r="S1288" t="inlineStr">
        <is>
          <t>L001-107032791</t>
        </is>
      </c>
      <c r="T1288" t="inlineStr">
        <is>
          <t>នីបផន អិចប្រេស (ខេមបូឌា) ខូ អិលធីឌី</t>
        </is>
      </c>
      <c r="U1288" t="n">
        <v>0</v>
      </c>
      <c r="V1288" t="n">
        <v>0</v>
      </c>
    </row>
    <row r="1289">
      <c r="A1289" t="n">
        <v>1288</v>
      </c>
      <c r="B1289" t="inlineStr">
        <is>
          <t>Document Origin, Handling Charges Origin, Airfreight, Overtime Fee, PLACI fee and HAWB Transmission Fee</t>
        </is>
      </c>
      <c r="C1289" t="inlineStr">
        <is>
          <t>ឌីប៊ី សេនឃើរ (ខេមបូឌា) លីមីធីត</t>
        </is>
      </c>
      <c r="D1289" t="inlineStr">
        <is>
          <t>L001-107041723</t>
        </is>
      </c>
      <c r="E1289" t="inlineStr">
        <is>
          <t>2400007433</t>
        </is>
      </c>
      <c r="F1289" t="inlineStr">
        <is>
          <t>13-09-2024</t>
        </is>
      </c>
      <c r="G1289" t="n">
        <v>49901</v>
      </c>
      <c r="I1289">
        <f>G1289</f>
        <v/>
      </c>
      <c r="K1289">
        <f>I1289-G1289</f>
        <v/>
      </c>
      <c r="M1289">
        <f>R1289=E1289</f>
        <v/>
      </c>
      <c r="N1289">
        <f>AND(MONTH(F1289)=MONTH(Q1289), YEAR(F1289)=YEAR(Q1289))</f>
        <v/>
      </c>
      <c r="O1289">
        <f>"L001-902303751"=S1289</f>
        <v/>
      </c>
      <c r="P1289">
        <f>G1289-U1289</f>
        <v/>
      </c>
      <c r="Q1289" s="35" t="n">
        <v>45523</v>
      </c>
      <c r="R1289" t="inlineStr"/>
      <c r="S1289" t="inlineStr">
        <is>
          <t>L001-100045995</t>
        </is>
      </c>
      <c r="T1289" t="inlineStr">
        <is>
          <t>ឌីអេចអិល ឡូជីស្ទីក (ខេមបូឌា)</t>
        </is>
      </c>
      <c r="U1289" t="n">
        <v>0</v>
      </c>
      <c r="V1289" t="n">
        <v>0</v>
      </c>
    </row>
    <row r="1290">
      <c r="A1290" t="n">
        <v>1289</v>
      </c>
      <c r="B1290" t="inlineStr">
        <is>
          <t>HAWB FIEIGHT, AWB FEE, OM FORWARDING FEE AND H/C</t>
        </is>
      </c>
      <c r="C1290" t="inlineStr">
        <is>
          <t>អ៊ិចស្ពែឌីធ័រ ខេមបូឌា អិលធីឌី</t>
        </is>
      </c>
      <c r="D1290" t="inlineStr">
        <is>
          <t>L001-100045898</t>
        </is>
      </c>
      <c r="E1290" t="inlineStr">
        <is>
          <t>TI-0287932</t>
        </is>
      </c>
      <c r="F1290" t="inlineStr">
        <is>
          <t>11-09-2024</t>
        </is>
      </c>
      <c r="G1290" t="n">
        <v>46736</v>
      </c>
      <c r="I1290">
        <f>G1290</f>
        <v/>
      </c>
      <c r="K1290">
        <f>I1290-G1290</f>
        <v/>
      </c>
      <c r="M1290">
        <f>R1290=E1290</f>
        <v/>
      </c>
      <c r="N1290">
        <f>AND(MONTH(F1290)=MONTH(Q1290), YEAR(F1290)=YEAR(Q1290))</f>
        <v/>
      </c>
      <c r="O1290">
        <f>"L001-902303751"=S1290</f>
        <v/>
      </c>
      <c r="P1290">
        <f>G1290-U1290</f>
        <v/>
      </c>
      <c r="Q1290" s="35" t="n">
        <v>45516</v>
      </c>
      <c r="R1290" t="n">
        <v>83989</v>
      </c>
      <c r="S1290" t="inlineStr">
        <is>
          <t>L001-107032791</t>
        </is>
      </c>
      <c r="T1290" t="inlineStr">
        <is>
          <t>នីបផន អិចប្រេស (ខេមបូឌា) ខូ អិលធីឌី</t>
        </is>
      </c>
      <c r="U1290" t="n">
        <v>83989</v>
      </c>
      <c r="V1290" t="n">
        <v>0</v>
      </c>
    </row>
    <row r="1291">
      <c r="A1291" t="n">
        <v>1290</v>
      </c>
      <c r="B1291" t="inlineStr">
        <is>
          <t>HAWB FIEIGHT, AWB FEE, OM FORWARDING FEE AND H/C</t>
        </is>
      </c>
      <c r="C1291" t="inlineStr">
        <is>
          <t>អ៊ិចស្ពែឌីធ័រ ខេមបូឌា អិលធីឌី</t>
        </is>
      </c>
      <c r="D1291" t="inlineStr">
        <is>
          <t>L001-100045898</t>
        </is>
      </c>
      <c r="E1291" t="inlineStr">
        <is>
          <t>TI-0287888</t>
        </is>
      </c>
      <c r="F1291" t="inlineStr">
        <is>
          <t>11-09-2024</t>
        </is>
      </c>
      <c r="G1291" t="n">
        <v>46736</v>
      </c>
      <c r="I1291">
        <f>G1291</f>
        <v/>
      </c>
      <c r="K1291">
        <f>I1291-G1291</f>
        <v/>
      </c>
      <c r="M1291">
        <f>R1291=E1291</f>
        <v/>
      </c>
      <c r="N1291">
        <f>AND(MONTH(F1291)=MONTH(Q1291), YEAR(F1291)=YEAR(Q1291))</f>
        <v/>
      </c>
      <c r="O1291">
        <f>"L001-902303751"=S1291</f>
        <v/>
      </c>
      <c r="P1291">
        <f>G1291-U1291</f>
        <v/>
      </c>
      <c r="Q1291" s="35" t="n">
        <v>45516</v>
      </c>
      <c r="R1291" t="n">
        <v>83989</v>
      </c>
      <c r="S1291" t="inlineStr">
        <is>
          <t>L001-100045995</t>
        </is>
      </c>
      <c r="T1291" t="inlineStr">
        <is>
          <t>ឌីអេចអិល ឡូជីស្ទីក (ខេមបូឌា)</t>
        </is>
      </c>
      <c r="U1291" t="n">
        <v>83989</v>
      </c>
      <c r="V1291" t="n">
        <v>0</v>
      </c>
    </row>
    <row r="1292">
      <c r="A1292" t="n">
        <v>1291</v>
      </c>
      <c r="B1292" t="inlineStr">
        <is>
          <t>Document Origin, Handling Charges Origin, Airfreight, Overtime Fee, PLACI fee and HAWB Transmission Fee</t>
        </is>
      </c>
      <c r="C1292" t="inlineStr">
        <is>
          <t>ឌីប៊ី សេនឃើរ (ខេមបូឌា) លីមីធីត</t>
        </is>
      </c>
      <c r="D1292" t="inlineStr">
        <is>
          <t>L001-107041723</t>
        </is>
      </c>
      <c r="E1292" t="inlineStr">
        <is>
          <t>2400007409</t>
        </is>
      </c>
      <c r="F1292" t="inlineStr">
        <is>
          <t>12-09-2024</t>
        </is>
      </c>
      <c r="G1292" t="n">
        <v>49938</v>
      </c>
      <c r="I1292">
        <f>G1292</f>
        <v/>
      </c>
      <c r="K1292">
        <f>I1292-G1292</f>
        <v/>
      </c>
      <c r="M1292">
        <f>R1292=E1292</f>
        <v/>
      </c>
      <c r="N1292">
        <f>AND(MONTH(F1292)=MONTH(Q1292), YEAR(F1292)=YEAR(Q1292))</f>
        <v/>
      </c>
      <c r="O1292">
        <f>"L001-902303751"=S1292</f>
        <v/>
      </c>
      <c r="P1292">
        <f>G1292-U1292</f>
        <v/>
      </c>
      <c r="Q1292" s="35" t="n">
        <v>45516</v>
      </c>
      <c r="R1292" t="n">
        <v>112668</v>
      </c>
      <c r="S1292" t="inlineStr">
        <is>
          <t>L001-100045995</t>
        </is>
      </c>
      <c r="T1292" t="inlineStr">
        <is>
          <t>ឌីអេចអិល ឡូជីស្ទីក (ខេមបូឌា)</t>
        </is>
      </c>
      <c r="U1292" t="n">
        <v>112668</v>
      </c>
      <c r="V1292" t="n">
        <v>0</v>
      </c>
    </row>
    <row r="1293">
      <c r="A1293" t="n">
        <v>1292</v>
      </c>
      <c r="B1293" t="inlineStr">
        <is>
          <t>Document Origin, Handling Charges Origin, Airfreight, Overtime Fee, PLACI fee and HAWB Transmission Fee</t>
        </is>
      </c>
      <c r="C1293" t="inlineStr">
        <is>
          <t>ឌីប៊ី សេនឃើរ (ខេមបូឌា) លីមីធីត</t>
        </is>
      </c>
      <c r="D1293" t="inlineStr">
        <is>
          <t>L001-107041723</t>
        </is>
      </c>
      <c r="E1293" t="inlineStr">
        <is>
          <t>2400007425</t>
        </is>
      </c>
      <c r="F1293" t="inlineStr">
        <is>
          <t>12-09-2024</t>
        </is>
      </c>
      <c r="G1293" t="n">
        <v>49938</v>
      </c>
      <c r="I1293">
        <f>G1293</f>
        <v/>
      </c>
      <c r="K1293">
        <f>I1293-G1293</f>
        <v/>
      </c>
      <c r="M1293">
        <f>R1293=E1293</f>
        <v/>
      </c>
      <c r="N1293">
        <f>AND(MONTH(F1293)=MONTH(Q1293), YEAR(F1293)=YEAR(Q1293))</f>
        <v/>
      </c>
      <c r="O1293">
        <f>"L001-902303751"=S1293</f>
        <v/>
      </c>
      <c r="P1293">
        <f>G1293-U1293</f>
        <v/>
      </c>
      <c r="Q1293" s="35" t="n">
        <v>45530</v>
      </c>
      <c r="R1293" t="inlineStr"/>
      <c r="S1293" t="inlineStr">
        <is>
          <t>L001-107032791</t>
        </is>
      </c>
      <c r="T1293" t="inlineStr">
        <is>
          <t>នីបផន អិចប្រេស (ខេមបូឌា) ខូ អិលធីឌី</t>
        </is>
      </c>
      <c r="U1293" t="n">
        <v>0</v>
      </c>
      <c r="V1293" t="n">
        <v>0</v>
      </c>
    </row>
    <row r="1294">
      <c r="A1294" t="n">
        <v>1293</v>
      </c>
      <c r="B1294" t="inlineStr">
        <is>
          <t>Document Origin, Handling Charges Origin, Airfreight, Overtime Fee, PLACI fee and HAWB Transmission Fee</t>
        </is>
      </c>
      <c r="C1294" t="inlineStr">
        <is>
          <t>ឌីប៊ី សេនឃើរ (ខេមបូឌា) លីមីធីត</t>
        </is>
      </c>
      <c r="D1294" t="inlineStr">
        <is>
          <t>L001-107041723</t>
        </is>
      </c>
      <c r="E1294" t="inlineStr">
        <is>
          <t>2400007133</t>
        </is>
      </c>
      <c r="F1294" t="inlineStr">
        <is>
          <t>04-09-2024</t>
        </is>
      </c>
      <c r="G1294" t="n">
        <v>50098</v>
      </c>
      <c r="I1294">
        <f>G1294</f>
        <v/>
      </c>
      <c r="K1294">
        <f>I1294-G1294</f>
        <v/>
      </c>
      <c r="M1294">
        <f>R1294=E1294</f>
        <v/>
      </c>
      <c r="N1294">
        <f>AND(MONTH(F1294)=MONTH(Q1294), YEAR(F1294)=YEAR(Q1294))</f>
        <v/>
      </c>
      <c r="O1294">
        <f>"L001-902303751"=S1294</f>
        <v/>
      </c>
      <c r="P1294">
        <f>G1294-U1294</f>
        <v/>
      </c>
      <c r="Q1294" s="35" t="n">
        <v>45530</v>
      </c>
      <c r="R1294" t="n">
        <v>114676</v>
      </c>
      <c r="S1294" t="inlineStr">
        <is>
          <t>K005-901805913</t>
        </is>
      </c>
      <c r="T1294" t="inlineStr">
        <is>
          <t>ស្តារ ខង់ខដ (ខេមបូឌា) ឯ.ក</t>
        </is>
      </c>
      <c r="U1294" t="n">
        <v>114676</v>
      </c>
      <c r="V1294" t="n">
        <v>0</v>
      </c>
    </row>
    <row r="1295">
      <c r="A1295" t="n">
        <v>1294</v>
      </c>
      <c r="B1295" t="inlineStr">
        <is>
          <t>Monthly Tax Service for August 2024</t>
        </is>
      </c>
      <c r="C1295" t="inlineStr">
        <is>
          <t>ខេឌី ខនសាល់ធេន ឯ.ក</t>
        </is>
      </c>
      <c r="D1295" t="inlineStr">
        <is>
          <t>K005-901704277</t>
        </is>
      </c>
      <c r="E1295" t="inlineStr">
        <is>
          <t>20240001185</t>
        </is>
      </c>
      <c r="F1295" t="inlineStr">
        <is>
          <t>17-09-2024</t>
        </is>
      </c>
      <c r="G1295" t="n">
        <v>101350</v>
      </c>
      <c r="I1295">
        <f>G1295</f>
        <v/>
      </c>
      <c r="K1295">
        <f>I1295-G1295</f>
        <v/>
      </c>
      <c r="M1295">
        <f>R1295=E1295</f>
        <v/>
      </c>
      <c r="N1295">
        <f>AND(MONTH(F1295)=MONTH(Q1295), YEAR(F1295)=YEAR(Q1295))</f>
        <v/>
      </c>
      <c r="O1295">
        <f>"L001-902303751"=S1295</f>
        <v/>
      </c>
      <c r="P1295">
        <f>G1295-U1295</f>
        <v/>
      </c>
      <c r="Q1295" s="35" t="n">
        <v>45530</v>
      </c>
      <c r="R1295" t="inlineStr"/>
      <c r="S1295" t="inlineStr">
        <is>
          <t>L001-107032791</t>
        </is>
      </c>
      <c r="T1295" t="inlineStr">
        <is>
          <t>នីបផន អិចប្រេស (ខេមបូឌា) ខូ អិលធីឌី</t>
        </is>
      </c>
      <c r="U1295" t="n">
        <v>0</v>
      </c>
      <c r="V1295" t="n">
        <v>0</v>
      </c>
    </row>
    <row r="1296">
      <c r="A1296" t="n">
        <v>1295</v>
      </c>
      <c r="B1296" t="inlineStr">
        <is>
          <t>Document Origin, Handling Charges Origin, Airfreight, Overtime Fee, PLACI fee and HAWB Transmission Fee</t>
        </is>
      </c>
      <c r="C1296" t="inlineStr">
        <is>
          <t>ឌីប៊ី សេនឃើរ (ខេមបូឌា) លីមីធីត</t>
        </is>
      </c>
      <c r="D1296" t="inlineStr">
        <is>
          <t>L001-107041723</t>
        </is>
      </c>
      <c r="E1296" t="inlineStr">
        <is>
          <t>2400007131</t>
        </is>
      </c>
      <c r="F1296" t="inlineStr">
        <is>
          <t>04-09-2024</t>
        </is>
      </c>
      <c r="G1296" t="n">
        <v>50098</v>
      </c>
      <c r="I1296">
        <f>G1296</f>
        <v/>
      </c>
      <c r="K1296">
        <f>I1296-G1296</f>
        <v/>
      </c>
      <c r="M1296">
        <f>R1296=E1296</f>
        <v/>
      </c>
      <c r="N1296">
        <f>AND(MONTH(F1296)=MONTH(Q1296), YEAR(F1296)=YEAR(Q1296))</f>
        <v/>
      </c>
      <c r="O1296">
        <f>"L001-902303751"=S1296</f>
        <v/>
      </c>
      <c r="P1296">
        <f>G1296-U1296</f>
        <v/>
      </c>
      <c r="Q1296" s="35" t="n">
        <v>45523</v>
      </c>
      <c r="R1296" t="n">
        <v>174165</v>
      </c>
      <c r="S1296" t="inlineStr">
        <is>
          <t>L001-107032791</t>
        </is>
      </c>
      <c r="T1296" t="inlineStr">
        <is>
          <t>នីបផន អិចប្រេស (ខេមបូឌា) ខូ អិលធីឌី</t>
        </is>
      </c>
      <c r="U1296" t="n">
        <v>174165</v>
      </c>
      <c r="V1296" t="n">
        <v>0</v>
      </c>
    </row>
    <row r="1297">
      <c r="A1297" t="n">
        <v>1296</v>
      </c>
      <c r="B1297" t="inlineStr">
        <is>
          <t>Cargo Terminal</t>
        </is>
      </c>
      <c r="C1297" t="inlineStr">
        <is>
          <t>សូស៊ីយេតេ កុងសេស្យូនែរ ដឺ ឡាអេរ៉ូព័រ</t>
        </is>
      </c>
      <c r="D1297" t="inlineStr">
        <is>
          <t>L001-100047300</t>
        </is>
      </c>
      <c r="E1297" t="inlineStr">
        <is>
          <t>2400-070366</t>
        </is>
      </c>
      <c r="F1297" t="inlineStr">
        <is>
          <t>02-09-2024</t>
        </is>
      </c>
      <c r="G1297" t="n">
        <v>30166</v>
      </c>
      <c r="I1297">
        <f>G1297</f>
        <v/>
      </c>
      <c r="K1297">
        <f>I1297-G1297</f>
        <v/>
      </c>
      <c r="M1297">
        <f>R1297=E1297</f>
        <v/>
      </c>
      <c r="N1297">
        <f>AND(MONTH(F1297)=MONTH(Q1297), YEAR(F1297)=YEAR(Q1297))</f>
        <v/>
      </c>
      <c r="O1297">
        <f>"L001-902303751"=S1297</f>
        <v/>
      </c>
      <c r="P1297">
        <f>G1297-U1297</f>
        <v/>
      </c>
      <c r="Q1297" s="35" t="n">
        <v>45510</v>
      </c>
      <c r="R1297" t="inlineStr"/>
      <c r="S1297" t="inlineStr">
        <is>
          <t>L001-107032791</t>
        </is>
      </c>
      <c r="T1297" t="inlineStr">
        <is>
          <t>នីបផន អិចប្រេស (ខេមបូឌា) ខូ អិលធីឌី</t>
        </is>
      </c>
      <c r="U1297" t="n">
        <v>0</v>
      </c>
      <c r="V1297" t="n">
        <v>0</v>
      </c>
    </row>
    <row r="1298">
      <c r="A1298" t="n">
        <v>1297</v>
      </c>
      <c r="B1298" t="inlineStr">
        <is>
          <t>Cargo Terminal</t>
        </is>
      </c>
      <c r="C1298" t="inlineStr">
        <is>
          <t>សូស៊ីយេតេ កុងសេស្យូនែរ ដឺ ឡាអេរ៉ូព័រ</t>
        </is>
      </c>
      <c r="D1298" t="inlineStr">
        <is>
          <t>L001-100047300</t>
        </is>
      </c>
      <c r="E1298" t="inlineStr">
        <is>
          <t>2400-070365</t>
        </is>
      </c>
      <c r="F1298" t="inlineStr">
        <is>
          <t>02-09-2024</t>
        </is>
      </c>
      <c r="G1298" t="n">
        <v>15845</v>
      </c>
      <c r="I1298">
        <f>G1298</f>
        <v/>
      </c>
      <c r="K1298">
        <f>I1298-G1298</f>
        <v/>
      </c>
      <c r="M1298">
        <f>R1298=E1298</f>
        <v/>
      </c>
      <c r="N1298">
        <f>AND(MONTH(F1298)=MONTH(Q1298), YEAR(F1298)=YEAR(Q1298))</f>
        <v/>
      </c>
      <c r="O1298">
        <f>"L001-902303751"=S1298</f>
        <v/>
      </c>
      <c r="P1298">
        <f>G1298-U1298</f>
        <v/>
      </c>
      <c r="Q1298" s="35" t="n">
        <v>45523</v>
      </c>
      <c r="R1298" t="n">
        <v>112695</v>
      </c>
      <c r="S1298" t="inlineStr">
        <is>
          <t>L001-100045995</t>
        </is>
      </c>
      <c r="T1298" t="inlineStr">
        <is>
          <t>ឌីអេចអិល ឡូជីស្ទីក (ខេមបូឌា)</t>
        </is>
      </c>
      <c r="U1298" t="n">
        <v>112695</v>
      </c>
      <c r="V1298" t="n">
        <v>0</v>
      </c>
    </row>
    <row r="1299">
      <c r="A1299" t="n">
        <v>1298</v>
      </c>
      <c r="B1299" t="inlineStr">
        <is>
          <t>Cargo Terminal</t>
        </is>
      </c>
      <c r="C1299" t="inlineStr">
        <is>
          <t>សូស៊ីយេតេ កុងសេស្យូនែរ ដឺ ឡាអេរ៉ូព័រ</t>
        </is>
      </c>
      <c r="D1299" t="inlineStr">
        <is>
          <t>L001-100047300</t>
        </is>
      </c>
      <c r="E1299" t="inlineStr">
        <is>
          <t>2400-070251</t>
        </is>
      </c>
      <c r="F1299" t="inlineStr">
        <is>
          <t>01-09-2024</t>
        </is>
      </c>
      <c r="G1299" t="n">
        <v>42842</v>
      </c>
      <c r="I1299">
        <f>G1299</f>
        <v/>
      </c>
      <c r="K1299">
        <f>I1299-G1299</f>
        <v/>
      </c>
      <c r="M1299">
        <f>R1299=E1299</f>
        <v/>
      </c>
      <c r="N1299">
        <f>AND(MONTH(F1299)=MONTH(Q1299), YEAR(F1299)=YEAR(Q1299))</f>
        <v/>
      </c>
      <c r="O1299">
        <f>"L001-902303751"=S1299</f>
        <v/>
      </c>
      <c r="P1299">
        <f>G1299-U1299</f>
        <v/>
      </c>
      <c r="Q1299" s="35" t="n">
        <v>45510</v>
      </c>
      <c r="R1299" t="inlineStr"/>
      <c r="S1299" t="inlineStr">
        <is>
          <t>L001-100045995</t>
        </is>
      </c>
      <c r="T1299" t="inlineStr">
        <is>
          <t>ឌីអេចអិល ឡូជីស្ទីក (ខេមបូឌា)</t>
        </is>
      </c>
      <c r="U1299" t="n">
        <v>0</v>
      </c>
      <c r="V1299" t="n">
        <v>0</v>
      </c>
    </row>
    <row r="1300">
      <c r="A1300" t="n">
        <v>1299</v>
      </c>
      <c r="B1300" t="inlineStr">
        <is>
          <t>Cargo Terminal</t>
        </is>
      </c>
      <c r="C1300" t="inlineStr">
        <is>
          <t>សូស៊ីយេតេ កុងសេស្យូនែរ ដឺ ឡាអេរ៉ូព័រ</t>
        </is>
      </c>
      <c r="D1300" t="inlineStr">
        <is>
          <t>L001-100047300</t>
        </is>
      </c>
      <c r="E1300" t="inlineStr">
        <is>
          <t>2400-070304</t>
        </is>
      </c>
      <c r="F1300" t="inlineStr">
        <is>
          <t>01-09-2024</t>
        </is>
      </c>
      <c r="G1300" t="n">
        <v>13598</v>
      </c>
      <c r="I1300">
        <f>G1300</f>
        <v/>
      </c>
      <c r="K1300">
        <f>I1300-G1300</f>
        <v/>
      </c>
      <c r="M1300">
        <f>R1300=E1300</f>
        <v/>
      </c>
      <c r="N1300">
        <f>AND(MONTH(F1300)=MONTH(Q1300), YEAR(F1300)=YEAR(Q1300))</f>
        <v/>
      </c>
      <c r="O1300">
        <f>"L001-902303751"=S1300</f>
        <v/>
      </c>
      <c r="P1300">
        <f>G1300-U1300</f>
        <v/>
      </c>
      <c r="Q1300" s="35" t="n">
        <v>45510</v>
      </c>
      <c r="R1300" t="n">
        <v>84235</v>
      </c>
      <c r="S1300" t="inlineStr">
        <is>
          <t>L001-100045995</t>
        </is>
      </c>
      <c r="T1300" t="inlineStr">
        <is>
          <t>ឌីអេចអិល ឡូជីស្ទីក (ខេមបូឌា)</t>
        </is>
      </c>
      <c r="U1300" t="n">
        <v>84235</v>
      </c>
      <c r="V1300" t="n">
        <v>0</v>
      </c>
    </row>
    <row r="1301">
      <c r="A1301" t="n">
        <v>1300</v>
      </c>
      <c r="B1301" t="inlineStr">
        <is>
          <t>Cargo Terminal</t>
        </is>
      </c>
      <c r="C1301" t="inlineStr">
        <is>
          <t>សូស៊ីយេតេ កុងសេស្យូនែរ ដឺ ឡាអេរ៉ូព័រ</t>
        </is>
      </c>
      <c r="D1301" t="inlineStr">
        <is>
          <t>L001-100047300</t>
        </is>
      </c>
      <c r="E1301" t="inlineStr">
        <is>
          <t>2400-070299</t>
        </is>
      </c>
      <c r="F1301" t="inlineStr">
        <is>
          <t>01-09-2024</t>
        </is>
      </c>
      <c r="G1301" t="n">
        <v>11588</v>
      </c>
      <c r="I1301">
        <f>G1301</f>
        <v/>
      </c>
      <c r="K1301">
        <f>I1301-G1301</f>
        <v/>
      </c>
      <c r="M1301">
        <f>R1301=E1301</f>
        <v/>
      </c>
      <c r="N1301">
        <f>AND(MONTH(F1301)=MONTH(Q1301), YEAR(F1301)=YEAR(Q1301))</f>
        <v/>
      </c>
      <c r="O1301">
        <f>"L001-902303751"=S1301</f>
        <v/>
      </c>
      <c r="P1301">
        <f>G1301-U1301</f>
        <v/>
      </c>
      <c r="Q1301" s="35" t="n">
        <v>45510</v>
      </c>
      <c r="R1301" t="inlineStr"/>
      <c r="S1301" t="inlineStr">
        <is>
          <t>L001-100045995</t>
        </is>
      </c>
      <c r="T1301" t="inlineStr">
        <is>
          <t>ឌីអេចអិល ឡូជីស្ទីក (ខេមបូឌា)</t>
        </is>
      </c>
      <c r="U1301" t="n">
        <v>0</v>
      </c>
      <c r="V1301" t="n">
        <v>0</v>
      </c>
    </row>
    <row r="1302">
      <c r="A1302" t="n">
        <v>1301</v>
      </c>
      <c r="B1302" t="inlineStr">
        <is>
          <t>Laco QC inspection fee in August</t>
        </is>
      </c>
      <c r="C1302" t="inlineStr">
        <is>
          <t>តេនតាក់ (ខេមបូឌា) អ៊ិនស្ពេកសិន</t>
        </is>
      </c>
      <c r="D1302" t="inlineStr">
        <is>
          <t>K009-901638542</t>
        </is>
      </c>
      <c r="E1302" t="inlineStr">
        <is>
          <t>TI2024-0106</t>
        </is>
      </c>
      <c r="F1302" t="inlineStr">
        <is>
          <t>05-09-2024</t>
        </is>
      </c>
      <c r="G1302" t="n">
        <v>957689</v>
      </c>
      <c r="I1302">
        <f>G1302</f>
        <v/>
      </c>
      <c r="K1302">
        <f>I1302-G1302</f>
        <v/>
      </c>
      <c r="M1302">
        <f>R1302=E1302</f>
        <v/>
      </c>
      <c r="N1302">
        <f>AND(MONTH(F1302)=MONTH(Q1302), YEAR(F1302)=YEAR(Q1302))</f>
        <v/>
      </c>
      <c r="O1302">
        <f>"L001-902303751"=S1302</f>
        <v/>
      </c>
      <c r="P1302">
        <f>G1302-U1302</f>
        <v/>
      </c>
      <c r="Q1302" s="35" t="n">
        <v>45510</v>
      </c>
      <c r="R1302" t="n">
        <v>112998</v>
      </c>
      <c r="S1302" t="inlineStr">
        <is>
          <t>L001-107032791</t>
        </is>
      </c>
      <c r="T1302" t="inlineStr">
        <is>
          <t>នីបផន អិចប្រេស (ខេមបូឌា) ខូ អិលធីឌី</t>
        </is>
      </c>
      <c r="U1302" t="n">
        <v>112998</v>
      </c>
      <c r="V1302" t="n">
        <v>0</v>
      </c>
    </row>
    <row r="1303">
      <c r="A1303" t="n">
        <v>1302</v>
      </c>
      <c r="B1303" t="inlineStr">
        <is>
          <t>Structural Safety Assessment 13 September 2024</t>
        </is>
      </c>
      <c r="C1303" t="inlineStr">
        <is>
          <t>ប្យួរ៉ូ វេរីតាស (ខេមបូឌា) លីមីធីត</t>
        </is>
      </c>
      <c r="D1303" t="inlineStr">
        <is>
          <t>L001-107024462</t>
        </is>
      </c>
      <c r="E1303" t="inlineStr">
        <is>
          <t>57000187</t>
        </is>
      </c>
      <c r="F1303" t="inlineStr">
        <is>
          <t>12-09-2024</t>
        </is>
      </c>
      <c r="G1303" t="n">
        <v>751100</v>
      </c>
      <c r="I1303">
        <f>G1303</f>
        <v/>
      </c>
      <c r="K1303">
        <f>I1303-G1303</f>
        <v/>
      </c>
      <c r="M1303">
        <f>R1303=E1303</f>
        <v/>
      </c>
      <c r="N1303">
        <f>AND(MONTH(F1303)=MONTH(Q1303), YEAR(F1303)=YEAR(Q1303))</f>
        <v/>
      </c>
      <c r="O1303">
        <f>"L001-902303751"=S1303</f>
        <v/>
      </c>
      <c r="P1303">
        <f>G1303-U1303</f>
        <v/>
      </c>
      <c r="Q1303" s="35" t="n">
        <v>45510</v>
      </c>
      <c r="R1303" t="inlineStr"/>
      <c r="S1303" t="inlineStr">
        <is>
          <t>L001-100045340</t>
        </is>
      </c>
      <c r="T1303" t="inlineStr">
        <is>
          <t xml:space="preserve">ស៊ីវ៉ា អ៊ែរ អ៊ែន អូសៀន (ខេមបូឌា) ឯ.ក </t>
        </is>
      </c>
      <c r="U1303" t="n">
        <v>0</v>
      </c>
      <c r="V1303" t="n">
        <v>0</v>
      </c>
    </row>
    <row r="1304">
      <c r="A1304" t="n">
        <v>1303</v>
      </c>
      <c r="B1304" t="inlineStr">
        <is>
          <t>Monthly Charge of Photo Copier from 06/08/2024-06/09/2024</t>
        </is>
      </c>
      <c r="C1304" t="inlineStr">
        <is>
          <t>វី.អាយ.អេស ខភៀ ឯ.ក</t>
        </is>
      </c>
      <c r="D1304" t="inlineStr">
        <is>
          <t>K007-901705195</t>
        </is>
      </c>
      <c r="E1304" t="inlineStr">
        <is>
          <t>RNT240922</t>
        </is>
      </c>
      <c r="F1304" t="inlineStr">
        <is>
          <t>06-09-2024</t>
        </is>
      </c>
      <c r="G1304" t="n">
        <v>57036</v>
      </c>
      <c r="I1304">
        <f>G1304</f>
        <v/>
      </c>
      <c r="K1304">
        <f>I1304-G1304</f>
        <v/>
      </c>
      <c r="M1304">
        <f>R1304=E1304</f>
        <v/>
      </c>
      <c r="N1304">
        <f>AND(MONTH(F1304)=MONTH(Q1304), YEAR(F1304)=YEAR(Q1304))</f>
        <v/>
      </c>
      <c r="O1304">
        <f>"L001-902303751"=S1304</f>
        <v/>
      </c>
      <c r="P1304">
        <f>G1304-U1304</f>
        <v/>
      </c>
      <c r="Q1304" s="35" t="n">
        <v>45523</v>
      </c>
      <c r="R1304" t="n">
        <v>84009</v>
      </c>
      <c r="S1304" t="inlineStr">
        <is>
          <t>L001-107032791</t>
        </is>
      </c>
      <c r="T1304" t="inlineStr">
        <is>
          <t>នីបផន អិចប្រេស (ខេមបូឌា) ខូ អិលធីឌី</t>
        </is>
      </c>
      <c r="U1304" t="n">
        <v>84009</v>
      </c>
      <c r="V1304" t="n">
        <v>0</v>
      </c>
    </row>
    <row r="1305">
      <c r="A1305" t="n">
        <v>1304</v>
      </c>
      <c r="B1305" t="inlineStr">
        <is>
          <t>Monthly Charge of Photo Copier from 06/08/2024-06/09/2024</t>
        </is>
      </c>
      <c r="C1305" t="inlineStr">
        <is>
          <t>វី.អាយ.អេស ខភៀ ឯ.ក</t>
        </is>
      </c>
      <c r="D1305" t="inlineStr">
        <is>
          <t>K007-901705195</t>
        </is>
      </c>
      <c r="E1305" t="inlineStr">
        <is>
          <t>RNT240925</t>
        </is>
      </c>
      <c r="F1305" t="inlineStr">
        <is>
          <t>06-09-2024</t>
        </is>
      </c>
      <c r="G1305" t="n">
        <v>57036</v>
      </c>
      <c r="I1305">
        <f>G1305</f>
        <v/>
      </c>
      <c r="K1305">
        <f>I1305-G1305</f>
        <v/>
      </c>
      <c r="M1305">
        <f>R1305=E1305</f>
        <v/>
      </c>
      <c r="N1305">
        <f>AND(MONTH(F1305)=MONTH(Q1305), YEAR(F1305)=YEAR(Q1305))</f>
        <v/>
      </c>
      <c r="O1305">
        <f>"L001-902303751"=S1305</f>
        <v/>
      </c>
      <c r="P1305">
        <f>G1305-U1305</f>
        <v/>
      </c>
      <c r="Q1305" s="35" t="n">
        <v>45523</v>
      </c>
      <c r="R1305" t="n">
        <v>84009</v>
      </c>
      <c r="S1305" t="inlineStr">
        <is>
          <t>L001-107032791</t>
        </is>
      </c>
      <c r="T1305" t="inlineStr">
        <is>
          <t>នីបផន អិចប្រេស (ខេមបូឌា) ខូ អិលធីឌី</t>
        </is>
      </c>
      <c r="U1305" t="n">
        <v>84009</v>
      </c>
      <c r="V1305" t="n">
        <v>0</v>
      </c>
    </row>
    <row r="1306">
      <c r="A1306" t="n">
        <v>1305</v>
      </c>
      <c r="B1306" t="inlineStr">
        <is>
          <t>Monthly Charge of Photo Copier from 06/08/2024-06/09/2024</t>
        </is>
      </c>
      <c r="C1306" t="inlineStr">
        <is>
          <t>វី.អាយ.អេស ខភៀ ឯ.ក</t>
        </is>
      </c>
      <c r="D1306" t="inlineStr">
        <is>
          <t>K007-901705195</t>
        </is>
      </c>
      <c r="E1306" t="inlineStr">
        <is>
          <t>RNT240924</t>
        </is>
      </c>
      <c r="F1306" t="inlineStr">
        <is>
          <t>06-09-2024</t>
        </is>
      </c>
      <c r="G1306" t="n">
        <v>28518</v>
      </c>
      <c r="I1306">
        <f>G1306</f>
        <v/>
      </c>
      <c r="K1306">
        <f>I1306-G1306</f>
        <v/>
      </c>
      <c r="M1306">
        <f>R1306=E1306</f>
        <v/>
      </c>
      <c r="N1306">
        <f>AND(MONTH(F1306)=MONTH(Q1306), YEAR(F1306)=YEAR(Q1306))</f>
        <v/>
      </c>
      <c r="O1306">
        <f>"L001-902303751"=S1306</f>
        <v/>
      </c>
      <c r="P1306">
        <f>G1306-U1306</f>
        <v/>
      </c>
      <c r="Q1306" s="35" t="n">
        <v>45523</v>
      </c>
      <c r="R1306" t="n">
        <v>112695</v>
      </c>
      <c r="S1306" t="inlineStr">
        <is>
          <t>L001-100045995</t>
        </is>
      </c>
      <c r="T1306" t="inlineStr">
        <is>
          <t>ឌីអេចអិល ឡូជីស្ទីក (ខេមបូឌា)</t>
        </is>
      </c>
      <c r="U1306" t="n">
        <v>112695</v>
      </c>
      <c r="V1306" t="n">
        <v>0</v>
      </c>
    </row>
    <row r="1307">
      <c r="A1307" t="n">
        <v>1306</v>
      </c>
      <c r="B1307" t="inlineStr">
        <is>
          <t>Monthly Charge of Photo Copier from 06/08/2024-06/09/2024</t>
        </is>
      </c>
      <c r="C1307" t="inlineStr">
        <is>
          <t>វី.អាយ.អេស ខភៀ ឯ.ក</t>
        </is>
      </c>
      <c r="D1307" t="inlineStr">
        <is>
          <t>K007-901705195</t>
        </is>
      </c>
      <c r="E1307" t="inlineStr">
        <is>
          <t>RNT240923</t>
        </is>
      </c>
      <c r="F1307" t="inlineStr">
        <is>
          <t>06-09-2024</t>
        </is>
      </c>
      <c r="G1307" t="n">
        <v>26481</v>
      </c>
      <c r="I1307">
        <f>G1307</f>
        <v/>
      </c>
      <c r="K1307">
        <f>I1307-G1307</f>
        <v/>
      </c>
      <c r="M1307">
        <f>R1307=E1307</f>
        <v/>
      </c>
      <c r="N1307">
        <f>AND(MONTH(F1307)=MONTH(Q1307), YEAR(F1307)=YEAR(Q1307))</f>
        <v/>
      </c>
      <c r="O1307">
        <f>"L001-902303751"=S1307</f>
        <v/>
      </c>
      <c r="P1307">
        <f>G1307-U1307</f>
        <v/>
      </c>
      <c r="Q1307" s="35" t="n">
        <v>45510</v>
      </c>
      <c r="R1307" t="n">
        <v>84235</v>
      </c>
      <c r="S1307" t="inlineStr">
        <is>
          <t>L001-107032791</t>
        </is>
      </c>
      <c r="T1307" t="inlineStr">
        <is>
          <t>នីបផន អិចប្រេស (ខេមបូឌា) ខូ អិលធីឌី</t>
        </is>
      </c>
      <c r="U1307" t="n">
        <v>84235</v>
      </c>
      <c r="V1307" t="n">
        <v>0</v>
      </c>
    </row>
    <row r="1308">
      <c r="A1308" t="n">
        <v>1307</v>
      </c>
      <c r="B1308" t="inlineStr">
        <is>
          <t>Monthly Charge of Photo Copier from 06/08/2024-06/09/2024</t>
        </is>
      </c>
      <c r="C1308" t="inlineStr">
        <is>
          <t>វី.អាយ.អេស ខភៀ ឯ.ក</t>
        </is>
      </c>
      <c r="D1308" t="inlineStr">
        <is>
          <t>K007-901705195</t>
        </is>
      </c>
      <c r="E1308" t="inlineStr">
        <is>
          <t>RNT240926</t>
        </is>
      </c>
      <c r="F1308" t="inlineStr">
        <is>
          <t>06-09-2024</t>
        </is>
      </c>
      <c r="G1308" t="n">
        <v>28518</v>
      </c>
      <c r="I1308">
        <f>G1308</f>
        <v/>
      </c>
      <c r="K1308">
        <f>I1308-G1308</f>
        <v/>
      </c>
      <c r="M1308">
        <f>R1308=E1308</f>
        <v/>
      </c>
      <c r="N1308">
        <f>AND(MONTH(F1308)=MONTH(Q1308), YEAR(F1308)=YEAR(Q1308))</f>
        <v/>
      </c>
      <c r="O1308">
        <f>"L001-902303751"=S1308</f>
        <v/>
      </c>
      <c r="P1308">
        <f>G1308-U1308</f>
        <v/>
      </c>
      <c r="Q1308" s="35" t="n">
        <v>45523</v>
      </c>
      <c r="R1308" t="inlineStr"/>
      <c r="S1308" t="inlineStr">
        <is>
          <t>L001-107032791</t>
        </is>
      </c>
      <c r="T1308" t="inlineStr">
        <is>
          <t>នីបផន អិចប្រេស (ខេមបូឌា) ខូ អិលធីឌី</t>
        </is>
      </c>
      <c r="U1308" t="n">
        <v>0</v>
      </c>
      <c r="V1308" t="n">
        <v>0</v>
      </c>
    </row>
    <row r="1309">
      <c r="A1309" t="n">
        <v>1308</v>
      </c>
      <c r="B1309" t="inlineStr">
        <is>
          <t>Import Shipment Expense</t>
        </is>
      </c>
      <c r="C1309" t="inlineStr">
        <is>
          <t>ហ្វ្រេត ខនសិប (ខេមបូឌា)</t>
        </is>
      </c>
      <c r="D1309" t="inlineStr">
        <is>
          <t>K009-901502482</t>
        </is>
      </c>
      <c r="E1309" t="inlineStr">
        <is>
          <t>240961</t>
        </is>
      </c>
      <c r="F1309" t="inlineStr">
        <is>
          <t>18-09-2024</t>
        </is>
      </c>
      <c r="G1309" t="n">
        <v>85155</v>
      </c>
      <c r="I1309">
        <f>G1309</f>
        <v/>
      </c>
      <c r="K1309">
        <f>I1309-G1309</f>
        <v/>
      </c>
      <c r="M1309">
        <f>R1309=E1309</f>
        <v/>
      </c>
      <c r="N1309">
        <f>AND(MONTH(F1309)=MONTH(Q1309), YEAR(F1309)=YEAR(Q1309))</f>
        <v/>
      </c>
      <c r="O1309">
        <f>"L001-902303751"=S1309</f>
        <v/>
      </c>
      <c r="P1309">
        <f>G1309-U1309</f>
        <v/>
      </c>
      <c r="Q1309" s="35" t="n">
        <v>45530</v>
      </c>
      <c r="R1309" t="inlineStr"/>
      <c r="S1309" t="inlineStr">
        <is>
          <t>L001-100045995</t>
        </is>
      </c>
      <c r="T1309" t="inlineStr">
        <is>
          <t>ឌីអេចអិល ឡូជីស្ទីក (ខេមបូឌា)</t>
        </is>
      </c>
      <c r="U1309" t="n">
        <v>0</v>
      </c>
      <c r="V1309" t="n">
        <v>0</v>
      </c>
    </row>
    <row r="1310">
      <c r="A1310" t="n">
        <v>1309</v>
      </c>
      <c r="B1310" t="inlineStr">
        <is>
          <t>Charge from Warehouse/cy to trucks and Storage Charges</t>
        </is>
      </c>
      <c r="C1310" t="inlineStr">
        <is>
          <t>កំពង់ផែស្វយ័តក្រុងព្រះសីហនុ</t>
        </is>
      </c>
      <c r="D1310" t="inlineStr">
        <is>
          <t>L001-100044638</t>
        </is>
      </c>
      <c r="E1310" t="inlineStr">
        <is>
          <t>200426</t>
        </is>
      </c>
      <c r="F1310" t="inlineStr">
        <is>
          <t>27-09-2024</t>
        </is>
      </c>
      <c r="G1310" t="n">
        <v>701</v>
      </c>
      <c r="I1310">
        <f>G1310</f>
        <v/>
      </c>
      <c r="K1310">
        <f>I1310-G1310</f>
        <v/>
      </c>
      <c r="M1310">
        <f>R1310=E1310</f>
        <v/>
      </c>
      <c r="N1310">
        <f>AND(MONTH(F1310)=MONTH(Q1310), YEAR(F1310)=YEAR(Q1310))</f>
        <v/>
      </c>
      <c r="O1310">
        <f>"L001-902303751"=S1310</f>
        <v/>
      </c>
      <c r="P1310">
        <f>G1310-U1310</f>
        <v/>
      </c>
      <c r="Q1310" s="35" t="n">
        <v>45530</v>
      </c>
      <c r="R1310" t="n">
        <v>83661</v>
      </c>
      <c r="S1310" t="inlineStr">
        <is>
          <t>L001-107032791</t>
        </is>
      </c>
      <c r="T1310" t="inlineStr">
        <is>
          <t>នីបផន អិចប្រេស (ខេមបូឌា) ខូ អិលធីឌី</t>
        </is>
      </c>
      <c r="U1310" t="n">
        <v>83661</v>
      </c>
      <c r="V1310" t="n">
        <v>0</v>
      </c>
    </row>
    <row r="1311">
      <c r="A1311" t="n">
        <v>1310</v>
      </c>
      <c r="B1311" t="inlineStr">
        <is>
          <t>Customs Clearance Fee and Trucking Fee</t>
        </is>
      </c>
      <c r="C1311" t="inlineStr">
        <is>
          <t>ត្រាយអ៊ែងហ្គល ឡូជីស្ទីក (ខេមបូឌា) ឯ.ក</t>
        </is>
      </c>
      <c r="D1311" t="inlineStr">
        <is>
          <t>K010-902101743</t>
        </is>
      </c>
      <c r="E1311" t="inlineStr">
        <is>
          <t>TAG-24-00726</t>
        </is>
      </c>
      <c r="F1311" t="inlineStr">
        <is>
          <t>30-09-2024</t>
        </is>
      </c>
      <c r="G1311" t="n">
        <v>32488</v>
      </c>
      <c r="I1311">
        <f>G1311</f>
        <v/>
      </c>
      <c r="K1311">
        <f>I1311-G1311</f>
        <v/>
      </c>
      <c r="M1311">
        <f>R1311=E1311</f>
        <v/>
      </c>
      <c r="N1311">
        <f>AND(MONTH(F1311)=MONTH(Q1311), YEAR(F1311)=YEAR(Q1311))</f>
        <v/>
      </c>
      <c r="O1311">
        <f>"L001-902303751"=S1311</f>
        <v/>
      </c>
      <c r="P1311">
        <f>G1311-U1311</f>
        <v/>
      </c>
      <c r="Q1311" s="35" t="n">
        <v>45530</v>
      </c>
      <c r="R1311" t="n">
        <v>173443</v>
      </c>
      <c r="S1311" t="inlineStr">
        <is>
          <t>L001-107032791</t>
        </is>
      </c>
      <c r="T1311" t="inlineStr">
        <is>
          <t>នីបផន អិចប្រេស (ខេមបូឌា) ខូ អិលធីឌី</t>
        </is>
      </c>
      <c r="U1311" t="n">
        <v>173443</v>
      </c>
      <c r="V1311" t="n">
        <v>0</v>
      </c>
    </row>
    <row r="1312">
      <c r="A1312" t="n">
        <v>1311</v>
      </c>
      <c r="B1312" t="inlineStr">
        <is>
          <t>Import Shipment Expense</t>
        </is>
      </c>
      <c r="C1312" t="inlineStr">
        <is>
          <t>ខេអិលអិន ហ្វ្រេត (ខេមបូឌា) ឯ.ក</t>
        </is>
      </c>
      <c r="D1312" t="inlineStr">
        <is>
          <t>L001-100074669</t>
        </is>
      </c>
      <c r="E1312" t="inlineStr">
        <is>
          <t>IVO15158</t>
        </is>
      </c>
      <c r="F1312" t="inlineStr">
        <is>
          <t>25-09-2024</t>
        </is>
      </c>
      <c r="G1312" t="n">
        <v>151753</v>
      </c>
      <c r="I1312">
        <f>G1312</f>
        <v/>
      </c>
      <c r="K1312">
        <f>I1312-G1312</f>
        <v/>
      </c>
      <c r="M1312">
        <f>R1312=E1312</f>
        <v/>
      </c>
      <c r="N1312">
        <f>AND(MONTH(F1312)=MONTH(Q1312), YEAR(F1312)=YEAR(Q1312))</f>
        <v/>
      </c>
      <c r="O1312">
        <f>"L001-902303751"=S1312</f>
        <v/>
      </c>
      <c r="P1312">
        <f>G1312-U1312</f>
        <v/>
      </c>
      <c r="Q1312" s="35" t="n">
        <v>45516</v>
      </c>
      <c r="R1312" t="n">
        <v>202802</v>
      </c>
      <c r="S1312" t="inlineStr">
        <is>
          <t>L001-107032791</t>
        </is>
      </c>
      <c r="T1312" t="inlineStr">
        <is>
          <t>នីបផន អិចប្រេស (ខេមបូឌា) ខូ អិលធីឌី</t>
        </is>
      </c>
      <c r="U1312" t="n">
        <v>202802</v>
      </c>
      <c r="V1312" t="n">
        <v>0</v>
      </c>
    </row>
    <row r="1313">
      <c r="A1313" t="n">
        <v>1312</v>
      </c>
      <c r="B1313" t="inlineStr">
        <is>
          <t>Customs Clearance Fee and Trucking Fee</t>
        </is>
      </c>
      <c r="C1313" t="inlineStr">
        <is>
          <t>ត្រាយអ៊ែងហ្គល ឡូជីស្ទីក (ខេមបូឌា) ឯ.ក</t>
        </is>
      </c>
      <c r="D1313" t="inlineStr">
        <is>
          <t>K010-902101743</t>
        </is>
      </c>
      <c r="E1313" t="inlineStr">
        <is>
          <t>TAG-24-00718</t>
        </is>
      </c>
      <c r="F1313" t="inlineStr">
        <is>
          <t>30-09-2024</t>
        </is>
      </c>
      <c r="G1313" t="n">
        <v>109647</v>
      </c>
      <c r="I1313">
        <f>G1313</f>
        <v/>
      </c>
      <c r="K1313">
        <f>I1313-G1313</f>
        <v/>
      </c>
      <c r="M1313">
        <f>R1313=E1313</f>
        <v/>
      </c>
      <c r="N1313">
        <f>AND(MONTH(F1313)=MONTH(Q1313), YEAR(F1313)=YEAR(Q1313))</f>
        <v/>
      </c>
      <c r="O1313">
        <f>"L001-902303751"=S1313</f>
        <v/>
      </c>
      <c r="P1313">
        <f>G1313-U1313</f>
        <v/>
      </c>
      <c r="Q1313" s="35" t="n">
        <v>45505</v>
      </c>
      <c r="R1313" t="n">
        <v>126968</v>
      </c>
      <c r="S1313" t="inlineStr">
        <is>
          <t>L001-100011888</t>
        </is>
      </c>
      <c r="T1313" t="inlineStr">
        <is>
          <t>ត្រេន ស្តារ ហ្រេ្វត</t>
        </is>
      </c>
      <c r="U1313" t="n">
        <v>126968</v>
      </c>
      <c r="V1313" t="n">
        <v>0</v>
      </c>
    </row>
    <row r="1314">
      <c r="A1314" t="n">
        <v>1313</v>
      </c>
      <c r="B1314" t="inlineStr">
        <is>
          <t>THC GMD24SGNPNH1082, DOC Fee GMD24SGNPNH1082 and Container Imbalance GMD24SGNPNH1082</t>
        </is>
      </c>
      <c r="C1314" t="inlineStr">
        <is>
          <t>សាខាក្រុមហ៊ុន ជីម៉ាឌីប ស៊ីបភីង ខមភេនី លីមីធីត</t>
        </is>
      </c>
      <c r="D1314" t="inlineStr">
        <is>
          <t>L001-901704777</t>
        </is>
      </c>
      <c r="E1314" t="inlineStr">
        <is>
          <t>24-03470</t>
        </is>
      </c>
      <c r="F1314" t="inlineStr">
        <is>
          <t>25-09-2024</t>
        </is>
      </c>
      <c r="G1314" t="n">
        <v>95481</v>
      </c>
      <c r="I1314">
        <f>G1314</f>
        <v/>
      </c>
      <c r="K1314">
        <f>I1314-G1314</f>
        <v/>
      </c>
      <c r="M1314">
        <f>R1314=E1314</f>
        <v/>
      </c>
      <c r="N1314">
        <f>AND(MONTH(F1314)=MONTH(Q1314), YEAR(F1314)=YEAR(Q1314))</f>
        <v/>
      </c>
      <c r="O1314">
        <f>"L001-902303751"=S1314</f>
        <v/>
      </c>
      <c r="P1314">
        <f>G1314-U1314</f>
        <v/>
      </c>
      <c r="Q1314" s="35" t="n">
        <v>45530</v>
      </c>
      <c r="R1314" t="inlineStr"/>
      <c r="S1314" t="inlineStr">
        <is>
          <t>L001-107032791</t>
        </is>
      </c>
      <c r="T1314" t="inlineStr">
        <is>
          <t>នីបផន អិចប្រេស (ខេមបូឌា) ខូ អិលធីឌី</t>
        </is>
      </c>
      <c r="U1314" t="n">
        <v>0</v>
      </c>
      <c r="V1314" t="n">
        <v>0</v>
      </c>
    </row>
    <row r="1315">
      <c r="A1315" t="n">
        <v>1314</v>
      </c>
      <c r="B1315" t="inlineStr">
        <is>
          <t>LIFT-ON Charges 20" Full and Gate Fee Charges 20" Full</t>
        </is>
      </c>
      <c r="C1315" t="inlineStr">
        <is>
          <t>កំពង់ផែស្វយ័តភ្នំពេញ "ក.ស.ភ"</t>
        </is>
      </c>
      <c r="D1315" t="inlineStr">
        <is>
          <t>L001-100044999</t>
        </is>
      </c>
      <c r="E1315" t="inlineStr">
        <is>
          <t>INV20240972094</t>
        </is>
      </c>
      <c r="F1315" t="inlineStr">
        <is>
          <t>26-09-2024</t>
        </is>
      </c>
      <c r="G1315" t="n">
        <v>18690</v>
      </c>
      <c r="I1315">
        <f>G1315</f>
        <v/>
      </c>
      <c r="K1315">
        <f>I1315-G1315</f>
        <v/>
      </c>
      <c r="M1315">
        <f>R1315=E1315</f>
        <v/>
      </c>
      <c r="N1315">
        <f>AND(MONTH(F1315)=MONTH(Q1315), YEAR(F1315)=YEAR(Q1315))</f>
        <v/>
      </c>
      <c r="O1315">
        <f>"L001-902303751"=S1315</f>
        <v/>
      </c>
      <c r="P1315">
        <f>G1315-U1315</f>
        <v/>
      </c>
      <c r="Q1315" s="35" t="n">
        <v>45516</v>
      </c>
      <c r="R1315" t="n">
        <v>83989</v>
      </c>
      <c r="S1315" t="inlineStr">
        <is>
          <t>L001-107032791</t>
        </is>
      </c>
      <c r="T1315" t="inlineStr">
        <is>
          <t>នីបផន អិចប្រេស (ខេមបូឌា) ខូ អិលធីឌី</t>
        </is>
      </c>
      <c r="U1315" t="n">
        <v>83989</v>
      </c>
      <c r="V1315" t="n">
        <v>0</v>
      </c>
    </row>
    <row r="1316">
      <c r="A1316" t="n">
        <v>1315</v>
      </c>
      <c r="B1316" t="inlineStr">
        <is>
          <t>Customs Clearance Fee and Trucking Fee</t>
        </is>
      </c>
      <c r="C1316" t="inlineStr">
        <is>
          <t>ត្រាយអ៊ែងហ្គល ឡូជីស្ទីក (ខេមបូឌា) ឯ.ក</t>
        </is>
      </c>
      <c r="D1316" t="inlineStr">
        <is>
          <t>K010-902101743</t>
        </is>
      </c>
      <c r="E1316" t="inlineStr">
        <is>
          <t>TAG-24-00703</t>
        </is>
      </c>
      <c r="F1316" t="inlineStr">
        <is>
          <t>27-09-2024</t>
        </is>
      </c>
      <c r="G1316" t="n">
        <v>64976</v>
      </c>
      <c r="I1316">
        <f>G1316</f>
        <v/>
      </c>
      <c r="K1316">
        <f>I1316-G1316</f>
        <v/>
      </c>
      <c r="M1316">
        <f>R1316=E1316</f>
        <v/>
      </c>
      <c r="N1316">
        <f>AND(MONTH(F1316)=MONTH(Q1316), YEAR(F1316)=YEAR(Q1316))</f>
        <v/>
      </c>
      <c r="O1316">
        <f>"L001-902303751"=S1316</f>
        <v/>
      </c>
      <c r="P1316">
        <f>G1316-U1316</f>
        <v/>
      </c>
      <c r="Q1316" s="35" t="n">
        <v>45516</v>
      </c>
      <c r="R1316" t="n">
        <v>83989</v>
      </c>
      <c r="S1316" t="inlineStr">
        <is>
          <t>L001-100011888</t>
        </is>
      </c>
      <c r="T1316" t="inlineStr">
        <is>
          <t>ត្រេន ស្តារ ហ្រេ្វត</t>
        </is>
      </c>
      <c r="U1316" t="n">
        <v>83989</v>
      </c>
      <c r="V1316" t="n">
        <v>0</v>
      </c>
    </row>
    <row r="1317">
      <c r="A1317" t="n">
        <v>1316</v>
      </c>
      <c r="B1317" t="inlineStr">
        <is>
          <t>Document Fee and Agency Fee</t>
        </is>
      </c>
      <c r="C1317" t="inlineStr">
        <is>
          <t>អ៊ីហ្វាវ ឡូជីស</t>
        </is>
      </c>
      <c r="D1317" t="inlineStr">
        <is>
          <t>K009-100186262</t>
        </is>
      </c>
      <c r="E1317" t="inlineStr">
        <is>
          <t>EFAW2024-158</t>
        </is>
      </c>
      <c r="F1317" t="inlineStr">
        <is>
          <t>23-09-2024</t>
        </is>
      </c>
      <c r="G1317" t="n">
        <v>24378</v>
      </c>
      <c r="I1317">
        <f>G1317</f>
        <v/>
      </c>
      <c r="K1317">
        <f>I1317-G1317</f>
        <v/>
      </c>
      <c r="M1317">
        <f>R1317=E1317</f>
        <v/>
      </c>
      <c r="N1317">
        <f>AND(MONTH(F1317)=MONTH(Q1317), YEAR(F1317)=YEAR(Q1317))</f>
        <v/>
      </c>
      <c r="O1317">
        <f>"L001-902303751"=S1317</f>
        <v/>
      </c>
      <c r="P1317">
        <f>G1317-U1317</f>
        <v/>
      </c>
      <c r="Q1317" s="35" t="n">
        <v>45510</v>
      </c>
      <c r="R1317" t="inlineStr"/>
      <c r="S1317" t="inlineStr">
        <is>
          <t>L001-100045995</t>
        </is>
      </c>
      <c r="T1317" t="inlineStr">
        <is>
          <t>ឌីអេចអិល ឡូជីស្ទីក (ខេមបូឌា)</t>
        </is>
      </c>
      <c r="U1317" t="n">
        <v>0</v>
      </c>
      <c r="V1317" t="n">
        <v>0</v>
      </c>
    </row>
    <row r="1318">
      <c r="A1318" t="n">
        <v>1317</v>
      </c>
      <c r="B1318" t="inlineStr">
        <is>
          <t>Cargo Terminal</t>
        </is>
      </c>
      <c r="C1318" t="inlineStr">
        <is>
          <t>សូស៊ីយេតេ កុងសេស្យូនែរ ដឺ ឡាអេរ៉ូព័រ</t>
        </is>
      </c>
      <c r="D1318" t="inlineStr">
        <is>
          <t>L001-100047300</t>
        </is>
      </c>
      <c r="E1318" t="inlineStr">
        <is>
          <t>2400-077500</t>
        </is>
      </c>
      <c r="F1318" t="inlineStr">
        <is>
          <t>25-09-2024</t>
        </is>
      </c>
      <c r="G1318" t="n">
        <v>28604</v>
      </c>
      <c r="I1318">
        <f>G1318</f>
        <v/>
      </c>
      <c r="K1318">
        <f>I1318-G1318</f>
        <v/>
      </c>
      <c r="M1318">
        <f>R1318=E1318</f>
        <v/>
      </c>
      <c r="N1318">
        <f>AND(MONTH(F1318)=MONTH(Q1318), YEAR(F1318)=YEAR(Q1318))</f>
        <v/>
      </c>
      <c r="O1318">
        <f>"L001-902303751"=S1318</f>
        <v/>
      </c>
      <c r="P1318">
        <f>G1318-U1318</f>
        <v/>
      </c>
      <c r="Q1318" s="35" t="n">
        <v>45530</v>
      </c>
      <c r="R1318" t="n">
        <v>83661</v>
      </c>
      <c r="S1318" t="inlineStr">
        <is>
          <t>L001-107032791</t>
        </is>
      </c>
      <c r="T1318" t="inlineStr">
        <is>
          <t>នីបផន អិចប្រេស (ខេមបូឌា) ខូ អិលធីឌី</t>
        </is>
      </c>
      <c r="U1318" t="n">
        <v>83661</v>
      </c>
      <c r="V1318" t="n">
        <v>0</v>
      </c>
    </row>
    <row r="1319">
      <c r="A1319" t="n">
        <v>1318</v>
      </c>
      <c r="B1319" t="inlineStr">
        <is>
          <t>Customs Clearance Fee and Trucking Fee</t>
        </is>
      </c>
      <c r="C1319" t="inlineStr">
        <is>
          <t>ត្រាយអ៊ែងហ្គល ឡូជីស្ទីក (ខេមបូឌា) ឯ.ក</t>
        </is>
      </c>
      <c r="D1319" t="inlineStr">
        <is>
          <t>K010-902101743</t>
        </is>
      </c>
      <c r="E1319" t="inlineStr">
        <is>
          <t>TAG-24-00677</t>
        </is>
      </c>
      <c r="F1319" t="inlineStr">
        <is>
          <t>23-09-2024</t>
        </is>
      </c>
      <c r="G1319" t="n">
        <v>28686</v>
      </c>
      <c r="I1319">
        <f>G1319</f>
        <v/>
      </c>
      <c r="K1319">
        <f>I1319-G1319</f>
        <v/>
      </c>
      <c r="M1319">
        <f>R1319=E1319</f>
        <v/>
      </c>
      <c r="N1319">
        <f>AND(MONTH(F1319)=MONTH(Q1319), YEAR(F1319)=YEAR(Q1319))</f>
        <v/>
      </c>
      <c r="O1319">
        <f>"L001-902303751"=S1319</f>
        <v/>
      </c>
      <c r="P1319">
        <f>G1319-U1319</f>
        <v/>
      </c>
      <c r="Q1319" s="35" t="n">
        <v>45530</v>
      </c>
      <c r="R1319" t="inlineStr"/>
      <c r="S1319" t="inlineStr">
        <is>
          <t>K005-901805913</t>
        </is>
      </c>
      <c r="T1319" t="inlineStr">
        <is>
          <t>ស្តារ ខង់ខដ (ខេមបូឌា) ឯ.ក</t>
        </is>
      </c>
      <c r="U1319" t="n">
        <v>0</v>
      </c>
      <c r="V1319" t="n">
        <v>0</v>
      </c>
    </row>
    <row r="1320">
      <c r="A1320" t="n">
        <v>1319</v>
      </c>
      <c r="B1320" t="inlineStr">
        <is>
          <t>Customs Clearance Fee</t>
        </is>
      </c>
      <c r="C1320" t="inlineStr">
        <is>
          <t>ត្រាយអ៊ែងហ្គល ឡូជីស្ទីក (ខេមបូឌា) ឯ.ក</t>
        </is>
      </c>
      <c r="D1320" t="inlineStr">
        <is>
          <t>K010-902101743</t>
        </is>
      </c>
      <c r="E1320" t="inlineStr">
        <is>
          <t>TAG-24-00695</t>
        </is>
      </c>
      <c r="F1320" t="inlineStr">
        <is>
          <t>27-09-2024</t>
        </is>
      </c>
      <c r="G1320" t="n">
        <v>8122</v>
      </c>
      <c r="I1320">
        <f>G1320</f>
        <v/>
      </c>
      <c r="K1320">
        <f>I1320-G1320</f>
        <v/>
      </c>
      <c r="M1320">
        <f>R1320=E1320</f>
        <v/>
      </c>
      <c r="N1320">
        <f>AND(MONTH(F1320)=MONTH(Q1320), YEAR(F1320)=YEAR(Q1320))</f>
        <v/>
      </c>
      <c r="O1320">
        <f>"L001-902303751"=S1320</f>
        <v/>
      </c>
      <c r="P1320">
        <f>G1320-U1320</f>
        <v/>
      </c>
      <c r="Q1320" s="35" t="n">
        <v>45530</v>
      </c>
      <c r="R1320" t="inlineStr"/>
      <c r="S1320" t="inlineStr">
        <is>
          <t>L001-107032791</t>
        </is>
      </c>
      <c r="T1320" t="inlineStr">
        <is>
          <t>នីបផន អិចប្រេស (ខេមបូឌា) ខូ អិលធីឌី</t>
        </is>
      </c>
      <c r="U1320" t="n">
        <v>0</v>
      </c>
      <c r="V1320" t="n">
        <v>0</v>
      </c>
    </row>
    <row r="1321">
      <c r="A1321" t="n">
        <v>1320</v>
      </c>
      <c r="B1321" t="inlineStr">
        <is>
          <t>Import Shipment Expense</t>
        </is>
      </c>
      <c r="C1321" t="inlineStr">
        <is>
          <t>អេស៊ាន ហ្វ្រេត (ខេមបូឌា)</t>
        </is>
      </c>
      <c r="D1321" t="inlineStr">
        <is>
          <t>K004-105012505</t>
        </is>
      </c>
      <c r="E1321" t="inlineStr">
        <is>
          <t>PPTI24-2031</t>
        </is>
      </c>
      <c r="F1321" t="inlineStr">
        <is>
          <t>23-09-2024</t>
        </is>
      </c>
      <c r="G1321" t="n">
        <v>54038</v>
      </c>
      <c r="I1321">
        <f>G1321</f>
        <v/>
      </c>
      <c r="K1321">
        <f>I1321-G1321</f>
        <v/>
      </c>
      <c r="M1321">
        <f>R1321=E1321</f>
        <v/>
      </c>
      <c r="N1321">
        <f>AND(MONTH(F1321)=MONTH(Q1321), YEAR(F1321)=YEAR(Q1321))</f>
        <v/>
      </c>
      <c r="O1321">
        <f>"L001-902303751"=S1321</f>
        <v/>
      </c>
      <c r="P1321">
        <f>G1321-U1321</f>
        <v/>
      </c>
      <c r="Q1321" s="35" t="n">
        <v>45523</v>
      </c>
      <c r="R1321" t="n">
        <v>84009</v>
      </c>
      <c r="S1321" t="inlineStr">
        <is>
          <t>L001-107032791</t>
        </is>
      </c>
      <c r="T1321" t="inlineStr">
        <is>
          <t>នីបផន អិចប្រេស (ខេមបូឌា) ខូ អិលធីឌី</t>
        </is>
      </c>
      <c r="U1321" t="n">
        <v>84009</v>
      </c>
      <c r="V1321" t="n">
        <v>0</v>
      </c>
    </row>
    <row r="1322">
      <c r="A1322" t="n">
        <v>1321</v>
      </c>
      <c r="B1322" t="inlineStr">
        <is>
          <t>Customs Clearance Fee and Trucking Fee</t>
        </is>
      </c>
      <c r="C1322" t="inlineStr">
        <is>
          <t>ត្រាយអ៊ែងហ្គល ឡូជីស្ទីក (ខេមបូឌា) ឯ.ក</t>
        </is>
      </c>
      <c r="D1322" t="inlineStr">
        <is>
          <t>K010-902101743</t>
        </is>
      </c>
      <c r="E1322" t="inlineStr">
        <is>
          <t>TAG-24-00701</t>
        </is>
      </c>
      <c r="F1322" t="inlineStr">
        <is>
          <t>27-09-2024</t>
        </is>
      </c>
      <c r="G1322" t="n">
        <v>28427</v>
      </c>
      <c r="I1322">
        <f>G1322</f>
        <v/>
      </c>
      <c r="K1322">
        <f>I1322-G1322</f>
        <v/>
      </c>
      <c r="M1322">
        <f>R1322=E1322</f>
        <v/>
      </c>
      <c r="N1322">
        <f>AND(MONTH(F1322)=MONTH(Q1322), YEAR(F1322)=YEAR(Q1322))</f>
        <v/>
      </c>
      <c r="O1322">
        <f>"L001-902303751"=S1322</f>
        <v/>
      </c>
      <c r="P1322">
        <f>G1322-U1322</f>
        <v/>
      </c>
      <c r="Q1322" s="35" t="n">
        <v>45523</v>
      </c>
      <c r="R1322" t="n">
        <v>84009</v>
      </c>
      <c r="S1322" t="inlineStr">
        <is>
          <t>L001-107032791</t>
        </is>
      </c>
      <c r="T1322" t="inlineStr">
        <is>
          <t>នីបផន អិចប្រេស (ខេមបូឌា) ខូ អិលធីឌី</t>
        </is>
      </c>
      <c r="U1322" t="n">
        <v>84009</v>
      </c>
      <c r="V1322" t="n">
        <v>0</v>
      </c>
    </row>
    <row r="1323">
      <c r="A1323" t="n">
        <v>1322</v>
      </c>
      <c r="B1323" t="inlineStr">
        <is>
          <t>Import Shipment Expense</t>
        </is>
      </c>
      <c r="C1323" t="inlineStr">
        <is>
          <t>ហ្វ្រេតាស (ខេមបូឌា) ឯ.ក</t>
        </is>
      </c>
      <c r="D1323" t="inlineStr">
        <is>
          <t>K007-901638107</t>
        </is>
      </c>
      <c r="E1323" t="inlineStr">
        <is>
          <t>Y24-117</t>
        </is>
      </c>
      <c r="F1323" t="inlineStr">
        <is>
          <t>25-09-2024</t>
        </is>
      </c>
      <c r="G1323" t="n">
        <v>210057</v>
      </c>
      <c r="I1323">
        <f>G1323</f>
        <v/>
      </c>
      <c r="K1323">
        <f>I1323-G1323</f>
        <v/>
      </c>
      <c r="M1323">
        <f>R1323=E1323</f>
        <v/>
      </c>
      <c r="N1323">
        <f>AND(MONTH(F1323)=MONTH(Q1323), YEAR(F1323)=YEAR(Q1323))</f>
        <v/>
      </c>
      <c r="O1323">
        <f>"L001-902303751"=S1323</f>
        <v/>
      </c>
      <c r="P1323">
        <f>G1323-U1323</f>
        <v/>
      </c>
      <c r="Q1323" s="35" t="n">
        <v>45526</v>
      </c>
      <c r="R1323" t="n">
        <v>1406057</v>
      </c>
      <c r="S1323" t="inlineStr">
        <is>
          <t>K004-105012505</t>
        </is>
      </c>
      <c r="T1323" t="inlineStr">
        <is>
          <t>អេស៊ាន ហ្វ្រេត (ខេមបូឌា)</t>
        </is>
      </c>
      <c r="U1323" t="n">
        <v>1406057</v>
      </c>
      <c r="V1323" t="n">
        <v>0</v>
      </c>
    </row>
    <row r="1324">
      <c r="A1324" t="n">
        <v>1323</v>
      </c>
      <c r="B1324" t="inlineStr">
        <is>
          <t>Gate Fee Charges-GC Truck-1-6 Tons</t>
        </is>
      </c>
      <c r="C1324" t="inlineStr">
        <is>
          <t>កំពង់ផែស្វយ័តភ្នំពេញ "ក.ស.ភ"</t>
        </is>
      </c>
      <c r="D1324" t="inlineStr">
        <is>
          <t>L001-100044999</t>
        </is>
      </c>
      <c r="E1324" t="inlineStr">
        <is>
          <t>INV20240972269</t>
        </is>
      </c>
      <c r="F1324" t="inlineStr">
        <is>
          <t>27-09-2024</t>
        </is>
      </c>
      <c r="G1324" t="n">
        <v>812</v>
      </c>
      <c r="I1324">
        <f>G1324</f>
        <v/>
      </c>
      <c r="K1324">
        <f>I1324-G1324</f>
        <v/>
      </c>
      <c r="M1324">
        <f>R1324=E1324</f>
        <v/>
      </c>
      <c r="N1324">
        <f>AND(MONTH(F1324)=MONTH(Q1324), YEAR(F1324)=YEAR(Q1324))</f>
        <v/>
      </c>
      <c r="O1324">
        <f>"L001-902303751"=S1324</f>
        <v/>
      </c>
      <c r="P1324">
        <f>G1324-U1324</f>
        <v/>
      </c>
      <c r="Q1324" s="35" t="n">
        <v>45516</v>
      </c>
      <c r="R1324" t="n">
        <v>83989</v>
      </c>
      <c r="S1324" t="inlineStr">
        <is>
          <t>L001-107032791</t>
        </is>
      </c>
      <c r="T1324" t="inlineStr">
        <is>
          <t>នីបផន អិចប្រេស (ខេមបូឌា) ខូ អិលធីឌី</t>
        </is>
      </c>
      <c r="U1324" t="n">
        <v>83989</v>
      </c>
      <c r="V1324" t="n">
        <v>0</v>
      </c>
    </row>
    <row r="1325">
      <c r="A1325" t="n">
        <v>1324</v>
      </c>
      <c r="B1325" t="inlineStr">
        <is>
          <t>Customs Clearance Fee and Trucking Fee</t>
        </is>
      </c>
      <c r="C1325" t="inlineStr">
        <is>
          <t>ត្រាយអ៊ែងហ្គល ឡូជីស្ទីក (ខេមបូឌា) ឯ.ក</t>
        </is>
      </c>
      <c r="D1325" t="inlineStr">
        <is>
          <t>K010-902101743</t>
        </is>
      </c>
      <c r="E1325" t="inlineStr">
        <is>
          <t>TAG-24-00699</t>
        </is>
      </c>
      <c r="F1325" t="inlineStr">
        <is>
          <t>27-09-2024</t>
        </is>
      </c>
      <c r="G1325" t="n">
        <v>35079</v>
      </c>
      <c r="I1325">
        <f>G1325</f>
        <v/>
      </c>
      <c r="K1325">
        <f>I1325-G1325</f>
        <v/>
      </c>
      <c r="M1325">
        <f>R1325=E1325</f>
        <v/>
      </c>
      <c r="N1325">
        <f>AND(MONTH(F1325)=MONTH(Q1325), YEAR(F1325)=YEAR(Q1325))</f>
        <v/>
      </c>
      <c r="O1325">
        <f>"L001-902303751"=S1325</f>
        <v/>
      </c>
      <c r="P1325">
        <f>G1325-U1325</f>
        <v/>
      </c>
      <c r="Q1325" s="35" t="n">
        <v>45510</v>
      </c>
      <c r="R1325" t="inlineStr"/>
      <c r="S1325" t="inlineStr">
        <is>
          <t>L001-107032791</t>
        </is>
      </c>
      <c r="T1325" t="inlineStr">
        <is>
          <t>នីបផន អិចប្រេស (ខេមបូឌា) ខូ អិលធីឌី</t>
        </is>
      </c>
      <c r="U1325" t="n">
        <v>0</v>
      </c>
      <c r="V1325" t="n">
        <v>0</v>
      </c>
    </row>
    <row r="1326">
      <c r="A1326" t="n">
        <v>1325</v>
      </c>
      <c r="B1326" t="inlineStr">
        <is>
          <t>Import Shipment Expense</t>
        </is>
      </c>
      <c r="C1326" t="inlineStr">
        <is>
          <t>ហ្វ្រេត ខនសិប (ខេមបូឌា)</t>
        </is>
      </c>
      <c r="D1326" t="inlineStr">
        <is>
          <t>K009-901502482</t>
        </is>
      </c>
      <c r="E1326" t="inlineStr">
        <is>
          <t>240976</t>
        </is>
      </c>
      <c r="F1326" t="inlineStr">
        <is>
          <t>23-09-2024</t>
        </is>
      </c>
      <c r="G1326" t="n">
        <v>122296</v>
      </c>
      <c r="I1326">
        <f>G1326</f>
        <v/>
      </c>
      <c r="K1326">
        <f>I1326-G1326</f>
        <v/>
      </c>
      <c r="M1326">
        <f>R1326=E1326</f>
        <v/>
      </c>
      <c r="N1326">
        <f>AND(MONTH(F1326)=MONTH(Q1326), YEAR(F1326)=YEAR(Q1326))</f>
        <v/>
      </c>
      <c r="O1326">
        <f>"L001-902303751"=S1326</f>
        <v/>
      </c>
      <c r="P1326">
        <f>G1326-U1326</f>
        <v/>
      </c>
      <c r="Q1326" s="35" t="n">
        <v>45510</v>
      </c>
      <c r="R1326" t="n">
        <v>174633</v>
      </c>
      <c r="S1326" t="inlineStr">
        <is>
          <t>L001-107032791</t>
        </is>
      </c>
      <c r="T1326" t="inlineStr">
        <is>
          <t>នីបផន អិចប្រេស (ខេមបូឌា) ខូ អិលធីឌី</t>
        </is>
      </c>
      <c r="U1326" t="n">
        <v>174633</v>
      </c>
      <c r="V1326" t="n">
        <v>0</v>
      </c>
    </row>
    <row r="1327">
      <c r="A1327" t="n">
        <v>1326</v>
      </c>
      <c r="B1327" t="inlineStr">
        <is>
          <t>Customs Clearance Fee and Trucking Fee</t>
        </is>
      </c>
      <c r="C1327" t="inlineStr">
        <is>
          <t>ត្រាយអ៊ែងហ្គល ឡូជីស្ទីក (ខេមបូឌា) ឯ.ក</t>
        </is>
      </c>
      <c r="D1327" t="inlineStr">
        <is>
          <t>K010-902101743</t>
        </is>
      </c>
      <c r="E1327" t="inlineStr">
        <is>
          <t>TAG-24-00700</t>
        </is>
      </c>
      <c r="F1327" t="inlineStr">
        <is>
          <t>27-09-2024</t>
        </is>
      </c>
      <c r="G1327" t="n">
        <v>28427</v>
      </c>
      <c r="I1327">
        <f>G1327</f>
        <v/>
      </c>
      <c r="K1327">
        <f>I1327-G1327</f>
        <v/>
      </c>
      <c r="M1327">
        <f>R1327=E1327</f>
        <v/>
      </c>
      <c r="N1327">
        <f>AND(MONTH(F1327)=MONTH(Q1327), YEAR(F1327)=YEAR(Q1327))</f>
        <v/>
      </c>
      <c r="O1327">
        <f>"L001-902303751"=S1327</f>
        <v/>
      </c>
      <c r="P1327">
        <f>G1327-U1327</f>
        <v/>
      </c>
      <c r="Q1327" s="35" t="n">
        <v>45530</v>
      </c>
      <c r="R1327" t="n">
        <v>112228</v>
      </c>
      <c r="S1327" t="inlineStr">
        <is>
          <t>L001-107032791</t>
        </is>
      </c>
      <c r="T1327" t="inlineStr">
        <is>
          <t>នីបផន អិចប្រេស (ខេមបូឌា) ខូ អិលធីឌី</t>
        </is>
      </c>
      <c r="U1327" t="n">
        <v>112228</v>
      </c>
      <c r="V1327" t="n">
        <v>0</v>
      </c>
    </row>
    <row r="1328">
      <c r="A1328" t="n">
        <v>1327</v>
      </c>
      <c r="B1328" t="inlineStr">
        <is>
          <t>Import Shipment Expense</t>
        </is>
      </c>
      <c r="C1328" t="inlineStr">
        <is>
          <t>អូរៀនថល ឡូជីស្ទីក &amp; ឌីស្ទ្រីប៊្យូសិន (ខេមបូឌា)</t>
        </is>
      </c>
      <c r="D1328" t="inlineStr">
        <is>
          <t>L001-103007369</t>
        </is>
      </c>
      <c r="E1328" t="inlineStr">
        <is>
          <t>24-10186</t>
        </is>
      </c>
      <c r="F1328" t="inlineStr">
        <is>
          <t>25-09-2024</t>
        </is>
      </c>
      <c r="G1328" t="n">
        <v>235654</v>
      </c>
      <c r="I1328">
        <f>G1328</f>
        <v/>
      </c>
      <c r="K1328">
        <f>I1328-G1328</f>
        <v/>
      </c>
      <c r="M1328">
        <f>R1328=E1328</f>
        <v/>
      </c>
      <c r="N1328">
        <f>AND(MONTH(F1328)=MONTH(Q1328), YEAR(F1328)=YEAR(Q1328))</f>
        <v/>
      </c>
      <c r="O1328">
        <f>"L001-902303751"=S1328</f>
        <v/>
      </c>
      <c r="P1328">
        <f>G1328-U1328</f>
        <v/>
      </c>
      <c r="Q1328" s="35" t="n">
        <v>45531</v>
      </c>
      <c r="R1328" t="inlineStr"/>
      <c r="S1328" t="inlineStr">
        <is>
          <t>K002-901800477</t>
        </is>
      </c>
      <c r="T1328" t="inlineStr">
        <is>
          <t>អាយធីអាយ អ៊ិនធើណេសិនណល ត្រេនស័្ពរថេសិន (ខេមបូឌា) ឯ.ក</t>
        </is>
      </c>
      <c r="U1328" t="n">
        <v>0</v>
      </c>
      <c r="V1328" t="n">
        <v>0</v>
      </c>
    </row>
    <row r="1329">
      <c r="A1329" t="n">
        <v>1328</v>
      </c>
      <c r="B1329" t="inlineStr">
        <is>
          <t>Lift-On &amp; Lift-Off</t>
        </is>
      </c>
      <c r="C1329" t="inlineStr">
        <is>
          <t>កំពង់ផែស្វយ័តក្រុងព្រះសីហនុ</t>
        </is>
      </c>
      <c r="D1329" t="inlineStr">
        <is>
          <t>L001-100044638</t>
        </is>
      </c>
      <c r="E1329" t="inlineStr">
        <is>
          <t>199512</t>
        </is>
      </c>
      <c r="F1329" t="inlineStr">
        <is>
          <t>26-09-2024</t>
        </is>
      </c>
      <c r="G1329" t="n">
        <v>35348</v>
      </c>
      <c r="I1329">
        <f>G1329</f>
        <v/>
      </c>
      <c r="K1329">
        <f>I1329-G1329</f>
        <v/>
      </c>
      <c r="M1329">
        <f>R1329=E1329</f>
        <v/>
      </c>
      <c r="N1329">
        <f>AND(MONTH(F1329)=MONTH(Q1329), YEAR(F1329)=YEAR(Q1329))</f>
        <v/>
      </c>
      <c r="O1329">
        <f>"L001-902303751"=S1329</f>
        <v/>
      </c>
      <c r="P1329">
        <f>G1329-U1329</f>
        <v/>
      </c>
      <c r="Q1329" s="35" t="n">
        <v>45526</v>
      </c>
      <c r="R1329" t="n">
        <v>16340</v>
      </c>
      <c r="S1329" t="inlineStr">
        <is>
          <t>L001-107032791</t>
        </is>
      </c>
      <c r="T1329" t="inlineStr">
        <is>
          <t>នីបផន អិចប្រេស (ខេមបូឌា) ខូ អិលធីឌី</t>
        </is>
      </c>
      <c r="U1329" t="n">
        <v>16340</v>
      </c>
      <c r="V1329" t="n">
        <v>0</v>
      </c>
    </row>
    <row r="1330">
      <c r="A1330" t="n">
        <v>1329</v>
      </c>
      <c r="B1330" t="inlineStr">
        <is>
          <t>Customs Clearance Fee and Trucking Fee</t>
        </is>
      </c>
      <c r="C1330" t="inlineStr">
        <is>
          <t>ត្រាយអ៊ែងហ្គល ឡូជីស្ទីក (ខេមបូឌា) ឯ.ក</t>
        </is>
      </c>
      <c r="D1330" t="inlineStr">
        <is>
          <t>K010-902101743</t>
        </is>
      </c>
      <c r="E1330" t="inlineStr">
        <is>
          <t>TAG-24-00725</t>
        </is>
      </c>
      <c r="F1330" t="inlineStr">
        <is>
          <t>30-09-2024</t>
        </is>
      </c>
      <c r="G1330" t="n">
        <v>109647</v>
      </c>
      <c r="I1330">
        <f>G1330</f>
        <v/>
      </c>
      <c r="K1330">
        <f>I1330-G1330</f>
        <v/>
      </c>
      <c r="M1330">
        <f>R1330=E1330</f>
        <v/>
      </c>
      <c r="N1330">
        <f>AND(MONTH(F1330)=MONTH(Q1330), YEAR(F1330)=YEAR(Q1330))</f>
        <v/>
      </c>
      <c r="O1330">
        <f>"L001-902303751"=S1330</f>
        <v/>
      </c>
      <c r="P1330">
        <f>G1330-U1330</f>
        <v/>
      </c>
      <c r="Q1330" s="35" t="n">
        <v>45523</v>
      </c>
      <c r="R1330" t="inlineStr"/>
      <c r="S1330" t="inlineStr">
        <is>
          <t>L001-107032791</t>
        </is>
      </c>
      <c r="T1330" t="inlineStr">
        <is>
          <t>នីបផន អិចប្រេស (ខេមបូឌា) ខូ អិលធីឌី</t>
        </is>
      </c>
      <c r="U1330" t="n">
        <v>0</v>
      </c>
      <c r="V1330" t="n">
        <v>0</v>
      </c>
    </row>
    <row r="1331">
      <c r="A1331" t="n">
        <v>1330</v>
      </c>
      <c r="B1331" t="inlineStr">
        <is>
          <t>Import Shipment Expense</t>
        </is>
      </c>
      <c r="C1331" t="inlineStr">
        <is>
          <t>អូរៀនថល ឡូជីស្ទីក &amp; ឌីស្ទ្រីប៊្យូសិន (ខេមបូឌា)</t>
        </is>
      </c>
      <c r="D1331" t="inlineStr">
        <is>
          <t>L001-103007369</t>
        </is>
      </c>
      <c r="E1331" t="inlineStr">
        <is>
          <t>24-10057</t>
        </is>
      </c>
      <c r="F1331" t="inlineStr">
        <is>
          <t>21-09-2024</t>
        </is>
      </c>
      <c r="G1331" t="n">
        <v>66803</v>
      </c>
      <c r="I1331">
        <f>G1331</f>
        <v/>
      </c>
      <c r="K1331">
        <f>I1331-G1331</f>
        <v/>
      </c>
      <c r="M1331">
        <f>R1331=E1331</f>
        <v/>
      </c>
      <c r="N1331">
        <f>AND(MONTH(F1331)=MONTH(Q1331), YEAR(F1331)=YEAR(Q1331))</f>
        <v/>
      </c>
      <c r="O1331">
        <f>"L001-902303751"=S1331</f>
        <v/>
      </c>
      <c r="P1331">
        <f>G1331-U1331</f>
        <v/>
      </c>
      <c r="Q1331" s="35" t="n">
        <v>45523</v>
      </c>
      <c r="R1331" t="n">
        <v>112695</v>
      </c>
      <c r="S1331" t="inlineStr">
        <is>
          <t>L001-107032791</t>
        </is>
      </c>
      <c r="T1331" t="inlineStr">
        <is>
          <t>នីបផន អិចប្រេស (ខេមបូឌា) ខូ អិលធីឌី</t>
        </is>
      </c>
      <c r="U1331" t="n">
        <v>112695</v>
      </c>
      <c r="V1331" t="n">
        <v>0</v>
      </c>
    </row>
    <row r="1332">
      <c r="A1332" t="n">
        <v>1331</v>
      </c>
      <c r="B1332" t="inlineStr">
        <is>
          <t>Warehouse Fee</t>
        </is>
      </c>
      <c r="C1332" t="inlineStr">
        <is>
          <t>ហាន​ &amp; ជុន ត្រេនស្ព័ត ខូ អិលធីឌី</t>
        </is>
      </c>
      <c r="D1332" t="inlineStr">
        <is>
          <t>L001-104016647</t>
        </is>
      </c>
      <c r="E1332" t="inlineStr">
        <is>
          <t>HJ24-3113</t>
        </is>
      </c>
      <c r="F1332" t="inlineStr">
        <is>
          <t>23-09-2024</t>
        </is>
      </c>
      <c r="G1332" t="n">
        <v>713</v>
      </c>
      <c r="I1332">
        <f>G1332</f>
        <v/>
      </c>
      <c r="K1332">
        <f>I1332-G1332</f>
        <v/>
      </c>
      <c r="M1332">
        <f>R1332=E1332</f>
        <v/>
      </c>
      <c r="N1332">
        <f>AND(MONTH(F1332)=MONTH(Q1332), YEAR(F1332)=YEAR(Q1332))</f>
        <v/>
      </c>
      <c r="O1332">
        <f>"L001-902303751"=S1332</f>
        <v/>
      </c>
      <c r="P1332">
        <f>G1332-U1332</f>
        <v/>
      </c>
      <c r="Q1332" s="35" t="n">
        <v>45523</v>
      </c>
      <c r="R1332" t="inlineStr"/>
      <c r="S1332" t="inlineStr">
        <is>
          <t>L001-107032791</t>
        </is>
      </c>
      <c r="T1332" t="inlineStr">
        <is>
          <t>នីបផន អិចប្រេស (ខេមបូឌា) ខូ អិលធីឌី</t>
        </is>
      </c>
      <c r="U1332" t="n">
        <v>0</v>
      </c>
      <c r="V1332" t="n">
        <v>0</v>
      </c>
    </row>
    <row r="1333">
      <c r="A1333" t="n">
        <v>1332</v>
      </c>
      <c r="B1333" t="inlineStr">
        <is>
          <t>Warehouse Fee</t>
        </is>
      </c>
      <c r="C1333" t="inlineStr">
        <is>
          <t>ហាន​ &amp; ជុន ត្រេនស្ព័ត ខូ អិលធីឌី</t>
        </is>
      </c>
      <c r="D1333" t="inlineStr">
        <is>
          <t>L001-104016647</t>
        </is>
      </c>
      <c r="E1333" t="inlineStr">
        <is>
          <t>HJ24-3037</t>
        </is>
      </c>
      <c r="F1333" t="inlineStr">
        <is>
          <t>23-09-2024</t>
        </is>
      </c>
      <c r="G1333" t="n">
        <v>4746</v>
      </c>
      <c r="I1333">
        <f>G1333</f>
        <v/>
      </c>
      <c r="K1333">
        <f>I1333-G1333</f>
        <v/>
      </c>
      <c r="M1333">
        <f>R1333=E1333</f>
        <v/>
      </c>
      <c r="N1333">
        <f>AND(MONTH(F1333)=MONTH(Q1333), YEAR(F1333)=YEAR(Q1333))</f>
        <v/>
      </c>
      <c r="O1333">
        <f>"L001-902303751"=S1333</f>
        <v/>
      </c>
      <c r="P1333">
        <f>G1333-U1333</f>
        <v/>
      </c>
      <c r="Q1333" s="35" t="n">
        <v>45530</v>
      </c>
      <c r="R1333" t="inlineStr"/>
      <c r="S1333" t="inlineStr">
        <is>
          <t>L001-107032791</t>
        </is>
      </c>
      <c r="T1333" t="inlineStr">
        <is>
          <t>នីបផន អិចប្រេស (ខេមបូឌា) ខូ អិលធីឌី</t>
        </is>
      </c>
      <c r="U1333" t="n">
        <v>0</v>
      </c>
      <c r="V1333" t="n">
        <v>0</v>
      </c>
    </row>
    <row r="1334">
      <c r="A1334" t="n">
        <v>1333</v>
      </c>
      <c r="B1334" t="inlineStr">
        <is>
          <t>Customs Clearance Fee and Trucking Fee</t>
        </is>
      </c>
      <c r="C1334" t="inlineStr">
        <is>
          <t>ត្រាយអ៊ែងហ្គល ឡូជីស្ទីក (ខេមបូឌា) ឯ.ក</t>
        </is>
      </c>
      <c r="D1334" t="inlineStr">
        <is>
          <t>K010-902101743</t>
        </is>
      </c>
      <c r="E1334" t="inlineStr">
        <is>
          <t>TAG-24-00704</t>
        </is>
      </c>
      <c r="F1334" t="inlineStr">
        <is>
          <t>27-09-2024</t>
        </is>
      </c>
      <c r="G1334" t="n">
        <v>28427</v>
      </c>
      <c r="I1334">
        <f>G1334</f>
        <v/>
      </c>
      <c r="K1334">
        <f>I1334-G1334</f>
        <v/>
      </c>
      <c r="M1334">
        <f>R1334=E1334</f>
        <v/>
      </c>
      <c r="N1334">
        <f>AND(MONTH(F1334)=MONTH(Q1334), YEAR(F1334)=YEAR(Q1334))</f>
        <v/>
      </c>
      <c r="O1334">
        <f>"L001-902303751"=S1334</f>
        <v/>
      </c>
      <c r="P1334">
        <f>G1334-U1334</f>
        <v/>
      </c>
      <c r="Q1334" s="35" t="n">
        <v>45516</v>
      </c>
      <c r="R1334" t="n">
        <v>83989</v>
      </c>
      <c r="S1334" t="inlineStr">
        <is>
          <t>L001-100045995</t>
        </is>
      </c>
      <c r="T1334" t="inlineStr">
        <is>
          <t>ឌីអេចអិល ឡូជីស្ទីក (ខេមបូឌា)</t>
        </is>
      </c>
      <c r="U1334" t="n">
        <v>83989</v>
      </c>
      <c r="V1334" t="n">
        <v>0</v>
      </c>
    </row>
    <row r="1335">
      <c r="A1335" t="n">
        <v>1334</v>
      </c>
      <c r="B1335" t="inlineStr">
        <is>
          <t>Import Shipment Expense</t>
        </is>
      </c>
      <c r="C1335" t="inlineStr">
        <is>
          <t>ខេអិលអិន ហ្វ្រេត (ខេមបូឌា) ឯ.ក</t>
        </is>
      </c>
      <c r="D1335" t="inlineStr">
        <is>
          <t>L001-100074669</t>
        </is>
      </c>
      <c r="E1335" t="inlineStr">
        <is>
          <t>IVO15114</t>
        </is>
      </c>
      <c r="F1335" t="inlineStr">
        <is>
          <t>25-09-2024</t>
        </is>
      </c>
      <c r="G1335" t="n">
        <v>123766</v>
      </c>
      <c r="I1335">
        <f>G1335</f>
        <v/>
      </c>
      <c r="K1335">
        <f>I1335-G1335</f>
        <v/>
      </c>
      <c r="M1335">
        <f>R1335=E1335</f>
        <v/>
      </c>
      <c r="N1335">
        <f>AND(MONTH(F1335)=MONTH(Q1335), YEAR(F1335)=YEAR(Q1335))</f>
        <v/>
      </c>
      <c r="O1335">
        <f>"L001-902303751"=S1335</f>
        <v/>
      </c>
      <c r="P1335">
        <f>G1335-U1335</f>
        <v/>
      </c>
      <c r="Q1335" s="35" t="n">
        <v>45516</v>
      </c>
      <c r="R1335" t="n">
        <v>83989</v>
      </c>
      <c r="S1335" t="inlineStr">
        <is>
          <t>L001-107032791</t>
        </is>
      </c>
      <c r="T1335" t="inlineStr">
        <is>
          <t>នីបផន អិចប្រេស (ខេមបូឌា) ខូ អិលធីឌី</t>
        </is>
      </c>
      <c r="U1335" t="n">
        <v>83989</v>
      </c>
      <c r="V1335" t="n">
        <v>0</v>
      </c>
    </row>
    <row r="1336">
      <c r="A1336" t="n">
        <v>1335</v>
      </c>
      <c r="B1336" t="inlineStr">
        <is>
          <t>Lift-On &amp; Lift-Off</t>
        </is>
      </c>
      <c r="C1336" t="inlineStr">
        <is>
          <t>កំពង់ផែស្វយ័តក្រុងព្រះសីហនុ</t>
        </is>
      </c>
      <c r="D1336" t="inlineStr">
        <is>
          <t>L001-100044638</t>
        </is>
      </c>
      <c r="E1336" t="inlineStr">
        <is>
          <t>196326</t>
        </is>
      </c>
      <c r="F1336" t="inlineStr">
        <is>
          <t>21-09-2024</t>
        </is>
      </c>
      <c r="G1336" t="n">
        <v>23148</v>
      </c>
      <c r="I1336">
        <f>G1336</f>
        <v/>
      </c>
      <c r="K1336">
        <f>I1336-G1336</f>
        <v/>
      </c>
      <c r="M1336">
        <f>R1336=E1336</f>
        <v/>
      </c>
      <c r="N1336">
        <f>AND(MONTH(F1336)=MONTH(Q1336), YEAR(F1336)=YEAR(Q1336))</f>
        <v/>
      </c>
      <c r="O1336">
        <f>"L001-902303751"=S1336</f>
        <v/>
      </c>
      <c r="P1336">
        <f>G1336-U1336</f>
        <v/>
      </c>
      <c r="Q1336" s="35" t="n">
        <v>45510</v>
      </c>
      <c r="R1336" t="inlineStr"/>
      <c r="S1336" t="inlineStr">
        <is>
          <t>L001-107032791</t>
        </is>
      </c>
      <c r="T1336" t="inlineStr">
        <is>
          <t>នីបផន អិចប្រេស (ខេមបូឌា) ខូ អិលធីឌី</t>
        </is>
      </c>
      <c r="U1336" t="n">
        <v>0</v>
      </c>
      <c r="V1336" t="n">
        <v>0</v>
      </c>
    </row>
    <row r="1337">
      <c r="A1337" t="n">
        <v>1336</v>
      </c>
      <c r="B1337" t="inlineStr">
        <is>
          <t>Customs Clearance Fee and Trucking Fee</t>
        </is>
      </c>
      <c r="C1337" t="inlineStr">
        <is>
          <t>ត្រាយអ៊ែងហ្គល ឡូជីស្ទីក (ខេមបូឌា) ឯ.ក</t>
        </is>
      </c>
      <c r="D1337" t="inlineStr">
        <is>
          <t>K010-902101743</t>
        </is>
      </c>
      <c r="E1337" t="inlineStr">
        <is>
          <t>TAG-24-00707</t>
        </is>
      </c>
      <c r="F1337" t="inlineStr">
        <is>
          <t>30-09-2024</t>
        </is>
      </c>
      <c r="G1337" t="n">
        <v>69037</v>
      </c>
      <c r="I1337">
        <f>G1337</f>
        <v/>
      </c>
      <c r="K1337">
        <f>I1337-G1337</f>
        <v/>
      </c>
      <c r="M1337">
        <f>R1337=E1337</f>
        <v/>
      </c>
      <c r="N1337">
        <f>AND(MONTH(F1337)=MONTH(Q1337), YEAR(F1337)=YEAR(Q1337))</f>
        <v/>
      </c>
      <c r="O1337">
        <f>"L001-902303751"=S1337</f>
        <v/>
      </c>
      <c r="P1337">
        <f>G1337-U1337</f>
        <v/>
      </c>
      <c r="Q1337" s="35" t="n">
        <v>45510</v>
      </c>
      <c r="R1337" t="n">
        <v>84235</v>
      </c>
      <c r="S1337" t="inlineStr">
        <is>
          <t>L001-107032791</t>
        </is>
      </c>
      <c r="T1337" t="inlineStr">
        <is>
          <t>នីបផន អិចប្រេស (ខេមបូឌា) ខូ អិលធីឌី</t>
        </is>
      </c>
      <c r="U1337" t="n">
        <v>84235</v>
      </c>
      <c r="V1337" t="n">
        <v>0</v>
      </c>
    </row>
    <row r="1338">
      <c r="A1338" t="n">
        <v>1337</v>
      </c>
      <c r="B1338" t="inlineStr">
        <is>
          <t>Customs Clearance Fee</t>
        </is>
      </c>
      <c r="C1338" t="inlineStr">
        <is>
          <t>ត្រាយអ៊ែងហ្គល ឡូជីស្ទីក (ខេមបូឌា) ឯ.ក</t>
        </is>
      </c>
      <c r="D1338" t="inlineStr">
        <is>
          <t>K010-902101743</t>
        </is>
      </c>
      <c r="E1338" t="inlineStr">
        <is>
          <t>TAG-24-00696</t>
        </is>
      </c>
      <c r="F1338" t="inlineStr">
        <is>
          <t>27-09-2024</t>
        </is>
      </c>
      <c r="G1338" t="n">
        <v>8122</v>
      </c>
      <c r="I1338">
        <f>G1338</f>
        <v/>
      </c>
      <c r="K1338">
        <f>I1338-G1338</f>
        <v/>
      </c>
      <c r="M1338">
        <f>R1338=E1338</f>
        <v/>
      </c>
      <c r="N1338">
        <f>AND(MONTH(F1338)=MONTH(Q1338), YEAR(F1338)=YEAR(Q1338))</f>
        <v/>
      </c>
      <c r="O1338">
        <f>"L001-902303751"=S1338</f>
        <v/>
      </c>
      <c r="P1338">
        <f>G1338-U1338</f>
        <v/>
      </c>
      <c r="Q1338" s="35" t="n">
        <v>45510</v>
      </c>
      <c r="R1338" t="n">
        <v>84235</v>
      </c>
      <c r="S1338" t="inlineStr">
        <is>
          <t>L001-107032791</t>
        </is>
      </c>
      <c r="T1338" t="inlineStr">
        <is>
          <t>នីបផន អិចប្រេស (ខេមបូឌា) ខូ អិលធីឌី</t>
        </is>
      </c>
      <c r="U1338" t="n">
        <v>84235</v>
      </c>
      <c r="V1338" t="n">
        <v>0</v>
      </c>
    </row>
    <row r="1339">
      <c r="A1339" t="n">
        <v>1338</v>
      </c>
      <c r="B1339" t="inlineStr">
        <is>
          <t>Import Shipment Expense</t>
        </is>
      </c>
      <c r="C1339" t="inlineStr">
        <is>
          <t>ហ្វ្រេត ខនសិប (ខេមបូឌា)</t>
        </is>
      </c>
      <c r="D1339" t="inlineStr">
        <is>
          <t>K009-901502482</t>
        </is>
      </c>
      <c r="E1339" t="inlineStr">
        <is>
          <t>240964</t>
        </is>
      </c>
      <c r="F1339" t="inlineStr">
        <is>
          <t>18-09-2024</t>
        </is>
      </c>
      <c r="G1339" t="n">
        <v>112161</v>
      </c>
      <c r="I1339">
        <f>G1339</f>
        <v/>
      </c>
      <c r="K1339">
        <f>I1339-G1339</f>
        <v/>
      </c>
      <c r="M1339">
        <f>R1339=E1339</f>
        <v/>
      </c>
      <c r="N1339">
        <f>AND(MONTH(F1339)=MONTH(Q1339), YEAR(F1339)=YEAR(Q1339))</f>
        <v/>
      </c>
      <c r="O1339">
        <f>"L001-902303751"=S1339</f>
        <v/>
      </c>
      <c r="P1339">
        <f>G1339-U1339</f>
        <v/>
      </c>
      <c r="Q1339" s="35" t="n">
        <v>45523</v>
      </c>
      <c r="R1339" t="inlineStr"/>
      <c r="S1339" t="inlineStr">
        <is>
          <t>L001-107032791</t>
        </is>
      </c>
      <c r="T1339" t="inlineStr">
        <is>
          <t>នីបផន អិចប្រេស (ខេមបូឌា) ខូ អិលធីឌី</t>
        </is>
      </c>
      <c r="U1339" t="n">
        <v>0</v>
      </c>
      <c r="V1339" t="n">
        <v>0</v>
      </c>
    </row>
    <row r="1340">
      <c r="A1340" t="n">
        <v>1339</v>
      </c>
      <c r="B1340" t="inlineStr">
        <is>
          <t>Charge from Warehouse/cy to trucks</t>
        </is>
      </c>
      <c r="C1340" t="inlineStr">
        <is>
          <t>កំពង់ផែស្វយ័តក្រុងព្រះសីហនុ</t>
        </is>
      </c>
      <c r="D1340" t="inlineStr">
        <is>
          <t>L001-100044638</t>
        </is>
      </c>
      <c r="E1340" t="inlineStr">
        <is>
          <t>200430</t>
        </is>
      </c>
      <c r="F1340" t="inlineStr">
        <is>
          <t>27-09-2024</t>
        </is>
      </c>
      <c r="G1340" t="n">
        <v>1244</v>
      </c>
      <c r="I1340">
        <f>G1340</f>
        <v/>
      </c>
      <c r="K1340">
        <f>I1340-G1340</f>
        <v/>
      </c>
      <c r="M1340">
        <f>R1340=E1340</f>
        <v/>
      </c>
      <c r="N1340">
        <f>AND(MONTH(F1340)=MONTH(Q1340), YEAR(F1340)=YEAR(Q1340))</f>
        <v/>
      </c>
      <c r="O1340">
        <f>"L001-902303751"=S1340</f>
        <v/>
      </c>
      <c r="P1340">
        <f>G1340-U1340</f>
        <v/>
      </c>
      <c r="Q1340" s="35" t="n">
        <v>45530</v>
      </c>
      <c r="R1340" t="n">
        <v>112228</v>
      </c>
      <c r="S1340" t="inlineStr">
        <is>
          <t>L001-107032791</t>
        </is>
      </c>
      <c r="T1340" t="inlineStr">
        <is>
          <t>នីបផន អិចប្រេស (ខេមបូឌា) ខូ អិលធីឌី</t>
        </is>
      </c>
      <c r="U1340" t="n">
        <v>112228</v>
      </c>
      <c r="V1340" t="n">
        <v>0</v>
      </c>
    </row>
    <row r="1341">
      <c r="A1341" t="n">
        <v>1340</v>
      </c>
      <c r="B1341" t="inlineStr">
        <is>
          <t>Customs Clearance Fee and Trucking Fee</t>
        </is>
      </c>
      <c r="C1341" t="inlineStr">
        <is>
          <t>ត្រាយអ៊ែងហ្គល ឡូជីស្ទីក (ខេមបូឌា) ឯ.ក</t>
        </is>
      </c>
      <c r="D1341" t="inlineStr">
        <is>
          <t>K010-902101743</t>
        </is>
      </c>
      <c r="E1341" t="inlineStr">
        <is>
          <t>TAG-24-00727</t>
        </is>
      </c>
      <c r="F1341" t="inlineStr">
        <is>
          <t>30-09-2024</t>
        </is>
      </c>
      <c r="G1341" t="n">
        <v>32488</v>
      </c>
      <c r="I1341">
        <f>G1341</f>
        <v/>
      </c>
      <c r="K1341">
        <f>I1341-G1341</f>
        <v/>
      </c>
      <c r="M1341">
        <f>R1341=E1341</f>
        <v/>
      </c>
      <c r="N1341">
        <f>AND(MONTH(F1341)=MONTH(Q1341), YEAR(F1341)=YEAR(Q1341))</f>
        <v/>
      </c>
      <c r="O1341">
        <f>"L001-902303751"=S1341</f>
        <v/>
      </c>
      <c r="P1341">
        <f>G1341-U1341</f>
        <v/>
      </c>
      <c r="Q1341" s="35" t="n">
        <v>45530</v>
      </c>
      <c r="R1341" t="n">
        <v>83661</v>
      </c>
      <c r="S1341" t="inlineStr">
        <is>
          <t>L001-107032791</t>
        </is>
      </c>
      <c r="T1341" t="inlineStr">
        <is>
          <t>នីបផន អិចប្រេស (ខេមបូឌា) ខូ អិលធីឌី</t>
        </is>
      </c>
      <c r="U1341" t="n">
        <v>83661</v>
      </c>
      <c r="V1341" t="n">
        <v>0</v>
      </c>
    </row>
    <row r="1342">
      <c r="A1342" t="n">
        <v>1341</v>
      </c>
      <c r="B1342" t="inlineStr">
        <is>
          <t>Import Shipment Expense</t>
        </is>
      </c>
      <c r="C1342" t="inlineStr">
        <is>
          <t>គ្លូប៊ល ស៊ី &amp; លែន ឯ.ក</t>
        </is>
      </c>
      <c r="D1342" t="inlineStr">
        <is>
          <t>K007-901702732</t>
        </is>
      </c>
      <c r="E1342" t="inlineStr">
        <is>
          <t>PPTI24-09-056</t>
        </is>
      </c>
      <c r="F1342" t="inlineStr">
        <is>
          <t>23-09-2024</t>
        </is>
      </c>
      <c r="G1342" t="n">
        <v>114651</v>
      </c>
      <c r="I1342">
        <f>G1342</f>
        <v/>
      </c>
      <c r="K1342">
        <f>I1342-G1342</f>
        <v/>
      </c>
      <c r="M1342">
        <f>R1342=E1342</f>
        <v/>
      </c>
      <c r="N1342">
        <f>AND(MONTH(F1342)=MONTH(Q1342), YEAR(F1342)=YEAR(Q1342))</f>
        <v/>
      </c>
      <c r="O1342">
        <f>"L001-902303751"=S1342</f>
        <v/>
      </c>
      <c r="P1342">
        <f>G1342-U1342</f>
        <v/>
      </c>
      <c r="Q1342" s="35" t="n">
        <v>45530</v>
      </c>
      <c r="R1342" t="n">
        <v>112228</v>
      </c>
      <c r="S1342" t="inlineStr">
        <is>
          <t>L001-107032791</t>
        </is>
      </c>
      <c r="T1342" t="inlineStr">
        <is>
          <t>នីបផន អិចប្រេស (ខេមបូឌា) ខូ អិលធីឌី</t>
        </is>
      </c>
      <c r="U1342" t="n">
        <v>112228</v>
      </c>
      <c r="V1342" t="n">
        <v>0</v>
      </c>
    </row>
    <row r="1343">
      <c r="A1343" t="n">
        <v>1342</v>
      </c>
      <c r="B1343" t="inlineStr">
        <is>
          <t>Charge from Warehouse/cy to trucks</t>
        </is>
      </c>
      <c r="C1343" t="inlineStr">
        <is>
          <t>កំពង់ផែស្វយ័តក្រុងព្រះសីហនុ</t>
        </is>
      </c>
      <c r="D1343" t="inlineStr">
        <is>
          <t>L001-100044638</t>
        </is>
      </c>
      <c r="E1343" t="inlineStr">
        <is>
          <t>200436</t>
        </is>
      </c>
      <c r="F1343" t="inlineStr">
        <is>
          <t>27-09-2024</t>
        </is>
      </c>
      <c r="G1343" t="n">
        <v>1864</v>
      </c>
      <c r="I1343">
        <f>G1343</f>
        <v/>
      </c>
      <c r="K1343">
        <f>I1343-G1343</f>
        <v/>
      </c>
      <c r="M1343">
        <f>R1343=E1343</f>
        <v/>
      </c>
      <c r="N1343">
        <f>AND(MONTH(F1343)=MONTH(Q1343), YEAR(F1343)=YEAR(Q1343))</f>
        <v/>
      </c>
      <c r="O1343">
        <f>"L001-902303751"=S1343</f>
        <v/>
      </c>
      <c r="P1343">
        <f>G1343-U1343</f>
        <v/>
      </c>
      <c r="Q1343" s="35" t="n">
        <v>45523</v>
      </c>
      <c r="R1343" t="inlineStr"/>
      <c r="S1343" t="inlineStr">
        <is>
          <t>L001-107032791</t>
        </is>
      </c>
      <c r="T1343" t="inlineStr">
        <is>
          <t>នីបផន អិចប្រេស (ខេមបូឌា) ខូ អិលធីឌី</t>
        </is>
      </c>
      <c r="U1343" t="n">
        <v>0</v>
      </c>
      <c r="V1343" t="n">
        <v>0</v>
      </c>
    </row>
    <row r="1344">
      <c r="A1344" t="n">
        <v>1343</v>
      </c>
      <c r="B1344" t="inlineStr">
        <is>
          <t>Customs Clearance Fee and Trucking Fee</t>
        </is>
      </c>
      <c r="C1344" t="inlineStr">
        <is>
          <t>ត្រាយអ៊ែងហ្គល ឡូជីស្ទីក (ខេមបូឌា) ឯ.ក</t>
        </is>
      </c>
      <c r="D1344" t="inlineStr">
        <is>
          <t>K010-902101743</t>
        </is>
      </c>
      <c r="E1344" t="inlineStr">
        <is>
          <t>TAG-24-00728</t>
        </is>
      </c>
      <c r="F1344" t="inlineStr">
        <is>
          <t>30-09-2024</t>
        </is>
      </c>
      <c r="G1344" t="n">
        <v>32488</v>
      </c>
      <c r="I1344">
        <f>G1344</f>
        <v/>
      </c>
      <c r="K1344">
        <f>I1344-G1344</f>
        <v/>
      </c>
      <c r="M1344">
        <f>R1344=E1344</f>
        <v/>
      </c>
      <c r="N1344">
        <f>AND(MONTH(F1344)=MONTH(Q1344), YEAR(F1344)=YEAR(Q1344))</f>
        <v/>
      </c>
      <c r="O1344">
        <f>"L001-902303751"=S1344</f>
        <v/>
      </c>
      <c r="P1344">
        <f>G1344-U1344</f>
        <v/>
      </c>
      <c r="Q1344" s="35" t="n">
        <v>45526</v>
      </c>
      <c r="R1344" t="n">
        <v>1492251</v>
      </c>
      <c r="S1344" t="inlineStr">
        <is>
          <t>K004-105012505</t>
        </is>
      </c>
      <c r="T1344" t="inlineStr">
        <is>
          <t>អេស៊ាន ហ្វ្រេត (ខេមបូឌា)</t>
        </is>
      </c>
      <c r="U1344" t="n">
        <v>1492251</v>
      </c>
      <c r="V1344" t="n">
        <v>0</v>
      </c>
    </row>
    <row r="1345">
      <c r="A1345" t="n">
        <v>1344</v>
      </c>
      <c r="B1345" t="inlineStr">
        <is>
          <t>Customs Clearance Fee</t>
        </is>
      </c>
      <c r="C1345" t="inlineStr">
        <is>
          <t>ត្រាយអ៊ែងហ្គល ឡូជីស្ទីក (ខេមបូឌា) ឯ.ក</t>
        </is>
      </c>
      <c r="D1345" t="inlineStr">
        <is>
          <t>K010-902101743</t>
        </is>
      </c>
      <c r="E1345" t="inlineStr">
        <is>
          <t>TAG-24-00648</t>
        </is>
      </c>
      <c r="F1345" t="inlineStr">
        <is>
          <t>19-09-2024</t>
        </is>
      </c>
      <c r="G1345" t="n">
        <v>8196</v>
      </c>
      <c r="I1345">
        <f>G1345</f>
        <v/>
      </c>
      <c r="K1345">
        <f>I1345-G1345</f>
        <v/>
      </c>
      <c r="M1345">
        <f>R1345=E1345</f>
        <v/>
      </c>
      <c r="N1345">
        <f>AND(MONTH(F1345)=MONTH(Q1345), YEAR(F1345)=YEAR(Q1345))</f>
        <v/>
      </c>
      <c r="O1345">
        <f>"L001-902303751"=S1345</f>
        <v/>
      </c>
      <c r="P1345">
        <f>G1345-U1345</f>
        <v/>
      </c>
      <c r="Q1345" s="35" t="n">
        <v>45530</v>
      </c>
      <c r="R1345" t="n">
        <v>112228</v>
      </c>
      <c r="S1345" t="inlineStr">
        <is>
          <t>L001-107032791</t>
        </is>
      </c>
      <c r="T1345" t="inlineStr">
        <is>
          <t>នីបផន អិចប្រេស (ខេមបូឌា) ខូ អិលធីឌី</t>
        </is>
      </c>
      <c r="U1345" t="n">
        <v>112228</v>
      </c>
      <c r="V1345" t="n">
        <v>0</v>
      </c>
    </row>
    <row r="1346">
      <c r="A1346" t="n">
        <v>1345</v>
      </c>
      <c r="B1346" t="inlineStr">
        <is>
          <t>Customs Clearance Fee</t>
        </is>
      </c>
      <c r="C1346" t="inlineStr">
        <is>
          <t>ត្រាយអ៊ែងហ្គល ឡូជីស្ទីក (ខេមបូឌា) ឯ.ក</t>
        </is>
      </c>
      <c r="D1346" t="inlineStr">
        <is>
          <t>K010-902101743</t>
        </is>
      </c>
      <c r="E1346" t="inlineStr">
        <is>
          <t>TAG-24-00659</t>
        </is>
      </c>
      <c r="F1346" t="inlineStr">
        <is>
          <t>19-09-2024</t>
        </is>
      </c>
      <c r="G1346" t="n">
        <v>8196</v>
      </c>
      <c r="I1346">
        <f>G1346</f>
        <v/>
      </c>
      <c r="K1346">
        <f>I1346-G1346</f>
        <v/>
      </c>
      <c r="M1346">
        <f>R1346=E1346</f>
        <v/>
      </c>
      <c r="N1346">
        <f>AND(MONTH(F1346)=MONTH(Q1346), YEAR(F1346)=YEAR(Q1346))</f>
        <v/>
      </c>
      <c r="O1346">
        <f>"L001-902303751"=S1346</f>
        <v/>
      </c>
      <c r="P1346">
        <f>G1346-U1346</f>
        <v/>
      </c>
      <c r="Q1346" s="35" t="n">
        <v>45516</v>
      </c>
      <c r="R1346" t="inlineStr"/>
      <c r="S1346" t="inlineStr">
        <is>
          <t>L001-100045995</t>
        </is>
      </c>
      <c r="T1346" t="inlineStr">
        <is>
          <t>ឌីអេចអិល ឡូជីស្ទីក (ខេមបូឌា)</t>
        </is>
      </c>
      <c r="U1346" t="n">
        <v>0</v>
      </c>
      <c r="V1346" t="n">
        <v>0</v>
      </c>
    </row>
    <row r="1347">
      <c r="A1347" t="n">
        <v>1346</v>
      </c>
      <c r="B1347" t="inlineStr">
        <is>
          <t>Import Shipment Expense</t>
        </is>
      </c>
      <c r="C1347" t="inlineStr">
        <is>
          <t>ខេអិលអិន ហ្វ្រេត (ខេមបូឌា) ឯ.ក</t>
        </is>
      </c>
      <c r="D1347" t="inlineStr">
        <is>
          <t>L001-100074669</t>
        </is>
      </c>
      <c r="E1347" t="inlineStr">
        <is>
          <t>IVO15107</t>
        </is>
      </c>
      <c r="F1347" t="inlineStr">
        <is>
          <t>25-09-2024</t>
        </is>
      </c>
      <c r="G1347" t="n">
        <v>187448</v>
      </c>
      <c r="I1347">
        <f>G1347</f>
        <v/>
      </c>
      <c r="K1347">
        <f>I1347-G1347</f>
        <v/>
      </c>
      <c r="M1347">
        <f>R1347=E1347</f>
        <v/>
      </c>
      <c r="N1347">
        <f>AND(MONTH(F1347)=MONTH(Q1347), YEAR(F1347)=YEAR(Q1347))</f>
        <v/>
      </c>
      <c r="O1347">
        <f>"L001-902303751"=S1347</f>
        <v/>
      </c>
      <c r="P1347">
        <f>G1347-U1347</f>
        <v/>
      </c>
      <c r="Q1347" s="35" t="n">
        <v>45510</v>
      </c>
      <c r="R1347" t="inlineStr"/>
      <c r="S1347" t="inlineStr">
        <is>
          <t>L001-107032791</t>
        </is>
      </c>
      <c r="T1347" t="inlineStr">
        <is>
          <t>នីបផន អិចប្រេស (ខេមបូឌា) ខូ អិលធីឌី</t>
        </is>
      </c>
      <c r="U1347" t="n">
        <v>0</v>
      </c>
      <c r="V1347" t="n">
        <v>0</v>
      </c>
    </row>
    <row r="1348">
      <c r="A1348" t="n">
        <v>1347</v>
      </c>
      <c r="B1348" t="inlineStr">
        <is>
          <t>Lift-On &amp; Lift-Off</t>
        </is>
      </c>
      <c r="C1348" t="inlineStr">
        <is>
          <t>កំពង់ផែស្វយ័តក្រុងព្រះសីហនុ</t>
        </is>
      </c>
      <c r="D1348" t="inlineStr">
        <is>
          <t>L001-100044638</t>
        </is>
      </c>
      <c r="E1348" t="inlineStr">
        <is>
          <t>196325</t>
        </is>
      </c>
      <c r="F1348" t="inlineStr">
        <is>
          <t>21-09-2024</t>
        </is>
      </c>
      <c r="G1348" t="n">
        <v>23148</v>
      </c>
      <c r="I1348">
        <f>G1348</f>
        <v/>
      </c>
      <c r="K1348">
        <f>I1348-G1348</f>
        <v/>
      </c>
      <c r="M1348">
        <f>R1348=E1348</f>
        <v/>
      </c>
      <c r="N1348">
        <f>AND(MONTH(F1348)=MONTH(Q1348), YEAR(F1348)=YEAR(Q1348))</f>
        <v/>
      </c>
      <c r="O1348">
        <f>"L001-902303751"=S1348</f>
        <v/>
      </c>
      <c r="P1348">
        <f>G1348-U1348</f>
        <v/>
      </c>
      <c r="Q1348" s="35" t="n">
        <v>45510</v>
      </c>
      <c r="R1348" t="inlineStr"/>
      <c r="S1348" t="inlineStr">
        <is>
          <t>L001-107032791</t>
        </is>
      </c>
      <c r="T1348" t="inlineStr">
        <is>
          <t>នីបផន អិចប្រេស (ខេមបូឌា) ខូ អិលធីឌី</t>
        </is>
      </c>
      <c r="U1348" t="n">
        <v>0</v>
      </c>
      <c r="V1348" t="n">
        <v>0</v>
      </c>
    </row>
    <row r="1349">
      <c r="A1349" t="n">
        <v>1348</v>
      </c>
      <c r="B1349" t="inlineStr">
        <is>
          <t>Customs Clearance Fee and Trucking Fee</t>
        </is>
      </c>
      <c r="C1349" t="inlineStr">
        <is>
          <t>ត្រាយអ៊ែងហ្គល ឡូជីស្ទីក (ខេមបូឌា) ឯ.ក</t>
        </is>
      </c>
      <c r="D1349" t="inlineStr">
        <is>
          <t>K010-902101743</t>
        </is>
      </c>
      <c r="E1349" t="inlineStr">
        <is>
          <t>TAG-24-00706</t>
        </is>
      </c>
      <c r="F1349" t="inlineStr">
        <is>
          <t>30-09-2024</t>
        </is>
      </c>
      <c r="G1349" t="n">
        <v>69037</v>
      </c>
      <c r="I1349">
        <f>G1349</f>
        <v/>
      </c>
      <c r="K1349">
        <f>I1349-G1349</f>
        <v/>
      </c>
      <c r="M1349">
        <f>R1349=E1349</f>
        <v/>
      </c>
      <c r="N1349">
        <f>AND(MONTH(F1349)=MONTH(Q1349), YEAR(F1349)=YEAR(Q1349))</f>
        <v/>
      </c>
      <c r="O1349">
        <f>"L001-902303751"=S1349</f>
        <v/>
      </c>
      <c r="P1349">
        <f>G1349-U1349</f>
        <v/>
      </c>
      <c r="Q1349" s="35" t="n">
        <v>45530</v>
      </c>
      <c r="R1349" t="inlineStr"/>
      <c r="S1349" t="inlineStr">
        <is>
          <t>L001-107032791</t>
        </is>
      </c>
      <c r="T1349" t="inlineStr">
        <is>
          <t>នីបផន អិចប្រេស (ខេមបូឌា) ខូ អិលធីឌី</t>
        </is>
      </c>
      <c r="U1349" t="n">
        <v>0</v>
      </c>
      <c r="V1349" t="n">
        <v>0</v>
      </c>
    </row>
    <row r="1350">
      <c r="A1350" t="n">
        <v>1349</v>
      </c>
      <c r="B1350" t="inlineStr">
        <is>
          <t>Import Shipment Expense</t>
        </is>
      </c>
      <c r="C1350" t="inlineStr">
        <is>
          <t>អេស៊ាន ហ្វ្រេត (ខេមបូឌា)</t>
        </is>
      </c>
      <c r="D1350" t="inlineStr">
        <is>
          <t>K004-105012505</t>
        </is>
      </c>
      <c r="E1350" t="inlineStr">
        <is>
          <t>PPTI24/1966</t>
        </is>
      </c>
      <c r="F1350" t="inlineStr">
        <is>
          <t>16-09-2024</t>
        </is>
      </c>
      <c r="G1350" t="n">
        <v>70783</v>
      </c>
      <c r="I1350">
        <f>G1350</f>
        <v/>
      </c>
      <c r="K1350">
        <f>I1350-G1350</f>
        <v/>
      </c>
      <c r="M1350">
        <f>R1350=E1350</f>
        <v/>
      </c>
      <c r="N1350">
        <f>AND(MONTH(F1350)=MONTH(Q1350), YEAR(F1350)=YEAR(Q1350))</f>
        <v/>
      </c>
      <c r="O1350">
        <f>"L001-902303751"=S1350</f>
        <v/>
      </c>
      <c r="P1350">
        <f>G1350-U1350</f>
        <v/>
      </c>
      <c r="Q1350" s="35" t="n">
        <v>45523</v>
      </c>
      <c r="R1350" t="n">
        <v>84009</v>
      </c>
      <c r="S1350" t="inlineStr">
        <is>
          <t>L001-107032791</t>
        </is>
      </c>
      <c r="T1350" t="inlineStr">
        <is>
          <t>នីបផន អិចប្រេស (ខេមបូឌា) ខូ អិលធីឌី</t>
        </is>
      </c>
      <c r="U1350" t="n">
        <v>84009</v>
      </c>
      <c r="V1350" t="n">
        <v>0</v>
      </c>
    </row>
    <row r="1351">
      <c r="A1351" t="n">
        <v>1350</v>
      </c>
      <c r="B1351" t="inlineStr">
        <is>
          <t>Customs Clearance Fee and Trucking Fee</t>
        </is>
      </c>
      <c r="C1351" t="inlineStr">
        <is>
          <t>ត្រាយអ៊ែងហ្គល ឡូជីស្ទីក (ខេមបូឌា) ឯ.ក</t>
        </is>
      </c>
      <c r="D1351" t="inlineStr">
        <is>
          <t>K010-902101743</t>
        </is>
      </c>
      <c r="E1351" t="inlineStr">
        <is>
          <t>TAG-24-00658</t>
        </is>
      </c>
      <c r="F1351" t="inlineStr">
        <is>
          <t>19-09-2024</t>
        </is>
      </c>
      <c r="G1351" t="n">
        <v>28686</v>
      </c>
      <c r="I1351">
        <f>G1351</f>
        <v/>
      </c>
      <c r="K1351">
        <f>I1351-G1351</f>
        <v/>
      </c>
      <c r="M1351">
        <f>R1351=E1351</f>
        <v/>
      </c>
      <c r="N1351">
        <f>AND(MONTH(F1351)=MONTH(Q1351), YEAR(F1351)=YEAR(Q1351))</f>
        <v/>
      </c>
      <c r="O1351">
        <f>"L001-902303751"=S1351</f>
        <v/>
      </c>
      <c r="P1351">
        <f>G1351-U1351</f>
        <v/>
      </c>
      <c r="Q1351" s="35" t="n">
        <v>45530</v>
      </c>
      <c r="R1351" t="inlineStr"/>
      <c r="S1351" t="inlineStr">
        <is>
          <t>K005-100150195</t>
        </is>
      </c>
      <c r="T1351" t="inlineStr">
        <is>
          <t>អេស អ វី ស៊ី ហ្វ្រេត សឺវីស (ខេមបូឌា) ខូ អិលធីឌី</t>
        </is>
      </c>
      <c r="U1351" t="n">
        <v>0</v>
      </c>
      <c r="V1351" t="n">
        <v>0</v>
      </c>
    </row>
    <row r="1352">
      <c r="A1352" t="n">
        <v>1351</v>
      </c>
      <c r="B1352" t="inlineStr">
        <is>
          <t>Cargo Terminal</t>
        </is>
      </c>
      <c r="C1352" t="inlineStr">
        <is>
          <t>សូស៊ីយេតេ កុងសេស្យូនែរ ដឺ ឡាអេរ៉ូព័រ</t>
        </is>
      </c>
      <c r="D1352" t="inlineStr">
        <is>
          <t>L001-100047300</t>
        </is>
      </c>
      <c r="E1352" t="inlineStr">
        <is>
          <t>2400-074065</t>
        </is>
      </c>
      <c r="F1352" t="inlineStr">
        <is>
          <t>13-09-2024</t>
        </is>
      </c>
      <c r="G1352" t="n">
        <v>6167</v>
      </c>
      <c r="I1352">
        <f>G1352</f>
        <v/>
      </c>
      <c r="K1352">
        <f>I1352-G1352</f>
        <v/>
      </c>
      <c r="M1352">
        <f>R1352=E1352</f>
        <v/>
      </c>
      <c r="N1352">
        <f>AND(MONTH(F1352)=MONTH(Q1352), YEAR(F1352)=YEAR(Q1352))</f>
        <v/>
      </c>
      <c r="O1352">
        <f>"L001-902303751"=S1352</f>
        <v/>
      </c>
      <c r="P1352">
        <f>G1352-U1352</f>
        <v/>
      </c>
      <c r="Q1352" s="35" t="n">
        <v>45530</v>
      </c>
      <c r="R1352" t="n">
        <v>83661</v>
      </c>
      <c r="S1352" t="inlineStr">
        <is>
          <t>L001-107032791</t>
        </is>
      </c>
      <c r="T1352" t="inlineStr">
        <is>
          <t>នីបផន អិចប្រេស (ខេមបូឌា) ខូ អិលធីឌី</t>
        </is>
      </c>
      <c r="U1352" t="n">
        <v>83661</v>
      </c>
      <c r="V1352" t="n">
        <v>0</v>
      </c>
    </row>
    <row r="1353">
      <c r="A1353" t="n">
        <v>1352</v>
      </c>
      <c r="B1353" t="inlineStr">
        <is>
          <t>Customs Clearance Fee and Trucking Fee</t>
        </is>
      </c>
      <c r="C1353" t="inlineStr">
        <is>
          <t>ត្រាយអ៊ែងហ្គល ឡូជីស្ទីក (ខេមបូឌា) ឯ.ក</t>
        </is>
      </c>
      <c r="D1353" t="inlineStr">
        <is>
          <t>K010-902101743</t>
        </is>
      </c>
      <c r="E1353" t="inlineStr">
        <is>
          <t>TAG-24-00662</t>
        </is>
      </c>
      <c r="F1353" t="inlineStr">
        <is>
          <t>19-09-2024</t>
        </is>
      </c>
      <c r="G1353" t="n">
        <v>28686</v>
      </c>
      <c r="I1353">
        <f>G1353</f>
        <v/>
      </c>
      <c r="K1353">
        <f>I1353-G1353</f>
        <v/>
      </c>
      <c r="M1353">
        <f>R1353=E1353</f>
        <v/>
      </c>
      <c r="N1353">
        <f>AND(MONTH(F1353)=MONTH(Q1353), YEAR(F1353)=YEAR(Q1353))</f>
        <v/>
      </c>
      <c r="O1353">
        <f>"L001-902303751"=S1353</f>
        <v/>
      </c>
      <c r="P1353">
        <f>G1353-U1353</f>
        <v/>
      </c>
      <c r="Q1353" s="35" t="n">
        <v>45516</v>
      </c>
      <c r="R1353" t="inlineStr"/>
      <c r="S1353" t="inlineStr">
        <is>
          <t>K002-901800477</t>
        </is>
      </c>
      <c r="T1353" t="inlineStr">
        <is>
          <t>អាយធីអាយ អ៊ិនធើណេសិនណល ត្រេនស័្ពរថេសិន (ខេមបូឌា) ឯ.ក</t>
        </is>
      </c>
      <c r="U1353" t="n">
        <v>0</v>
      </c>
      <c r="V1353" t="n">
        <v>0</v>
      </c>
    </row>
    <row r="1354">
      <c r="A1354" t="n">
        <v>1353</v>
      </c>
      <c r="B1354" t="inlineStr">
        <is>
          <t>Handling Fee and DOC</t>
        </is>
      </c>
      <c r="C1354" t="inlineStr">
        <is>
          <t>ហ្វ្រេតាស (ខេមបូឌា) ឯ.ក</t>
        </is>
      </c>
      <c r="D1354" t="inlineStr">
        <is>
          <t>K007-901638107</t>
        </is>
      </c>
      <c r="E1354" t="inlineStr">
        <is>
          <t>Y24-113</t>
        </is>
      </c>
      <c r="F1354" t="inlineStr">
        <is>
          <t>11-09-2024</t>
        </is>
      </c>
      <c r="G1354" t="n">
        <v>54864</v>
      </c>
      <c r="I1354">
        <f>G1354</f>
        <v/>
      </c>
      <c r="K1354">
        <f>I1354-G1354</f>
        <v/>
      </c>
      <c r="M1354">
        <f>R1354=E1354</f>
        <v/>
      </c>
      <c r="N1354">
        <f>AND(MONTH(F1354)=MONTH(Q1354), YEAR(F1354)=YEAR(Q1354))</f>
        <v/>
      </c>
      <c r="O1354">
        <f>"L001-902303751"=S1354</f>
        <v/>
      </c>
      <c r="P1354">
        <f>G1354-U1354</f>
        <v/>
      </c>
      <c r="Q1354" s="35" t="n">
        <v>45516</v>
      </c>
      <c r="R1354" t="n">
        <v>1075463</v>
      </c>
      <c r="S1354" t="inlineStr">
        <is>
          <t>K004-105012505</t>
        </is>
      </c>
      <c r="T1354" t="inlineStr">
        <is>
          <t>អេស៊ាន ហ្វ្រេត (ខេមបូឌា)</t>
        </is>
      </c>
      <c r="U1354" t="n">
        <v>1075463</v>
      </c>
      <c r="V1354" t="n">
        <v>0</v>
      </c>
    </row>
    <row r="1355">
      <c r="A1355" t="n">
        <v>1354</v>
      </c>
      <c r="B1355" t="inlineStr">
        <is>
          <t>Cargo Terminal</t>
        </is>
      </c>
      <c r="C1355" t="inlineStr">
        <is>
          <t>សូស៊ីយេតេ កុងសេស្យូនែរ ដឺ ឡាអេរ៉ូព័រ</t>
        </is>
      </c>
      <c r="D1355" t="inlineStr">
        <is>
          <t>L001-100047300</t>
        </is>
      </c>
      <c r="E1355" t="inlineStr">
        <is>
          <t>2400-074066</t>
        </is>
      </c>
      <c r="F1355" t="inlineStr">
        <is>
          <t>13-09-2024</t>
        </is>
      </c>
      <c r="G1355" t="n">
        <v>11164</v>
      </c>
      <c r="I1355">
        <f>G1355</f>
        <v/>
      </c>
      <c r="K1355">
        <f>I1355-G1355</f>
        <v/>
      </c>
      <c r="M1355">
        <f>R1355=E1355</f>
        <v/>
      </c>
      <c r="N1355">
        <f>AND(MONTH(F1355)=MONTH(Q1355), YEAR(F1355)=YEAR(Q1355))</f>
        <v/>
      </c>
      <c r="O1355">
        <f>"L001-902303751"=S1355</f>
        <v/>
      </c>
      <c r="P1355">
        <f>G1355-U1355</f>
        <v/>
      </c>
      <c r="Q1355" s="35" t="n">
        <v>45516</v>
      </c>
      <c r="R1355" t="inlineStr"/>
      <c r="S1355" t="inlineStr">
        <is>
          <t>L001-100045995</t>
        </is>
      </c>
      <c r="T1355" t="inlineStr">
        <is>
          <t>ឌីអេចអិល ឡូជីស្ទីក (ខេមបូឌា)</t>
        </is>
      </c>
      <c r="U1355" t="n">
        <v>0</v>
      </c>
      <c r="V1355" t="n">
        <v>0</v>
      </c>
    </row>
    <row r="1356">
      <c r="A1356" t="n">
        <v>1355</v>
      </c>
      <c r="B1356" t="inlineStr">
        <is>
          <t>Customs Clearance Fee and Trucking Fee</t>
        </is>
      </c>
      <c r="C1356" t="inlineStr">
        <is>
          <t>ត្រាយអ៊ែងហ្គល ឡូជីស្ទីក (ខេមបូឌា) ឯ.ក</t>
        </is>
      </c>
      <c r="D1356" t="inlineStr">
        <is>
          <t>K010-902101743</t>
        </is>
      </c>
      <c r="E1356" t="inlineStr">
        <is>
          <t>TAG-24-00663</t>
        </is>
      </c>
      <c r="F1356" t="inlineStr">
        <is>
          <t>19-09-2024</t>
        </is>
      </c>
      <c r="G1356" t="n">
        <v>28686</v>
      </c>
      <c r="I1356">
        <f>G1356</f>
        <v/>
      </c>
      <c r="K1356">
        <f>I1356-G1356</f>
        <v/>
      </c>
      <c r="M1356">
        <f>R1356=E1356</f>
        <v/>
      </c>
      <c r="N1356">
        <f>AND(MONTH(F1356)=MONTH(Q1356), YEAR(F1356)=YEAR(Q1356))</f>
        <v/>
      </c>
      <c r="O1356">
        <f>"L001-902303751"=S1356</f>
        <v/>
      </c>
      <c r="P1356">
        <f>G1356-U1356</f>
        <v/>
      </c>
      <c r="Q1356" s="35" t="n">
        <v>45510</v>
      </c>
      <c r="R1356" t="n">
        <v>86700</v>
      </c>
      <c r="S1356" t="inlineStr">
        <is>
          <t>L001-100045340</t>
        </is>
      </c>
      <c r="T1356" t="inlineStr">
        <is>
          <t xml:space="preserve">ស៊ីវ៉ា អ៊ែរ អ៊ែន អូសៀន (ខេមបូឌា) ឯ.ក </t>
        </is>
      </c>
      <c r="U1356" t="n">
        <v>86700</v>
      </c>
      <c r="V1356" t="n">
        <v>0</v>
      </c>
    </row>
    <row r="1357">
      <c r="A1357" t="n">
        <v>1356</v>
      </c>
      <c r="B1357" t="inlineStr">
        <is>
          <t>Airway bill fee and Handling Agency fee</t>
        </is>
      </c>
      <c r="C1357" t="inlineStr">
        <is>
          <t>ត្រេន ស្តារ ហ្រេ្វត</t>
        </is>
      </c>
      <c r="D1357" t="inlineStr">
        <is>
          <t>L001-100011888</t>
        </is>
      </c>
      <c r="E1357" t="inlineStr">
        <is>
          <t>PPTI24-11872</t>
        </is>
      </c>
      <c r="F1357" t="inlineStr">
        <is>
          <t>12-09-2024</t>
        </is>
      </c>
      <c r="G1357" t="n">
        <v>34510</v>
      </c>
      <c r="I1357">
        <f>G1357</f>
        <v/>
      </c>
      <c r="K1357">
        <f>I1357-G1357</f>
        <v/>
      </c>
      <c r="M1357">
        <f>R1357=E1357</f>
        <v/>
      </c>
      <c r="N1357">
        <f>AND(MONTH(F1357)=MONTH(Q1357), YEAR(F1357)=YEAR(Q1357))</f>
        <v/>
      </c>
      <c r="O1357">
        <f>"L001-902303751"=S1357</f>
        <v/>
      </c>
      <c r="P1357">
        <f>G1357-U1357</f>
        <v/>
      </c>
      <c r="Q1357" s="35" t="n">
        <v>45510</v>
      </c>
      <c r="R1357" t="inlineStr"/>
      <c r="S1357" t="inlineStr">
        <is>
          <t>L001-107032791</t>
        </is>
      </c>
      <c r="T1357" t="inlineStr">
        <is>
          <t>នីបផន អិចប្រេស (ខេមបូឌា) ខូ អិលធីឌី</t>
        </is>
      </c>
      <c r="U1357" t="n">
        <v>0</v>
      </c>
      <c r="V1357" t="n">
        <v>0</v>
      </c>
    </row>
    <row r="1358">
      <c r="A1358" t="n">
        <v>1357</v>
      </c>
      <c r="B1358" t="inlineStr">
        <is>
          <t>Cargo Terminal</t>
        </is>
      </c>
      <c r="C1358" t="inlineStr">
        <is>
          <t>សូស៊ីយេតេ កុងសេស្យូនែរ ដឺ ឡាអេរ៉ូព័រ</t>
        </is>
      </c>
      <c r="D1358" t="inlineStr">
        <is>
          <t>L001-100047300</t>
        </is>
      </c>
      <c r="E1358" t="inlineStr">
        <is>
          <t>2400-073738</t>
        </is>
      </c>
      <c r="F1358" t="inlineStr">
        <is>
          <t>12-09-2024</t>
        </is>
      </c>
      <c r="G1358" t="n">
        <v>2436</v>
      </c>
      <c r="I1358">
        <f>G1358</f>
        <v/>
      </c>
      <c r="K1358">
        <f>I1358-G1358</f>
        <v/>
      </c>
      <c r="M1358">
        <f>R1358=E1358</f>
        <v/>
      </c>
      <c r="N1358">
        <f>AND(MONTH(F1358)=MONTH(Q1358), YEAR(F1358)=YEAR(Q1358))</f>
        <v/>
      </c>
      <c r="O1358">
        <f>"L001-902303751"=S1358</f>
        <v/>
      </c>
      <c r="P1358">
        <f>G1358-U1358</f>
        <v/>
      </c>
      <c r="Q1358" s="35" t="n">
        <v>45530</v>
      </c>
      <c r="R1358" t="inlineStr"/>
      <c r="S1358" t="inlineStr">
        <is>
          <t>L001-107032791</t>
        </is>
      </c>
      <c r="T1358" t="inlineStr">
        <is>
          <t>នីបផន អិចប្រេស (ខេមបូឌា) ខូ អិលធីឌី</t>
        </is>
      </c>
      <c r="U1358" t="n">
        <v>0</v>
      </c>
      <c r="V1358" t="n">
        <v>0</v>
      </c>
    </row>
    <row r="1359">
      <c r="A1359" t="n">
        <v>1358</v>
      </c>
      <c r="B1359" t="inlineStr">
        <is>
          <t>Customs Clearance Fee and Trucking Fee</t>
        </is>
      </c>
      <c r="C1359" t="inlineStr">
        <is>
          <t>ត្រាយអ៊ែងហ្គល ឡូជីស្ទីក (ខេមបូឌា) ឯ.ក</t>
        </is>
      </c>
      <c r="D1359" t="inlineStr">
        <is>
          <t>K010-902101743</t>
        </is>
      </c>
      <c r="E1359" t="inlineStr">
        <is>
          <t>TAG-24-00661</t>
        </is>
      </c>
      <c r="F1359" t="inlineStr">
        <is>
          <t>19-09-2024</t>
        </is>
      </c>
      <c r="G1359" t="n">
        <v>28686</v>
      </c>
      <c r="I1359">
        <f>G1359</f>
        <v/>
      </c>
      <c r="K1359">
        <f>I1359-G1359</f>
        <v/>
      </c>
      <c r="M1359">
        <f>R1359=E1359</f>
        <v/>
      </c>
      <c r="N1359">
        <f>AND(MONTH(F1359)=MONTH(Q1359), YEAR(F1359)=YEAR(Q1359))</f>
        <v/>
      </c>
      <c r="O1359">
        <f>"L001-902303751"=S1359</f>
        <v/>
      </c>
      <c r="P1359">
        <f>G1359-U1359</f>
        <v/>
      </c>
      <c r="Q1359" s="35" t="n">
        <v>45530</v>
      </c>
      <c r="R1359" t="inlineStr"/>
      <c r="S1359" t="inlineStr">
        <is>
          <t>L001-107032791</t>
        </is>
      </c>
      <c r="T1359" t="inlineStr">
        <is>
          <t>នីបផន អិចប្រេស (ខេមបូឌា) ខូ អិលធីឌី</t>
        </is>
      </c>
      <c r="U1359" t="n">
        <v>0</v>
      </c>
      <c r="V1359" t="n">
        <v>0</v>
      </c>
    </row>
    <row r="1360">
      <c r="A1360" t="n">
        <v>1359</v>
      </c>
      <c r="B1360" t="inlineStr">
        <is>
          <t>Import Shipment Expense</t>
        </is>
      </c>
      <c r="C1360" t="inlineStr">
        <is>
          <t>អឹឡាយអិន ហ្វ័រវើឌីង (ខេមបូឌា) ឯ.ក</t>
        </is>
      </c>
      <c r="D1360" t="inlineStr">
        <is>
          <t>K005-901902888</t>
        </is>
      </c>
      <c r="E1360" t="inlineStr">
        <is>
          <t>PPTI24-0677</t>
        </is>
      </c>
      <c r="F1360" t="inlineStr">
        <is>
          <t>19-09-2024</t>
        </is>
      </c>
      <c r="G1360" t="n">
        <v>79556</v>
      </c>
      <c r="I1360">
        <f>G1360</f>
        <v/>
      </c>
      <c r="K1360">
        <f>I1360-G1360</f>
        <v/>
      </c>
      <c r="M1360">
        <f>R1360=E1360</f>
        <v/>
      </c>
      <c r="N1360">
        <f>AND(MONTH(F1360)=MONTH(Q1360), YEAR(F1360)=YEAR(Q1360))</f>
        <v/>
      </c>
      <c r="O1360">
        <f>"L001-902303751"=S1360</f>
        <v/>
      </c>
      <c r="P1360">
        <f>G1360-U1360</f>
        <v/>
      </c>
      <c r="Q1360" s="35" t="n">
        <v>45516</v>
      </c>
      <c r="R1360" t="inlineStr"/>
      <c r="S1360" t="inlineStr">
        <is>
          <t>L001-107032791</t>
        </is>
      </c>
      <c r="T1360" t="inlineStr">
        <is>
          <t>នីបផន អិចប្រេស (ខេមបូឌា) ខូ អិលធីឌី</t>
        </is>
      </c>
      <c r="U1360" t="n">
        <v>0</v>
      </c>
      <c r="V1360" t="n">
        <v>0</v>
      </c>
    </row>
    <row r="1361">
      <c r="A1361" t="n">
        <v>1360</v>
      </c>
      <c r="B1361" t="inlineStr">
        <is>
          <t>Charge from Warehouse/cy to trucks and Storage Charges</t>
        </is>
      </c>
      <c r="C1361" t="inlineStr">
        <is>
          <t>កំពង់ផែស្វយ័តក្រុងព្រះសីហនុ</t>
        </is>
      </c>
      <c r="D1361" t="inlineStr">
        <is>
          <t>L001-100044638</t>
        </is>
      </c>
      <c r="E1361" t="inlineStr">
        <is>
          <t>200432</t>
        </is>
      </c>
      <c r="F1361" t="inlineStr">
        <is>
          <t>27-09-2024</t>
        </is>
      </c>
      <c r="G1361" t="n">
        <v>661</v>
      </c>
      <c r="I1361">
        <f>G1361</f>
        <v/>
      </c>
      <c r="K1361">
        <f>I1361-G1361</f>
        <v/>
      </c>
      <c r="M1361">
        <f>R1361=E1361</f>
        <v/>
      </c>
      <c r="N1361">
        <f>AND(MONTH(F1361)=MONTH(Q1361), YEAR(F1361)=YEAR(Q1361))</f>
        <v/>
      </c>
      <c r="O1361">
        <f>"L001-902303751"=S1361</f>
        <v/>
      </c>
      <c r="P1361">
        <f>G1361-U1361</f>
        <v/>
      </c>
      <c r="Q1361" s="35" t="n">
        <v>45516</v>
      </c>
      <c r="R1361" t="inlineStr"/>
      <c r="S1361" t="inlineStr">
        <is>
          <t>L001-107032791</t>
        </is>
      </c>
      <c r="T1361" t="inlineStr">
        <is>
          <t>នីបផន អិចប្រេស (ខេមបូឌា) ខូ អិលធីឌី</t>
        </is>
      </c>
      <c r="U1361" t="n">
        <v>0</v>
      </c>
      <c r="V1361" t="n">
        <v>0</v>
      </c>
    </row>
    <row r="1362">
      <c r="A1362" t="n">
        <v>1361</v>
      </c>
      <c r="B1362" t="inlineStr">
        <is>
          <t>Customs Clearance Fee and Trucking Fee</t>
        </is>
      </c>
      <c r="C1362" t="inlineStr">
        <is>
          <t>ត្រាយអ៊ែងហ្គល ឡូជីស្ទីក (ខេមបូឌា) ឯ.ក</t>
        </is>
      </c>
      <c r="D1362" t="inlineStr">
        <is>
          <t>K010-902101743</t>
        </is>
      </c>
      <c r="E1362" t="inlineStr">
        <is>
          <t>TAG-24-00729</t>
        </is>
      </c>
      <c r="F1362" t="inlineStr">
        <is>
          <t>30-09-2024</t>
        </is>
      </c>
      <c r="G1362" t="n">
        <v>32488</v>
      </c>
      <c r="I1362">
        <f>G1362</f>
        <v/>
      </c>
      <c r="K1362">
        <f>I1362-G1362</f>
        <v/>
      </c>
      <c r="M1362">
        <f>R1362=E1362</f>
        <v/>
      </c>
      <c r="N1362">
        <f>AND(MONTH(F1362)=MONTH(Q1362), YEAR(F1362)=YEAR(Q1362))</f>
        <v/>
      </c>
      <c r="O1362">
        <f>"L001-902303751"=S1362</f>
        <v/>
      </c>
      <c r="P1362">
        <f>G1362-U1362</f>
        <v/>
      </c>
      <c r="Q1362" s="35" t="n">
        <v>45516</v>
      </c>
      <c r="R1362" t="inlineStr"/>
      <c r="S1362" t="inlineStr">
        <is>
          <t>L001-107032791</t>
        </is>
      </c>
      <c r="T1362" t="inlineStr">
        <is>
          <t>នីបផន អិចប្រេស (ខេមបូឌា) ខូ អិលធីឌី</t>
        </is>
      </c>
      <c r="U1362" t="n">
        <v>0</v>
      </c>
      <c r="V1362" t="n">
        <v>0</v>
      </c>
    </row>
    <row r="1363">
      <c r="A1363" t="n">
        <v>1362</v>
      </c>
      <c r="B1363" t="inlineStr">
        <is>
          <t>Doc Fee and Agency Fee</t>
        </is>
      </c>
      <c r="C1363" t="inlineStr">
        <is>
          <t>អ៊ែតវ៉ានស៍ គ្លរី ឡូជីស្ទីក (ខេមបូឌា) (អេ ជី អិល)</t>
        </is>
      </c>
      <c r="D1363" t="inlineStr">
        <is>
          <t>K005-100059945</t>
        </is>
      </c>
      <c r="E1363" t="inlineStr">
        <is>
          <t>AGL2401406</t>
        </is>
      </c>
      <c r="F1363" t="inlineStr">
        <is>
          <t>11-09-2024</t>
        </is>
      </c>
      <c r="G1363" t="n">
        <v>44704</v>
      </c>
      <c r="I1363">
        <f>G1363</f>
        <v/>
      </c>
      <c r="K1363">
        <f>I1363-G1363</f>
        <v/>
      </c>
      <c r="M1363">
        <f>R1363=E1363</f>
        <v/>
      </c>
      <c r="N1363">
        <f>AND(MONTH(F1363)=MONTH(Q1363), YEAR(F1363)=YEAR(Q1363))</f>
        <v/>
      </c>
      <c r="O1363">
        <f>"L001-902303751"=S1363</f>
        <v/>
      </c>
      <c r="P1363">
        <f>G1363-U1363</f>
        <v/>
      </c>
      <c r="Q1363" s="35" t="n">
        <v>45510</v>
      </c>
      <c r="R1363" t="inlineStr"/>
      <c r="S1363" t="inlineStr">
        <is>
          <t>K005-901805913</t>
        </is>
      </c>
      <c r="T1363" t="inlineStr">
        <is>
          <t>ស្តារ ខង់ខដ (ខេមបូឌា) ឯ.ក</t>
        </is>
      </c>
      <c r="U1363" t="n">
        <v>0</v>
      </c>
      <c r="V1363" t="n">
        <v>0</v>
      </c>
    </row>
    <row r="1364">
      <c r="A1364" t="n">
        <v>1363</v>
      </c>
      <c r="B1364" t="inlineStr">
        <is>
          <t>Cargo Terminal</t>
        </is>
      </c>
      <c r="C1364" t="inlineStr">
        <is>
          <t>សូស៊ីយេតេ កុងសេស្យូនែរ ដឺ ឡាអេរ៉ូព័រ</t>
        </is>
      </c>
      <c r="D1364" t="inlineStr">
        <is>
          <t>L001-100047300</t>
        </is>
      </c>
      <c r="E1364" t="inlineStr">
        <is>
          <t>2400-073739</t>
        </is>
      </c>
      <c r="F1364" t="inlineStr">
        <is>
          <t>12-09-2024</t>
        </is>
      </c>
      <c r="G1364" t="n">
        <v>7714</v>
      </c>
      <c r="I1364">
        <f>G1364</f>
        <v/>
      </c>
      <c r="K1364">
        <f>I1364-G1364</f>
        <v/>
      </c>
      <c r="M1364">
        <f>R1364=E1364</f>
        <v/>
      </c>
      <c r="N1364">
        <f>AND(MONTH(F1364)=MONTH(Q1364), YEAR(F1364)=YEAR(Q1364))</f>
        <v/>
      </c>
      <c r="O1364">
        <f>"L001-902303751"=S1364</f>
        <v/>
      </c>
      <c r="P1364">
        <f>G1364-U1364</f>
        <v/>
      </c>
      <c r="Q1364" s="35" t="n">
        <v>45510</v>
      </c>
      <c r="R1364" t="inlineStr"/>
      <c r="S1364" t="inlineStr">
        <is>
          <t>L001-107032791</t>
        </is>
      </c>
      <c r="T1364" t="inlineStr">
        <is>
          <t>នីបផន អិចប្រេស (ខេមបូឌា) ខូ អិលធីឌី</t>
        </is>
      </c>
      <c r="U1364" t="n">
        <v>0</v>
      </c>
      <c r="V1364" t="n">
        <v>0</v>
      </c>
    </row>
    <row r="1365">
      <c r="A1365" t="n">
        <v>1364</v>
      </c>
      <c r="B1365" t="inlineStr">
        <is>
          <t>Customs Clearance Fee and Trucking Fee</t>
        </is>
      </c>
      <c r="C1365" t="inlineStr">
        <is>
          <t>ត្រាយអ៊ែងហ្គល ឡូជីស្ទីក (ខេមបូឌា) ឯ.ក</t>
        </is>
      </c>
      <c r="D1365" t="inlineStr">
        <is>
          <t>K010-902101743</t>
        </is>
      </c>
      <c r="E1365" t="inlineStr">
        <is>
          <t>TAG-24-00651</t>
        </is>
      </c>
      <c r="F1365" t="inlineStr">
        <is>
          <t>19-09-2024</t>
        </is>
      </c>
      <c r="G1365" t="n">
        <v>28686</v>
      </c>
      <c r="I1365">
        <f>G1365</f>
        <v/>
      </c>
      <c r="K1365">
        <f>I1365-G1365</f>
        <v/>
      </c>
      <c r="M1365">
        <f>R1365=E1365</f>
        <v/>
      </c>
      <c r="N1365">
        <f>AND(MONTH(F1365)=MONTH(Q1365), YEAR(F1365)=YEAR(Q1365))</f>
        <v/>
      </c>
      <c r="O1365">
        <f>"L001-902303751"=S1365</f>
        <v/>
      </c>
      <c r="P1365">
        <f>G1365-U1365</f>
        <v/>
      </c>
      <c r="Q1365" s="35" t="n">
        <v>45510</v>
      </c>
      <c r="R1365" t="inlineStr"/>
      <c r="S1365" t="inlineStr">
        <is>
          <t>L001-107032791</t>
        </is>
      </c>
      <c r="T1365" t="inlineStr">
        <is>
          <t>នីបផន អិចប្រេស (ខេមបូឌា) ខូ អិលធីឌី</t>
        </is>
      </c>
      <c r="U1365" t="n">
        <v>0</v>
      </c>
      <c r="V1365" t="n">
        <v>0</v>
      </c>
    </row>
    <row r="1366">
      <c r="A1366" t="n">
        <v>1365</v>
      </c>
      <c r="B1366" t="inlineStr">
        <is>
          <t>Import Shipment Expense</t>
        </is>
      </c>
      <c r="C1366" t="inlineStr">
        <is>
          <t>ហ្វ្រេត ខនសិប (ខេមបូឌា)</t>
        </is>
      </c>
      <c r="D1366" t="inlineStr">
        <is>
          <t>K009-901502482</t>
        </is>
      </c>
      <c r="E1366" t="inlineStr">
        <is>
          <t>240929</t>
        </is>
      </c>
      <c r="F1366" t="inlineStr">
        <is>
          <t>12-09-2024</t>
        </is>
      </c>
      <c r="G1366" t="n">
        <v>144942</v>
      </c>
      <c r="I1366">
        <f>G1366</f>
        <v/>
      </c>
      <c r="K1366">
        <f>I1366-G1366</f>
        <v/>
      </c>
      <c r="M1366">
        <f>R1366=E1366</f>
        <v/>
      </c>
      <c r="N1366">
        <f>AND(MONTH(F1366)=MONTH(Q1366), YEAR(F1366)=YEAR(Q1366))</f>
        <v/>
      </c>
      <c r="O1366">
        <f>"L001-902303751"=S1366</f>
        <v/>
      </c>
      <c r="P1366">
        <f>G1366-U1366</f>
        <v/>
      </c>
      <c r="Q1366" s="35" t="n">
        <v>45523</v>
      </c>
      <c r="R1366" t="inlineStr"/>
      <c r="S1366" t="inlineStr">
        <is>
          <t>L001-107032791</t>
        </is>
      </c>
      <c r="T1366" t="inlineStr">
        <is>
          <t>នីបផន អិចប្រេស (ខេមបូឌា) ខូ អិលធីឌី</t>
        </is>
      </c>
      <c r="U1366" t="n">
        <v>0</v>
      </c>
      <c r="V1366" t="n">
        <v>0</v>
      </c>
    </row>
    <row r="1367">
      <c r="A1367" t="n">
        <v>1366</v>
      </c>
      <c r="B1367" t="inlineStr">
        <is>
          <t>Charge from Warehouse/cy to trucks and Storage Charges</t>
        </is>
      </c>
      <c r="C1367" t="inlineStr">
        <is>
          <t>កំពង់ផែស្វយ័តក្រុងព្រះសីហនុ</t>
        </is>
      </c>
      <c r="D1367" t="inlineStr">
        <is>
          <t>L001-100044638</t>
        </is>
      </c>
      <c r="E1367" t="inlineStr">
        <is>
          <t>198081</t>
        </is>
      </c>
      <c r="F1367" t="inlineStr">
        <is>
          <t>25-09-2024</t>
        </is>
      </c>
      <c r="G1367" t="n">
        <v>2353</v>
      </c>
      <c r="I1367">
        <f>G1367</f>
        <v/>
      </c>
      <c r="K1367">
        <f>I1367-G1367</f>
        <v/>
      </c>
      <c r="M1367">
        <f>R1367=E1367</f>
        <v/>
      </c>
      <c r="N1367">
        <f>AND(MONTH(F1367)=MONTH(Q1367), YEAR(F1367)=YEAR(Q1367))</f>
        <v/>
      </c>
      <c r="O1367">
        <f>"L001-902303751"=S1367</f>
        <v/>
      </c>
      <c r="P1367">
        <f>G1367-U1367</f>
        <v/>
      </c>
      <c r="Q1367" s="35" t="n">
        <v>45530</v>
      </c>
      <c r="R1367" t="inlineStr"/>
      <c r="S1367" t="inlineStr">
        <is>
          <t>L001-100045995</t>
        </is>
      </c>
      <c r="T1367" t="inlineStr">
        <is>
          <t>ឌីអេចអិល ឡូជីស្ទីក (ខេមបូឌា)</t>
        </is>
      </c>
      <c r="U1367" t="n">
        <v>0</v>
      </c>
      <c r="V1367" t="n">
        <v>0</v>
      </c>
    </row>
    <row r="1368">
      <c r="A1368" t="n">
        <v>1367</v>
      </c>
      <c r="B1368" t="inlineStr">
        <is>
          <t>Customs Clearance Fee and Trucking Fee</t>
        </is>
      </c>
      <c r="C1368" t="inlineStr">
        <is>
          <t>ត្រាយអ៊ែងហ្គល ឡូជីស្ទីក (ខេមបូឌា) ឯ.ក</t>
        </is>
      </c>
      <c r="D1368" t="inlineStr">
        <is>
          <t>K010-902101743</t>
        </is>
      </c>
      <c r="E1368" t="inlineStr">
        <is>
          <t>TAG-24-00724</t>
        </is>
      </c>
      <c r="F1368" t="inlineStr">
        <is>
          <t>30-09-2024</t>
        </is>
      </c>
      <c r="G1368" t="n">
        <v>43209</v>
      </c>
      <c r="I1368">
        <f>G1368</f>
        <v/>
      </c>
      <c r="K1368">
        <f>I1368-G1368</f>
        <v/>
      </c>
      <c r="M1368">
        <f>R1368=E1368</f>
        <v/>
      </c>
      <c r="N1368">
        <f>AND(MONTH(F1368)=MONTH(Q1368), YEAR(F1368)=YEAR(Q1368))</f>
        <v/>
      </c>
      <c r="O1368">
        <f>"L001-902303751"=S1368</f>
        <v/>
      </c>
      <c r="P1368">
        <f>G1368-U1368</f>
        <v/>
      </c>
      <c r="Q1368" s="35" t="n">
        <v>45516</v>
      </c>
      <c r="R1368" t="inlineStr"/>
      <c r="S1368" t="inlineStr">
        <is>
          <t>L001-100045995</t>
        </is>
      </c>
      <c r="T1368" t="inlineStr">
        <is>
          <t>ឌីអេចអិល ឡូជីស្ទីក (ខេមបូឌា)</t>
        </is>
      </c>
      <c r="U1368" t="n">
        <v>0</v>
      </c>
      <c r="V1368" t="n">
        <v>0</v>
      </c>
    </row>
    <row r="1369">
      <c r="A1369" t="n">
        <v>1368</v>
      </c>
      <c r="B1369" t="inlineStr">
        <is>
          <t>Import Shipment Expense</t>
        </is>
      </c>
      <c r="C1369" t="inlineStr">
        <is>
          <t>ហ្វ្រេត ខនសិប (ខេមបូឌា)</t>
        </is>
      </c>
      <c r="D1369" t="inlineStr">
        <is>
          <t>K009-901502482</t>
        </is>
      </c>
      <c r="E1369" t="inlineStr">
        <is>
          <t>240930</t>
        </is>
      </c>
      <c r="F1369" t="inlineStr">
        <is>
          <t>12-09-2024</t>
        </is>
      </c>
      <c r="G1369" t="n">
        <v>113436</v>
      </c>
      <c r="I1369">
        <f>G1369</f>
        <v/>
      </c>
      <c r="K1369">
        <f>I1369-G1369</f>
        <v/>
      </c>
      <c r="M1369">
        <f>R1369=E1369</f>
        <v/>
      </c>
      <c r="N1369">
        <f>AND(MONTH(F1369)=MONTH(Q1369), YEAR(F1369)=YEAR(Q1369))</f>
        <v/>
      </c>
      <c r="O1369">
        <f>"L001-902303751"=S1369</f>
        <v/>
      </c>
      <c r="P1369">
        <f>G1369-U1369</f>
        <v/>
      </c>
      <c r="Q1369" s="35" t="n">
        <v>45510</v>
      </c>
      <c r="R1369" t="n">
        <v>84235</v>
      </c>
      <c r="S1369" t="inlineStr">
        <is>
          <t>L001-107032791</t>
        </is>
      </c>
      <c r="T1369" t="inlineStr">
        <is>
          <t>នីបផន អិចប្រេស (ខេមបូឌា) ខូ អិលធីឌី</t>
        </is>
      </c>
      <c r="U1369" t="n">
        <v>84235</v>
      </c>
      <c r="V1369" t="n">
        <v>0</v>
      </c>
    </row>
    <row r="1370">
      <c r="A1370" t="n">
        <v>1369</v>
      </c>
      <c r="B1370" t="inlineStr">
        <is>
          <t>Charge from Warehouse/cy to trucks and Storage Charges</t>
        </is>
      </c>
      <c r="C1370" t="inlineStr">
        <is>
          <t>កំពង់ផែស្វយ័តក្រុងព្រះសីហនុ</t>
        </is>
      </c>
      <c r="D1370" t="inlineStr">
        <is>
          <t>L001-100044638</t>
        </is>
      </c>
      <c r="E1370" t="inlineStr">
        <is>
          <t>198073</t>
        </is>
      </c>
      <c r="F1370" t="inlineStr">
        <is>
          <t>25-09-2024</t>
        </is>
      </c>
      <c r="G1370" t="n">
        <v>1570</v>
      </c>
      <c r="I1370">
        <f>G1370</f>
        <v/>
      </c>
      <c r="K1370">
        <f>I1370-G1370</f>
        <v/>
      </c>
      <c r="M1370">
        <f>R1370=E1370</f>
        <v/>
      </c>
      <c r="N1370">
        <f>AND(MONTH(F1370)=MONTH(Q1370), YEAR(F1370)=YEAR(Q1370))</f>
        <v/>
      </c>
      <c r="O1370">
        <f>"L001-902303751"=S1370</f>
        <v/>
      </c>
      <c r="P1370">
        <f>G1370-U1370</f>
        <v/>
      </c>
      <c r="Q1370" s="35" t="n">
        <v>45530</v>
      </c>
      <c r="R1370" t="inlineStr"/>
      <c r="S1370" t="inlineStr">
        <is>
          <t>L001-107032791</t>
        </is>
      </c>
      <c r="T1370" t="inlineStr">
        <is>
          <t>នីបផន អិចប្រេស (ខេមបូឌា) ខូ អិលធីឌី</t>
        </is>
      </c>
      <c r="U1370" t="n">
        <v>0</v>
      </c>
      <c r="V1370" t="n">
        <v>0</v>
      </c>
    </row>
    <row r="1371">
      <c r="A1371" t="n">
        <v>1370</v>
      </c>
      <c r="B1371" t="inlineStr">
        <is>
          <t>Customs Clearance Fee and Trucking Fee</t>
        </is>
      </c>
      <c r="C1371" t="inlineStr">
        <is>
          <t>ត្រាយអ៊ែងហ្គល ឡូជីស្ទីក (ខេមបូឌា) ឯ.ក</t>
        </is>
      </c>
      <c r="D1371" t="inlineStr">
        <is>
          <t>K010-902101743</t>
        </is>
      </c>
      <c r="E1371" t="inlineStr">
        <is>
          <t>TAG-24-00723</t>
        </is>
      </c>
      <c r="F1371" t="inlineStr">
        <is>
          <t>30-09-2024</t>
        </is>
      </c>
      <c r="G1371" t="n">
        <v>32488</v>
      </c>
      <c r="I1371">
        <f>G1371</f>
        <v/>
      </c>
      <c r="K1371">
        <f>I1371-G1371</f>
        <v/>
      </c>
      <c r="M1371">
        <f>R1371=E1371</f>
        <v/>
      </c>
      <c r="N1371">
        <f>AND(MONTH(F1371)=MONTH(Q1371), YEAR(F1371)=YEAR(Q1371))</f>
        <v/>
      </c>
      <c r="O1371">
        <f>"L001-902303751"=S1371</f>
        <v/>
      </c>
      <c r="P1371">
        <f>G1371-U1371</f>
        <v/>
      </c>
      <c r="Q1371" s="35" t="n">
        <v>45530</v>
      </c>
      <c r="R1371" t="inlineStr"/>
      <c r="S1371" t="inlineStr">
        <is>
          <t>L001-107032791</t>
        </is>
      </c>
      <c r="T1371" t="inlineStr">
        <is>
          <t>នីបផន អិចប្រេស (ខេមបូឌា) ខូ អិលធីឌី</t>
        </is>
      </c>
      <c r="U1371" t="n">
        <v>0</v>
      </c>
      <c r="V1371" t="n">
        <v>0</v>
      </c>
    </row>
    <row r="1372">
      <c r="A1372" t="n">
        <v>1371</v>
      </c>
      <c r="B1372" t="inlineStr">
        <is>
          <t>Import Shipment Expense</t>
        </is>
      </c>
      <c r="C1372" t="inlineStr">
        <is>
          <t>ស្តារ ខង់ខដ (ខេមបូឌា) ឯ.ក</t>
        </is>
      </c>
      <c r="D1372" t="inlineStr">
        <is>
          <t>K005-901805913</t>
        </is>
      </c>
      <c r="E1372" t="inlineStr">
        <is>
          <t>KHMHOI24090050</t>
        </is>
      </c>
      <c r="F1372" t="inlineStr">
        <is>
          <t>14-09-2024</t>
        </is>
      </c>
      <c r="G1372" t="n">
        <v>64978</v>
      </c>
      <c r="I1372">
        <f>G1372</f>
        <v/>
      </c>
      <c r="K1372">
        <f>I1372-G1372</f>
        <v/>
      </c>
      <c r="M1372">
        <f>R1372=E1372</f>
        <v/>
      </c>
      <c r="N1372">
        <f>AND(MONTH(F1372)=MONTH(Q1372), YEAR(F1372)=YEAR(Q1372))</f>
        <v/>
      </c>
      <c r="O1372">
        <f>"L001-902303751"=S1372</f>
        <v/>
      </c>
      <c r="P1372">
        <f>G1372-U1372</f>
        <v/>
      </c>
      <c r="Q1372" s="35" t="n">
        <v>45523</v>
      </c>
      <c r="R1372" t="inlineStr"/>
      <c r="S1372" t="inlineStr">
        <is>
          <t>L001-100045995</t>
        </is>
      </c>
      <c r="T1372" t="inlineStr">
        <is>
          <t>ឌីអេចអិល ឡូជីស្ទីក (ខេមបូឌា)</t>
        </is>
      </c>
      <c r="U1372" t="n">
        <v>0</v>
      </c>
      <c r="V1372" t="n">
        <v>0</v>
      </c>
    </row>
    <row r="1373">
      <c r="A1373" t="n">
        <v>1372</v>
      </c>
      <c r="B1373" t="inlineStr">
        <is>
          <t>Charge from Warehouse/cy to trucks and Storage Charges</t>
        </is>
      </c>
      <c r="C1373" t="inlineStr">
        <is>
          <t>កំពង់ផែស្វយ័តក្រុងព្រះសីហនុ</t>
        </is>
      </c>
      <c r="D1373" t="inlineStr">
        <is>
          <t>L001-100044638</t>
        </is>
      </c>
      <c r="E1373" t="inlineStr">
        <is>
          <t>198066</t>
        </is>
      </c>
      <c r="F1373" t="inlineStr">
        <is>
          <t>25-09-2024</t>
        </is>
      </c>
      <c r="G1373" t="n">
        <v>1570</v>
      </c>
      <c r="I1373">
        <f>G1373</f>
        <v/>
      </c>
      <c r="K1373">
        <f>I1373-G1373</f>
        <v/>
      </c>
      <c r="M1373">
        <f>R1373=E1373</f>
        <v/>
      </c>
      <c r="N1373">
        <f>AND(MONTH(F1373)=MONTH(Q1373), YEAR(F1373)=YEAR(Q1373))</f>
        <v/>
      </c>
      <c r="O1373">
        <f>"L001-902303751"=S1373</f>
        <v/>
      </c>
      <c r="P1373">
        <f>G1373-U1373</f>
        <v/>
      </c>
      <c r="Q1373" s="35" t="n">
        <v>45510</v>
      </c>
      <c r="R1373" t="n">
        <v>84235</v>
      </c>
      <c r="S1373" t="inlineStr">
        <is>
          <t>L001-100045995</t>
        </is>
      </c>
      <c r="T1373" t="inlineStr">
        <is>
          <t>ឌីអេចអិល ឡូជីស្ទីក (ខេមបូឌា)</t>
        </is>
      </c>
      <c r="U1373" t="n">
        <v>84235</v>
      </c>
      <c r="V1373" t="n">
        <v>0</v>
      </c>
    </row>
    <row r="1374">
      <c r="A1374" t="n">
        <v>1373</v>
      </c>
      <c r="B1374" t="inlineStr">
        <is>
          <t>Customs Clearance Fee and Trucking Fee</t>
        </is>
      </c>
      <c r="C1374" t="inlineStr">
        <is>
          <t>ត្រាយអ៊ែងហ្គល ឡូជីស្ទីក (ខេមបូឌា) ឯ.ក</t>
        </is>
      </c>
      <c r="D1374" t="inlineStr">
        <is>
          <t>K010-902101743</t>
        </is>
      </c>
      <c r="E1374" t="inlineStr">
        <is>
          <t>TAG-24-00730</t>
        </is>
      </c>
      <c r="F1374" t="inlineStr">
        <is>
          <t>30-09-2024</t>
        </is>
      </c>
      <c r="G1374" t="n">
        <v>32488</v>
      </c>
      <c r="I1374">
        <f>G1374</f>
        <v/>
      </c>
      <c r="K1374">
        <f>I1374-G1374</f>
        <v/>
      </c>
      <c r="M1374">
        <f>R1374=E1374</f>
        <v/>
      </c>
      <c r="N1374">
        <f>AND(MONTH(F1374)=MONTH(Q1374), YEAR(F1374)=YEAR(Q1374))</f>
        <v/>
      </c>
      <c r="O1374">
        <f>"L001-902303751"=S1374</f>
        <v/>
      </c>
      <c r="P1374">
        <f>G1374-U1374</f>
        <v/>
      </c>
      <c r="Q1374" s="35" t="n">
        <v>45530</v>
      </c>
      <c r="R1374" t="inlineStr"/>
      <c r="S1374" t="inlineStr">
        <is>
          <t>K005-901902888</t>
        </is>
      </c>
      <c r="T1374" t="inlineStr">
        <is>
          <t>អឹឡាយអិន ហ្វ័រវើឌីង (ខេមបូឌា) ឯ.ក</t>
        </is>
      </c>
      <c r="U1374" t="n">
        <v>0</v>
      </c>
      <c r="V1374" t="n">
        <v>0</v>
      </c>
    </row>
    <row r="1375">
      <c r="A1375" t="n">
        <v>1374</v>
      </c>
      <c r="B1375" t="inlineStr">
        <is>
          <t>Import Shipment Expense</t>
        </is>
      </c>
      <c r="C1375" t="inlineStr">
        <is>
          <t>ផេនដា គ្លូប៊ល ឡូជីស្ទីក (ខេមបូឌា)</t>
        </is>
      </c>
      <c r="D1375" t="inlineStr">
        <is>
          <t>K005-901501155</t>
        </is>
      </c>
      <c r="E1375" t="inlineStr">
        <is>
          <t>PD240380</t>
        </is>
      </c>
      <c r="F1375" t="inlineStr">
        <is>
          <t>16-09-2024</t>
        </is>
      </c>
      <c r="G1375" t="n">
        <v>249321</v>
      </c>
      <c r="I1375">
        <f>G1375</f>
        <v/>
      </c>
      <c r="K1375">
        <f>I1375-G1375</f>
        <v/>
      </c>
      <c r="M1375">
        <f>R1375=E1375</f>
        <v/>
      </c>
      <c r="N1375">
        <f>AND(MONTH(F1375)=MONTH(Q1375), YEAR(F1375)=YEAR(Q1375))</f>
        <v/>
      </c>
      <c r="O1375">
        <f>"L001-902303751"=S1375</f>
        <v/>
      </c>
      <c r="P1375">
        <f>G1375-U1375</f>
        <v/>
      </c>
      <c r="Q1375" s="35" t="n">
        <v>45530</v>
      </c>
      <c r="R1375" t="n">
        <v>83661</v>
      </c>
      <c r="S1375" t="inlineStr">
        <is>
          <t>L001-100045995</t>
        </is>
      </c>
      <c r="T1375" t="inlineStr">
        <is>
          <t>ឌីអេចអិល ឡូជីស្ទីក (ខេមបូឌា)</t>
        </is>
      </c>
      <c r="U1375" t="n">
        <v>83661</v>
      </c>
      <c r="V1375" t="n">
        <v>0</v>
      </c>
    </row>
    <row r="1376">
      <c r="A1376" t="n">
        <v>1375</v>
      </c>
      <c r="B1376" t="inlineStr">
        <is>
          <t>Lift-On &amp; Lift-Off</t>
        </is>
      </c>
      <c r="C1376" t="inlineStr">
        <is>
          <t>កំពង់ផែស្វយ័តក្រុងព្រះសីហនុ</t>
        </is>
      </c>
      <c r="D1376" t="inlineStr">
        <is>
          <t>L001-100044638</t>
        </is>
      </c>
      <c r="E1376" t="inlineStr">
        <is>
          <t>192070</t>
        </is>
      </c>
      <c r="F1376" t="inlineStr">
        <is>
          <t>17-09-2024</t>
        </is>
      </c>
      <c r="G1376" t="n">
        <v>35270</v>
      </c>
      <c r="I1376">
        <f>G1376</f>
        <v/>
      </c>
      <c r="K1376">
        <f>I1376-G1376</f>
        <v/>
      </c>
      <c r="M1376">
        <f>R1376=E1376</f>
        <v/>
      </c>
      <c r="N1376">
        <f>AND(MONTH(F1376)=MONTH(Q1376), YEAR(F1376)=YEAR(Q1376))</f>
        <v/>
      </c>
      <c r="O1376">
        <f>"L001-902303751"=S1376</f>
        <v/>
      </c>
      <c r="P1376">
        <f>G1376-U1376</f>
        <v/>
      </c>
      <c r="Q1376" s="35" t="n">
        <v>45531</v>
      </c>
      <c r="R1376" t="n">
        <v>83538</v>
      </c>
      <c r="S1376" t="inlineStr">
        <is>
          <t>K002-901800477</t>
        </is>
      </c>
      <c r="T1376" t="inlineStr">
        <is>
          <t>អាយធីអាយ អ៊ិនធើណេសិនណល ត្រេនស័្ពរថេសិន (ខេមបូឌា) ឯ.ក</t>
        </is>
      </c>
      <c r="U1376" t="n">
        <v>83538</v>
      </c>
      <c r="V1376" t="n">
        <v>0</v>
      </c>
    </row>
    <row r="1377">
      <c r="A1377" t="n">
        <v>1376</v>
      </c>
      <c r="B1377" t="inlineStr">
        <is>
          <t>Customs Clearance Fee and Trucking Fee</t>
        </is>
      </c>
      <c r="C1377" t="inlineStr">
        <is>
          <t>ត្រាយអ៊ែងហ្គល ឡូជីស្ទីក (ខេមបូឌា) ឯ.ក</t>
        </is>
      </c>
      <c r="D1377" t="inlineStr">
        <is>
          <t>K010-902101743</t>
        </is>
      </c>
      <c r="E1377" t="inlineStr">
        <is>
          <t>TAG-24-00692</t>
        </is>
      </c>
      <c r="F1377" t="inlineStr">
        <is>
          <t>27-09-2024</t>
        </is>
      </c>
      <c r="G1377" t="n">
        <v>109647</v>
      </c>
      <c r="I1377">
        <f>G1377</f>
        <v/>
      </c>
      <c r="K1377">
        <f>I1377-G1377</f>
        <v/>
      </c>
      <c r="M1377">
        <f>R1377=E1377</f>
        <v/>
      </c>
      <c r="N1377">
        <f>AND(MONTH(F1377)=MONTH(Q1377), YEAR(F1377)=YEAR(Q1377))</f>
        <v/>
      </c>
      <c r="O1377">
        <f>"L001-902303751"=S1377</f>
        <v/>
      </c>
      <c r="P1377">
        <f>G1377-U1377</f>
        <v/>
      </c>
      <c r="Q1377" s="35" t="n">
        <v>45523</v>
      </c>
      <c r="R1377" t="inlineStr"/>
      <c r="S1377" t="inlineStr">
        <is>
          <t>L001-107032791</t>
        </is>
      </c>
      <c r="T1377" t="inlineStr">
        <is>
          <t>នីបផន អិចប្រេស (ខេមបូឌា) ខូ អិលធីឌី</t>
        </is>
      </c>
      <c r="U1377" t="n">
        <v>0</v>
      </c>
      <c r="V1377" t="n">
        <v>0</v>
      </c>
    </row>
    <row r="1378">
      <c r="A1378" t="n">
        <v>1377</v>
      </c>
      <c r="B1378" t="inlineStr">
        <is>
          <t>Import Shipment Expense</t>
        </is>
      </c>
      <c r="C1378" t="inlineStr">
        <is>
          <t>ហ្វ្រេត ខនសិប (ខេមបូឌា)</t>
        </is>
      </c>
      <c r="D1378" t="inlineStr">
        <is>
          <t>K009-901502482</t>
        </is>
      </c>
      <c r="E1378" t="inlineStr">
        <is>
          <t>240905</t>
        </is>
      </c>
      <c r="F1378" t="inlineStr">
        <is>
          <t>07-09-2024</t>
        </is>
      </c>
      <c r="G1378" t="n">
        <v>32592</v>
      </c>
      <c r="I1378">
        <f>G1378</f>
        <v/>
      </c>
      <c r="K1378">
        <f>I1378-G1378</f>
        <v/>
      </c>
      <c r="M1378">
        <f>R1378=E1378</f>
        <v/>
      </c>
      <c r="N1378">
        <f>AND(MONTH(F1378)=MONTH(Q1378), YEAR(F1378)=YEAR(Q1378))</f>
        <v/>
      </c>
      <c r="O1378">
        <f>"L001-902303751"=S1378</f>
        <v/>
      </c>
      <c r="P1378">
        <f>G1378-U1378</f>
        <v/>
      </c>
      <c r="Q1378" s="35" t="n">
        <v>45523</v>
      </c>
      <c r="R1378" t="inlineStr"/>
      <c r="S1378" t="inlineStr">
        <is>
          <t>L001-107032791</t>
        </is>
      </c>
      <c r="T1378" t="inlineStr">
        <is>
          <t>នីបផន អិចប្រេស (ខេមបូឌា) ខូ អិលធីឌី</t>
        </is>
      </c>
      <c r="U1378" t="n">
        <v>0</v>
      </c>
      <c r="V1378" t="n">
        <v>0</v>
      </c>
    </row>
    <row r="1379">
      <c r="A1379" t="n">
        <v>1378</v>
      </c>
      <c r="B1379" t="inlineStr">
        <is>
          <t>Cargo Terminal</t>
        </is>
      </c>
      <c r="C1379" t="inlineStr">
        <is>
          <t>សូស៊ីយេតេ កុងសេស្យូនែរ ដឺ ឡាអេរ៉ូព័រ</t>
        </is>
      </c>
      <c r="D1379" t="inlineStr">
        <is>
          <t>L001-100047300</t>
        </is>
      </c>
      <c r="E1379" t="inlineStr">
        <is>
          <t>2400-073053</t>
        </is>
      </c>
      <c r="F1379" t="inlineStr">
        <is>
          <t>10-09-2024</t>
        </is>
      </c>
      <c r="G1379" t="n">
        <v>1919</v>
      </c>
      <c r="I1379">
        <f>G1379</f>
        <v/>
      </c>
      <c r="K1379">
        <f>I1379-G1379</f>
        <v/>
      </c>
      <c r="M1379">
        <f>R1379=E1379</f>
        <v/>
      </c>
      <c r="N1379">
        <f>AND(MONTH(F1379)=MONTH(Q1379), YEAR(F1379)=YEAR(Q1379))</f>
        <v/>
      </c>
      <c r="O1379">
        <f>"L001-902303751"=S1379</f>
        <v/>
      </c>
      <c r="P1379">
        <f>G1379-U1379</f>
        <v/>
      </c>
      <c r="Q1379" s="35" t="n">
        <v>45523</v>
      </c>
      <c r="R1379" t="n">
        <v>202851</v>
      </c>
      <c r="S1379" t="inlineStr">
        <is>
          <t>L001-107032791</t>
        </is>
      </c>
      <c r="T1379" t="inlineStr">
        <is>
          <t>នីបផន អិចប្រេស (ខេមបូឌា) ខូ អិលធីឌី</t>
        </is>
      </c>
      <c r="U1379" t="n">
        <v>202851</v>
      </c>
      <c r="V1379" t="n">
        <v>0</v>
      </c>
    </row>
    <row r="1380">
      <c r="A1380" t="n">
        <v>1379</v>
      </c>
      <c r="B1380" t="inlineStr">
        <is>
          <t>Customs Clearance Fee and Trucking Fee</t>
        </is>
      </c>
      <c r="C1380" t="inlineStr">
        <is>
          <t>ត្រាយអ៊ែងហ្គល ឡូជីស្ទីក (ខេមបូឌា) ឯ.ក</t>
        </is>
      </c>
      <c r="D1380" t="inlineStr">
        <is>
          <t>K010-902101743</t>
        </is>
      </c>
      <c r="E1380" t="inlineStr">
        <is>
          <t>TAG-24-00653</t>
        </is>
      </c>
      <c r="F1380" t="inlineStr">
        <is>
          <t>19-09-2024</t>
        </is>
      </c>
      <c r="G1380" t="n">
        <v>28686</v>
      </c>
      <c r="I1380">
        <f>G1380</f>
        <v/>
      </c>
      <c r="K1380">
        <f>I1380-G1380</f>
        <v/>
      </c>
      <c r="M1380">
        <f>R1380=E1380</f>
        <v/>
      </c>
      <c r="N1380">
        <f>AND(MONTH(F1380)=MONTH(Q1380), YEAR(F1380)=YEAR(Q1380))</f>
        <v/>
      </c>
      <c r="O1380">
        <f>"L001-902303751"=S1380</f>
        <v/>
      </c>
      <c r="P1380">
        <f>G1380-U1380</f>
        <v/>
      </c>
      <c r="Q1380" s="35" t="n">
        <v>45530</v>
      </c>
      <c r="R1380" t="n">
        <v>83661</v>
      </c>
      <c r="S1380" t="inlineStr">
        <is>
          <t>K005-100150195</t>
        </is>
      </c>
      <c r="T1380" t="inlineStr">
        <is>
          <t>អេស អ វី ស៊ី ហ្វ្រេត សឺវីស (ខេមបូឌា) ខូ អិលធីឌី</t>
        </is>
      </c>
      <c r="U1380" t="n">
        <v>83661</v>
      </c>
      <c r="V1380" t="n">
        <v>0</v>
      </c>
    </row>
    <row r="1381">
      <c r="A1381" t="n">
        <v>1380</v>
      </c>
      <c r="B1381" t="inlineStr">
        <is>
          <t>Import Shipment Expense</t>
        </is>
      </c>
      <c r="C1381" t="inlineStr">
        <is>
          <t>អូរៀនថល ឡូជីស្ទីក &amp; ឌីស្ទ្រីប៊្យូសិន (ខេមបូឌា)</t>
        </is>
      </c>
      <c r="D1381" t="inlineStr">
        <is>
          <t>L001-103007369</t>
        </is>
      </c>
      <c r="E1381" t="inlineStr">
        <is>
          <t>24-9691</t>
        </is>
      </c>
      <c r="F1381" t="inlineStr">
        <is>
          <t>06-09-2024</t>
        </is>
      </c>
      <c r="G1381" t="n">
        <v>95739</v>
      </c>
      <c r="I1381">
        <f>G1381</f>
        <v/>
      </c>
      <c r="K1381">
        <f>I1381-G1381</f>
        <v/>
      </c>
      <c r="M1381">
        <f>R1381=E1381</f>
        <v/>
      </c>
      <c r="N1381">
        <f>AND(MONTH(F1381)=MONTH(Q1381), YEAR(F1381)=YEAR(Q1381))</f>
        <v/>
      </c>
      <c r="O1381">
        <f>"L001-902303751"=S1381</f>
        <v/>
      </c>
      <c r="P1381">
        <f>G1381-U1381</f>
        <v/>
      </c>
      <c r="Q1381" s="35" t="n">
        <v>45523</v>
      </c>
      <c r="R1381" t="n">
        <v>112695</v>
      </c>
      <c r="S1381" t="inlineStr">
        <is>
          <t>L001-107032791</t>
        </is>
      </c>
      <c r="T1381" t="inlineStr">
        <is>
          <t>នីបផន អិចប្រេស (ខេមបូឌា) ខូ អិលធីឌី</t>
        </is>
      </c>
      <c r="U1381" t="n">
        <v>112695</v>
      </c>
      <c r="V1381" t="n">
        <v>0</v>
      </c>
    </row>
    <row r="1382">
      <c r="A1382" t="n">
        <v>1381</v>
      </c>
      <c r="B1382" t="inlineStr">
        <is>
          <t>Storage Charge</t>
        </is>
      </c>
      <c r="C1382" t="inlineStr">
        <is>
          <t>ហាន​ &amp; ជុន ត្រេនស្ព័ត ខូ អិលធីឌី</t>
        </is>
      </c>
      <c r="D1382" t="inlineStr">
        <is>
          <t>L001-104016647</t>
        </is>
      </c>
      <c r="E1382" t="inlineStr">
        <is>
          <t>HJ24-2940</t>
        </is>
      </c>
      <c r="F1382" t="inlineStr">
        <is>
          <t>09-09-2024</t>
        </is>
      </c>
      <c r="G1382" t="n">
        <v>2185</v>
      </c>
      <c r="I1382">
        <f>G1382</f>
        <v/>
      </c>
      <c r="K1382">
        <f>I1382-G1382</f>
        <v/>
      </c>
      <c r="M1382">
        <f>R1382=E1382</f>
        <v/>
      </c>
      <c r="N1382">
        <f>AND(MONTH(F1382)=MONTH(Q1382), YEAR(F1382)=YEAR(Q1382))</f>
        <v/>
      </c>
      <c r="O1382">
        <f>"L001-902303751"=S1382</f>
        <v/>
      </c>
      <c r="P1382">
        <f>G1382-U1382</f>
        <v/>
      </c>
      <c r="Q1382" s="35" t="n">
        <v>45505</v>
      </c>
      <c r="R1382" t="inlineStr"/>
      <c r="S1382" t="inlineStr">
        <is>
          <t>L001-100011888</t>
        </is>
      </c>
      <c r="T1382" t="inlineStr">
        <is>
          <t>ត្រេន ស្តារ ហ្រេ្វត</t>
        </is>
      </c>
      <c r="U1382" t="n">
        <v>0</v>
      </c>
      <c r="V1382" t="n">
        <v>0</v>
      </c>
    </row>
    <row r="1383">
      <c r="A1383" t="n">
        <v>1382</v>
      </c>
      <c r="B1383" t="inlineStr">
        <is>
          <t>Warehouse Fee</t>
        </is>
      </c>
      <c r="C1383" t="inlineStr">
        <is>
          <t>ហាន​ &amp; ជុន ត្រេនស្ព័ត ខូ អិលធីឌី</t>
        </is>
      </c>
      <c r="D1383" t="inlineStr">
        <is>
          <t>L001-104016647</t>
        </is>
      </c>
      <c r="E1383" t="inlineStr">
        <is>
          <t>HJ24-2855</t>
        </is>
      </c>
      <c r="F1383" t="inlineStr">
        <is>
          <t>09-09-2024</t>
        </is>
      </c>
      <c r="G1383" t="n">
        <v>14552</v>
      </c>
      <c r="I1383">
        <f>G1383</f>
        <v/>
      </c>
      <c r="K1383">
        <f>I1383-G1383</f>
        <v/>
      </c>
      <c r="M1383">
        <f>R1383=E1383</f>
        <v/>
      </c>
      <c r="N1383">
        <f>AND(MONTH(F1383)=MONTH(Q1383), YEAR(F1383)=YEAR(Q1383))</f>
        <v/>
      </c>
      <c r="O1383">
        <f>"L001-902303751"=S1383</f>
        <v/>
      </c>
      <c r="P1383">
        <f>G1383-U1383</f>
        <v/>
      </c>
      <c r="Q1383" s="35" t="n">
        <v>45523</v>
      </c>
      <c r="R1383" t="n">
        <v>84009</v>
      </c>
      <c r="S1383" t="inlineStr">
        <is>
          <t>L001-107032791</t>
        </is>
      </c>
      <c r="T1383" t="inlineStr">
        <is>
          <t>នីបផន អិចប្រេស (ខេមបូឌា) ខូ អិលធីឌី</t>
        </is>
      </c>
      <c r="U1383" t="n">
        <v>84009</v>
      </c>
      <c r="V1383" t="n">
        <v>0</v>
      </c>
    </row>
    <row r="1384">
      <c r="A1384" t="n">
        <v>1383</v>
      </c>
      <c r="B1384" t="inlineStr">
        <is>
          <t>Customs Clearance Fee and Trucking Fee</t>
        </is>
      </c>
      <c r="C1384" t="inlineStr">
        <is>
          <t>ត្រាយអ៊ែងហ្គល ឡូជីស្ទីក (ខេមបូឌា) ឯ.ក</t>
        </is>
      </c>
      <c r="D1384" t="inlineStr">
        <is>
          <t>K010-902101743</t>
        </is>
      </c>
      <c r="E1384" t="inlineStr">
        <is>
          <t>TAG-24-00650</t>
        </is>
      </c>
      <c r="F1384" t="inlineStr">
        <is>
          <t>19-09-2024</t>
        </is>
      </c>
      <c r="G1384" t="n">
        <v>32784</v>
      </c>
      <c r="I1384">
        <f>G1384</f>
        <v/>
      </c>
      <c r="K1384">
        <f>I1384-G1384</f>
        <v/>
      </c>
      <c r="M1384">
        <f>R1384=E1384</f>
        <v/>
      </c>
      <c r="N1384">
        <f>AND(MONTH(F1384)=MONTH(Q1384), YEAR(F1384)=YEAR(Q1384))</f>
        <v/>
      </c>
      <c r="O1384">
        <f>"L001-902303751"=S1384</f>
        <v/>
      </c>
      <c r="P1384">
        <f>G1384-U1384</f>
        <v/>
      </c>
      <c r="Q1384" s="35" t="n">
        <v>45523</v>
      </c>
      <c r="R1384" t="inlineStr"/>
      <c r="S1384" t="inlineStr">
        <is>
          <t>L001-107032791</t>
        </is>
      </c>
      <c r="T1384" t="inlineStr">
        <is>
          <t>នីបផន អិចប្រេស (ខេមបូឌា) ខូ អិលធីឌី</t>
        </is>
      </c>
      <c r="U1384" t="n">
        <v>0</v>
      </c>
      <c r="V1384" t="n">
        <v>0</v>
      </c>
    </row>
    <row r="1385">
      <c r="A1385" t="n">
        <v>1384</v>
      </c>
      <c r="B1385" t="inlineStr">
        <is>
          <t>Import Shipment Expense</t>
        </is>
      </c>
      <c r="C1385" t="inlineStr">
        <is>
          <t>អឹឡាយអិន ហ្វ័រវើឌីង (ខេមបូឌា) ឯ.ក</t>
        </is>
      </c>
      <c r="D1385" t="inlineStr">
        <is>
          <t>K005-901902888</t>
        </is>
      </c>
      <c r="E1385" t="inlineStr">
        <is>
          <t>PPTI24-0667</t>
        </is>
      </c>
      <c r="F1385" t="inlineStr">
        <is>
          <t>13-09-2024</t>
        </is>
      </c>
      <c r="G1385" t="n">
        <v>79517</v>
      </c>
      <c r="I1385">
        <f>G1385</f>
        <v/>
      </c>
      <c r="K1385">
        <f>I1385-G1385</f>
        <v/>
      </c>
      <c r="M1385">
        <f>R1385=E1385</f>
        <v/>
      </c>
      <c r="N1385">
        <f>AND(MONTH(F1385)=MONTH(Q1385), YEAR(F1385)=YEAR(Q1385))</f>
        <v/>
      </c>
      <c r="O1385">
        <f>"L001-902303751"=S1385</f>
        <v/>
      </c>
      <c r="P1385">
        <f>G1385-U1385</f>
        <v/>
      </c>
      <c r="Q1385" s="35" t="n">
        <v>45530</v>
      </c>
      <c r="R1385" t="n">
        <v>83661</v>
      </c>
      <c r="S1385" t="inlineStr">
        <is>
          <t>L001-107032791</t>
        </is>
      </c>
      <c r="T1385" t="inlineStr">
        <is>
          <t>នីបផន អិចប្រេស (ខេមបូឌា) ខូ អិលធីឌី</t>
        </is>
      </c>
      <c r="U1385" t="n">
        <v>83661</v>
      </c>
      <c r="V1385" t="n">
        <v>0</v>
      </c>
    </row>
    <row r="1386">
      <c r="A1386" t="n">
        <v>1385</v>
      </c>
      <c r="B1386" t="inlineStr">
        <is>
          <t>Charge from Warehouse/cy to trucks</t>
        </is>
      </c>
      <c r="C1386" t="inlineStr">
        <is>
          <t>កំពង់ផែស្វយ័តក្រុងព្រះសីហនុ</t>
        </is>
      </c>
      <c r="D1386" t="inlineStr">
        <is>
          <t>L001-100044638</t>
        </is>
      </c>
      <c r="E1386" t="inlineStr">
        <is>
          <t>193244</t>
        </is>
      </c>
      <c r="F1386" t="inlineStr">
        <is>
          <t>18-09-2024</t>
        </is>
      </c>
      <c r="G1386" t="n">
        <v>619</v>
      </c>
      <c r="I1386">
        <f>G1386</f>
        <v/>
      </c>
      <c r="K1386">
        <f>I1386-G1386</f>
        <v/>
      </c>
      <c r="M1386">
        <f>R1386=E1386</f>
        <v/>
      </c>
      <c r="N1386">
        <f>AND(MONTH(F1386)=MONTH(Q1386), YEAR(F1386)=YEAR(Q1386))</f>
        <v/>
      </c>
      <c r="O1386">
        <f>"L001-902303751"=S1386</f>
        <v/>
      </c>
      <c r="P1386">
        <f>G1386-U1386</f>
        <v/>
      </c>
      <c r="Q1386" s="35" t="n">
        <v>45526</v>
      </c>
      <c r="R1386" t="n">
        <v>16340</v>
      </c>
      <c r="S1386" t="inlineStr">
        <is>
          <t>L001-100045995</t>
        </is>
      </c>
      <c r="T1386" t="inlineStr">
        <is>
          <t>ឌីអេចអិល ឡូជីស្ទីក (ខេមបូឌា)</t>
        </is>
      </c>
      <c r="U1386" t="n">
        <v>16340</v>
      </c>
      <c r="V1386" t="n">
        <v>0</v>
      </c>
    </row>
    <row r="1387">
      <c r="A1387" t="n">
        <v>1386</v>
      </c>
      <c r="B1387" t="inlineStr">
        <is>
          <t>Customs Clearance Fee and Trucking Fee</t>
        </is>
      </c>
      <c r="C1387" t="inlineStr">
        <is>
          <t>ត្រាយអ៊ែងហ្គល ឡូជីស្ទីក (ខេមបូឌា) ឯ.ក</t>
        </is>
      </c>
      <c r="D1387" t="inlineStr">
        <is>
          <t>K010-902101743</t>
        </is>
      </c>
      <c r="E1387" t="inlineStr">
        <is>
          <t>TAG-24-00693</t>
        </is>
      </c>
      <c r="F1387" t="inlineStr">
        <is>
          <t>27-09-2024</t>
        </is>
      </c>
      <c r="G1387" t="n">
        <v>32488</v>
      </c>
      <c r="I1387">
        <f>G1387</f>
        <v/>
      </c>
      <c r="K1387">
        <f>I1387-G1387</f>
        <v/>
      </c>
      <c r="M1387">
        <f>R1387=E1387</f>
        <v/>
      </c>
      <c r="N1387">
        <f>AND(MONTH(F1387)=MONTH(Q1387), YEAR(F1387)=YEAR(Q1387))</f>
        <v/>
      </c>
      <c r="O1387">
        <f>"L001-902303751"=S1387</f>
        <v/>
      </c>
      <c r="P1387">
        <f>G1387-U1387</f>
        <v/>
      </c>
      <c r="Q1387" s="35" t="n">
        <v>45516</v>
      </c>
      <c r="R1387" t="n">
        <v>174123</v>
      </c>
      <c r="S1387" t="inlineStr">
        <is>
          <t>K002-901800477</t>
        </is>
      </c>
      <c r="T1387" t="inlineStr">
        <is>
          <t>អាយធីអាយ អ៊ិនធើណេសិនណល ត្រេនស័្ពរថេសិន (ខេមបូឌា) ឯ.ក</t>
        </is>
      </c>
      <c r="U1387" t="n">
        <v>174123</v>
      </c>
      <c r="V1387" t="n">
        <v>0</v>
      </c>
    </row>
    <row r="1388">
      <c r="A1388" t="n">
        <v>1387</v>
      </c>
      <c r="B1388" t="inlineStr">
        <is>
          <t>Customs Clearance Fee</t>
        </is>
      </c>
      <c r="C1388" t="inlineStr">
        <is>
          <t>ត្រាយអ៊ែងហ្គល ឡូជីស្ទីក (ខេមបូឌា) ឯ.ក</t>
        </is>
      </c>
      <c r="D1388" t="inlineStr">
        <is>
          <t>K010-902101743</t>
        </is>
      </c>
      <c r="E1388" t="inlineStr">
        <is>
          <t>TAG-24-00649</t>
        </is>
      </c>
      <c r="F1388" t="inlineStr">
        <is>
          <t>19-09-2024</t>
        </is>
      </c>
      <c r="G1388" t="n">
        <v>8196</v>
      </c>
      <c r="I1388">
        <f>G1388</f>
        <v/>
      </c>
      <c r="K1388">
        <f>I1388-G1388</f>
        <v/>
      </c>
      <c r="M1388">
        <f>R1388=E1388</f>
        <v/>
      </c>
      <c r="N1388">
        <f>AND(MONTH(F1388)=MONTH(Q1388), YEAR(F1388)=YEAR(Q1388))</f>
        <v/>
      </c>
      <c r="O1388">
        <f>"L001-902303751"=S1388</f>
        <v/>
      </c>
      <c r="P1388">
        <f>G1388-U1388</f>
        <v/>
      </c>
      <c r="Q1388" s="35" t="n">
        <v>45510</v>
      </c>
      <c r="R1388" t="n">
        <v>84235</v>
      </c>
      <c r="S1388" t="inlineStr">
        <is>
          <t>L001-107032791</t>
        </is>
      </c>
      <c r="T1388" t="inlineStr">
        <is>
          <t>នីបផន អិចប្រេស (ខេមបូឌា) ខូ អិលធីឌី</t>
        </is>
      </c>
      <c r="U1388" t="n">
        <v>84235</v>
      </c>
      <c r="V1388" t="n">
        <v>0</v>
      </c>
    </row>
    <row r="1389">
      <c r="A1389" t="n">
        <v>1388</v>
      </c>
      <c r="B1389" t="inlineStr">
        <is>
          <t>Airway bill fee and Handling Agency fee</t>
        </is>
      </c>
      <c r="C1389" t="inlineStr">
        <is>
          <t>ត្រេន ស្តារ ហ្រេ្វត</t>
        </is>
      </c>
      <c r="D1389" t="inlineStr">
        <is>
          <t>L001-100011888</t>
        </is>
      </c>
      <c r="E1389" t="inlineStr">
        <is>
          <t>PPTI24-11539</t>
        </is>
      </c>
      <c r="F1389" t="inlineStr">
        <is>
          <t>04-09-2024</t>
        </is>
      </c>
      <c r="G1389" t="n">
        <v>34485</v>
      </c>
      <c r="I1389">
        <f>G1389</f>
        <v/>
      </c>
      <c r="K1389">
        <f>I1389-G1389</f>
        <v/>
      </c>
      <c r="M1389">
        <f>R1389=E1389</f>
        <v/>
      </c>
      <c r="N1389">
        <f>AND(MONTH(F1389)=MONTH(Q1389), YEAR(F1389)=YEAR(Q1389))</f>
        <v/>
      </c>
      <c r="O1389">
        <f>"L001-902303751"=S1389</f>
        <v/>
      </c>
      <c r="P1389">
        <f>G1389-U1389</f>
        <v/>
      </c>
      <c r="Q1389" s="35" t="n">
        <v>45510</v>
      </c>
      <c r="R1389" t="n">
        <v>115463</v>
      </c>
      <c r="S1389" t="inlineStr">
        <is>
          <t>K005-901805913</t>
        </is>
      </c>
      <c r="T1389" t="inlineStr">
        <is>
          <t>ស្តារ ខង់ខដ (ខេមបូឌា) ឯ.ក</t>
        </is>
      </c>
      <c r="U1389" t="n">
        <v>115463</v>
      </c>
      <c r="V1389" t="n">
        <v>0</v>
      </c>
    </row>
    <row r="1390">
      <c r="A1390" t="n">
        <v>1389</v>
      </c>
      <c r="B1390" t="inlineStr">
        <is>
          <t>Cargo Terminal</t>
        </is>
      </c>
      <c r="C1390" t="inlineStr">
        <is>
          <t>សូស៊ីយេតេ កុងសេស្យូនែរ ដឺ ឡាអេរ៉ូព័រ</t>
        </is>
      </c>
      <c r="D1390" t="inlineStr">
        <is>
          <t>L001-100047300</t>
        </is>
      </c>
      <c r="E1390" t="inlineStr">
        <is>
          <t>2400-071692</t>
        </is>
      </c>
      <c r="F1390" t="inlineStr">
        <is>
          <t>05-09-2024</t>
        </is>
      </c>
      <c r="G1390" t="n">
        <v>9686</v>
      </c>
      <c r="I1390">
        <f>G1390</f>
        <v/>
      </c>
      <c r="K1390">
        <f>I1390-G1390</f>
        <v/>
      </c>
      <c r="M1390">
        <f>R1390=E1390</f>
        <v/>
      </c>
      <c r="N1390">
        <f>AND(MONTH(F1390)=MONTH(Q1390), YEAR(F1390)=YEAR(Q1390))</f>
        <v/>
      </c>
      <c r="O1390">
        <f>"L001-902303751"=S1390</f>
        <v/>
      </c>
      <c r="P1390">
        <f>G1390-U1390</f>
        <v/>
      </c>
      <c r="Q1390" s="35" t="n">
        <v>45510</v>
      </c>
      <c r="R1390" t="n">
        <v>112998</v>
      </c>
      <c r="S1390" t="inlineStr">
        <is>
          <t>L001-107032791</t>
        </is>
      </c>
      <c r="T1390" t="inlineStr">
        <is>
          <t>នីបផន អិចប្រេស (ខេមបូឌា) ខូ អិលធីឌី</t>
        </is>
      </c>
      <c r="U1390" t="n">
        <v>112998</v>
      </c>
      <c r="V1390" t="n">
        <v>0</v>
      </c>
    </row>
    <row r="1391">
      <c r="A1391" t="n">
        <v>1390</v>
      </c>
      <c r="B1391" t="inlineStr">
        <is>
          <t>Customs Clearance Fee and Trucking Fee</t>
        </is>
      </c>
      <c r="C1391" t="inlineStr">
        <is>
          <t>ត្រាយអ៊ែងហ្គល ឡូជីស្ទីក (ខេមបូឌា) ឯ.ក</t>
        </is>
      </c>
      <c r="D1391" t="inlineStr">
        <is>
          <t>K010-902101743</t>
        </is>
      </c>
      <c r="E1391" t="inlineStr">
        <is>
          <t>TAG-24-00656</t>
        </is>
      </c>
      <c r="F1391" t="inlineStr">
        <is>
          <t>19-09-2024</t>
        </is>
      </c>
      <c r="G1391" t="n">
        <v>28686</v>
      </c>
      <c r="I1391">
        <f>G1391</f>
        <v/>
      </c>
      <c r="K1391">
        <f>I1391-G1391</f>
        <v/>
      </c>
      <c r="M1391">
        <f>R1391=E1391</f>
        <v/>
      </c>
      <c r="N1391">
        <f>AND(MONTH(F1391)=MONTH(Q1391), YEAR(F1391)=YEAR(Q1391))</f>
        <v/>
      </c>
      <c r="O1391">
        <f>"L001-902303751"=S1391</f>
        <v/>
      </c>
      <c r="P1391">
        <f>G1391-U1391</f>
        <v/>
      </c>
      <c r="Q1391" s="35" t="n">
        <v>45530</v>
      </c>
      <c r="R1391" t="n">
        <v>83661</v>
      </c>
      <c r="S1391" t="inlineStr">
        <is>
          <t>L001-100045995</t>
        </is>
      </c>
      <c r="T1391" t="inlineStr">
        <is>
          <t>ឌីអេចអិល ឡូជីស្ទីក (ខេមបូឌា)</t>
        </is>
      </c>
      <c r="U1391" t="n">
        <v>83661</v>
      </c>
      <c r="V1391" t="n">
        <v>0</v>
      </c>
    </row>
    <row r="1392">
      <c r="A1392" t="n">
        <v>1391</v>
      </c>
      <c r="B1392" t="inlineStr">
        <is>
          <t>Import Shipment Expense</t>
        </is>
      </c>
      <c r="C1392" t="inlineStr">
        <is>
          <t>ខេអិលអិន ហ្វ្រេត (ខេមបូឌា) ឯ.ក</t>
        </is>
      </c>
      <c r="D1392" t="inlineStr">
        <is>
          <t>L001-100074669</t>
        </is>
      </c>
      <c r="E1392" t="inlineStr">
        <is>
          <t>IVO15087</t>
        </is>
      </c>
      <c r="F1392" t="inlineStr">
        <is>
          <t>22-09-2024</t>
        </is>
      </c>
      <c r="G1392" t="n">
        <v>253698</v>
      </c>
      <c r="I1392">
        <f>G1392</f>
        <v/>
      </c>
      <c r="K1392">
        <f>I1392-G1392</f>
        <v/>
      </c>
      <c r="M1392">
        <f>R1392=E1392</f>
        <v/>
      </c>
      <c r="N1392">
        <f>AND(MONTH(F1392)=MONTH(Q1392), YEAR(F1392)=YEAR(Q1392))</f>
        <v/>
      </c>
      <c r="O1392">
        <f>"L001-902303751"=S1392</f>
        <v/>
      </c>
      <c r="P1392">
        <f>G1392-U1392</f>
        <v/>
      </c>
      <c r="Q1392" s="35" t="n">
        <v>45530</v>
      </c>
      <c r="R1392" t="n">
        <v>1910316</v>
      </c>
      <c r="S1392" t="inlineStr">
        <is>
          <t>K004-105012505</t>
        </is>
      </c>
      <c r="T1392" t="inlineStr">
        <is>
          <t>អេស៊ាន ហ្វ្រេត (ខេមបូឌា)</t>
        </is>
      </c>
      <c r="U1392" t="n">
        <v>1910316</v>
      </c>
      <c r="V1392" t="n">
        <v>0</v>
      </c>
    </row>
    <row r="1393">
      <c r="A1393" t="n">
        <v>1392</v>
      </c>
      <c r="B1393" t="inlineStr">
        <is>
          <t>Lift-On &amp; Lift-Off</t>
        </is>
      </c>
      <c r="C1393" t="inlineStr">
        <is>
          <t>កំពង់ផែស្វយ័តក្រុងព្រះសីហនុ</t>
        </is>
      </c>
      <c r="D1393" t="inlineStr">
        <is>
          <t>L001-100044638</t>
        </is>
      </c>
      <c r="E1393" t="inlineStr">
        <is>
          <t>187685</t>
        </is>
      </c>
      <c r="F1393" t="inlineStr">
        <is>
          <t>11-09-2024</t>
        </is>
      </c>
      <c r="G1393" t="n">
        <v>23165</v>
      </c>
      <c r="I1393">
        <f>G1393</f>
        <v/>
      </c>
      <c r="K1393">
        <f>I1393-G1393</f>
        <v/>
      </c>
      <c r="M1393">
        <f>R1393=E1393</f>
        <v/>
      </c>
      <c r="N1393">
        <f>AND(MONTH(F1393)=MONTH(Q1393), YEAR(F1393)=YEAR(Q1393))</f>
        <v/>
      </c>
      <c r="O1393">
        <f>"L001-902303751"=S1393</f>
        <v/>
      </c>
      <c r="P1393">
        <f>G1393-U1393</f>
        <v/>
      </c>
      <c r="Q1393" s="35" t="n">
        <v>45516</v>
      </c>
      <c r="R1393" t="n">
        <v>1075463</v>
      </c>
      <c r="S1393" t="inlineStr">
        <is>
          <t>K004-105012505</t>
        </is>
      </c>
      <c r="T1393" t="inlineStr">
        <is>
          <t>អេស៊ាន ហ្វ្រេត (ខេមបូឌា)</t>
        </is>
      </c>
      <c r="U1393" t="n">
        <v>1075463</v>
      </c>
      <c r="V1393" t="n">
        <v>0</v>
      </c>
    </row>
    <row r="1394">
      <c r="A1394" t="n">
        <v>1393</v>
      </c>
      <c r="B1394" t="inlineStr">
        <is>
          <t>Customs Clearance Fee and Trucking Fee</t>
        </is>
      </c>
      <c r="C1394" t="inlineStr">
        <is>
          <t>ត្រាយអ៊ែងហ្គល ឡូជីស្ទីក (ខេមបូឌា) ឯ.ក</t>
        </is>
      </c>
      <c r="D1394" t="inlineStr">
        <is>
          <t>K010-902101743</t>
        </is>
      </c>
      <c r="E1394" t="inlineStr">
        <is>
          <t>TAG-24-00672</t>
        </is>
      </c>
      <c r="F1394" t="inlineStr">
        <is>
          <t>23-09-2024</t>
        </is>
      </c>
      <c r="G1394" t="n">
        <v>69071</v>
      </c>
      <c r="I1394">
        <f>G1394</f>
        <v/>
      </c>
      <c r="K1394">
        <f>I1394-G1394</f>
        <v/>
      </c>
      <c r="M1394">
        <f>R1394=E1394</f>
        <v/>
      </c>
      <c r="N1394">
        <f>AND(MONTH(F1394)=MONTH(Q1394), YEAR(F1394)=YEAR(Q1394))</f>
        <v/>
      </c>
      <c r="O1394">
        <f>"L001-902303751"=S1394</f>
        <v/>
      </c>
      <c r="P1394">
        <f>G1394-U1394</f>
        <v/>
      </c>
      <c r="Q1394" s="35" t="n">
        <v>45516</v>
      </c>
      <c r="R1394" t="inlineStr"/>
      <c r="S1394" t="inlineStr">
        <is>
          <t>L001-107032791</t>
        </is>
      </c>
      <c r="T1394" t="inlineStr">
        <is>
          <t>នីបផន អិចប្រេស (ខេមបូឌា) ខូ អិលធីឌី</t>
        </is>
      </c>
      <c r="U1394" t="n">
        <v>0</v>
      </c>
      <c r="V1394" t="n">
        <v>0</v>
      </c>
    </row>
    <row r="1395">
      <c r="A1395" t="n">
        <v>1394</v>
      </c>
      <c r="B1395" t="inlineStr">
        <is>
          <t>Import Shipment Expense</t>
        </is>
      </c>
      <c r="C1395" t="inlineStr">
        <is>
          <t>ត្រាយអ៊ែងហ្គល ឡូជីស្ទីក (ខេមបូឌា) ឯ.ក</t>
        </is>
      </c>
      <c r="D1395" t="inlineStr">
        <is>
          <t>K010-902101743</t>
        </is>
      </c>
      <c r="E1395" t="inlineStr">
        <is>
          <t>TAG-24-00622</t>
        </is>
      </c>
      <c r="F1395" t="inlineStr">
        <is>
          <t>05-09-2024</t>
        </is>
      </c>
      <c r="G1395" t="n">
        <v>85774</v>
      </c>
      <c r="I1395">
        <f>G1395</f>
        <v/>
      </c>
      <c r="K1395">
        <f>I1395-G1395</f>
        <v/>
      </c>
      <c r="M1395">
        <f>R1395=E1395</f>
        <v/>
      </c>
      <c r="N1395">
        <f>AND(MONTH(F1395)=MONTH(Q1395), YEAR(F1395)=YEAR(Q1395))</f>
        <v/>
      </c>
      <c r="O1395">
        <f>"L001-902303751"=S1395</f>
        <v/>
      </c>
      <c r="P1395">
        <f>G1395-U1395</f>
        <v/>
      </c>
      <c r="Q1395" s="35" t="n">
        <v>45530</v>
      </c>
      <c r="R1395" t="n">
        <v>83661</v>
      </c>
      <c r="S1395" t="inlineStr">
        <is>
          <t>K005-901902888</t>
        </is>
      </c>
      <c r="T1395" t="inlineStr">
        <is>
          <t>អឹឡាយអិន ហ្វ័រវើឌីង (ខេមបូឌា) ឯ.ក</t>
        </is>
      </c>
      <c r="U1395" t="n">
        <v>83661</v>
      </c>
      <c r="V1395" t="n">
        <v>0</v>
      </c>
    </row>
    <row r="1396">
      <c r="A1396" t="n">
        <v>1395</v>
      </c>
      <c r="B1396" t="inlineStr">
        <is>
          <t>Charge from Warehouse/cy to trucks</t>
        </is>
      </c>
      <c r="C1396" t="inlineStr">
        <is>
          <t>កំពង់ផែស្វយ័តក្រុងព្រះសីហនុ</t>
        </is>
      </c>
      <c r="D1396" t="inlineStr">
        <is>
          <t>L001-100044638</t>
        </is>
      </c>
      <c r="E1396" t="inlineStr">
        <is>
          <t>186920</t>
        </is>
      </c>
      <c r="F1396" t="inlineStr">
        <is>
          <t>11-09-2024</t>
        </is>
      </c>
      <c r="G1396" t="n">
        <v>1245</v>
      </c>
      <c r="I1396">
        <f>G1396</f>
        <v/>
      </c>
      <c r="K1396">
        <f>I1396-G1396</f>
        <v/>
      </c>
      <c r="M1396">
        <f>R1396=E1396</f>
        <v/>
      </c>
      <c r="N1396">
        <f>AND(MONTH(F1396)=MONTH(Q1396), YEAR(F1396)=YEAR(Q1396))</f>
        <v/>
      </c>
      <c r="O1396">
        <f>"L001-902303751"=S1396</f>
        <v/>
      </c>
      <c r="P1396">
        <f>G1396-U1396</f>
        <v/>
      </c>
      <c r="Q1396" s="35" t="n">
        <v>45530</v>
      </c>
      <c r="R1396" t="n">
        <v>83661</v>
      </c>
      <c r="S1396" t="inlineStr">
        <is>
          <t>L001-107032791</t>
        </is>
      </c>
      <c r="T1396" t="inlineStr">
        <is>
          <t>នីបផន អិចប្រេស (ខេមបូឌា) ខូ អិលធីឌី</t>
        </is>
      </c>
      <c r="U1396" t="n">
        <v>83661</v>
      </c>
      <c r="V1396" t="n">
        <v>0</v>
      </c>
    </row>
    <row r="1397">
      <c r="A1397" t="n">
        <v>1396</v>
      </c>
      <c r="B1397" t="inlineStr">
        <is>
          <t>Customs Clearance Fee and Trucking Fee</t>
        </is>
      </c>
      <c r="C1397" t="inlineStr">
        <is>
          <t>ត្រាយអ៊ែងហ្គល ឡូជីស្ទីក (ខេមបូឌា) ឯ.ក</t>
        </is>
      </c>
      <c r="D1397" t="inlineStr">
        <is>
          <t>K010-902101743</t>
        </is>
      </c>
      <c r="E1397" t="inlineStr">
        <is>
          <t>TAG-24-00670</t>
        </is>
      </c>
      <c r="F1397" t="inlineStr">
        <is>
          <t>23-09-2024</t>
        </is>
      </c>
      <c r="G1397" t="n">
        <v>32504</v>
      </c>
      <c r="I1397">
        <f>G1397</f>
        <v/>
      </c>
      <c r="K1397">
        <f>I1397-G1397</f>
        <v/>
      </c>
      <c r="M1397">
        <f>R1397=E1397</f>
        <v/>
      </c>
      <c r="N1397">
        <f>AND(MONTH(F1397)=MONTH(Q1397), YEAR(F1397)=YEAR(Q1397))</f>
        <v/>
      </c>
      <c r="O1397">
        <f>"L001-902303751"=S1397</f>
        <v/>
      </c>
      <c r="P1397">
        <f>G1397-U1397</f>
        <v/>
      </c>
      <c r="Q1397" s="35" t="n">
        <v>45530</v>
      </c>
      <c r="R1397" t="inlineStr"/>
      <c r="S1397" t="inlineStr">
        <is>
          <t>L001-107032791</t>
        </is>
      </c>
      <c r="T1397" t="inlineStr">
        <is>
          <t>នីបផន អិចប្រេស (ខេមបូឌា) ខូ អិលធីឌី</t>
        </is>
      </c>
      <c r="U1397" t="n">
        <v>0</v>
      </c>
      <c r="V1397" t="n">
        <v>0</v>
      </c>
    </row>
    <row r="1398">
      <c r="A1398" t="n">
        <v>1397</v>
      </c>
      <c r="B1398" t="inlineStr">
        <is>
          <t>Import Shipment Expense</t>
        </is>
      </c>
      <c r="C1398" t="inlineStr">
        <is>
          <t>ហ្វ្រេត ខនសិប (ខេមបូឌា)</t>
        </is>
      </c>
      <c r="D1398" t="inlineStr">
        <is>
          <t>K009-901502482</t>
        </is>
      </c>
      <c r="E1398" t="inlineStr">
        <is>
          <t>240913</t>
        </is>
      </c>
      <c r="F1398" t="inlineStr">
        <is>
          <t>09-09-2024</t>
        </is>
      </c>
      <c r="G1398" t="n">
        <v>415548</v>
      </c>
      <c r="I1398">
        <f>G1398</f>
        <v/>
      </c>
      <c r="K1398">
        <f>I1398-G1398</f>
        <v/>
      </c>
      <c r="M1398">
        <f>R1398=E1398</f>
        <v/>
      </c>
      <c r="N1398">
        <f>AND(MONTH(F1398)=MONTH(Q1398), YEAR(F1398)=YEAR(Q1398))</f>
        <v/>
      </c>
      <c r="O1398">
        <f>"L001-902303751"=S1398</f>
        <v/>
      </c>
      <c r="P1398">
        <f>G1398-U1398</f>
        <v/>
      </c>
      <c r="Q1398" s="35" t="n">
        <v>45530</v>
      </c>
      <c r="R1398" t="inlineStr"/>
      <c r="S1398" t="inlineStr">
        <is>
          <t>L001-107032791</t>
        </is>
      </c>
      <c r="T1398" t="inlineStr">
        <is>
          <t>នីបផន អិចប្រេស (ខេមបូឌា) ខូ អិលធីឌី</t>
        </is>
      </c>
      <c r="U1398" t="n">
        <v>0</v>
      </c>
      <c r="V1398" t="n">
        <v>0</v>
      </c>
    </row>
    <row r="1399">
      <c r="A1399" t="n">
        <v>1398</v>
      </c>
      <c r="B1399" t="inlineStr">
        <is>
          <t>Lift-On &amp; Lift-Off and Storage charges</t>
        </is>
      </c>
      <c r="C1399" t="inlineStr">
        <is>
          <t>កំពង់ផែស្វយ័តក្រុងព្រះសីហនុ</t>
        </is>
      </c>
      <c r="D1399" t="inlineStr">
        <is>
          <t>L001-100044638</t>
        </is>
      </c>
      <c r="E1399" t="inlineStr">
        <is>
          <t>194088</t>
        </is>
      </c>
      <c r="F1399" t="inlineStr">
        <is>
          <t>19-09-2024</t>
        </is>
      </c>
      <c r="G1399" t="n">
        <v>80368</v>
      </c>
      <c r="I1399">
        <f>G1399</f>
        <v/>
      </c>
      <c r="K1399">
        <f>I1399-G1399</f>
        <v/>
      </c>
      <c r="M1399">
        <f>R1399=E1399</f>
        <v/>
      </c>
      <c r="N1399">
        <f>AND(MONTH(F1399)=MONTH(Q1399), YEAR(F1399)=YEAR(Q1399))</f>
        <v/>
      </c>
      <c r="O1399">
        <f>"L001-902303751"=S1399</f>
        <v/>
      </c>
      <c r="P1399">
        <f>G1399-U1399</f>
        <v/>
      </c>
      <c r="Q1399" s="35" t="n">
        <v>45530</v>
      </c>
      <c r="R1399" t="n">
        <v>112228</v>
      </c>
      <c r="S1399" t="inlineStr">
        <is>
          <t>L001-107032791</t>
        </is>
      </c>
      <c r="T1399" t="inlineStr">
        <is>
          <t>នីបផន អិចប្រេស (ខេមបូឌា) ខូ អិលធីឌី</t>
        </is>
      </c>
      <c r="U1399" t="n">
        <v>112228</v>
      </c>
      <c r="V1399" t="n">
        <v>0</v>
      </c>
    </row>
    <row r="1400">
      <c r="A1400" t="n">
        <v>1399</v>
      </c>
      <c r="B1400" t="inlineStr">
        <is>
          <t>Customs Clearance Fee and Trucking Fee</t>
        </is>
      </c>
      <c r="C1400" t="inlineStr">
        <is>
          <t>ត្រាយអ៊ែងហ្គល ឡូជីស្ទីក (ខេមបូឌា) ឯ.ក</t>
        </is>
      </c>
      <c r="D1400" t="inlineStr">
        <is>
          <t>K010-902101743</t>
        </is>
      </c>
      <c r="E1400" t="inlineStr">
        <is>
          <t>TAG-24-00708</t>
        </is>
      </c>
      <c r="F1400" t="inlineStr">
        <is>
          <t>30-09-2024</t>
        </is>
      </c>
      <c r="G1400" t="n">
        <v>170562</v>
      </c>
      <c r="I1400">
        <f>G1400</f>
        <v/>
      </c>
      <c r="K1400">
        <f>I1400-G1400</f>
        <v/>
      </c>
      <c r="M1400">
        <f>R1400=E1400</f>
        <v/>
      </c>
      <c r="N1400">
        <f>AND(MONTH(F1400)=MONTH(Q1400), YEAR(F1400)=YEAR(Q1400))</f>
        <v/>
      </c>
      <c r="O1400">
        <f>"L001-902303751"=S1400</f>
        <v/>
      </c>
      <c r="P1400">
        <f>G1400-U1400</f>
        <v/>
      </c>
      <c r="Q1400" s="35" t="n">
        <v>45523</v>
      </c>
      <c r="R1400" t="inlineStr"/>
      <c r="S1400" t="inlineStr">
        <is>
          <t>L001-107032791</t>
        </is>
      </c>
      <c r="T1400" t="inlineStr">
        <is>
          <t>នីបផន អិចប្រេស (ខេមបូឌា) ខូ អិលធីឌី</t>
        </is>
      </c>
      <c r="U1400" t="n">
        <v>0</v>
      </c>
      <c r="V1400" t="n">
        <v>0</v>
      </c>
    </row>
    <row r="1401">
      <c r="A1401" t="n">
        <v>1400</v>
      </c>
      <c r="B1401" t="inlineStr">
        <is>
          <t>Import Shipment Expense</t>
        </is>
      </c>
      <c r="C1401" t="inlineStr">
        <is>
          <t>ហ្វ្រេត ខនសិប (ខេមបូឌា)</t>
        </is>
      </c>
      <c r="D1401" t="inlineStr">
        <is>
          <t>K009-901502482</t>
        </is>
      </c>
      <c r="E1401" t="inlineStr">
        <is>
          <t>240879</t>
        </is>
      </c>
      <c r="F1401" t="inlineStr">
        <is>
          <t>03-09-2024</t>
        </is>
      </c>
      <c r="G1401" t="n">
        <v>135711</v>
      </c>
      <c r="I1401">
        <f>G1401</f>
        <v/>
      </c>
      <c r="K1401">
        <f>I1401-G1401</f>
        <v/>
      </c>
      <c r="M1401">
        <f>R1401=E1401</f>
        <v/>
      </c>
      <c r="N1401">
        <f>AND(MONTH(F1401)=MONTH(Q1401), YEAR(F1401)=YEAR(Q1401))</f>
        <v/>
      </c>
      <c r="O1401">
        <f>"L001-902303751"=S1401</f>
        <v/>
      </c>
      <c r="P1401">
        <f>G1401-U1401</f>
        <v/>
      </c>
      <c r="Q1401" s="35" t="n">
        <v>45516</v>
      </c>
      <c r="R1401" t="inlineStr"/>
      <c r="S1401" t="inlineStr">
        <is>
          <t>L001-100011888</t>
        </is>
      </c>
      <c r="T1401" t="inlineStr">
        <is>
          <t>ត្រេន ស្តារ ហ្រេ្វត</t>
        </is>
      </c>
      <c r="U1401" t="n">
        <v>0</v>
      </c>
      <c r="V1401" t="n">
        <v>0</v>
      </c>
    </row>
    <row r="1402">
      <c r="A1402" t="n">
        <v>1401</v>
      </c>
      <c r="B1402" t="inlineStr">
        <is>
          <t>Charge from Warehouse/cy to trucks</t>
        </is>
      </c>
      <c r="C1402" t="inlineStr">
        <is>
          <t>កំពង់ផែស្វយ័តក្រុងព្រះសីហនុ</t>
        </is>
      </c>
      <c r="D1402" t="inlineStr">
        <is>
          <t>L001-100044638</t>
        </is>
      </c>
      <c r="E1402" t="inlineStr">
        <is>
          <t>186265</t>
        </is>
      </c>
      <c r="F1402" t="inlineStr">
        <is>
          <t>10-09-2024</t>
        </is>
      </c>
      <c r="G1402" t="n">
        <v>1867</v>
      </c>
      <c r="I1402">
        <f>G1402</f>
        <v/>
      </c>
      <c r="K1402">
        <f>I1402-G1402</f>
        <v/>
      </c>
      <c r="M1402">
        <f>R1402=E1402</f>
        <v/>
      </c>
      <c r="N1402">
        <f>AND(MONTH(F1402)=MONTH(Q1402), YEAR(F1402)=YEAR(Q1402))</f>
        <v/>
      </c>
      <c r="O1402">
        <f>"L001-902303751"=S1402</f>
        <v/>
      </c>
      <c r="P1402">
        <f>G1402-U1402</f>
        <v/>
      </c>
      <c r="Q1402" s="35" t="n">
        <v>45510</v>
      </c>
      <c r="R1402" t="n">
        <v>112998</v>
      </c>
      <c r="S1402" t="inlineStr">
        <is>
          <t>L001-100045995</t>
        </is>
      </c>
      <c r="T1402" t="inlineStr">
        <is>
          <t>ឌីអេចអិល ឡូជីស្ទីក (ខេមបូឌា)</t>
        </is>
      </c>
      <c r="U1402" t="n">
        <v>112998</v>
      </c>
      <c r="V1402" t="n">
        <v>0</v>
      </c>
    </row>
    <row r="1403">
      <c r="A1403" t="n">
        <v>1402</v>
      </c>
      <c r="B1403" t="inlineStr">
        <is>
          <t>Customs Clearance Fee and Trucking Fee</t>
        </is>
      </c>
      <c r="C1403" t="inlineStr">
        <is>
          <t>ត្រាយអ៊ែងហ្គល ឡូជីស្ទីក (ខេមបូឌា) ឯ.ក</t>
        </is>
      </c>
      <c r="D1403" t="inlineStr">
        <is>
          <t>K010-902101743</t>
        </is>
      </c>
      <c r="E1403" t="inlineStr">
        <is>
          <t>TAG-24-00669</t>
        </is>
      </c>
      <c r="F1403" t="inlineStr">
        <is>
          <t>23-09-2024</t>
        </is>
      </c>
      <c r="G1403" t="n">
        <v>39939</v>
      </c>
      <c r="I1403">
        <f>G1403</f>
        <v/>
      </c>
      <c r="K1403">
        <f>I1403-G1403</f>
        <v/>
      </c>
      <c r="M1403">
        <f>R1403=E1403</f>
        <v/>
      </c>
      <c r="N1403">
        <f>AND(MONTH(F1403)=MONTH(Q1403), YEAR(F1403)=YEAR(Q1403))</f>
        <v/>
      </c>
      <c r="O1403">
        <f>"L001-902303751"=S1403</f>
        <v/>
      </c>
      <c r="P1403">
        <f>G1403-U1403</f>
        <v/>
      </c>
      <c r="Q1403" s="35" t="n">
        <v>45530</v>
      </c>
      <c r="R1403" t="n">
        <v>112228</v>
      </c>
      <c r="S1403" t="inlineStr">
        <is>
          <t>L001-107032791</t>
        </is>
      </c>
      <c r="T1403" t="inlineStr">
        <is>
          <t>នីបផន អិចប្រេស (ខេមបូឌា) ខូ អិលធីឌី</t>
        </is>
      </c>
      <c r="U1403" t="n">
        <v>112228</v>
      </c>
      <c r="V1403" t="n">
        <v>0</v>
      </c>
    </row>
    <row r="1404">
      <c r="A1404" t="n">
        <v>1403</v>
      </c>
      <c r="B1404" t="inlineStr">
        <is>
          <t>Warehouse Charge</t>
        </is>
      </c>
      <c r="C1404" t="inlineStr">
        <is>
          <t>ភើហ្វីក ណេតវើក ស៊ីបភីង ឯ.ក</t>
        </is>
      </c>
      <c r="D1404" t="inlineStr">
        <is>
          <t>K009-901802143</t>
        </is>
      </c>
      <c r="E1404" t="inlineStr">
        <is>
          <t>PNS24/01467</t>
        </is>
      </c>
      <c r="F1404" t="inlineStr">
        <is>
          <t>18-09-2024</t>
        </is>
      </c>
      <c r="G1404" t="n">
        <v>77056</v>
      </c>
      <c r="I1404">
        <f>G1404</f>
        <v/>
      </c>
      <c r="K1404">
        <f>I1404-G1404</f>
        <v/>
      </c>
      <c r="M1404">
        <f>R1404=E1404</f>
        <v/>
      </c>
      <c r="N1404">
        <f>AND(MONTH(F1404)=MONTH(Q1404), YEAR(F1404)=YEAR(Q1404))</f>
        <v/>
      </c>
      <c r="O1404">
        <f>"L001-902303751"=S1404</f>
        <v/>
      </c>
      <c r="P1404">
        <f>G1404-U1404</f>
        <v/>
      </c>
      <c r="Q1404" s="35" t="n">
        <v>45530</v>
      </c>
      <c r="R1404" t="inlineStr"/>
      <c r="S1404" t="inlineStr">
        <is>
          <t>L001-107032791</t>
        </is>
      </c>
      <c r="T1404" t="inlineStr">
        <is>
          <t>នីបផន អិចប្រេស (ខេមបូឌា) ខូ អិលធីឌី</t>
        </is>
      </c>
      <c r="U1404" t="n">
        <v>0</v>
      </c>
      <c r="V1404" t="n">
        <v>0</v>
      </c>
    </row>
    <row r="1405">
      <c r="A1405" t="n">
        <v>1404</v>
      </c>
      <c r="B1405" t="inlineStr">
        <is>
          <t>Import Shipment Expense</t>
        </is>
      </c>
      <c r="C1405" t="inlineStr">
        <is>
          <t>ដាត គ្លូប៊ល ឡូជីស្ទីក (ខេមបូឌា)</t>
        </is>
      </c>
      <c r="D1405" t="inlineStr">
        <is>
          <t>K002-901635875</t>
        </is>
      </c>
      <c r="E1405" t="inlineStr">
        <is>
          <t>24T-00963</t>
        </is>
      </c>
      <c r="F1405" t="inlineStr">
        <is>
          <t>13-09-2024</t>
        </is>
      </c>
      <c r="G1405" t="n">
        <v>163892</v>
      </c>
      <c r="I1405">
        <f>G1405</f>
        <v/>
      </c>
      <c r="K1405">
        <f>I1405-G1405</f>
        <v/>
      </c>
      <c r="M1405">
        <f>R1405=E1405</f>
        <v/>
      </c>
      <c r="N1405">
        <f>AND(MONTH(F1405)=MONTH(Q1405), YEAR(F1405)=YEAR(Q1405))</f>
        <v/>
      </c>
      <c r="O1405">
        <f>"L001-902303751"=S1405</f>
        <v/>
      </c>
      <c r="P1405">
        <f>G1405-U1405</f>
        <v/>
      </c>
      <c r="Q1405" s="35" t="n">
        <v>45544</v>
      </c>
      <c r="R1405" t="n">
        <v>85961</v>
      </c>
      <c r="S1405" t="inlineStr">
        <is>
          <t>K005-901805913</t>
        </is>
      </c>
      <c r="T1405" t="inlineStr">
        <is>
          <t>ស្តារ ខង់ខដ (ខេមបូឌា) ឯ.ក</t>
        </is>
      </c>
      <c r="U1405" t="n">
        <v>85961</v>
      </c>
      <c r="V1405" t="n">
        <v>0</v>
      </c>
    </row>
    <row r="1406">
      <c r="A1406" t="n">
        <v>1405</v>
      </c>
      <c r="B1406" t="inlineStr">
        <is>
          <t>Customs Clearance Fee and Trucking Fee</t>
        </is>
      </c>
      <c r="C1406" t="inlineStr">
        <is>
          <t>ត្រាយអ៊ែងហ្គល ឡូជីស្ទីក (ខេមបូឌា) ឯ.ក</t>
        </is>
      </c>
      <c r="D1406" t="inlineStr">
        <is>
          <t>K010-902101743</t>
        </is>
      </c>
      <c r="E1406" t="inlineStr">
        <is>
          <t>TAG-24-00655</t>
        </is>
      </c>
      <c r="F1406" t="inlineStr">
        <is>
          <t>19-09-2024</t>
        </is>
      </c>
      <c r="G1406" t="n">
        <v>32784</v>
      </c>
      <c r="I1406">
        <f>G1406</f>
        <v/>
      </c>
      <c r="K1406">
        <f>I1406-G1406</f>
        <v/>
      </c>
      <c r="M1406">
        <f>R1406=E1406</f>
        <v/>
      </c>
      <c r="N1406">
        <f>AND(MONTH(F1406)=MONTH(Q1406), YEAR(F1406)=YEAR(Q1406))</f>
        <v/>
      </c>
      <c r="O1406">
        <f>"L001-902303751"=S1406</f>
        <v/>
      </c>
      <c r="P1406">
        <f>G1406-U1406</f>
        <v/>
      </c>
      <c r="Q1406" s="35" t="n">
        <v>45544</v>
      </c>
      <c r="R1406" t="inlineStr"/>
      <c r="S1406" t="inlineStr">
        <is>
          <t>L001-107032791</t>
        </is>
      </c>
      <c r="T1406" t="inlineStr">
        <is>
          <t>នីបផន អិចប្រេស (ខេមបូឌា) ខូ អិលធីឌី</t>
        </is>
      </c>
      <c r="U1406" t="n">
        <v>0</v>
      </c>
      <c r="V1406" t="n">
        <v>0</v>
      </c>
    </row>
    <row r="1407">
      <c r="A1407" t="n">
        <v>1406</v>
      </c>
      <c r="B1407" t="inlineStr">
        <is>
          <t>Airway bill fee and Handling Agency fee</t>
        </is>
      </c>
      <c r="C1407" t="inlineStr">
        <is>
          <t>ត្រេន ស្តារ ហ្រេ្វត</t>
        </is>
      </c>
      <c r="D1407" t="inlineStr">
        <is>
          <t>L001-100011888</t>
        </is>
      </c>
      <c r="E1407" t="inlineStr">
        <is>
          <t>PPTI24-11505</t>
        </is>
      </c>
      <c r="F1407" t="inlineStr">
        <is>
          <t>02-09-2024</t>
        </is>
      </c>
      <c r="G1407" t="n">
        <v>34502</v>
      </c>
      <c r="I1407">
        <f>G1407</f>
        <v/>
      </c>
      <c r="K1407">
        <f>I1407-G1407</f>
        <v/>
      </c>
      <c r="M1407">
        <f>R1407=E1407</f>
        <v/>
      </c>
      <c r="N1407">
        <f>AND(MONTH(F1407)=MONTH(Q1407), YEAR(F1407)=YEAR(Q1407))</f>
        <v/>
      </c>
      <c r="O1407">
        <f>"L001-902303751"=S1407</f>
        <v/>
      </c>
      <c r="P1407">
        <f>G1407-U1407</f>
        <v/>
      </c>
      <c r="Q1407" s="35" t="n">
        <v>45544</v>
      </c>
      <c r="R1407" t="n">
        <v>98183</v>
      </c>
      <c r="S1407" t="inlineStr">
        <is>
          <t>L001-100045340</t>
        </is>
      </c>
      <c r="T1407" t="inlineStr">
        <is>
          <t xml:space="preserve">ស៊ីវ៉ា អ៊ែរ អ៊ែន អូសៀន (ខេមបូឌា) ឯ.ក </t>
        </is>
      </c>
      <c r="U1407" t="n">
        <v>98183</v>
      </c>
      <c r="V1407" t="n">
        <v>0</v>
      </c>
    </row>
    <row r="1408">
      <c r="A1408" t="n">
        <v>1407</v>
      </c>
      <c r="B1408" t="inlineStr">
        <is>
          <t>Cargo Terminal</t>
        </is>
      </c>
      <c r="C1408" t="inlineStr">
        <is>
          <t>សូស៊ីយេតេ កុងសេស្យូនែរ ដឺ ឡាអេរ៉ូព័រ</t>
        </is>
      </c>
      <c r="D1408" t="inlineStr">
        <is>
          <t>L001-100047300</t>
        </is>
      </c>
      <c r="E1408" t="inlineStr">
        <is>
          <t>2400-071046</t>
        </is>
      </c>
      <c r="F1408" t="inlineStr">
        <is>
          <t>03-09-2024</t>
        </is>
      </c>
      <c r="G1408" t="n">
        <v>5654</v>
      </c>
      <c r="I1408">
        <f>G1408</f>
        <v/>
      </c>
      <c r="K1408">
        <f>I1408-G1408</f>
        <v/>
      </c>
      <c r="M1408">
        <f>R1408=E1408</f>
        <v/>
      </c>
      <c r="N1408">
        <f>AND(MONTH(F1408)=MONTH(Q1408), YEAR(F1408)=YEAR(Q1408))</f>
        <v/>
      </c>
      <c r="O1408">
        <f>"L001-902303751"=S1408</f>
        <v/>
      </c>
      <c r="P1408">
        <f>G1408-U1408</f>
        <v/>
      </c>
      <c r="Q1408" s="35" t="n">
        <v>45540</v>
      </c>
      <c r="R1408" t="n">
        <v>6098104</v>
      </c>
      <c r="S1408" t="inlineStr">
        <is>
          <t>K004-105012505</t>
        </is>
      </c>
      <c r="T1408" t="inlineStr">
        <is>
          <t>អេស៊ាន ហ្វ្រេត (ខេមបូឌា)</t>
        </is>
      </c>
      <c r="U1408" t="n">
        <v>6098104</v>
      </c>
      <c r="V1408" t="n">
        <v>0</v>
      </c>
    </row>
    <row r="1409">
      <c r="A1409" t="n">
        <v>1408</v>
      </c>
      <c r="B1409" t="inlineStr">
        <is>
          <t>Customs Clearance Fee and Trucking Fee</t>
        </is>
      </c>
      <c r="C1409" t="inlineStr">
        <is>
          <t>ត្រាយអ៊ែងហ្គល ឡូជីស្ទីក (ខេមបូឌា) ឯ.ក</t>
        </is>
      </c>
      <c r="D1409" t="inlineStr">
        <is>
          <t>K010-902101743</t>
        </is>
      </c>
      <c r="E1409" t="inlineStr">
        <is>
          <t>TAG-24-00654</t>
        </is>
      </c>
      <c r="F1409" t="inlineStr">
        <is>
          <t>19-09-2024</t>
        </is>
      </c>
      <c r="G1409" t="n">
        <v>28686</v>
      </c>
      <c r="I1409">
        <f>G1409</f>
        <v/>
      </c>
      <c r="K1409">
        <f>I1409-G1409</f>
        <v/>
      </c>
      <c r="M1409">
        <f>R1409=E1409</f>
        <v/>
      </c>
      <c r="N1409">
        <f>AND(MONTH(F1409)=MONTH(Q1409), YEAR(F1409)=YEAR(Q1409))</f>
        <v/>
      </c>
      <c r="O1409">
        <f>"L001-902303751"=S1409</f>
        <v/>
      </c>
      <c r="P1409">
        <f>G1409-U1409</f>
        <v/>
      </c>
      <c r="Q1409" s="35" t="n">
        <v>45565</v>
      </c>
      <c r="R1409" t="n">
        <v>83251</v>
      </c>
      <c r="S1409" t="inlineStr">
        <is>
          <t>L001-107032791</t>
        </is>
      </c>
      <c r="T1409" t="inlineStr">
        <is>
          <t>នីបផន អិចប្រេស (ខេមបូឌា) ខូ អិលធីឌី</t>
        </is>
      </c>
      <c r="U1409" t="n">
        <v>83251</v>
      </c>
      <c r="V1409" t="n">
        <v>0</v>
      </c>
    </row>
    <row r="1410">
      <c r="A1410" t="n">
        <v>1409</v>
      </c>
      <c r="B1410" t="inlineStr">
        <is>
          <t>Cargo Terminal</t>
        </is>
      </c>
      <c r="C1410" t="inlineStr">
        <is>
          <t>សូស៊ីយេតេ កុងសេស្យូនែរ ដឺ ឡាអេរ៉ូព័រ</t>
        </is>
      </c>
      <c r="D1410" t="inlineStr">
        <is>
          <t>L001-100047300</t>
        </is>
      </c>
      <c r="E1410" t="inlineStr">
        <is>
          <t>2400-070436</t>
        </is>
      </c>
      <c r="F1410" t="inlineStr">
        <is>
          <t>02-09-2024</t>
        </is>
      </c>
      <c r="G1410" t="n">
        <v>2565</v>
      </c>
      <c r="I1410">
        <f>G1410</f>
        <v/>
      </c>
      <c r="K1410">
        <f>I1410-G1410</f>
        <v/>
      </c>
      <c r="M1410">
        <f>R1410=E1410</f>
        <v/>
      </c>
      <c r="N1410">
        <f>AND(MONTH(F1410)=MONTH(Q1410), YEAR(F1410)=YEAR(Q1410))</f>
        <v/>
      </c>
      <c r="O1410">
        <f>"L001-902303751"=S1410</f>
        <v/>
      </c>
      <c r="P1410">
        <f>G1410-U1410</f>
        <v/>
      </c>
      <c r="Q1410" s="35" t="n">
        <v>45551</v>
      </c>
      <c r="R1410" t="n">
        <v>111485</v>
      </c>
      <c r="S1410" t="inlineStr">
        <is>
          <t>L001-901500191</t>
        </is>
      </c>
      <c r="T1410" t="inlineStr">
        <is>
          <t>អ.អិន.វ៉ាយ ត្រេនស្ព័ត</t>
        </is>
      </c>
      <c r="U1410" t="n">
        <v>111485</v>
      </c>
      <c r="V1410" t="n">
        <v>0</v>
      </c>
    </row>
    <row r="1411">
      <c r="A1411" t="n">
        <v>1410</v>
      </c>
      <c r="B1411" t="inlineStr">
        <is>
          <t>Customs Clearance Fee and Trucking Fee</t>
        </is>
      </c>
      <c r="C1411" t="inlineStr">
        <is>
          <t>ត្រាយអ៊ែងហ្គល ឡូជីស្ទីក (ខេមបូឌា) ឯ.ក</t>
        </is>
      </c>
      <c r="D1411" t="inlineStr">
        <is>
          <t>K010-902101743</t>
        </is>
      </c>
      <c r="E1411" t="inlineStr">
        <is>
          <t>TAG-24-00652</t>
        </is>
      </c>
      <c r="F1411" t="inlineStr">
        <is>
          <t>19-09-2024</t>
        </is>
      </c>
      <c r="G1411" t="n">
        <v>28686</v>
      </c>
      <c r="I1411">
        <f>G1411</f>
        <v/>
      </c>
      <c r="K1411">
        <f>I1411-G1411</f>
        <v/>
      </c>
      <c r="M1411">
        <f>R1411=E1411</f>
        <v/>
      </c>
      <c r="N1411">
        <f>AND(MONTH(F1411)=MONTH(Q1411), YEAR(F1411)=YEAR(Q1411))</f>
        <v/>
      </c>
      <c r="O1411">
        <f>"L001-902303751"=S1411</f>
        <v/>
      </c>
      <c r="P1411">
        <f>G1411-U1411</f>
        <v/>
      </c>
      <c r="Q1411" s="35" t="n">
        <v>45558</v>
      </c>
      <c r="R1411" t="n">
        <v>83292</v>
      </c>
      <c r="S1411" t="inlineStr">
        <is>
          <t>L001-107032791</t>
        </is>
      </c>
      <c r="T1411" t="inlineStr">
        <is>
          <t>នីបផន អិចប្រេស (ខេមបូឌា) ខូ អិលធីឌី</t>
        </is>
      </c>
      <c r="U1411" t="n">
        <v>83292</v>
      </c>
      <c r="V1411" t="n">
        <v>0</v>
      </c>
    </row>
    <row r="1412">
      <c r="A1412" t="n">
        <v>1411</v>
      </c>
      <c r="B1412" t="inlineStr">
        <is>
          <t>Import Shipment Expense</t>
        </is>
      </c>
      <c r="C1412" t="inlineStr">
        <is>
          <t>អឹឡាយអិន ហ្វ័រវើឌីង (ខេមបូឌា) ឯ.ក</t>
        </is>
      </c>
      <c r="D1412" t="inlineStr">
        <is>
          <t>K005-901902888</t>
        </is>
      </c>
      <c r="E1412" t="inlineStr">
        <is>
          <t>PPTI24-0647</t>
        </is>
      </c>
      <c r="F1412" t="inlineStr">
        <is>
          <t>04-09-2024</t>
        </is>
      </c>
      <c r="G1412" t="n">
        <v>86903</v>
      </c>
      <c r="I1412">
        <f>G1412</f>
        <v/>
      </c>
      <c r="K1412">
        <f>I1412-G1412</f>
        <v/>
      </c>
      <c r="M1412">
        <f>R1412=E1412</f>
        <v/>
      </c>
      <c r="N1412">
        <f>AND(MONTH(F1412)=MONTH(Q1412), YEAR(F1412)=YEAR(Q1412))</f>
        <v/>
      </c>
      <c r="O1412">
        <f>"L001-902303751"=S1412</f>
        <v/>
      </c>
      <c r="P1412">
        <f>G1412-U1412</f>
        <v/>
      </c>
      <c r="Q1412" s="35" t="n">
        <v>45558</v>
      </c>
      <c r="R1412" t="inlineStr"/>
      <c r="S1412" t="inlineStr">
        <is>
          <t>L001-107032791</t>
        </is>
      </c>
      <c r="T1412" t="inlineStr">
        <is>
          <t>នីបផន អិចប្រេស (ខេមបូឌា) ខូ អិលធីឌី</t>
        </is>
      </c>
      <c r="U1412" t="n">
        <v>0</v>
      </c>
      <c r="V1412" t="n">
        <v>0</v>
      </c>
    </row>
    <row r="1413">
      <c r="A1413" t="n">
        <v>1412</v>
      </c>
      <c r="B1413" t="inlineStr">
        <is>
          <t>Charge from Warehouse/cy to trucks</t>
        </is>
      </c>
      <c r="C1413" t="inlineStr">
        <is>
          <t>កំពង់ផែស្វយ័តក្រុងព្រះសីហនុ</t>
        </is>
      </c>
      <c r="D1413" t="inlineStr">
        <is>
          <t>L001-100044638</t>
        </is>
      </c>
      <c r="E1413" t="inlineStr">
        <is>
          <t>185130</t>
        </is>
      </c>
      <c r="F1413" t="inlineStr">
        <is>
          <t>07-09-2024</t>
        </is>
      </c>
      <c r="G1413" t="n">
        <v>1248</v>
      </c>
      <c r="I1413">
        <f>G1413</f>
        <v/>
      </c>
      <c r="K1413">
        <f>I1413-G1413</f>
        <v/>
      </c>
      <c r="M1413">
        <f>R1413=E1413</f>
        <v/>
      </c>
      <c r="N1413">
        <f>AND(MONTH(F1413)=MONTH(Q1413), YEAR(F1413)=YEAR(Q1413))</f>
        <v/>
      </c>
      <c r="O1413">
        <f>"L001-902303751"=S1413</f>
        <v/>
      </c>
      <c r="P1413">
        <f>G1413-U1413</f>
        <v/>
      </c>
      <c r="Q1413" s="35" t="n">
        <v>45544</v>
      </c>
      <c r="R1413" t="n">
        <v>112035</v>
      </c>
      <c r="S1413" t="inlineStr">
        <is>
          <t>L001-100045995</t>
        </is>
      </c>
      <c r="T1413" t="inlineStr">
        <is>
          <t>ឌីអេចអិល ឡូជីស្ទីក (ខេមបូឌា)</t>
        </is>
      </c>
      <c r="U1413" t="n">
        <v>112035</v>
      </c>
      <c r="V1413" t="n">
        <v>0</v>
      </c>
    </row>
    <row r="1414">
      <c r="A1414" t="n">
        <v>1413</v>
      </c>
      <c r="B1414" t="inlineStr">
        <is>
          <t>Customs Clearance Fee and Trucking Fee</t>
        </is>
      </c>
      <c r="C1414" t="inlineStr">
        <is>
          <t>ត្រាយអ៊ែងហ្គល ឡូជីស្ទីក (ខេមបូឌា) ឯ.ក</t>
        </is>
      </c>
      <c r="D1414" t="inlineStr">
        <is>
          <t>K010-902101743</t>
        </is>
      </c>
      <c r="E1414" t="inlineStr">
        <is>
          <t>TAG-24-00667</t>
        </is>
      </c>
      <c r="F1414" t="inlineStr">
        <is>
          <t>19-09-2024</t>
        </is>
      </c>
      <c r="G1414" t="n">
        <v>32784</v>
      </c>
      <c r="I1414">
        <f>G1414</f>
        <v/>
      </c>
      <c r="K1414">
        <f>I1414-G1414</f>
        <v/>
      </c>
      <c r="M1414">
        <f>R1414=E1414</f>
        <v/>
      </c>
      <c r="N1414">
        <f>AND(MONTH(F1414)=MONTH(Q1414), YEAR(F1414)=YEAR(Q1414))</f>
        <v/>
      </c>
      <c r="O1414">
        <f>"L001-902303751"=S1414</f>
        <v/>
      </c>
      <c r="P1414">
        <f>G1414-U1414</f>
        <v/>
      </c>
      <c r="Q1414" s="35" t="n">
        <v>45544</v>
      </c>
      <c r="R1414" t="inlineStr"/>
      <c r="S1414" t="inlineStr">
        <is>
          <t>L001-100045340</t>
        </is>
      </c>
      <c r="T1414" t="inlineStr">
        <is>
          <t xml:space="preserve">ស៊ីវ៉ា អ៊ែរ អ៊ែន អូសៀន (ខេមបូឌា) ឯ.ក </t>
        </is>
      </c>
      <c r="U1414" t="n">
        <v>0</v>
      </c>
      <c r="V1414" t="n">
        <v>0</v>
      </c>
    </row>
    <row r="1415">
      <c r="A1415" t="n">
        <v>1414</v>
      </c>
      <c r="B1415" t="inlineStr">
        <is>
          <t>Import Shipment Expense</t>
        </is>
      </c>
      <c r="C1415" t="inlineStr">
        <is>
          <t>ស៊ីប៊ីជី ឡូជីស្ទីក (ខេមបូឌា)</t>
        </is>
      </c>
      <c r="D1415" t="inlineStr">
        <is>
          <t>K009-107034735</t>
        </is>
      </c>
      <c r="E1415" t="inlineStr">
        <is>
          <t>IN2024-0950</t>
        </is>
      </c>
      <c r="F1415" t="inlineStr">
        <is>
          <t>02-09-2024</t>
        </is>
      </c>
      <c r="G1415" t="n">
        <v>76497</v>
      </c>
      <c r="I1415">
        <f>G1415</f>
        <v/>
      </c>
      <c r="K1415">
        <f>I1415-G1415</f>
        <v/>
      </c>
      <c r="M1415">
        <f>R1415=E1415</f>
        <v/>
      </c>
      <c r="N1415">
        <f>AND(MONTH(F1415)=MONTH(Q1415), YEAR(F1415)=YEAR(Q1415))</f>
        <v/>
      </c>
      <c r="O1415">
        <f>"L001-902303751"=S1415</f>
        <v/>
      </c>
      <c r="P1415">
        <f>G1415-U1415</f>
        <v/>
      </c>
      <c r="Q1415" s="35" t="n">
        <v>45565</v>
      </c>
      <c r="R1415" t="n">
        <v>83251</v>
      </c>
      <c r="S1415" t="inlineStr">
        <is>
          <t>L001-107032791</t>
        </is>
      </c>
      <c r="T1415" t="inlineStr">
        <is>
          <t>នីបផន អិចប្រេស (ខេមបូឌា) ខូ អិលធីឌី</t>
        </is>
      </c>
      <c r="U1415" t="n">
        <v>83251</v>
      </c>
      <c r="V1415" t="n">
        <v>0</v>
      </c>
    </row>
    <row r="1416">
      <c r="A1416" t="n">
        <v>1415</v>
      </c>
      <c r="B1416" t="inlineStr">
        <is>
          <t>Releasing /Receiving, Agency Fee and Gate Charge</t>
        </is>
      </c>
      <c r="C1416" t="inlineStr">
        <is>
          <t>តិច ស្រ៊ុន អ៊ឹមផត អ៊ិចផត &amp; ត្រេនស្ព័ត</t>
        </is>
      </c>
      <c r="D1416" t="inlineStr">
        <is>
          <t>L001-100045138</t>
        </is>
      </c>
      <c r="E1416" t="inlineStr">
        <is>
          <t>TSDP000648/24</t>
        </is>
      </c>
      <c r="F1416" t="inlineStr">
        <is>
          <t>06-09-2024</t>
        </is>
      </c>
      <c r="G1416" t="n">
        <v>7496</v>
      </c>
      <c r="I1416">
        <f>G1416</f>
        <v/>
      </c>
      <c r="K1416">
        <f>I1416-G1416</f>
        <v/>
      </c>
      <c r="M1416">
        <f>R1416=E1416</f>
        <v/>
      </c>
      <c r="N1416">
        <f>AND(MONTH(F1416)=MONTH(Q1416), YEAR(F1416)=YEAR(Q1416))</f>
        <v/>
      </c>
      <c r="O1416">
        <f>"L001-902303751"=S1416</f>
        <v/>
      </c>
      <c r="P1416">
        <f>G1416-U1416</f>
        <v/>
      </c>
      <c r="Q1416" s="35" t="n">
        <v>45558</v>
      </c>
      <c r="R1416" t="inlineStr"/>
      <c r="S1416" t="inlineStr">
        <is>
          <t>L001-100045995</t>
        </is>
      </c>
      <c r="T1416" t="inlineStr">
        <is>
          <t>ឌីអេចអិល ឡូជីស្ទីក (ខេមបូឌា)</t>
        </is>
      </c>
      <c r="U1416" t="n">
        <v>0</v>
      </c>
      <c r="V1416" t="n">
        <v>0</v>
      </c>
    </row>
    <row r="1417">
      <c r="A1417" t="n">
        <v>1416</v>
      </c>
      <c r="B1417" t="inlineStr">
        <is>
          <t>Customs Clearance Fee and Trucking Fee</t>
        </is>
      </c>
      <c r="C1417" t="inlineStr">
        <is>
          <t>ត្រាយអ៊ែងហ្គល ឡូជីស្ទីក (ខេមបូឌា) ឯ.ក</t>
        </is>
      </c>
      <c r="D1417" t="inlineStr">
        <is>
          <t>K010-902101743</t>
        </is>
      </c>
      <c r="E1417" t="inlineStr">
        <is>
          <t>TAG-24-00657</t>
        </is>
      </c>
      <c r="F1417" t="inlineStr">
        <is>
          <t>19-09-2024</t>
        </is>
      </c>
      <c r="G1417" t="n">
        <v>28686</v>
      </c>
      <c r="I1417">
        <f>G1417</f>
        <v/>
      </c>
      <c r="K1417">
        <f>I1417-G1417</f>
        <v/>
      </c>
      <c r="M1417">
        <f>R1417=E1417</f>
        <v/>
      </c>
      <c r="N1417">
        <f>AND(MONTH(F1417)=MONTH(Q1417), YEAR(F1417)=YEAR(Q1417))</f>
        <v/>
      </c>
      <c r="O1417">
        <f>"L001-902303751"=S1417</f>
        <v/>
      </c>
      <c r="P1417">
        <f>G1417-U1417</f>
        <v/>
      </c>
      <c r="Q1417" s="35" t="n">
        <v>45558</v>
      </c>
      <c r="R1417" t="n">
        <v>126359</v>
      </c>
      <c r="S1417" t="inlineStr">
        <is>
          <t>L001-100045340</t>
        </is>
      </c>
      <c r="T1417" t="inlineStr">
        <is>
          <t xml:space="preserve">ស៊ីវ៉ា អ៊ែរ អ៊ែន អូសៀន (ខេមបូឌា) ឯ.ក </t>
        </is>
      </c>
      <c r="U1417" t="n">
        <v>126359</v>
      </c>
      <c r="V1417" t="n">
        <v>0</v>
      </c>
    </row>
    <row r="1418">
      <c r="A1418" t="n">
        <v>1417</v>
      </c>
      <c r="B1418" t="inlineStr">
        <is>
          <t>Import Shipment Expense</t>
        </is>
      </c>
      <c r="C1418" t="inlineStr">
        <is>
          <t>ហ្វ្រេត ខនសិប (ខេមបូឌា)</t>
        </is>
      </c>
      <c r="D1418" t="inlineStr">
        <is>
          <t>K009-901502482</t>
        </is>
      </c>
      <c r="E1418" t="inlineStr">
        <is>
          <t>240876</t>
        </is>
      </c>
      <c r="F1418" t="inlineStr">
        <is>
          <t>03-09-2024</t>
        </is>
      </c>
      <c r="G1418" t="n">
        <v>81240</v>
      </c>
      <c r="I1418">
        <f>G1418</f>
        <v/>
      </c>
      <c r="K1418">
        <f>I1418-G1418</f>
        <v/>
      </c>
      <c r="M1418">
        <f>R1418=E1418</f>
        <v/>
      </c>
      <c r="N1418">
        <f>AND(MONTH(F1418)=MONTH(Q1418), YEAR(F1418)=YEAR(Q1418))</f>
        <v/>
      </c>
      <c r="O1418">
        <f>"L001-902303751"=S1418</f>
        <v/>
      </c>
      <c r="P1418">
        <f>G1418-U1418</f>
        <v/>
      </c>
      <c r="Q1418" s="35" t="n">
        <v>45551</v>
      </c>
      <c r="R1418" t="n">
        <v>200673</v>
      </c>
      <c r="S1418" t="inlineStr">
        <is>
          <t>L001-901500191</t>
        </is>
      </c>
      <c r="T1418" t="inlineStr">
        <is>
          <t>អ.អិន.វ៉ាយ ត្រេនស្ព័ត</t>
        </is>
      </c>
      <c r="U1418" t="n">
        <v>200673</v>
      </c>
      <c r="V1418" t="n">
        <v>0</v>
      </c>
    </row>
    <row r="1419">
      <c r="A1419" t="n">
        <v>1418</v>
      </c>
      <c r="B1419" t="inlineStr">
        <is>
          <t>Charge from Warehouse/cy to trucks</t>
        </is>
      </c>
      <c r="C1419" t="inlineStr">
        <is>
          <t>កំពង់ផែស្វយ័តក្រុងព្រះសីហនុ</t>
        </is>
      </c>
      <c r="D1419" t="inlineStr">
        <is>
          <t>L001-100044638</t>
        </is>
      </c>
      <c r="E1419" t="inlineStr">
        <is>
          <t>181932</t>
        </is>
      </c>
      <c r="F1419" t="inlineStr">
        <is>
          <t>04-09-2024</t>
        </is>
      </c>
      <c r="G1419" t="n">
        <v>622</v>
      </c>
      <c r="I1419">
        <f>G1419</f>
        <v/>
      </c>
      <c r="K1419">
        <f>I1419-G1419</f>
        <v/>
      </c>
      <c r="M1419">
        <f>R1419=E1419</f>
        <v/>
      </c>
      <c r="N1419">
        <f>AND(MONTH(F1419)=MONTH(Q1419), YEAR(F1419)=YEAR(Q1419))</f>
        <v/>
      </c>
      <c r="O1419">
        <f>"L001-902303751"=S1419</f>
        <v/>
      </c>
      <c r="P1419">
        <f>G1419-U1419</f>
        <v/>
      </c>
      <c r="Q1419" s="35" t="n">
        <v>45558</v>
      </c>
      <c r="R1419" t="inlineStr"/>
      <c r="S1419" t="inlineStr">
        <is>
          <t>L001-100045995</t>
        </is>
      </c>
      <c r="T1419" t="inlineStr">
        <is>
          <t>ឌីអេចអិល ឡូជីស្ទីក (ខេមបូឌា)</t>
        </is>
      </c>
      <c r="U1419" t="n">
        <v>0</v>
      </c>
      <c r="V1419" t="n">
        <v>0</v>
      </c>
    </row>
    <row r="1420">
      <c r="A1420" t="n">
        <v>1419</v>
      </c>
      <c r="B1420" t="inlineStr">
        <is>
          <t>Customs Clearance Fee and Trucking Fee</t>
        </is>
      </c>
      <c r="C1420" t="inlineStr">
        <is>
          <t>ត្រាយអ៊ែងហ្គល ឡូជីស្ទីក (ខេមបូឌា) ឯ.ក</t>
        </is>
      </c>
      <c r="D1420" t="inlineStr">
        <is>
          <t>K010-902101743</t>
        </is>
      </c>
      <c r="E1420" t="inlineStr">
        <is>
          <t>TAG-24-00666</t>
        </is>
      </c>
      <c r="F1420" t="inlineStr">
        <is>
          <t>19-09-2024</t>
        </is>
      </c>
      <c r="G1420" t="n">
        <v>32784</v>
      </c>
      <c r="I1420">
        <f>G1420</f>
        <v/>
      </c>
      <c r="K1420">
        <f>I1420-G1420</f>
        <v/>
      </c>
      <c r="M1420">
        <f>R1420=E1420</f>
        <v/>
      </c>
      <c r="N1420">
        <f>AND(MONTH(F1420)=MONTH(Q1420), YEAR(F1420)=YEAR(Q1420))</f>
        <v/>
      </c>
      <c r="O1420">
        <f>"L001-902303751"=S1420</f>
        <v/>
      </c>
      <c r="P1420">
        <f>G1420-U1420</f>
        <v/>
      </c>
      <c r="Q1420" s="35" t="n">
        <v>45536</v>
      </c>
      <c r="R1420" t="n">
        <v>1690552</v>
      </c>
      <c r="S1420" t="inlineStr">
        <is>
          <t>K004-105012505</t>
        </is>
      </c>
      <c r="T1420" t="inlineStr">
        <is>
          <t>អេស៊ាន ហ្វ្រេត (ខេមបូឌា)</t>
        </is>
      </c>
      <c r="U1420" t="n">
        <v>1690552</v>
      </c>
      <c r="V1420" t="n">
        <v>0</v>
      </c>
    </row>
    <row r="1421">
      <c r="A1421" t="n">
        <v>1420</v>
      </c>
      <c r="B1421" t="inlineStr">
        <is>
          <t>Import Shipment Expense</t>
        </is>
      </c>
      <c r="C1421" t="inlineStr">
        <is>
          <t>ហ្វ្រេត ខនសិប (ខេមបូឌា)</t>
        </is>
      </c>
      <c r="D1421" t="inlineStr">
        <is>
          <t>K009-901502482</t>
        </is>
      </c>
      <c r="E1421" t="inlineStr">
        <is>
          <t>240895</t>
        </is>
      </c>
      <c r="F1421" t="inlineStr">
        <is>
          <t>05-09-2024</t>
        </is>
      </c>
      <c r="G1421" t="n">
        <v>98965</v>
      </c>
      <c r="I1421">
        <f>G1421</f>
        <v/>
      </c>
      <c r="K1421">
        <f>I1421-G1421</f>
        <v/>
      </c>
      <c r="M1421">
        <f>R1421=E1421</f>
        <v/>
      </c>
      <c r="N1421">
        <f>AND(MONTH(F1421)=MONTH(Q1421), YEAR(F1421)=YEAR(Q1421))</f>
        <v/>
      </c>
      <c r="O1421">
        <f>"L001-902303751"=S1421</f>
        <v/>
      </c>
      <c r="P1421">
        <f>G1421-U1421</f>
        <v/>
      </c>
      <c r="Q1421" s="35" t="n">
        <v>45544</v>
      </c>
      <c r="R1421" t="n">
        <v>291291</v>
      </c>
      <c r="S1421" t="inlineStr">
        <is>
          <t>L001-100045995</t>
        </is>
      </c>
      <c r="T1421" t="inlineStr">
        <is>
          <t>ឌីអេចអិល ឡូជីស្ទីក (ខេមបូឌា)</t>
        </is>
      </c>
      <c r="U1421" t="n">
        <v>291291</v>
      </c>
      <c r="V1421" t="n">
        <v>0</v>
      </c>
    </row>
    <row r="1422">
      <c r="A1422" t="n">
        <v>1421</v>
      </c>
      <c r="B1422" t="inlineStr">
        <is>
          <t>Charge from Warehouse/cy to trucks</t>
        </is>
      </c>
      <c r="C1422" t="inlineStr">
        <is>
          <t>កំពង់ផែស្វយ័តក្រុងព្រះសីហនុ</t>
        </is>
      </c>
      <c r="D1422" t="inlineStr">
        <is>
          <t>L001-100044638</t>
        </is>
      </c>
      <c r="E1422" t="inlineStr">
        <is>
          <t>186266</t>
        </is>
      </c>
      <c r="F1422" t="inlineStr">
        <is>
          <t>10-09-2024</t>
        </is>
      </c>
      <c r="G1422" t="n">
        <v>1246</v>
      </c>
      <c r="I1422">
        <f>G1422</f>
        <v/>
      </c>
      <c r="K1422">
        <f>I1422-G1422</f>
        <v/>
      </c>
      <c r="M1422">
        <f>R1422=E1422</f>
        <v/>
      </c>
      <c r="N1422">
        <f>AND(MONTH(F1422)=MONTH(Q1422), YEAR(F1422)=YEAR(Q1422))</f>
        <v/>
      </c>
      <c r="O1422">
        <f>"L001-902303751"=S1422</f>
        <v/>
      </c>
      <c r="P1422">
        <f>G1422-U1422</f>
        <v/>
      </c>
      <c r="Q1422" s="35" t="n">
        <v>45544</v>
      </c>
      <c r="R1422" t="n">
        <v>112035</v>
      </c>
      <c r="S1422" t="inlineStr">
        <is>
          <t>L001-100045995</t>
        </is>
      </c>
      <c r="T1422" t="inlineStr">
        <is>
          <t>ឌីអេចអិល ឡូជីស្ទីក (ខេមបូឌា)</t>
        </is>
      </c>
      <c r="U1422" t="n">
        <v>112035</v>
      </c>
      <c r="V1422" t="n">
        <v>0</v>
      </c>
    </row>
    <row r="1423">
      <c r="A1423" t="n">
        <v>1422</v>
      </c>
      <c r="B1423" t="inlineStr">
        <is>
          <t>Customs Clearance Fee and Trucking Fee</t>
        </is>
      </c>
      <c r="C1423" t="inlineStr">
        <is>
          <t>ត្រាយអ៊ែងហ្គល ឡូជីស្ទីក (ខេមបូឌា) ឯ.ក</t>
        </is>
      </c>
      <c r="D1423" t="inlineStr">
        <is>
          <t>K010-902101743</t>
        </is>
      </c>
      <c r="E1423" t="inlineStr">
        <is>
          <t>TAG-24-00668</t>
        </is>
      </c>
      <c r="F1423" t="inlineStr">
        <is>
          <t>19-09-2024</t>
        </is>
      </c>
      <c r="G1423" t="n">
        <v>32784</v>
      </c>
      <c r="I1423">
        <f>G1423</f>
        <v/>
      </c>
      <c r="K1423">
        <f>I1423-G1423</f>
        <v/>
      </c>
      <c r="M1423">
        <f>R1423=E1423</f>
        <v/>
      </c>
      <c r="N1423">
        <f>AND(MONTH(F1423)=MONTH(Q1423), YEAR(F1423)=YEAR(Q1423))</f>
        <v/>
      </c>
      <c r="O1423">
        <f>"L001-902303751"=S1423</f>
        <v/>
      </c>
      <c r="P1423">
        <f>G1423-U1423</f>
        <v/>
      </c>
      <c r="Q1423" s="35" t="n">
        <v>45551</v>
      </c>
      <c r="R1423" t="n">
        <v>200673</v>
      </c>
      <c r="S1423" t="inlineStr">
        <is>
          <t>L001-107032791</t>
        </is>
      </c>
      <c r="T1423" t="inlineStr">
        <is>
          <t>នីបផន អិចប្រេស (ខេមបូឌា) ខូ អិលធីឌី</t>
        </is>
      </c>
      <c r="U1423" t="n">
        <v>200673</v>
      </c>
      <c r="V1423" t="n">
        <v>0</v>
      </c>
    </row>
    <row r="1424">
      <c r="A1424" t="n">
        <v>1423</v>
      </c>
      <c r="B1424" t="inlineStr">
        <is>
          <t>Charge from Warehouse/cy to trucks</t>
        </is>
      </c>
      <c r="C1424" t="inlineStr">
        <is>
          <t>កំពង់ផែស្វយ័តក្រុងព្រះសីហនុ</t>
        </is>
      </c>
      <c r="D1424" t="inlineStr">
        <is>
          <t>L001-100044638</t>
        </is>
      </c>
      <c r="E1424" t="inlineStr">
        <is>
          <t>181935</t>
        </is>
      </c>
      <c r="F1424" t="inlineStr">
        <is>
          <t>04-09-2024</t>
        </is>
      </c>
      <c r="G1424" t="n">
        <v>1870</v>
      </c>
      <c r="I1424">
        <f>G1424</f>
        <v/>
      </c>
      <c r="K1424">
        <f>I1424-G1424</f>
        <v/>
      </c>
      <c r="M1424">
        <f>R1424=E1424</f>
        <v/>
      </c>
      <c r="N1424">
        <f>AND(MONTH(F1424)=MONTH(Q1424), YEAR(F1424)=YEAR(Q1424))</f>
        <v/>
      </c>
      <c r="O1424">
        <f>"L001-902303751"=S1424</f>
        <v/>
      </c>
      <c r="P1424">
        <f>G1424-U1424</f>
        <v/>
      </c>
      <c r="Q1424" s="35" t="n">
        <v>45551</v>
      </c>
      <c r="R1424" t="n">
        <v>111485</v>
      </c>
      <c r="S1424" t="inlineStr">
        <is>
          <t>L001-100045995</t>
        </is>
      </c>
      <c r="T1424" t="inlineStr">
        <is>
          <t>ឌីអេចអិល ឡូជីស្ទីក (ខេមបូឌា)</t>
        </is>
      </c>
      <c r="U1424" t="n">
        <v>111485</v>
      </c>
      <c r="V1424" t="n">
        <v>0</v>
      </c>
    </row>
    <row r="1425">
      <c r="A1425" t="n">
        <v>1424</v>
      </c>
      <c r="B1425" t="inlineStr">
        <is>
          <t>Customs Clearance Fee and Trucking Fee</t>
        </is>
      </c>
      <c r="C1425" t="inlineStr">
        <is>
          <t>ត្រាយអ៊ែងហ្គល ឡូជីស្ទីក (ខេមបូឌា) ឯ.ក</t>
        </is>
      </c>
      <c r="D1425" t="inlineStr">
        <is>
          <t>K010-902101743</t>
        </is>
      </c>
      <c r="E1425" t="inlineStr">
        <is>
          <t>TAG-24-00673</t>
        </is>
      </c>
      <c r="F1425" t="inlineStr">
        <is>
          <t>23-09-2024</t>
        </is>
      </c>
      <c r="G1425" t="n">
        <v>32504</v>
      </c>
      <c r="I1425">
        <f>G1425</f>
        <v/>
      </c>
      <c r="K1425">
        <f>I1425-G1425</f>
        <v/>
      </c>
      <c r="M1425">
        <f>R1425=E1425</f>
        <v/>
      </c>
      <c r="N1425">
        <f>AND(MONTH(F1425)=MONTH(Q1425), YEAR(F1425)=YEAR(Q1425))</f>
        <v/>
      </c>
      <c r="O1425">
        <f>"L001-902303751"=S1425</f>
        <v/>
      </c>
      <c r="P1425">
        <f>G1425-U1425</f>
        <v/>
      </c>
      <c r="Q1425" s="35" t="n">
        <v>45537</v>
      </c>
      <c r="R1425" t="inlineStr"/>
      <c r="S1425" t="inlineStr">
        <is>
          <t>L001-107032791</t>
        </is>
      </c>
      <c r="T1425" t="inlineStr">
        <is>
          <t>នីបផន អិចប្រេស (ខេមបូឌា) ខូ អិលធីឌី</t>
        </is>
      </c>
      <c r="U1425" t="n">
        <v>0</v>
      </c>
      <c r="V1425" t="n">
        <v>0</v>
      </c>
    </row>
    <row r="1426">
      <c r="A1426" t="n">
        <v>1425</v>
      </c>
      <c r="B1426" t="inlineStr">
        <is>
          <t>Charge from Warehouse/cy to trucks and Storage Charges</t>
        </is>
      </c>
      <c r="C1426" t="inlineStr">
        <is>
          <t>កំពង់ផែស្វយ័តក្រុងព្រះសីហនុ</t>
        </is>
      </c>
      <c r="D1426" t="inlineStr">
        <is>
          <t>L001-100044638</t>
        </is>
      </c>
      <c r="E1426" t="inlineStr">
        <is>
          <t>184106</t>
        </is>
      </c>
      <c r="F1426" t="inlineStr">
        <is>
          <t>06-09-2024</t>
        </is>
      </c>
      <c r="G1426" t="n">
        <v>704</v>
      </c>
      <c r="I1426">
        <f>G1426</f>
        <v/>
      </c>
      <c r="K1426">
        <f>I1426-G1426</f>
        <v/>
      </c>
      <c r="M1426">
        <f>R1426=E1426</f>
        <v/>
      </c>
      <c r="N1426">
        <f>AND(MONTH(F1426)=MONTH(Q1426), YEAR(F1426)=YEAR(Q1426))</f>
        <v/>
      </c>
      <c r="O1426">
        <f>"L001-902303751"=S1426</f>
        <v/>
      </c>
      <c r="P1426">
        <f>G1426-U1426</f>
        <v/>
      </c>
      <c r="Q1426" s="35" t="n">
        <v>45565</v>
      </c>
      <c r="R1426" t="inlineStr"/>
      <c r="S1426" t="inlineStr">
        <is>
          <t>L001-107032791</t>
        </is>
      </c>
      <c r="T1426" t="inlineStr">
        <is>
          <t>នីបផន អិចប្រេស (ខេមបូឌា) ខូ អិលធីឌី</t>
        </is>
      </c>
      <c r="U1426" t="n">
        <v>0</v>
      </c>
      <c r="V1426" t="n">
        <v>0</v>
      </c>
    </row>
    <row r="1427">
      <c r="A1427" t="n">
        <v>1426</v>
      </c>
      <c r="B1427" t="inlineStr">
        <is>
          <t>Customs Clearance Fee and Trucking Fee</t>
        </is>
      </c>
      <c r="C1427" t="inlineStr">
        <is>
          <t>ត្រាយអ៊ែងហ្គល ឡូជីស្ទីក (ខេមបូឌា) ឯ.ក</t>
        </is>
      </c>
      <c r="D1427" t="inlineStr">
        <is>
          <t>K010-902101743</t>
        </is>
      </c>
      <c r="E1427" t="inlineStr">
        <is>
          <t>TAG-24-00671</t>
        </is>
      </c>
      <c r="F1427" t="inlineStr">
        <is>
          <t>23-09-2024</t>
        </is>
      </c>
      <c r="G1427" t="n">
        <v>32504</v>
      </c>
      <c r="I1427">
        <f>G1427</f>
        <v/>
      </c>
      <c r="K1427">
        <f>I1427-G1427</f>
        <v/>
      </c>
      <c r="M1427">
        <f>R1427=E1427</f>
        <v/>
      </c>
      <c r="N1427">
        <f>AND(MONTH(F1427)=MONTH(Q1427), YEAR(F1427)=YEAR(Q1427))</f>
        <v/>
      </c>
      <c r="O1427">
        <f>"L001-902303751"=S1427</f>
        <v/>
      </c>
      <c r="P1427">
        <f>G1427-U1427</f>
        <v/>
      </c>
      <c r="Q1427" s="35" t="n">
        <v>45562</v>
      </c>
      <c r="R1427" t="inlineStr"/>
      <c r="S1427" t="inlineStr">
        <is>
          <t>L001-107032791</t>
        </is>
      </c>
      <c r="T1427" t="inlineStr">
        <is>
          <t>នីបផន អិចប្រេស (ខេមបូឌា) ខូ អិលធីឌី</t>
        </is>
      </c>
      <c r="U1427" t="n">
        <v>0</v>
      </c>
      <c r="V1427" t="n">
        <v>0</v>
      </c>
    </row>
    <row r="1428">
      <c r="A1428" t="n">
        <v>1427</v>
      </c>
      <c r="B1428" t="inlineStr">
        <is>
          <t>Charge from Warehouse/cy to trucks</t>
        </is>
      </c>
      <c r="C1428" t="inlineStr">
        <is>
          <t>កំពង់ផែស្វយ័តក្រុងព្រះសីហនុ</t>
        </is>
      </c>
      <c r="D1428" t="inlineStr">
        <is>
          <t>L001-100044638</t>
        </is>
      </c>
      <c r="E1428" t="inlineStr">
        <is>
          <t>180950</t>
        </is>
      </c>
      <c r="F1428" t="inlineStr">
        <is>
          <t>03-09-2024</t>
        </is>
      </c>
      <c r="G1428" t="n">
        <v>620</v>
      </c>
      <c r="I1428">
        <f>G1428</f>
        <v/>
      </c>
      <c r="K1428">
        <f>I1428-G1428</f>
        <v/>
      </c>
      <c r="M1428">
        <f>R1428=E1428</f>
        <v/>
      </c>
      <c r="N1428">
        <f>AND(MONTH(F1428)=MONTH(Q1428), YEAR(F1428)=YEAR(Q1428))</f>
        <v/>
      </c>
      <c r="O1428">
        <f>"L001-902303751"=S1428</f>
        <v/>
      </c>
      <c r="P1428">
        <f>G1428-U1428</f>
        <v/>
      </c>
      <c r="Q1428" s="35" t="n">
        <v>45558</v>
      </c>
      <c r="R1428" t="inlineStr"/>
      <c r="S1428" t="inlineStr">
        <is>
          <t>L001-100045995</t>
        </is>
      </c>
      <c r="T1428" t="inlineStr">
        <is>
          <t>ឌីអេចអិល ឡូជីស្ទីក (ខេមបូឌា)</t>
        </is>
      </c>
      <c r="U1428" t="n">
        <v>0</v>
      </c>
      <c r="V1428" t="n">
        <v>0</v>
      </c>
    </row>
    <row r="1429">
      <c r="A1429" t="n">
        <v>1428</v>
      </c>
      <c r="B1429" t="inlineStr">
        <is>
          <t>Customs Clearance Fee and Trucking Fee</t>
        </is>
      </c>
      <c r="C1429" t="inlineStr">
        <is>
          <t>ត្រាយអ៊ែងហ្គល ឡូជីស្ទីក (ខេមបូឌា) ឯ.ក</t>
        </is>
      </c>
      <c r="D1429" t="inlineStr">
        <is>
          <t>K010-902101743</t>
        </is>
      </c>
      <c r="E1429" t="inlineStr">
        <is>
          <t>TAG-24-00665</t>
        </is>
      </c>
      <c r="F1429" t="inlineStr">
        <is>
          <t>19-09-2024</t>
        </is>
      </c>
      <c r="G1429" t="n">
        <v>32784</v>
      </c>
      <c r="I1429">
        <f>G1429</f>
        <v/>
      </c>
      <c r="K1429">
        <f>I1429-G1429</f>
        <v/>
      </c>
      <c r="M1429">
        <f>R1429=E1429</f>
        <v/>
      </c>
      <c r="N1429">
        <f>AND(MONTH(F1429)=MONTH(Q1429), YEAR(F1429)=YEAR(Q1429))</f>
        <v/>
      </c>
      <c r="O1429">
        <f>"L001-902303751"=S1429</f>
        <v/>
      </c>
      <c r="P1429">
        <f>G1429-U1429</f>
        <v/>
      </c>
      <c r="Q1429" s="35" t="n">
        <v>45551</v>
      </c>
      <c r="R1429" t="n">
        <v>111485</v>
      </c>
      <c r="S1429" t="inlineStr">
        <is>
          <t>L001-100045995</t>
        </is>
      </c>
      <c r="T1429" t="inlineStr">
        <is>
          <t>ឌីអេចអិល ឡូជីស្ទីក (ខេមបូឌា)</t>
        </is>
      </c>
      <c r="U1429" t="n">
        <v>111485</v>
      </c>
      <c r="V1429" t="n">
        <v>0</v>
      </c>
    </row>
    <row r="1430">
      <c r="A1430" t="n">
        <v>1429</v>
      </c>
      <c r="B1430" t="inlineStr">
        <is>
          <t>50% advance payment for custom-made boiler stainless steel dust collector and Chimney</t>
        </is>
      </c>
      <c r="C1430" t="inlineStr">
        <is>
          <t>វ៉ានលី ប៊យឡឺ អាយរ៉ុននីង អេឃ្វីបម៉ិន ឯ.ក</t>
        </is>
      </c>
      <c r="D1430" t="inlineStr">
        <is>
          <t>K010-902202437</t>
        </is>
      </c>
      <c r="E1430" t="inlineStr">
        <is>
          <t>W2024-0039</t>
        </is>
      </c>
      <c r="F1430" t="inlineStr">
        <is>
          <t>31-10-2024</t>
        </is>
      </c>
      <c r="G1430" t="n">
        <v>1046223</v>
      </c>
      <c r="I1430">
        <f>G1430</f>
        <v/>
      </c>
      <c r="K1430">
        <f>I1430-G1430</f>
        <v/>
      </c>
      <c r="M1430">
        <f>R1430=E1430</f>
        <v/>
      </c>
      <c r="N1430">
        <f>AND(MONTH(F1430)=MONTH(Q1430), YEAR(F1430)=YEAR(Q1430))</f>
        <v/>
      </c>
      <c r="O1430">
        <f>"L001-902303751"=S1430</f>
        <v/>
      </c>
      <c r="P1430">
        <f>G1430-U1430</f>
        <v/>
      </c>
      <c r="Q1430" s="35" t="n">
        <v>45558</v>
      </c>
      <c r="R1430" t="inlineStr"/>
      <c r="S1430" t="inlineStr">
        <is>
          <t>L001-107032791</t>
        </is>
      </c>
      <c r="T1430" t="inlineStr">
        <is>
          <t>នីបផន អិចប្រេស (ខេមបូឌា) ខូ អិលធីឌី</t>
        </is>
      </c>
      <c r="U1430" t="n">
        <v>0</v>
      </c>
      <c r="V1430" t="n">
        <v>0</v>
      </c>
    </row>
    <row r="1431">
      <c r="A1431" t="n">
        <v>1430</v>
      </c>
      <c r="B1431" t="inlineStr">
        <is>
          <t>Cargo Terminal</t>
        </is>
      </c>
      <c r="C1431" t="inlineStr">
        <is>
          <t>សូស៊ីយេតេ កុងសេស្យូនែរ ដឺ ឡាអេរ៉ូព័រ</t>
        </is>
      </c>
      <c r="D1431" t="inlineStr">
        <is>
          <t>L001-100047300</t>
        </is>
      </c>
      <c r="E1431" t="inlineStr">
        <is>
          <t>2400083045</t>
        </is>
      </c>
      <c r="F1431" t="inlineStr">
        <is>
          <t>16-10-2024</t>
        </is>
      </c>
      <c r="G1431" t="n">
        <v>7341</v>
      </c>
      <c r="I1431">
        <f>G1431</f>
        <v/>
      </c>
      <c r="K1431">
        <f>I1431-G1431</f>
        <v/>
      </c>
      <c r="M1431">
        <f>R1431=E1431</f>
        <v/>
      </c>
      <c r="N1431">
        <f>AND(MONTH(F1431)=MONTH(Q1431), YEAR(F1431)=YEAR(Q1431))</f>
        <v/>
      </c>
      <c r="O1431">
        <f>"L001-902303751"=S1431</f>
        <v/>
      </c>
      <c r="P1431">
        <f>G1431-U1431</f>
        <v/>
      </c>
      <c r="Q1431" s="35" t="n">
        <v>45551</v>
      </c>
      <c r="R1431" t="inlineStr"/>
      <c r="S1431" t="inlineStr">
        <is>
          <t>L001-100045340</t>
        </is>
      </c>
      <c r="T1431" t="inlineStr">
        <is>
          <t xml:space="preserve">ស៊ីវ៉ា អ៊ែរ អ៊ែន អូសៀន (ខេមបូឌា) ឯ.ក </t>
        </is>
      </c>
      <c r="U1431" t="n">
        <v>0</v>
      </c>
      <c r="V1431" t="n">
        <v>0</v>
      </c>
    </row>
    <row r="1432">
      <c r="A1432" t="n">
        <v>1431</v>
      </c>
      <c r="B1432" t="inlineStr">
        <is>
          <t>DocumentationOrigin, Handling Charges Origin, PLACI fee and HAWB Transmission Fee</t>
        </is>
      </c>
      <c r="C1432" t="inlineStr">
        <is>
          <t>ឌីប៊ី សេនឃើរ (ខេមបូឌា) លីមីធីត</t>
        </is>
      </c>
      <c r="D1432" t="inlineStr">
        <is>
          <t>L001-107041723</t>
        </is>
      </c>
      <c r="E1432" t="inlineStr">
        <is>
          <t>2400008223</t>
        </is>
      </c>
      <c r="F1432" t="inlineStr">
        <is>
          <t>16-10-2024</t>
        </is>
      </c>
      <c r="G1432" t="n">
        <v>49938</v>
      </c>
      <c r="I1432">
        <f>G1432</f>
        <v/>
      </c>
      <c r="K1432">
        <f>I1432-G1432</f>
        <v/>
      </c>
      <c r="M1432">
        <f>R1432=E1432</f>
        <v/>
      </c>
      <c r="N1432">
        <f>AND(MONTH(F1432)=MONTH(Q1432), YEAR(F1432)=YEAR(Q1432))</f>
        <v/>
      </c>
      <c r="O1432">
        <f>"L001-902303751"=S1432</f>
        <v/>
      </c>
      <c r="P1432">
        <f>G1432-U1432</f>
        <v/>
      </c>
      <c r="Q1432" s="35" t="n">
        <v>45544</v>
      </c>
      <c r="R1432" t="inlineStr"/>
      <c r="S1432" t="inlineStr">
        <is>
          <t>L001-100045995</t>
        </is>
      </c>
      <c r="T1432" t="inlineStr">
        <is>
          <t>ឌីអេចអិល ឡូជីស្ទីក (ខេមបូឌា)</t>
        </is>
      </c>
      <c r="U1432" t="n">
        <v>0</v>
      </c>
      <c r="V1432" t="n">
        <v>0</v>
      </c>
    </row>
    <row r="1433">
      <c r="A1433" t="n">
        <v>1432</v>
      </c>
      <c r="B1433" t="inlineStr">
        <is>
          <t>Pest Control Service</t>
        </is>
      </c>
      <c r="C1433" t="inlineStr">
        <is>
          <t>ជីស៊ី ផេស ខិនត្រូល ឯ.ក</t>
        </is>
      </c>
      <c r="D1433" t="inlineStr">
        <is>
          <t>K004-902104767</t>
        </is>
      </c>
      <c r="E1433" t="inlineStr">
        <is>
          <t>2024-00023</t>
        </is>
      </c>
      <c r="F1433" t="inlineStr">
        <is>
          <t>16-10-2024</t>
        </is>
      </c>
      <c r="G1433" t="n">
        <v>259840</v>
      </c>
      <c r="I1433">
        <f>G1433</f>
        <v/>
      </c>
      <c r="K1433">
        <f>I1433-G1433</f>
        <v/>
      </c>
      <c r="M1433">
        <f>R1433=E1433</f>
        <v/>
      </c>
      <c r="N1433">
        <f>AND(MONTH(F1433)=MONTH(Q1433), YEAR(F1433)=YEAR(Q1433))</f>
        <v/>
      </c>
      <c r="O1433">
        <f>"L001-902303751"=S1433</f>
        <v/>
      </c>
      <c r="P1433">
        <f>G1433-U1433</f>
        <v/>
      </c>
      <c r="Q1433" s="35" t="n">
        <v>45537</v>
      </c>
      <c r="R1433" t="n">
        <v>83210</v>
      </c>
      <c r="S1433" t="inlineStr">
        <is>
          <t>L001-100045995</t>
        </is>
      </c>
      <c r="T1433" t="inlineStr">
        <is>
          <t>ឌីអេចអិល ឡូជីស្ទីក (ខេមបូឌា)</t>
        </is>
      </c>
      <c r="U1433" t="n">
        <v>83210</v>
      </c>
      <c r="V1433" t="n">
        <v>0</v>
      </c>
    </row>
    <row r="1434">
      <c r="A1434" t="n">
        <v>1433</v>
      </c>
      <c r="B1434" t="inlineStr">
        <is>
          <t>DNS Service</t>
        </is>
      </c>
      <c r="C1434" t="inlineStr">
        <is>
          <t>អង្គរ ដាតា ខមម្ញូនីខេសិន គ្រុប (អេ ឌី​ ស៊ី)</t>
        </is>
      </c>
      <c r="D1434" t="inlineStr">
        <is>
          <t>L001-100078885</t>
        </is>
      </c>
      <c r="E1434" t="inlineStr">
        <is>
          <t>TIPP24122383</t>
        </is>
      </c>
      <c r="F1434" t="inlineStr">
        <is>
          <t>08-10-2024</t>
        </is>
      </c>
      <c r="G1434" t="n">
        <v>20320</v>
      </c>
      <c r="I1434">
        <f>G1434</f>
        <v/>
      </c>
      <c r="K1434">
        <f>I1434-G1434</f>
        <v/>
      </c>
      <c r="M1434">
        <f>R1434=E1434</f>
        <v/>
      </c>
      <c r="N1434">
        <f>AND(MONTH(F1434)=MONTH(Q1434), YEAR(F1434)=YEAR(Q1434))</f>
        <v/>
      </c>
      <c r="O1434">
        <f>"L001-902303751"=S1434</f>
        <v/>
      </c>
      <c r="P1434">
        <f>G1434-U1434</f>
        <v/>
      </c>
      <c r="Q1434" s="35" t="n">
        <v>45537</v>
      </c>
      <c r="R1434" t="inlineStr"/>
      <c r="S1434" t="inlineStr">
        <is>
          <t>L001-100045995</t>
        </is>
      </c>
      <c r="T1434" t="inlineStr">
        <is>
          <t>ឌីអេចអិល ឡូជីស្ទីក (ខេមបូឌា)</t>
        </is>
      </c>
      <c r="U1434" t="n">
        <v>0</v>
      </c>
      <c r="V1434" t="n">
        <v>0</v>
      </c>
    </row>
    <row r="1435">
      <c r="A1435" t="n">
        <v>1434</v>
      </c>
      <c r="B1435" t="inlineStr">
        <is>
          <t>CFS Handling, Carrier BL, Document Assembly, Terminal Handling, Handling Fee, VGM Weighting Fee-CFS, Fuel Surcharge and Manifest Fee</t>
        </is>
      </c>
      <c r="C1435" t="inlineStr">
        <is>
          <t>អ៊ិចស្ពែឌីធ័រ ខេមបូឌា អិលធីឌី</t>
        </is>
      </c>
      <c r="D1435" t="inlineStr">
        <is>
          <t>L001-100045898</t>
        </is>
      </c>
      <c r="E1435" t="inlineStr">
        <is>
          <t>TI-0292871</t>
        </is>
      </c>
      <c r="F1435" t="inlineStr">
        <is>
          <t>14-10-2024</t>
        </is>
      </c>
      <c r="G1435" t="n">
        <v>103323</v>
      </c>
      <c r="I1435">
        <f>G1435</f>
        <v/>
      </c>
      <c r="K1435">
        <f>I1435-G1435</f>
        <v/>
      </c>
      <c r="M1435">
        <f>R1435=E1435</f>
        <v/>
      </c>
      <c r="N1435">
        <f>AND(MONTH(F1435)=MONTH(Q1435), YEAR(F1435)=YEAR(Q1435))</f>
        <v/>
      </c>
      <c r="O1435">
        <f>"L001-902303751"=S1435</f>
        <v/>
      </c>
      <c r="P1435">
        <f>G1435-U1435</f>
        <v/>
      </c>
      <c r="Q1435" s="35" t="n">
        <v>45537</v>
      </c>
      <c r="R1435" t="inlineStr"/>
      <c r="S1435" t="inlineStr">
        <is>
          <t>L001-107032791</t>
        </is>
      </c>
      <c r="T1435" t="inlineStr">
        <is>
          <t>នីបផន អិចប្រេស (ខេមបូឌា) ខូ អិលធីឌី</t>
        </is>
      </c>
      <c r="U1435" t="n">
        <v>0</v>
      </c>
      <c r="V1435" t="n">
        <v>0</v>
      </c>
    </row>
    <row r="1436">
      <c r="A1436" t="n">
        <v>1435</v>
      </c>
      <c r="B1436" t="inlineStr">
        <is>
          <t>CFS Handling, Carrier BL, Document Assembly, Terminal Handling, Handling Fee, VGM Processing Fee and Manifest Fee</t>
        </is>
      </c>
      <c r="C1436" t="inlineStr">
        <is>
          <t>អ៊ិចស្ពែឌីធ័រ ខេមបូឌា អិលធីឌី</t>
        </is>
      </c>
      <c r="D1436" t="inlineStr">
        <is>
          <t>L001-100045898</t>
        </is>
      </c>
      <c r="E1436" t="inlineStr">
        <is>
          <t>TI-0292870</t>
        </is>
      </c>
      <c r="F1436" t="inlineStr">
        <is>
          <t>14-10-2024</t>
        </is>
      </c>
      <c r="G1436" t="n">
        <v>91801</v>
      </c>
      <c r="I1436">
        <f>G1436</f>
        <v/>
      </c>
      <c r="K1436">
        <f>I1436-G1436</f>
        <v/>
      </c>
      <c r="M1436">
        <f>R1436=E1436</f>
        <v/>
      </c>
      <c r="N1436">
        <f>AND(MONTH(F1436)=MONTH(Q1436), YEAR(F1436)=YEAR(Q1436))</f>
        <v/>
      </c>
      <c r="O1436">
        <f>"L001-902303751"=S1436</f>
        <v/>
      </c>
      <c r="P1436">
        <f>G1436-U1436</f>
        <v/>
      </c>
      <c r="Q1436" s="35" t="n">
        <v>45565</v>
      </c>
      <c r="R1436" t="inlineStr"/>
      <c r="S1436" t="inlineStr">
        <is>
          <t>L001-107032791</t>
        </is>
      </c>
      <c r="T1436" t="inlineStr">
        <is>
          <t>នីបផន អិចប្រេស (ខេមបូឌា) ខូ អិលធីឌី</t>
        </is>
      </c>
      <c r="U1436" t="n">
        <v>0</v>
      </c>
      <c r="V1436" t="n">
        <v>0</v>
      </c>
    </row>
    <row r="1437">
      <c r="A1437" t="n">
        <v>1436</v>
      </c>
      <c r="B1437" t="inlineStr">
        <is>
          <t>CFS Handling, Carrier BL, Document Assembly, Terminal Handling, Handling Fee, VGM Processing Fee and Manifest Fee</t>
        </is>
      </c>
      <c r="C1437" t="inlineStr">
        <is>
          <t>អ៊ិចស្ពែឌីធ័រ ខេមបូឌា អិលធីឌី</t>
        </is>
      </c>
      <c r="D1437" t="inlineStr">
        <is>
          <t>L001-100045898</t>
        </is>
      </c>
      <c r="E1437" t="inlineStr">
        <is>
          <t>TI-0292869</t>
        </is>
      </c>
      <c r="F1437" t="inlineStr">
        <is>
          <t>14-10-2024</t>
        </is>
      </c>
      <c r="G1437" t="n">
        <v>83677</v>
      </c>
      <c r="I1437">
        <f>G1437</f>
        <v/>
      </c>
      <c r="K1437">
        <f>I1437-G1437</f>
        <v/>
      </c>
      <c r="M1437">
        <f>R1437=E1437</f>
        <v/>
      </c>
      <c r="N1437">
        <f>AND(MONTH(F1437)=MONTH(Q1437), YEAR(F1437)=YEAR(Q1437))</f>
        <v/>
      </c>
      <c r="O1437">
        <f>"L001-902303751"=S1437</f>
        <v/>
      </c>
      <c r="P1437">
        <f>G1437-U1437</f>
        <v/>
      </c>
      <c r="Q1437" s="35" t="n">
        <v>45555</v>
      </c>
      <c r="R1437" t="inlineStr"/>
      <c r="S1437" t="inlineStr">
        <is>
          <t>K007-901638107</t>
        </is>
      </c>
      <c r="T1437" t="inlineStr">
        <is>
          <t>ហ្វ្រេតាស (ខេមបូឌា) ឯ.ក</t>
        </is>
      </c>
      <c r="U1437" t="n">
        <v>0</v>
      </c>
      <c r="V1437" t="n">
        <v>0</v>
      </c>
    </row>
    <row r="1438">
      <c r="A1438" t="n">
        <v>1437</v>
      </c>
      <c r="B1438" t="inlineStr">
        <is>
          <t>Send Sample</t>
        </is>
      </c>
      <c r="C1438" t="inlineStr">
        <is>
          <t>ឌី អេច អិល អិចប្រេស (ខេមបូឌា)</t>
        </is>
      </c>
      <c r="D1438" t="inlineStr">
        <is>
          <t>L001-100045197</t>
        </is>
      </c>
      <c r="E1438" t="inlineStr">
        <is>
          <t>PNHIR00246783</t>
        </is>
      </c>
      <c r="F1438" t="inlineStr">
        <is>
          <t>14-10-2024</t>
        </is>
      </c>
      <c r="G1438" t="n">
        <v>16248</v>
      </c>
      <c r="I1438">
        <f>G1438</f>
        <v/>
      </c>
      <c r="K1438">
        <f>I1438-G1438</f>
        <v/>
      </c>
      <c r="M1438">
        <f>R1438=E1438</f>
        <v/>
      </c>
      <c r="N1438">
        <f>AND(MONTH(F1438)=MONTH(Q1438), YEAR(F1438)=YEAR(Q1438))</f>
        <v/>
      </c>
      <c r="O1438">
        <f>"L001-902303751"=S1438</f>
        <v/>
      </c>
      <c r="P1438">
        <f>G1438-U1438</f>
        <v/>
      </c>
      <c r="Q1438" s="35" t="n">
        <v>45558</v>
      </c>
      <c r="R1438" t="inlineStr"/>
      <c r="S1438" t="inlineStr">
        <is>
          <t>L001-107032791</t>
        </is>
      </c>
      <c r="T1438" t="inlineStr">
        <is>
          <t>នីបផន អិចប្រេស (ខេមបូឌា) ខូ អិលធីឌី</t>
        </is>
      </c>
      <c r="U1438" t="n">
        <v>0</v>
      </c>
      <c r="V1438" t="n">
        <v>0</v>
      </c>
    </row>
    <row r="1439">
      <c r="A1439" t="n">
        <v>1438</v>
      </c>
      <c r="B1439" t="inlineStr">
        <is>
          <t>Send Docs</t>
        </is>
      </c>
      <c r="C1439" t="inlineStr">
        <is>
          <t>ឌី អេច អិល អិចប្រេស (ខេមបូឌា)</t>
        </is>
      </c>
      <c r="D1439" t="inlineStr">
        <is>
          <t>L001-100045197</t>
        </is>
      </c>
      <c r="E1439" t="inlineStr">
        <is>
          <t>PNHIR00246782</t>
        </is>
      </c>
      <c r="F1439" t="inlineStr">
        <is>
          <t>14-10-2024</t>
        </is>
      </c>
      <c r="G1439" t="n">
        <v>18279</v>
      </c>
      <c r="I1439">
        <f>G1439</f>
        <v/>
      </c>
      <c r="K1439">
        <f>I1439-G1439</f>
        <v/>
      </c>
      <c r="M1439">
        <f>R1439=E1439</f>
        <v/>
      </c>
      <c r="N1439">
        <f>AND(MONTH(F1439)=MONTH(Q1439), YEAR(F1439)=YEAR(Q1439))</f>
        <v/>
      </c>
      <c r="O1439">
        <f>"L001-902303751"=S1439</f>
        <v/>
      </c>
      <c r="P1439">
        <f>G1439-U1439</f>
        <v/>
      </c>
      <c r="Q1439" s="35" t="n">
        <v>45544</v>
      </c>
      <c r="R1439" t="inlineStr"/>
      <c r="S1439" t="inlineStr">
        <is>
          <t>L001-107032791</t>
        </is>
      </c>
      <c r="T1439" t="inlineStr">
        <is>
          <t>នីបផន អិចប្រេស (ខេមបូឌា) ខូ អិលធីឌី</t>
        </is>
      </c>
      <c r="U1439" t="n">
        <v>0</v>
      </c>
      <c r="V1439" t="n">
        <v>0</v>
      </c>
    </row>
    <row r="1440">
      <c r="A1440" t="n">
        <v>1439</v>
      </c>
      <c r="B1440" t="inlineStr">
        <is>
          <t>Cargo Terminal</t>
        </is>
      </c>
      <c r="C1440" t="inlineStr">
        <is>
          <t>សូស៊ីយេតេ កុងសេស្យូនែរ ដឺ ឡាអេរ៉ូព័រ</t>
        </is>
      </c>
      <c r="D1440" t="inlineStr">
        <is>
          <t>L001-100047300</t>
        </is>
      </c>
      <c r="E1440" t="inlineStr">
        <is>
          <t>2400083047</t>
        </is>
      </c>
      <c r="F1440" t="inlineStr">
        <is>
          <t>16-10-2024</t>
        </is>
      </c>
      <c r="G1440" t="n">
        <v>39301</v>
      </c>
      <c r="I1440">
        <f>G1440</f>
        <v/>
      </c>
      <c r="K1440">
        <f>I1440-G1440</f>
        <v/>
      </c>
      <c r="M1440">
        <f>R1440=E1440</f>
        <v/>
      </c>
      <c r="N1440">
        <f>AND(MONTH(F1440)=MONTH(Q1440), YEAR(F1440)=YEAR(Q1440))</f>
        <v/>
      </c>
      <c r="O1440">
        <f>"L001-902303751"=S1440</f>
        <v/>
      </c>
      <c r="P1440">
        <f>G1440-U1440</f>
        <v/>
      </c>
      <c r="Q1440" s="35" t="n">
        <v>45544</v>
      </c>
      <c r="R1440" t="inlineStr"/>
      <c r="S1440" t="inlineStr">
        <is>
          <t>L001-100045995</t>
        </is>
      </c>
      <c r="T1440" t="inlineStr">
        <is>
          <t>ឌីអេចអិល ឡូជីស្ទីក (ខេមបូឌា)</t>
        </is>
      </c>
      <c r="U1440" t="n">
        <v>0</v>
      </c>
      <c r="V1440" t="n">
        <v>0</v>
      </c>
    </row>
    <row r="1441">
      <c r="A1441" t="n">
        <v>1440</v>
      </c>
      <c r="B1441" t="inlineStr">
        <is>
          <t>Export Adminstration Fee, Port Formality and Service Charge, Overtime Inspection, Late Gate Container and Late Gate Document</t>
        </is>
      </c>
      <c r="C1441" t="inlineStr">
        <is>
          <t>ឆាយ ដា ឡូយីស្ទីក</t>
        </is>
      </c>
      <c r="D1441" t="inlineStr">
        <is>
          <t>L001-100063098</t>
        </is>
      </c>
      <c r="E1441" t="inlineStr">
        <is>
          <t>2410015339</t>
        </is>
      </c>
      <c r="F1441" t="inlineStr">
        <is>
          <t>16-10-2024</t>
        </is>
      </c>
      <c r="G1441" t="n">
        <v>180264</v>
      </c>
      <c r="I1441">
        <f>G1441</f>
        <v/>
      </c>
      <c r="K1441">
        <f>I1441-G1441</f>
        <v/>
      </c>
      <c r="M1441">
        <f>R1441=E1441</f>
        <v/>
      </c>
      <c r="N1441">
        <f>AND(MONTH(F1441)=MONTH(Q1441), YEAR(F1441)=YEAR(Q1441))</f>
        <v/>
      </c>
      <c r="O1441">
        <f>"L001-902303751"=S1441</f>
        <v/>
      </c>
      <c r="P1441">
        <f>G1441-U1441</f>
        <v/>
      </c>
      <c r="Q1441" s="35" t="n">
        <v>45544</v>
      </c>
      <c r="R1441" t="inlineStr"/>
      <c r="S1441" t="inlineStr">
        <is>
          <t>K005-100150195</t>
        </is>
      </c>
      <c r="T1441" t="inlineStr">
        <is>
          <t>អេស អ វី ស៊ី ហ្វ្រេត សឺវីស (ខេមបូឌា) ខូ អិលធីឌី</t>
        </is>
      </c>
      <c r="U1441" t="n">
        <v>0</v>
      </c>
      <c r="V1441" t="n">
        <v>0</v>
      </c>
    </row>
    <row r="1442">
      <c r="A1442" t="n">
        <v>1441</v>
      </c>
      <c r="B1442" t="inlineStr">
        <is>
          <t>Export Adminstration Fee, Port Formality and Service Charge</t>
        </is>
      </c>
      <c r="C1442" t="inlineStr">
        <is>
          <t>ឆាយ ដា ឡូយីស្ទីក</t>
        </is>
      </c>
      <c r="D1442" t="inlineStr">
        <is>
          <t>L001-100063098</t>
        </is>
      </c>
      <c r="E1442" t="inlineStr">
        <is>
          <t>2410015340</t>
        </is>
      </c>
      <c r="F1442" t="inlineStr">
        <is>
          <t>16-10-2024</t>
        </is>
      </c>
      <c r="G1442" t="n">
        <v>76734</v>
      </c>
      <c r="I1442">
        <f>G1442</f>
        <v/>
      </c>
      <c r="K1442">
        <f>I1442-G1442</f>
        <v/>
      </c>
      <c r="M1442">
        <f>R1442=E1442</f>
        <v/>
      </c>
      <c r="N1442">
        <f>AND(MONTH(F1442)=MONTH(Q1442), YEAR(F1442)=YEAR(Q1442))</f>
        <v/>
      </c>
      <c r="O1442">
        <f>"L001-902303751"=S1442</f>
        <v/>
      </c>
      <c r="P1442">
        <f>G1442-U1442</f>
        <v/>
      </c>
      <c r="Q1442" s="35" t="n">
        <v>45544</v>
      </c>
      <c r="R1442" t="inlineStr"/>
      <c r="S1442" t="inlineStr">
        <is>
          <t>L001-107032791</t>
        </is>
      </c>
      <c r="T1442" t="inlineStr">
        <is>
          <t>នីបផន អិចប្រេស (ខេមបូឌា) ខូ អិលធីឌី</t>
        </is>
      </c>
      <c r="U1442" t="n">
        <v>0</v>
      </c>
      <c r="V1442" t="n">
        <v>0</v>
      </c>
    </row>
    <row r="1443">
      <c r="A1443" t="n">
        <v>1442</v>
      </c>
      <c r="B1443" t="inlineStr">
        <is>
          <t>Import Shipment Expense</t>
        </is>
      </c>
      <c r="C1443" t="inlineStr">
        <is>
          <t>ខេអិលអិន ហ្វ្រេត (ខេមបូឌា) ឯ.ក</t>
        </is>
      </c>
      <c r="D1443" t="inlineStr">
        <is>
          <t>L001-100074669</t>
        </is>
      </c>
      <c r="E1443" t="inlineStr">
        <is>
          <t>IVO16173</t>
        </is>
      </c>
      <c r="F1443" t="inlineStr">
        <is>
          <t>16-10-2024</t>
        </is>
      </c>
      <c r="G1443" t="n">
        <v>152800</v>
      </c>
      <c r="I1443">
        <f>G1443</f>
        <v/>
      </c>
      <c r="K1443">
        <f>I1443-G1443</f>
        <v/>
      </c>
      <c r="M1443">
        <f>R1443=E1443</f>
        <v/>
      </c>
      <c r="N1443">
        <f>AND(MONTH(F1443)=MONTH(Q1443), YEAR(F1443)=YEAR(Q1443))</f>
        <v/>
      </c>
      <c r="O1443">
        <f>"L001-902303751"=S1443</f>
        <v/>
      </c>
      <c r="P1443">
        <f>G1443-U1443</f>
        <v/>
      </c>
      <c r="Q1443" s="35" t="n">
        <v>45551</v>
      </c>
      <c r="R1443" t="n">
        <v>85539</v>
      </c>
      <c r="S1443" t="inlineStr">
        <is>
          <t>K005-901805913</t>
        </is>
      </c>
      <c r="T1443" t="inlineStr">
        <is>
          <t>ស្តារ ខង់ខដ (ខេមបូឌា) ឯ.ក</t>
        </is>
      </c>
      <c r="U1443" t="n">
        <v>85539</v>
      </c>
      <c r="V1443" t="n">
        <v>0</v>
      </c>
    </row>
    <row r="1444">
      <c r="A1444" t="n">
        <v>1443</v>
      </c>
      <c r="B1444" t="inlineStr">
        <is>
          <t>Import Shipment Expense</t>
        </is>
      </c>
      <c r="C1444" t="inlineStr">
        <is>
          <t>អូរៀនថល ឡូជីស្ទីក &amp; ឌីស្ទ្រីប៊្យូសិន (ខេមបូឌា)</t>
        </is>
      </c>
      <c r="D1444" t="inlineStr">
        <is>
          <t>L001-103007369</t>
        </is>
      </c>
      <c r="E1444" t="inlineStr">
        <is>
          <t>24-10777</t>
        </is>
      </c>
      <c r="F1444" t="inlineStr">
        <is>
          <t>16-10-2024</t>
        </is>
      </c>
      <c r="G1444" t="n">
        <v>52780</v>
      </c>
      <c r="I1444">
        <f>G1444</f>
        <v/>
      </c>
      <c r="K1444">
        <f>I1444-G1444</f>
        <v/>
      </c>
      <c r="M1444">
        <f>R1444=E1444</f>
        <v/>
      </c>
      <c r="N1444">
        <f>AND(MONTH(F1444)=MONTH(Q1444), YEAR(F1444)=YEAR(Q1444))</f>
        <v/>
      </c>
      <c r="O1444">
        <f>"L001-902303751"=S1444</f>
        <v/>
      </c>
      <c r="P1444">
        <f>G1444-U1444</f>
        <v/>
      </c>
      <c r="Q1444" s="35" t="n">
        <v>45537</v>
      </c>
      <c r="R1444" t="n">
        <v>111623</v>
      </c>
      <c r="S1444" t="inlineStr">
        <is>
          <t>L001-107032791</t>
        </is>
      </c>
      <c r="T1444" t="inlineStr">
        <is>
          <t>នីបផន អិចប្រេស (ខេមបូឌា) ខូ អិលធីឌី</t>
        </is>
      </c>
      <c r="U1444" t="n">
        <v>111623</v>
      </c>
      <c r="V1444" t="n">
        <v>0</v>
      </c>
    </row>
    <row r="1445">
      <c r="A1445" t="n">
        <v>1444</v>
      </c>
      <c r="B1445" t="inlineStr">
        <is>
          <t>Document Fee and Agency Fee</t>
        </is>
      </c>
      <c r="C1445" t="inlineStr">
        <is>
          <t>អ៊ីហ្វាវ ឡូជីស</t>
        </is>
      </c>
      <c r="D1445" t="inlineStr">
        <is>
          <t>K009-100186262</t>
        </is>
      </c>
      <c r="E1445" t="inlineStr">
        <is>
          <t>EFAW2024-186</t>
        </is>
      </c>
      <c r="F1445" t="inlineStr">
        <is>
          <t>16-10-2024</t>
        </is>
      </c>
      <c r="G1445" t="n">
        <v>24360</v>
      </c>
      <c r="I1445">
        <f>G1445</f>
        <v/>
      </c>
      <c r="K1445">
        <f>I1445-G1445</f>
        <v/>
      </c>
      <c r="M1445">
        <f>R1445=E1445</f>
        <v/>
      </c>
      <c r="N1445">
        <f>AND(MONTH(F1445)=MONTH(Q1445), YEAR(F1445)=YEAR(Q1445))</f>
        <v/>
      </c>
      <c r="O1445">
        <f>"L001-902303751"=S1445</f>
        <v/>
      </c>
      <c r="P1445">
        <f>G1445-U1445</f>
        <v/>
      </c>
      <c r="Q1445" s="35" t="n">
        <v>45544</v>
      </c>
      <c r="R1445" t="n">
        <v>112035</v>
      </c>
      <c r="S1445" t="inlineStr">
        <is>
          <t>L001-100045995</t>
        </is>
      </c>
      <c r="T1445" t="inlineStr">
        <is>
          <t>ឌីអេចអិល ឡូជីស្ទីក (ខេមបូឌា)</t>
        </is>
      </c>
      <c r="U1445" t="n">
        <v>112035</v>
      </c>
      <c r="V1445" t="n">
        <v>0</v>
      </c>
    </row>
    <row r="1446">
      <c r="A1446" t="n">
        <v>1445</v>
      </c>
      <c r="B1446" t="inlineStr">
        <is>
          <t>Gate Fee Charges-GC Truck-1-6 Tons</t>
        </is>
      </c>
      <c r="C1446" t="inlineStr">
        <is>
          <t>កំពង់ផែស្វយ័តភ្នំពេញ "ក.ស.ភ"</t>
        </is>
      </c>
      <c r="D1446" t="inlineStr">
        <is>
          <t>L001-100044999</t>
        </is>
      </c>
      <c r="E1446" t="inlineStr">
        <is>
          <t>INV20241075811</t>
        </is>
      </c>
      <c r="F1446" t="inlineStr">
        <is>
          <t>11-10-2024</t>
        </is>
      </c>
      <c r="G1446" t="n">
        <v>813</v>
      </c>
      <c r="I1446">
        <f>G1446</f>
        <v/>
      </c>
      <c r="K1446">
        <f>I1446-G1446</f>
        <v/>
      </c>
      <c r="M1446">
        <f>R1446=E1446</f>
        <v/>
      </c>
      <c r="N1446">
        <f>AND(MONTH(F1446)=MONTH(Q1446), YEAR(F1446)=YEAR(Q1446))</f>
        <v/>
      </c>
      <c r="O1446">
        <f>"L001-902303751"=S1446</f>
        <v/>
      </c>
      <c r="P1446">
        <f>G1446-U1446</f>
        <v/>
      </c>
      <c r="Q1446" s="35" t="n">
        <v>45565</v>
      </c>
      <c r="R1446" t="n">
        <v>111678</v>
      </c>
      <c r="S1446" t="inlineStr">
        <is>
          <t>L001-107032791</t>
        </is>
      </c>
      <c r="T1446" t="inlineStr">
        <is>
          <t>នីបផន អិចប្រេស (ខេមបូឌា) ខូ អិលធីឌី</t>
        </is>
      </c>
      <c r="U1446" t="n">
        <v>111678</v>
      </c>
      <c r="V1446" t="n">
        <v>0</v>
      </c>
    </row>
    <row r="1447">
      <c r="A1447" t="n">
        <v>1446</v>
      </c>
      <c r="B1447" t="inlineStr">
        <is>
          <t>Import Shipment Expense</t>
        </is>
      </c>
      <c r="C1447" t="inlineStr">
        <is>
          <t>ហ្វ្រេត ខនសិប (ខេមបូឌា)</t>
        </is>
      </c>
      <c r="D1447" t="inlineStr">
        <is>
          <t>K009-901502482</t>
        </is>
      </c>
      <c r="E1447" t="inlineStr">
        <is>
          <t>241047</t>
        </is>
      </c>
      <c r="F1447" t="inlineStr">
        <is>
          <t>11-10-2024</t>
        </is>
      </c>
      <c r="G1447" t="n">
        <v>85770</v>
      </c>
      <c r="I1447">
        <f>G1447</f>
        <v/>
      </c>
      <c r="K1447">
        <f>I1447-G1447</f>
        <v/>
      </c>
      <c r="M1447">
        <f>R1447=E1447</f>
        <v/>
      </c>
      <c r="N1447">
        <f>AND(MONTH(F1447)=MONTH(Q1447), YEAR(F1447)=YEAR(Q1447))</f>
        <v/>
      </c>
      <c r="O1447">
        <f>"L001-902303751"=S1447</f>
        <v/>
      </c>
      <c r="P1447">
        <f>G1447-U1447</f>
        <v/>
      </c>
      <c r="Q1447" s="35" t="n">
        <v>45551</v>
      </c>
      <c r="R1447" t="inlineStr"/>
      <c r="S1447" t="inlineStr">
        <is>
          <t>L001-901500191</t>
        </is>
      </c>
      <c r="T1447" t="inlineStr">
        <is>
          <t>អ.អិន.វ៉ាយ ត្រេនស្ព័ត</t>
        </is>
      </c>
      <c r="U1447" t="n">
        <v>0</v>
      </c>
      <c r="V1447" t="n">
        <v>0</v>
      </c>
    </row>
    <row r="1448">
      <c r="A1448" t="n">
        <v>1447</v>
      </c>
      <c r="B1448" t="inlineStr">
        <is>
          <t>Import Shipment Expense</t>
        </is>
      </c>
      <c r="C1448" t="inlineStr">
        <is>
          <t>ហ្វ្រេត ខនសិប (ខេមបូឌា)</t>
        </is>
      </c>
      <c r="D1448" t="inlineStr">
        <is>
          <t>K009-901502482</t>
        </is>
      </c>
      <c r="E1448" t="inlineStr">
        <is>
          <t>241046</t>
        </is>
      </c>
      <c r="F1448" t="inlineStr">
        <is>
          <t>11-10-2024</t>
        </is>
      </c>
      <c r="G1448" t="n">
        <v>114658</v>
      </c>
      <c r="I1448">
        <f>G1448</f>
        <v/>
      </c>
      <c r="K1448">
        <f>I1448-G1448</f>
        <v/>
      </c>
      <c r="M1448">
        <f>R1448=E1448</f>
        <v/>
      </c>
      <c r="N1448">
        <f>AND(MONTH(F1448)=MONTH(Q1448), YEAR(F1448)=YEAR(Q1448))</f>
        <v/>
      </c>
      <c r="O1448">
        <f>"L001-902303751"=S1448</f>
        <v/>
      </c>
      <c r="P1448">
        <f>G1448-U1448</f>
        <v/>
      </c>
      <c r="Q1448" s="35" t="n">
        <v>45558</v>
      </c>
      <c r="R1448" t="n">
        <v>111733</v>
      </c>
      <c r="S1448" t="inlineStr">
        <is>
          <t>L001-107032791</t>
        </is>
      </c>
      <c r="T1448" t="inlineStr">
        <is>
          <t>នីបផន អិចប្រេស (ខេមបូឌា) ខូ អិលធីឌី</t>
        </is>
      </c>
      <c r="U1448" t="n">
        <v>111733</v>
      </c>
      <c r="V1448" t="n">
        <v>0</v>
      </c>
    </row>
    <row r="1449">
      <c r="A1449" t="n">
        <v>1448</v>
      </c>
      <c r="B1449" t="inlineStr">
        <is>
          <t>Cargo Terminal</t>
        </is>
      </c>
      <c r="C1449" t="inlineStr">
        <is>
          <t>សូស៊ីយេតេ កុងសេស្យូនែរ ដឺ ឡាអេរ៉ូព័រ</t>
        </is>
      </c>
      <c r="D1449" t="inlineStr">
        <is>
          <t>L001-100047300</t>
        </is>
      </c>
      <c r="E1449" t="inlineStr">
        <is>
          <t>2400-081668</t>
        </is>
      </c>
      <c r="F1449" t="inlineStr">
        <is>
          <t>11-10-2024</t>
        </is>
      </c>
      <c r="G1449" t="n">
        <v>7653</v>
      </c>
      <c r="I1449">
        <f>G1449</f>
        <v/>
      </c>
      <c r="K1449">
        <f>I1449-G1449</f>
        <v/>
      </c>
      <c r="M1449">
        <f>R1449=E1449</f>
        <v/>
      </c>
      <c r="N1449">
        <f>AND(MONTH(F1449)=MONTH(Q1449), YEAR(F1449)=YEAR(Q1449))</f>
        <v/>
      </c>
      <c r="O1449">
        <f>"L001-902303751"=S1449</f>
        <v/>
      </c>
      <c r="P1449">
        <f>G1449-U1449</f>
        <v/>
      </c>
      <c r="Q1449" s="35" t="n">
        <v>45558</v>
      </c>
      <c r="R1449" t="n">
        <v>111733</v>
      </c>
      <c r="S1449" t="inlineStr">
        <is>
          <t>L001-100045995</t>
        </is>
      </c>
      <c r="T1449" t="inlineStr">
        <is>
          <t>ឌីអេចអិល ឡូជីស្ទីក (ខេមបូឌា)</t>
        </is>
      </c>
      <c r="U1449" t="n">
        <v>111733</v>
      </c>
      <c r="V1449" t="n">
        <v>0</v>
      </c>
    </row>
    <row r="1450">
      <c r="A1450" t="n">
        <v>1449</v>
      </c>
      <c r="B1450" t="inlineStr">
        <is>
          <t>Lift-On &amp; Lift-Off and Storage Charges</t>
        </is>
      </c>
      <c r="C1450" t="inlineStr">
        <is>
          <t>កំពង់ផែស្វយ័តក្រុងព្រះសីហនុ</t>
        </is>
      </c>
      <c r="D1450" t="inlineStr">
        <is>
          <t>L001-100044638</t>
        </is>
      </c>
      <c r="E1450" t="inlineStr">
        <is>
          <t>209997</t>
        </is>
      </c>
      <c r="F1450" t="inlineStr">
        <is>
          <t>11-10-2024</t>
        </is>
      </c>
      <c r="G1450" t="n">
        <v>31691</v>
      </c>
      <c r="I1450">
        <f>G1450</f>
        <v/>
      </c>
      <c r="K1450">
        <f>I1450-G1450</f>
        <v/>
      </c>
      <c r="M1450">
        <f>R1450=E1450</f>
        <v/>
      </c>
      <c r="N1450">
        <f>AND(MONTH(F1450)=MONTH(Q1450), YEAR(F1450)=YEAR(Q1450))</f>
        <v/>
      </c>
      <c r="O1450">
        <f>"L001-902303751"=S1450</f>
        <v/>
      </c>
      <c r="P1450">
        <f>G1450-U1450</f>
        <v/>
      </c>
      <c r="Q1450" s="35" t="n">
        <v>45544</v>
      </c>
      <c r="R1450" t="inlineStr"/>
      <c r="S1450" t="inlineStr">
        <is>
          <t>L001-100045995</t>
        </is>
      </c>
      <c r="T1450" t="inlineStr">
        <is>
          <t>ឌីអេចអិល ឡូជីស្ទីក (ខេមបូឌា)</t>
        </is>
      </c>
      <c r="U1450" t="n">
        <v>0</v>
      </c>
      <c r="V1450" t="n">
        <v>0</v>
      </c>
    </row>
    <row r="1451">
      <c r="A1451" t="n">
        <v>1450</v>
      </c>
      <c r="B1451" t="inlineStr">
        <is>
          <t>Charge from Warehouse/cy to trucks</t>
        </is>
      </c>
      <c r="C1451" t="inlineStr">
        <is>
          <t>កំពង់ផែស្វយ័តក្រុងព្រះសីហនុ</t>
        </is>
      </c>
      <c r="D1451" t="inlineStr">
        <is>
          <t>L001-100044638</t>
        </is>
      </c>
      <c r="E1451" t="inlineStr">
        <is>
          <t>208715</t>
        </is>
      </c>
      <c r="F1451" t="inlineStr">
        <is>
          <t>10-10-2024</t>
        </is>
      </c>
      <c r="G1451" t="n">
        <v>1867</v>
      </c>
      <c r="I1451">
        <f>G1451</f>
        <v/>
      </c>
      <c r="K1451">
        <f>I1451-G1451</f>
        <v/>
      </c>
      <c r="M1451">
        <f>R1451=E1451</f>
        <v/>
      </c>
      <c r="N1451">
        <f>AND(MONTH(F1451)=MONTH(Q1451), YEAR(F1451)=YEAR(Q1451))</f>
        <v/>
      </c>
      <c r="O1451">
        <f>"L001-902303751"=S1451</f>
        <v/>
      </c>
      <c r="P1451">
        <f>G1451-U1451</f>
        <v/>
      </c>
      <c r="Q1451" s="35" t="n">
        <v>45551</v>
      </c>
      <c r="R1451" t="n">
        <v>97701</v>
      </c>
      <c r="S1451" t="inlineStr">
        <is>
          <t>L001-100045340</t>
        </is>
      </c>
      <c r="T1451" t="inlineStr">
        <is>
          <t xml:space="preserve">ស៊ីវ៉ា អ៊ែរ អ៊ែន អូសៀន (ខេមបូឌា) ឯ.ក </t>
        </is>
      </c>
      <c r="U1451" t="n">
        <v>97701</v>
      </c>
      <c r="V1451" t="n">
        <v>0</v>
      </c>
    </row>
    <row r="1452">
      <c r="A1452" t="n">
        <v>1451</v>
      </c>
      <c r="B1452" t="inlineStr">
        <is>
          <t>Cargo Terminal</t>
        </is>
      </c>
      <c r="C1452" t="inlineStr">
        <is>
          <t>សូស៊ីយេតេ កុងសេស្យូនែរ ដឺ ឡាអេរ៉ូព័រ</t>
        </is>
      </c>
      <c r="D1452" t="inlineStr">
        <is>
          <t>L001-100047300</t>
        </is>
      </c>
      <c r="E1452" t="inlineStr">
        <is>
          <t>2400-081798</t>
        </is>
      </c>
      <c r="F1452" t="inlineStr">
        <is>
          <t>12-10-2024</t>
        </is>
      </c>
      <c r="G1452" t="n">
        <v>1625</v>
      </c>
      <c r="I1452">
        <f>G1452</f>
        <v/>
      </c>
      <c r="K1452">
        <f>I1452-G1452</f>
        <v/>
      </c>
      <c r="M1452">
        <f>R1452=E1452</f>
        <v/>
      </c>
      <c r="N1452">
        <f>AND(MONTH(F1452)=MONTH(Q1452), YEAR(F1452)=YEAR(Q1452))</f>
        <v/>
      </c>
      <c r="O1452">
        <f>"L001-902303751"=S1452</f>
        <v/>
      </c>
      <c r="P1452">
        <f>G1452-U1452</f>
        <v/>
      </c>
      <c r="Q1452" s="35" t="n">
        <v>45537</v>
      </c>
      <c r="R1452" t="n">
        <v>85645</v>
      </c>
      <c r="S1452" t="inlineStr">
        <is>
          <t>K005-901805913</t>
        </is>
      </c>
      <c r="T1452" t="inlineStr">
        <is>
          <t>ស្តារ ខង់ខដ (ខេមបូឌា) ឯ.ក</t>
        </is>
      </c>
      <c r="U1452" t="n">
        <v>85645</v>
      </c>
      <c r="V1452" t="n">
        <v>0</v>
      </c>
    </row>
    <row r="1453">
      <c r="A1453" t="n">
        <v>1452</v>
      </c>
      <c r="B1453" t="inlineStr">
        <is>
          <t>Import Shipment Expense</t>
        </is>
      </c>
      <c r="C1453" t="inlineStr">
        <is>
          <t>អូរៀនថល ឡូជីស្ទីក &amp; ឌីស្ទ្រីប៊្យូសិន (ខេមបូឌា)</t>
        </is>
      </c>
      <c r="D1453" t="inlineStr">
        <is>
          <t>L001-103007369</t>
        </is>
      </c>
      <c r="E1453" t="inlineStr">
        <is>
          <t>24-11258</t>
        </is>
      </c>
      <c r="F1453" t="inlineStr">
        <is>
          <t>14-10-2024</t>
        </is>
      </c>
      <c r="G1453" t="n">
        <v>108053</v>
      </c>
      <c r="I1453">
        <f>G1453</f>
        <v/>
      </c>
      <c r="K1453">
        <f>I1453-G1453</f>
        <v/>
      </c>
      <c r="M1453">
        <f>R1453=E1453</f>
        <v/>
      </c>
      <c r="N1453">
        <f>AND(MONTH(F1453)=MONTH(Q1453), YEAR(F1453)=YEAR(Q1453))</f>
        <v/>
      </c>
      <c r="O1453">
        <f>"L001-902303751"=S1453</f>
        <v/>
      </c>
      <c r="P1453">
        <f>G1453-U1453</f>
        <v/>
      </c>
      <c r="Q1453" s="35" t="n">
        <v>45544</v>
      </c>
      <c r="R1453" t="inlineStr"/>
      <c r="S1453" t="inlineStr">
        <is>
          <t>L001-107032791</t>
        </is>
      </c>
      <c r="T1453" t="inlineStr">
        <is>
          <t>នីបផន អិចប្រេស (ខេមបូឌា) ខូ អិលធីឌី</t>
        </is>
      </c>
      <c r="U1453" t="n">
        <v>0</v>
      </c>
      <c r="V1453" t="n">
        <v>0</v>
      </c>
    </row>
    <row r="1454">
      <c r="A1454" t="n">
        <v>1453</v>
      </c>
      <c r="B1454" t="inlineStr">
        <is>
          <t>Cargo Terminal</t>
        </is>
      </c>
      <c r="C1454" t="inlineStr">
        <is>
          <t>សូស៊ីយេតេ កុងសេស្យូនែរ ដឺ ឡាអេរ៉ូព័រ</t>
        </is>
      </c>
      <c r="D1454" t="inlineStr">
        <is>
          <t>L001-100047300</t>
        </is>
      </c>
      <c r="E1454" t="inlineStr">
        <is>
          <t>2400082516</t>
        </is>
      </c>
      <c r="F1454" t="inlineStr">
        <is>
          <t>14-10-2024</t>
        </is>
      </c>
      <c r="G1454" t="n">
        <v>1008</v>
      </c>
      <c r="I1454">
        <f>G1454</f>
        <v/>
      </c>
      <c r="K1454">
        <f>I1454-G1454</f>
        <v/>
      </c>
      <c r="M1454">
        <f>R1454=E1454</f>
        <v/>
      </c>
      <c r="N1454">
        <f>AND(MONTH(F1454)=MONTH(Q1454), YEAR(F1454)=YEAR(Q1454))</f>
        <v/>
      </c>
      <c r="O1454">
        <f>"L001-902303751"=S1454</f>
        <v/>
      </c>
      <c r="P1454">
        <f>G1454-U1454</f>
        <v/>
      </c>
      <c r="Q1454" s="35" t="n">
        <v>45565</v>
      </c>
      <c r="R1454" t="inlineStr"/>
      <c r="S1454" t="inlineStr">
        <is>
          <t>L001-107032791</t>
        </is>
      </c>
      <c r="T1454" t="inlineStr">
        <is>
          <t>នីបផន អិចប្រេស (ខេមបូឌា) ខូ អិលធីឌី</t>
        </is>
      </c>
      <c r="U1454" t="n">
        <v>0</v>
      </c>
      <c r="V1454" t="n">
        <v>0</v>
      </c>
    </row>
    <row r="1455">
      <c r="A1455" t="n">
        <v>1454</v>
      </c>
      <c r="B1455" t="inlineStr">
        <is>
          <t>Document Origin, Handling Charges Origin, Airfreight, Overtime Fee, PLACI fee and HAWB Transmission Fee</t>
        </is>
      </c>
      <c r="C1455" t="inlineStr">
        <is>
          <t>ឌីប៊ី សេនឃើរ (ខេមបូឌា) លីមីធីត</t>
        </is>
      </c>
      <c r="D1455" t="inlineStr">
        <is>
          <t>L001-107041723</t>
        </is>
      </c>
      <c r="E1455" t="inlineStr">
        <is>
          <t>2400008155</t>
        </is>
      </c>
      <c r="F1455" t="inlineStr">
        <is>
          <t>14-10-2024</t>
        </is>
      </c>
      <c r="G1455" t="n">
        <v>90583</v>
      </c>
      <c r="I1455">
        <f>G1455</f>
        <v/>
      </c>
      <c r="K1455">
        <f>I1455-G1455</f>
        <v/>
      </c>
      <c r="M1455">
        <f>R1455=E1455</f>
        <v/>
      </c>
      <c r="N1455">
        <f>AND(MONTH(F1455)=MONTH(Q1455), YEAR(F1455)=YEAR(Q1455))</f>
        <v/>
      </c>
      <c r="O1455">
        <f>"L001-902303751"=S1455</f>
        <v/>
      </c>
      <c r="P1455">
        <f>G1455-U1455</f>
        <v/>
      </c>
      <c r="Q1455" s="35" t="n">
        <v>45558</v>
      </c>
      <c r="R1455" t="n">
        <v>201119</v>
      </c>
      <c r="S1455" t="inlineStr">
        <is>
          <t>L001-100045995</t>
        </is>
      </c>
      <c r="T1455" t="inlineStr">
        <is>
          <t>ឌីអេចអិល ឡូជីស្ទីក (ខេមបូឌា)</t>
        </is>
      </c>
      <c r="U1455" t="n">
        <v>201119</v>
      </c>
      <c r="V1455" t="n">
        <v>0</v>
      </c>
    </row>
    <row r="1456">
      <c r="A1456" t="n">
        <v>1455</v>
      </c>
      <c r="B1456" t="inlineStr">
        <is>
          <t>Cargo Terminal</t>
        </is>
      </c>
      <c r="C1456" t="inlineStr">
        <is>
          <t>សូស៊ីយេតេ កុងសេស្យូនែរ ដឺ ឡាអេរ៉ូព័រ</t>
        </is>
      </c>
      <c r="D1456" t="inlineStr">
        <is>
          <t>L001-100047300</t>
        </is>
      </c>
      <c r="E1456" t="inlineStr">
        <is>
          <t>2400-081918</t>
        </is>
      </c>
      <c r="F1456" t="inlineStr">
        <is>
          <t>12-10-2024</t>
        </is>
      </c>
      <c r="G1456" t="n">
        <v>3934</v>
      </c>
      <c r="I1456">
        <f>G1456</f>
        <v/>
      </c>
      <c r="K1456">
        <f>I1456-G1456</f>
        <v/>
      </c>
      <c r="M1456">
        <f>R1456=E1456</f>
        <v/>
      </c>
      <c r="N1456">
        <f>AND(MONTH(F1456)=MONTH(Q1456), YEAR(F1456)=YEAR(Q1456))</f>
        <v/>
      </c>
      <c r="O1456">
        <f>"L001-902303751"=S1456</f>
        <v/>
      </c>
      <c r="P1456">
        <f>G1456-U1456</f>
        <v/>
      </c>
      <c r="Q1456" s="35" t="n">
        <v>45551</v>
      </c>
      <c r="R1456" t="inlineStr"/>
      <c r="S1456" t="inlineStr">
        <is>
          <t>L001-100045995</t>
        </is>
      </c>
      <c r="T1456" t="inlineStr">
        <is>
          <t>ឌីអេចអិល ឡូជីស្ទីក (ខេមបូឌា)</t>
        </is>
      </c>
      <c r="U1456" t="n">
        <v>0</v>
      </c>
      <c r="V1456" t="n">
        <v>0</v>
      </c>
    </row>
    <row r="1457">
      <c r="A1457" t="n">
        <v>1456</v>
      </c>
      <c r="B1457" t="inlineStr">
        <is>
          <t>Cargo Terminal</t>
        </is>
      </c>
      <c r="C1457" t="inlineStr">
        <is>
          <t>សូស៊ីយេតេ កុងសេស្យូនែរ ដឺ ឡាអេរ៉ូព័រ</t>
        </is>
      </c>
      <c r="D1457" t="inlineStr">
        <is>
          <t>L001-100047300</t>
        </is>
      </c>
      <c r="E1457" t="inlineStr">
        <is>
          <t>2400-081797</t>
        </is>
      </c>
      <c r="F1457" t="inlineStr">
        <is>
          <t>12-10-2024</t>
        </is>
      </c>
      <c r="G1457" t="n">
        <v>8355</v>
      </c>
      <c r="I1457">
        <f>G1457</f>
        <v/>
      </c>
      <c r="K1457">
        <f>I1457-G1457</f>
        <v/>
      </c>
      <c r="M1457">
        <f>R1457=E1457</f>
        <v/>
      </c>
      <c r="N1457">
        <f>AND(MONTH(F1457)=MONTH(Q1457), YEAR(F1457)=YEAR(Q1457))</f>
        <v/>
      </c>
      <c r="O1457">
        <f>"L001-902303751"=S1457</f>
        <v/>
      </c>
      <c r="P1457">
        <f>G1457-U1457</f>
        <v/>
      </c>
      <c r="Q1457" s="35" t="n">
        <v>45544</v>
      </c>
      <c r="R1457" t="inlineStr"/>
      <c r="S1457" t="inlineStr">
        <is>
          <t>K005-901805913</t>
        </is>
      </c>
      <c r="T1457" t="inlineStr">
        <is>
          <t>ស្តារ ខង់ខដ (ខេមបូឌា) ឯ.ក</t>
        </is>
      </c>
      <c r="U1457" t="n">
        <v>0</v>
      </c>
      <c r="V1457" t="n">
        <v>0</v>
      </c>
    </row>
    <row r="1458">
      <c r="A1458" t="n">
        <v>1457</v>
      </c>
      <c r="B1458" t="inlineStr">
        <is>
          <t>Cargo Terminal</t>
        </is>
      </c>
      <c r="C1458" t="inlineStr">
        <is>
          <t>សូស៊ីយេតេ កុងសេស្យូនែរ ដឺ ឡាអេរ៉ូព័រ</t>
        </is>
      </c>
      <c r="D1458" t="inlineStr">
        <is>
          <t>L001-100047300</t>
        </is>
      </c>
      <c r="E1458" t="inlineStr">
        <is>
          <t>2400-081795</t>
        </is>
      </c>
      <c r="F1458" t="inlineStr">
        <is>
          <t>12-10-2024</t>
        </is>
      </c>
      <c r="G1458" t="n">
        <v>10172</v>
      </c>
      <c r="I1458">
        <f>G1458</f>
        <v/>
      </c>
      <c r="K1458">
        <f>I1458-G1458</f>
        <v/>
      </c>
      <c r="M1458">
        <f>R1458=E1458</f>
        <v/>
      </c>
      <c r="N1458">
        <f>AND(MONTH(F1458)=MONTH(Q1458), YEAR(F1458)=YEAR(Q1458))</f>
        <v/>
      </c>
      <c r="O1458">
        <f>"L001-902303751"=S1458</f>
        <v/>
      </c>
      <c r="P1458">
        <f>G1458-U1458</f>
        <v/>
      </c>
      <c r="Q1458" s="35" t="n">
        <v>45544</v>
      </c>
      <c r="R1458" t="n">
        <v>85961</v>
      </c>
      <c r="S1458" t="inlineStr">
        <is>
          <t>L001-100045340</t>
        </is>
      </c>
      <c r="T1458" t="inlineStr">
        <is>
          <t xml:space="preserve">ស៊ីវ៉ា អ៊ែរ អ៊ែន អូសៀន (ខេមបូឌា) ឯ.ក </t>
        </is>
      </c>
      <c r="U1458" t="n">
        <v>85961</v>
      </c>
      <c r="V1458" t="n">
        <v>0</v>
      </c>
    </row>
    <row r="1459">
      <c r="A1459" t="n">
        <v>1458</v>
      </c>
      <c r="B1459" t="inlineStr">
        <is>
          <t>Lift-On &amp; Lift-Off and Storage Charges</t>
        </is>
      </c>
      <c r="C1459" t="inlineStr">
        <is>
          <t>កំពង់ផែស្វយ័តក្រុងព្រះសីហនុ</t>
        </is>
      </c>
      <c r="D1459" t="inlineStr">
        <is>
          <t>L001-100044638</t>
        </is>
      </c>
      <c r="E1459" t="inlineStr">
        <is>
          <t>210883</t>
        </is>
      </c>
      <c r="F1459" t="inlineStr">
        <is>
          <t>12-10-2024</t>
        </is>
      </c>
      <c r="G1459" t="n">
        <v>36567</v>
      </c>
      <c r="I1459">
        <f>G1459</f>
        <v/>
      </c>
      <c r="K1459">
        <f>I1459-G1459</f>
        <v/>
      </c>
      <c r="M1459">
        <f>R1459=E1459</f>
        <v/>
      </c>
      <c r="N1459">
        <f>AND(MONTH(F1459)=MONTH(Q1459), YEAR(F1459)=YEAR(Q1459))</f>
        <v/>
      </c>
      <c r="O1459">
        <f>"L001-902303751"=S1459</f>
        <v/>
      </c>
      <c r="P1459">
        <f>G1459-U1459</f>
        <v/>
      </c>
      <c r="Q1459" s="35" t="n">
        <v>45551</v>
      </c>
      <c r="R1459" t="inlineStr"/>
      <c r="S1459" t="inlineStr">
        <is>
          <t>K005-100150195</t>
        </is>
      </c>
      <c r="T1459" t="inlineStr">
        <is>
          <t>អេស អ វី ស៊ី ហ្វ្រេត សឺវីស (ខេមបូឌា) ខូ អិលធីឌី</t>
        </is>
      </c>
      <c r="U1459" t="n">
        <v>0</v>
      </c>
      <c r="V1459" t="n">
        <v>0</v>
      </c>
    </row>
    <row r="1460">
      <c r="A1460" t="n">
        <v>1459</v>
      </c>
      <c r="B1460" t="inlineStr">
        <is>
          <t>HAWB Freight, OM Forwarding Fee, H/C and AWB Fee</t>
        </is>
      </c>
      <c r="C1460" t="inlineStr">
        <is>
          <t>អ៊ិចស្ពែឌីធ័រ ខេមបូឌា អិលធីឌី</t>
        </is>
      </c>
      <c r="D1460" t="inlineStr">
        <is>
          <t>L001-100045898</t>
        </is>
      </c>
      <c r="E1460" t="inlineStr">
        <is>
          <t>TI-0292663</t>
        </is>
      </c>
      <c r="F1460" t="inlineStr">
        <is>
          <t>11-10-2024</t>
        </is>
      </c>
      <c r="G1460" t="n">
        <v>46725</v>
      </c>
      <c r="I1460">
        <f>G1460</f>
        <v/>
      </c>
      <c r="K1460">
        <f>I1460-G1460</f>
        <v/>
      </c>
      <c r="M1460">
        <f>R1460=E1460</f>
        <v/>
      </c>
      <c r="N1460">
        <f>AND(MONTH(F1460)=MONTH(Q1460), YEAR(F1460)=YEAR(Q1460))</f>
        <v/>
      </c>
      <c r="O1460">
        <f>"L001-902303751"=S1460</f>
        <v/>
      </c>
      <c r="P1460">
        <f>G1460-U1460</f>
        <v/>
      </c>
      <c r="Q1460" s="35" t="n">
        <v>45537</v>
      </c>
      <c r="R1460" t="n">
        <v>172508</v>
      </c>
      <c r="S1460" t="inlineStr">
        <is>
          <t>L001-107032791</t>
        </is>
      </c>
      <c r="T1460" t="inlineStr">
        <is>
          <t>នីបផន អិចប្រេស (ខេមបូឌា) ខូ អិលធីឌី</t>
        </is>
      </c>
      <c r="U1460" t="n">
        <v>172508</v>
      </c>
      <c r="V1460" t="n">
        <v>0</v>
      </c>
    </row>
    <row r="1461">
      <c r="A1461" t="n">
        <v>1460</v>
      </c>
      <c r="B1461" t="inlineStr">
        <is>
          <t>HAWB Freight, OM Forwarding Fee, H/C and AWB Fee</t>
        </is>
      </c>
      <c r="C1461" t="inlineStr">
        <is>
          <t>អ៊ិចស្ពែឌីធ័រ ខេមបូឌា អិលធីឌី</t>
        </is>
      </c>
      <c r="D1461" t="inlineStr">
        <is>
          <t>L001-100045898</t>
        </is>
      </c>
      <c r="E1461" t="inlineStr">
        <is>
          <t>TI-0292662</t>
        </is>
      </c>
      <c r="F1461" t="inlineStr">
        <is>
          <t>11-10-2024</t>
        </is>
      </c>
      <c r="G1461" t="n">
        <v>46725</v>
      </c>
      <c r="I1461">
        <f>G1461</f>
        <v/>
      </c>
      <c r="K1461">
        <f>I1461-G1461</f>
        <v/>
      </c>
      <c r="M1461">
        <f>R1461=E1461</f>
        <v/>
      </c>
      <c r="N1461">
        <f>AND(MONTH(F1461)=MONTH(Q1461), YEAR(F1461)=YEAR(Q1461))</f>
        <v/>
      </c>
      <c r="O1461">
        <f>"L001-902303751"=S1461</f>
        <v/>
      </c>
      <c r="P1461">
        <f>G1461-U1461</f>
        <v/>
      </c>
      <c r="Q1461" s="35" t="n">
        <v>45537</v>
      </c>
      <c r="R1461" t="n">
        <v>111623</v>
      </c>
      <c r="S1461" t="inlineStr">
        <is>
          <t>L001-107032791</t>
        </is>
      </c>
      <c r="T1461" t="inlineStr">
        <is>
          <t>នីបផន អិចប្រេស (ខេមបូឌា) ខូ អិលធីឌី</t>
        </is>
      </c>
      <c r="U1461" t="n">
        <v>111623</v>
      </c>
      <c r="V1461" t="n">
        <v>0</v>
      </c>
    </row>
    <row r="1462">
      <c r="A1462" t="n">
        <v>1461</v>
      </c>
      <c r="B1462" t="inlineStr">
        <is>
          <t>HAWB Freight, OM Forwarding Fee, H/C and AWB Fee</t>
        </is>
      </c>
      <c r="C1462" t="inlineStr">
        <is>
          <t>អ៊ិចស្ពែឌីធ័រ ខេមបូឌា អិលធីឌី</t>
        </is>
      </c>
      <c r="D1462" t="inlineStr">
        <is>
          <t>L001-100045898</t>
        </is>
      </c>
      <c r="E1462" t="inlineStr">
        <is>
          <t>TI-0293009</t>
        </is>
      </c>
      <c r="F1462" t="inlineStr">
        <is>
          <t>16-10-2024</t>
        </is>
      </c>
      <c r="G1462" t="n">
        <v>46690</v>
      </c>
      <c r="I1462">
        <f>G1462</f>
        <v/>
      </c>
      <c r="K1462">
        <f>I1462-G1462</f>
        <v/>
      </c>
      <c r="M1462">
        <f>R1462=E1462</f>
        <v/>
      </c>
      <c r="N1462">
        <f>AND(MONTH(F1462)=MONTH(Q1462), YEAR(F1462)=YEAR(Q1462))</f>
        <v/>
      </c>
      <c r="O1462">
        <f>"L001-902303751"=S1462</f>
        <v/>
      </c>
      <c r="P1462">
        <f>G1462-U1462</f>
        <v/>
      </c>
      <c r="Q1462" s="35" t="n">
        <v>45565</v>
      </c>
      <c r="R1462" t="n">
        <v>83251</v>
      </c>
      <c r="S1462" t="inlineStr">
        <is>
          <t>K005-100150195</t>
        </is>
      </c>
      <c r="T1462" t="inlineStr">
        <is>
          <t>អេស អ វី ស៊ី ហ្វ្រេត សឺវីស (ខេមបូឌា) ខូ អិលធីឌី</t>
        </is>
      </c>
      <c r="U1462" t="n">
        <v>83251</v>
      </c>
      <c r="V1462" t="n">
        <v>0</v>
      </c>
    </row>
    <row r="1463">
      <c r="A1463" t="n">
        <v>1462</v>
      </c>
      <c r="B1463" t="inlineStr">
        <is>
          <t>Documentation Fee and Handling Charges</t>
        </is>
      </c>
      <c r="C1463" t="inlineStr">
        <is>
          <t>អេជីអិកស៍ ឡូជីស្ទីក (ខេមបូឌា) ខូ អិលធីឌី</t>
        </is>
      </c>
      <c r="D1463" t="inlineStr">
        <is>
          <t>K002-901504703</t>
        </is>
      </c>
      <c r="E1463" t="inlineStr">
        <is>
          <t>TINV-24-0407</t>
        </is>
      </c>
      <c r="F1463" t="inlineStr">
        <is>
          <t>10-10-2024</t>
        </is>
      </c>
      <c r="G1463" t="n">
        <v>38627</v>
      </c>
      <c r="I1463">
        <f>G1463</f>
        <v/>
      </c>
      <c r="K1463">
        <f>I1463-G1463</f>
        <v/>
      </c>
      <c r="M1463">
        <f>R1463=E1463</f>
        <v/>
      </c>
      <c r="N1463">
        <f>AND(MONTH(F1463)=MONTH(Q1463), YEAR(F1463)=YEAR(Q1463))</f>
        <v/>
      </c>
      <c r="O1463">
        <f>"L001-902303751"=S1463</f>
        <v/>
      </c>
      <c r="P1463">
        <f>G1463-U1463</f>
        <v/>
      </c>
      <c r="Q1463" s="35" t="n">
        <v>45565</v>
      </c>
      <c r="R1463" t="inlineStr"/>
      <c r="S1463" t="inlineStr">
        <is>
          <t>K005-100150195</t>
        </is>
      </c>
      <c r="T1463" t="inlineStr">
        <is>
          <t>អេស អ វី ស៊ី ហ្វ្រេត សឺវីស (ខេមបូឌា) ខូ អិលធីឌី</t>
        </is>
      </c>
      <c r="U1463" t="n">
        <v>0</v>
      </c>
      <c r="V1463" t="n">
        <v>0</v>
      </c>
    </row>
    <row r="1464">
      <c r="A1464" t="n">
        <v>1463</v>
      </c>
      <c r="B1464" t="inlineStr">
        <is>
          <t>HAWB Freight, OM Forwarding Fee, H/C and AWB Fee</t>
        </is>
      </c>
      <c r="C1464" t="inlineStr">
        <is>
          <t>អ៊ិចស្ពែឌីធ័រ ខេមបូឌា អិលធីឌី</t>
        </is>
      </c>
      <c r="D1464" t="inlineStr">
        <is>
          <t>L001-100045898</t>
        </is>
      </c>
      <c r="E1464" t="inlineStr">
        <is>
          <t>TI-0293100</t>
        </is>
      </c>
      <c r="F1464" t="inlineStr">
        <is>
          <t>16-10-2024</t>
        </is>
      </c>
      <c r="G1464" t="n">
        <v>46690</v>
      </c>
      <c r="I1464">
        <f>G1464</f>
        <v/>
      </c>
      <c r="K1464">
        <f>I1464-G1464</f>
        <v/>
      </c>
      <c r="M1464">
        <f>R1464=E1464</f>
        <v/>
      </c>
      <c r="N1464">
        <f>AND(MONTH(F1464)=MONTH(Q1464), YEAR(F1464)=YEAR(Q1464))</f>
        <v/>
      </c>
      <c r="O1464">
        <f>"L001-902303751"=S1464</f>
        <v/>
      </c>
      <c r="P1464">
        <f>G1464-U1464</f>
        <v/>
      </c>
      <c r="Q1464" s="35" t="n">
        <v>45558</v>
      </c>
      <c r="R1464" t="n">
        <v>111733</v>
      </c>
      <c r="S1464" t="inlineStr">
        <is>
          <t>L001-107032791</t>
        </is>
      </c>
      <c r="T1464" t="inlineStr">
        <is>
          <t>នីបផន អិចប្រេស (ខេមបូឌា) ខូ អិលធីឌី</t>
        </is>
      </c>
      <c r="U1464" t="n">
        <v>111733</v>
      </c>
      <c r="V1464" t="n">
        <v>0</v>
      </c>
    </row>
    <row r="1465">
      <c r="A1465" t="n">
        <v>1464</v>
      </c>
      <c r="B1465" t="inlineStr">
        <is>
          <t>Woven Fabric</t>
        </is>
      </c>
      <c r="C1465" t="inlineStr">
        <is>
          <t>សូស៊ីយេតេ កុងសេស្យូនែរ ដឺ ឡាអេរ៉ូព័រ</t>
        </is>
      </c>
      <c r="D1465" t="inlineStr">
        <is>
          <t>L001-100047300</t>
        </is>
      </c>
      <c r="E1465" t="inlineStr">
        <is>
          <t>2400083776</t>
        </is>
      </c>
      <c r="F1465" t="inlineStr">
        <is>
          <t>18-10-2024</t>
        </is>
      </c>
      <c r="G1465" t="n">
        <v>4095</v>
      </c>
      <c r="I1465">
        <f>G1465</f>
        <v/>
      </c>
      <c r="K1465">
        <f>I1465-G1465</f>
        <v/>
      </c>
      <c r="M1465">
        <f>R1465=E1465</f>
        <v/>
      </c>
      <c r="N1465">
        <f>AND(MONTH(F1465)=MONTH(Q1465), YEAR(F1465)=YEAR(Q1465))</f>
        <v/>
      </c>
      <c r="O1465">
        <f>"L001-902303751"=S1465</f>
        <v/>
      </c>
      <c r="P1465">
        <f>G1465-U1465</f>
        <v/>
      </c>
      <c r="Q1465" s="35" t="n">
        <v>45544</v>
      </c>
      <c r="R1465" t="inlineStr"/>
      <c r="S1465" t="inlineStr">
        <is>
          <t>L001-107032791</t>
        </is>
      </c>
      <c r="T1465" t="inlineStr">
        <is>
          <t>នីបផន អិចប្រេស (ខេមបូឌា) ខូ អិលធីឌី</t>
        </is>
      </c>
      <c r="U1465" t="n">
        <v>0</v>
      </c>
      <c r="V1465" t="n">
        <v>0</v>
      </c>
    </row>
    <row r="1466">
      <c r="A1466" t="n">
        <v>1465</v>
      </c>
      <c r="B1466" t="inlineStr">
        <is>
          <t>Documentation Origin, Handling Charges Origin, PLACI fee and HAWB Transmission Fee</t>
        </is>
      </c>
      <c r="C1466" t="inlineStr">
        <is>
          <t>ឌីប៊ី សេនឃើរ (ខេមបូឌា) លីមីធីត</t>
        </is>
      </c>
      <c r="D1466" t="inlineStr">
        <is>
          <t>L001-107041723</t>
        </is>
      </c>
      <c r="E1466" t="inlineStr">
        <is>
          <t>2400008319</t>
        </is>
      </c>
      <c r="F1466" t="inlineStr">
        <is>
          <t>18-10-2024</t>
        </is>
      </c>
      <c r="G1466" t="n">
        <v>49963</v>
      </c>
      <c r="I1466">
        <f>G1466</f>
        <v/>
      </c>
      <c r="K1466">
        <f>I1466-G1466</f>
        <v/>
      </c>
      <c r="M1466">
        <f>R1466=E1466</f>
        <v/>
      </c>
      <c r="N1466">
        <f>AND(MONTH(F1466)=MONTH(Q1466), YEAR(F1466)=YEAR(Q1466))</f>
        <v/>
      </c>
      <c r="O1466">
        <f>"L001-902303751"=S1466</f>
        <v/>
      </c>
      <c r="P1466">
        <f>G1466-U1466</f>
        <v/>
      </c>
      <c r="Q1466" s="35" t="n">
        <v>45544</v>
      </c>
      <c r="R1466" t="n">
        <v>112035</v>
      </c>
      <c r="S1466" t="inlineStr">
        <is>
          <t>K005-100150195</t>
        </is>
      </c>
      <c r="T1466" t="inlineStr">
        <is>
          <t>អេស អ វី ស៊ី ហ្វ្រេត សឺវីស (ខេមបូឌា) ខូ អិលធីឌី</t>
        </is>
      </c>
      <c r="U1466" t="n">
        <v>112035</v>
      </c>
      <c r="V1466" t="n">
        <v>0</v>
      </c>
    </row>
    <row r="1467">
      <c r="A1467" t="n">
        <v>1466</v>
      </c>
      <c r="B1467" t="inlineStr">
        <is>
          <t>Documentation Origin, Handling Charges Origin, PLACI fee and HAWB Transmission Fee</t>
        </is>
      </c>
      <c r="C1467" t="inlineStr">
        <is>
          <t>ឌីប៊ី សេនឃើរ (ខេមបូឌា) លីមីធីត</t>
        </is>
      </c>
      <c r="D1467" t="inlineStr">
        <is>
          <t>L001-107041723</t>
        </is>
      </c>
      <c r="E1467" t="inlineStr">
        <is>
          <t>2400008317</t>
        </is>
      </c>
      <c r="F1467" t="inlineStr">
        <is>
          <t>18-10-2024</t>
        </is>
      </c>
      <c r="G1467" t="n">
        <v>49963</v>
      </c>
      <c r="I1467">
        <f>G1467</f>
        <v/>
      </c>
      <c r="K1467">
        <f>I1467-G1467</f>
        <v/>
      </c>
      <c r="M1467">
        <f>R1467=E1467</f>
        <v/>
      </c>
      <c r="N1467">
        <f>AND(MONTH(F1467)=MONTH(Q1467), YEAR(F1467)=YEAR(Q1467))</f>
        <v/>
      </c>
      <c r="O1467">
        <f>"L001-902303751"=S1467</f>
        <v/>
      </c>
      <c r="P1467">
        <f>G1467-U1467</f>
        <v/>
      </c>
      <c r="Q1467" s="35" t="n">
        <v>45551</v>
      </c>
      <c r="R1467" t="n">
        <v>111485</v>
      </c>
      <c r="S1467" t="inlineStr">
        <is>
          <t>L001-100045995</t>
        </is>
      </c>
      <c r="T1467" t="inlineStr">
        <is>
          <t>ឌីអេចអិល ឡូជីស្ទីក (ខេមបូឌា)</t>
        </is>
      </c>
      <c r="U1467" t="n">
        <v>111485</v>
      </c>
      <c r="V1467" t="n">
        <v>0</v>
      </c>
    </row>
    <row r="1468">
      <c r="A1468" t="n">
        <v>1467</v>
      </c>
      <c r="B1468" t="inlineStr">
        <is>
          <t>Documentation Origin, Handling Charges Origin, PLACI fee and HAWB Transmission Fee</t>
        </is>
      </c>
      <c r="C1468" t="inlineStr">
        <is>
          <t>ឌីប៊ី សេនឃើរ (ខេមបូឌា) លីមីធីត</t>
        </is>
      </c>
      <c r="D1468" t="inlineStr">
        <is>
          <t>L001-107041723</t>
        </is>
      </c>
      <c r="E1468" t="inlineStr">
        <is>
          <t>2400008315</t>
        </is>
      </c>
      <c r="F1468" t="inlineStr">
        <is>
          <t>18-10-2024</t>
        </is>
      </c>
      <c r="G1468" t="n">
        <v>49963</v>
      </c>
      <c r="I1468">
        <f>G1468</f>
        <v/>
      </c>
      <c r="K1468">
        <f>I1468-G1468</f>
        <v/>
      </c>
      <c r="M1468">
        <f>R1468=E1468</f>
        <v/>
      </c>
      <c r="N1468">
        <f>AND(MONTH(F1468)=MONTH(Q1468), YEAR(F1468)=YEAR(Q1468))</f>
        <v/>
      </c>
      <c r="O1468">
        <f>"L001-902303751"=S1468</f>
        <v/>
      </c>
      <c r="P1468">
        <f>G1468-U1468</f>
        <v/>
      </c>
      <c r="Q1468" s="35" t="n">
        <v>45551</v>
      </c>
      <c r="R1468" t="inlineStr"/>
      <c r="S1468" t="inlineStr">
        <is>
          <t>L001-100045995</t>
        </is>
      </c>
      <c r="T1468" t="inlineStr">
        <is>
          <t>ឌីអេចអិល ឡូជីស្ទីក (ខេមបូឌា)</t>
        </is>
      </c>
      <c r="U1468" t="n">
        <v>0</v>
      </c>
      <c r="V1468" t="n">
        <v>0</v>
      </c>
    </row>
    <row r="1469">
      <c r="A1469" t="n">
        <v>1468</v>
      </c>
      <c r="B1469" t="inlineStr">
        <is>
          <t>Document Origin, Handling Charges Origin, Airfreight, PLACI fee and HAWB Transmission Fee</t>
        </is>
      </c>
      <c r="C1469" t="inlineStr">
        <is>
          <t>ឌីប៊ី សេនឃើរ (ខេមបូឌា) លីមីធីត</t>
        </is>
      </c>
      <c r="D1469" t="inlineStr">
        <is>
          <t>L001-107041723</t>
        </is>
      </c>
      <c r="E1469" t="inlineStr">
        <is>
          <t>2400008314</t>
        </is>
      </c>
      <c r="F1469" t="inlineStr">
        <is>
          <t>18-10-2024</t>
        </is>
      </c>
      <c r="G1469" t="n">
        <v>49963</v>
      </c>
      <c r="I1469">
        <f>G1469</f>
        <v/>
      </c>
      <c r="K1469">
        <f>I1469-G1469</f>
        <v/>
      </c>
      <c r="M1469">
        <f>R1469=E1469</f>
        <v/>
      </c>
      <c r="N1469">
        <f>AND(MONTH(F1469)=MONTH(Q1469), YEAR(F1469)=YEAR(Q1469))</f>
        <v/>
      </c>
      <c r="O1469">
        <f>"L001-902303751"=S1469</f>
        <v/>
      </c>
      <c r="P1469">
        <f>G1469-U1469</f>
        <v/>
      </c>
      <c r="Q1469" s="35" t="n">
        <v>45551</v>
      </c>
      <c r="R1469" t="n">
        <v>172295</v>
      </c>
      <c r="S1469" t="inlineStr">
        <is>
          <t>L001-107032791</t>
        </is>
      </c>
      <c r="T1469" t="inlineStr">
        <is>
          <t>នីបផន អិចប្រេស (ខេមបូឌា) ខូ អិលធីឌី</t>
        </is>
      </c>
      <c r="U1469" t="n">
        <v>172295</v>
      </c>
      <c r="V1469" t="n">
        <v>0</v>
      </c>
    </row>
    <row r="1470">
      <c r="A1470" t="n">
        <v>1469</v>
      </c>
      <c r="B1470" t="inlineStr">
        <is>
          <t>Charge from Warehouse/cy to trucks and Storage Charges</t>
        </is>
      </c>
      <c r="C1470" t="inlineStr">
        <is>
          <t>កំពង់ផែស្វយ័តក្រុងព្រះសីហនុ</t>
        </is>
      </c>
      <c r="D1470" t="inlineStr">
        <is>
          <t>L001-100044638</t>
        </is>
      </c>
      <c r="E1470" t="inlineStr">
        <is>
          <t>216075</t>
        </is>
      </c>
      <c r="F1470" t="inlineStr">
        <is>
          <t>18-10-2024</t>
        </is>
      </c>
      <c r="G1470" t="n">
        <v>2973</v>
      </c>
      <c r="I1470">
        <f>G1470</f>
        <v/>
      </c>
      <c r="K1470">
        <f>I1470-G1470</f>
        <v/>
      </c>
      <c r="M1470">
        <f>R1470=E1470</f>
        <v/>
      </c>
      <c r="N1470">
        <f>AND(MONTH(F1470)=MONTH(Q1470), YEAR(F1470)=YEAR(Q1470))</f>
        <v/>
      </c>
      <c r="O1470">
        <f>"L001-902303751"=S1470</f>
        <v/>
      </c>
      <c r="P1470">
        <f>G1470-U1470</f>
        <v/>
      </c>
      <c r="Q1470" s="35" t="n">
        <v>45544</v>
      </c>
      <c r="R1470" t="n">
        <v>112035</v>
      </c>
      <c r="S1470" t="inlineStr">
        <is>
          <t>L001-100045995</t>
        </is>
      </c>
      <c r="T1470" t="inlineStr">
        <is>
          <t>ឌីអេចអិល ឡូជីស្ទីក (ខេមបូឌា)</t>
        </is>
      </c>
      <c r="U1470" t="n">
        <v>112035</v>
      </c>
      <c r="V1470" t="n">
        <v>0</v>
      </c>
    </row>
    <row r="1471">
      <c r="A1471" t="n">
        <v>1470</v>
      </c>
      <c r="B1471" t="inlineStr">
        <is>
          <t>Send Sample</t>
        </is>
      </c>
      <c r="C1471" t="inlineStr">
        <is>
          <t>ឌី អេច អិល អិចប្រេស (ខេមបូឌា)</t>
        </is>
      </c>
      <c r="D1471" t="inlineStr">
        <is>
          <t>L001-100045197</t>
        </is>
      </c>
      <c r="E1471" t="inlineStr">
        <is>
          <t>PNHIR00248188</t>
        </is>
      </c>
      <c r="F1471" t="inlineStr">
        <is>
          <t>18-10-2024</t>
        </is>
      </c>
      <c r="G1471" t="n">
        <v>8124</v>
      </c>
      <c r="I1471">
        <f>G1471</f>
        <v/>
      </c>
      <c r="K1471">
        <f>I1471-G1471</f>
        <v/>
      </c>
      <c r="M1471">
        <f>R1471=E1471</f>
        <v/>
      </c>
      <c r="N1471">
        <f>AND(MONTH(F1471)=MONTH(Q1471), YEAR(F1471)=YEAR(Q1471))</f>
        <v/>
      </c>
      <c r="O1471">
        <f>"L001-902303751"=S1471</f>
        <v/>
      </c>
      <c r="P1471">
        <f>G1471-U1471</f>
        <v/>
      </c>
      <c r="Q1471" s="35" t="n">
        <v>45537</v>
      </c>
      <c r="R1471" t="inlineStr"/>
      <c r="S1471" t="inlineStr">
        <is>
          <t>L001-107032791</t>
        </is>
      </c>
      <c r="T1471" t="inlineStr">
        <is>
          <t>នីបផន អិចប្រេស (ខេមបូឌា) ខូ អិលធីឌី</t>
        </is>
      </c>
      <c r="U1471" t="n">
        <v>0</v>
      </c>
      <c r="V1471" t="n">
        <v>0</v>
      </c>
    </row>
    <row r="1472">
      <c r="A1472" t="n">
        <v>1471</v>
      </c>
      <c r="B1472" t="inlineStr">
        <is>
          <t>Lift-On &amp; Lift-Off</t>
        </is>
      </c>
      <c r="C1472" t="inlineStr">
        <is>
          <t>កំពង់ផែស្វយ័តក្រុងព្រះសីហនុ</t>
        </is>
      </c>
      <c r="D1472" t="inlineStr">
        <is>
          <t>L001-100044638</t>
        </is>
      </c>
      <c r="E1472" t="inlineStr">
        <is>
          <t>216914</t>
        </is>
      </c>
      <c r="F1472" t="inlineStr">
        <is>
          <t>19-10-2024</t>
        </is>
      </c>
      <c r="G1472" t="n">
        <v>23153</v>
      </c>
      <c r="I1472">
        <f>G1472</f>
        <v/>
      </c>
      <c r="K1472">
        <f>I1472-G1472</f>
        <v/>
      </c>
      <c r="M1472">
        <f>R1472=E1472</f>
        <v/>
      </c>
      <c r="N1472">
        <f>AND(MONTH(F1472)=MONTH(Q1472), YEAR(F1472)=YEAR(Q1472))</f>
        <v/>
      </c>
      <c r="O1472">
        <f>"L001-902303751"=S1472</f>
        <v/>
      </c>
      <c r="P1472">
        <f>G1472-U1472</f>
        <v/>
      </c>
      <c r="Q1472" s="35" t="n">
        <v>45561</v>
      </c>
      <c r="R1472" t="n">
        <v>1901890</v>
      </c>
      <c r="S1472" t="inlineStr">
        <is>
          <t>K004-105012505</t>
        </is>
      </c>
      <c r="T1472" t="inlineStr">
        <is>
          <t>អេស៊ាន ហ្វ្រេត (ខេមបូឌា)</t>
        </is>
      </c>
      <c r="U1472" t="n">
        <v>1901890</v>
      </c>
      <c r="V1472" t="n">
        <v>0</v>
      </c>
    </row>
    <row r="1473">
      <c r="A1473" t="n">
        <v>1472</v>
      </c>
      <c r="B1473" t="inlineStr">
        <is>
          <t>Charge from Warehouse/cy to trucks and Storage charges</t>
        </is>
      </c>
      <c r="C1473" t="inlineStr">
        <is>
          <t>កំពង់ផែស្វយ័តក្រុងព្រះសីហនុ</t>
        </is>
      </c>
      <c r="D1473" t="inlineStr">
        <is>
          <t>L001-100044638</t>
        </is>
      </c>
      <c r="E1473" t="inlineStr">
        <is>
          <t>217058</t>
        </is>
      </c>
      <c r="F1473" t="inlineStr">
        <is>
          <t>19-10-2024</t>
        </is>
      </c>
      <c r="G1473" t="n">
        <v>783</v>
      </c>
      <c r="I1473">
        <f>G1473</f>
        <v/>
      </c>
      <c r="K1473">
        <f>I1473-G1473</f>
        <v/>
      </c>
      <c r="M1473">
        <f>R1473=E1473</f>
        <v/>
      </c>
      <c r="N1473">
        <f>AND(MONTH(F1473)=MONTH(Q1473), YEAR(F1473)=YEAR(Q1473))</f>
        <v/>
      </c>
      <c r="O1473">
        <f>"L001-902303751"=S1473</f>
        <v/>
      </c>
      <c r="P1473">
        <f>G1473-U1473</f>
        <v/>
      </c>
      <c r="Q1473" s="35" t="n">
        <v>45551</v>
      </c>
      <c r="R1473" t="inlineStr"/>
      <c r="S1473" t="inlineStr">
        <is>
          <t>L001-107032791</t>
        </is>
      </c>
      <c r="T1473" t="inlineStr">
        <is>
          <t>នីបផន អិចប្រេស (ខេមបូឌា) ខូ អិលធីឌី</t>
        </is>
      </c>
      <c r="U1473" t="n">
        <v>0</v>
      </c>
      <c r="V1473" t="n">
        <v>0</v>
      </c>
    </row>
    <row r="1474">
      <c r="A1474" t="n">
        <v>1473</v>
      </c>
      <c r="B1474" t="inlineStr">
        <is>
          <t>Import Shipment Expense</t>
        </is>
      </c>
      <c r="C1474" t="inlineStr">
        <is>
          <t>សេហ្វធី គ្លូប៊ល ឡូជីស្ទីក (ខេមបូឌា) ឯ.ក</t>
        </is>
      </c>
      <c r="D1474" t="inlineStr">
        <is>
          <t>K005-901901220</t>
        </is>
      </c>
      <c r="E1474" t="inlineStr">
        <is>
          <t>TI2024-1889</t>
        </is>
      </c>
      <c r="F1474" t="inlineStr">
        <is>
          <t>18-10-2024</t>
        </is>
      </c>
      <c r="G1474" t="n">
        <v>63567</v>
      </c>
      <c r="I1474">
        <f>G1474</f>
        <v/>
      </c>
      <c r="K1474">
        <f>I1474-G1474</f>
        <v/>
      </c>
      <c r="M1474">
        <f>R1474=E1474</f>
        <v/>
      </c>
      <c r="N1474">
        <f>AND(MONTH(F1474)=MONTH(Q1474), YEAR(F1474)=YEAR(Q1474))</f>
        <v/>
      </c>
      <c r="O1474">
        <f>"L001-902303751"=S1474</f>
        <v/>
      </c>
      <c r="P1474">
        <f>G1474-U1474</f>
        <v/>
      </c>
      <c r="Q1474" s="35" t="n">
        <v>45544</v>
      </c>
      <c r="R1474" t="inlineStr"/>
      <c r="S1474" t="inlineStr">
        <is>
          <t>L001-100045340</t>
        </is>
      </c>
      <c r="T1474" t="inlineStr">
        <is>
          <t xml:space="preserve">ស៊ីវ៉ា អ៊ែរ អ៊ែន អូសៀន (ខេមបូឌា) ឯ.ក </t>
        </is>
      </c>
      <c r="U1474" t="n">
        <v>0</v>
      </c>
      <c r="V1474" t="n">
        <v>0</v>
      </c>
    </row>
    <row r="1475">
      <c r="A1475" t="n">
        <v>1474</v>
      </c>
      <c r="B1475" t="inlineStr">
        <is>
          <t>Charge from Warehouse/cy to trucks</t>
        </is>
      </c>
      <c r="C1475" t="inlineStr">
        <is>
          <t>កំពង់ផែស្វយ័តក្រុងព្រះសីហនុ</t>
        </is>
      </c>
      <c r="D1475" t="inlineStr">
        <is>
          <t>L001-100044638</t>
        </is>
      </c>
      <c r="E1475" t="inlineStr">
        <is>
          <t>216069</t>
        </is>
      </c>
      <c r="F1475" t="inlineStr">
        <is>
          <t>18-10-2024</t>
        </is>
      </c>
      <c r="G1475" t="n">
        <v>1244</v>
      </c>
      <c r="I1475">
        <f>G1475</f>
        <v/>
      </c>
      <c r="K1475">
        <f>I1475-G1475</f>
        <v/>
      </c>
      <c r="M1475">
        <f>R1475=E1475</f>
        <v/>
      </c>
      <c r="N1475">
        <f>AND(MONTH(F1475)=MONTH(Q1475), YEAR(F1475)=YEAR(Q1475))</f>
        <v/>
      </c>
      <c r="O1475">
        <f>"L001-902303751"=S1475</f>
        <v/>
      </c>
      <c r="P1475">
        <f>G1475-U1475</f>
        <v/>
      </c>
      <c r="Q1475" s="35" t="n">
        <v>45544</v>
      </c>
      <c r="R1475" t="inlineStr"/>
      <c r="S1475" t="inlineStr">
        <is>
          <t>L001-107032791</t>
        </is>
      </c>
      <c r="T1475" t="inlineStr">
        <is>
          <t>នីបផន អិចប្រេស (ខេមបូឌា) ខូ អិលធីឌី</t>
        </is>
      </c>
      <c r="U1475" t="n">
        <v>0</v>
      </c>
      <c r="V1475" t="n">
        <v>0</v>
      </c>
    </row>
    <row r="1476">
      <c r="A1476" t="n">
        <v>1475</v>
      </c>
      <c r="B1476" t="inlineStr">
        <is>
          <t>Charge from Warehouse/cy to trucks and Storage charges</t>
        </is>
      </c>
      <c r="C1476" t="inlineStr">
        <is>
          <t>កំពង់ផែស្វយ័តក្រុងព្រះសីហនុ</t>
        </is>
      </c>
      <c r="D1476" t="inlineStr">
        <is>
          <t>L001-100044638</t>
        </is>
      </c>
      <c r="E1476" t="inlineStr">
        <is>
          <t>216067</t>
        </is>
      </c>
      <c r="F1476" t="inlineStr">
        <is>
          <t>18-10-2024</t>
        </is>
      </c>
      <c r="G1476" t="n">
        <v>1651</v>
      </c>
      <c r="I1476">
        <f>G1476</f>
        <v/>
      </c>
      <c r="K1476">
        <f>I1476-G1476</f>
        <v/>
      </c>
      <c r="M1476">
        <f>R1476=E1476</f>
        <v/>
      </c>
      <c r="N1476">
        <f>AND(MONTH(F1476)=MONTH(Q1476), YEAR(F1476)=YEAR(Q1476))</f>
        <v/>
      </c>
      <c r="O1476">
        <f>"L001-902303751"=S1476</f>
        <v/>
      </c>
      <c r="P1476">
        <f>G1476-U1476</f>
        <v/>
      </c>
      <c r="Q1476" s="35" t="n">
        <v>45549</v>
      </c>
      <c r="R1476" t="n">
        <v>3358790</v>
      </c>
      <c r="S1476" t="inlineStr">
        <is>
          <t>K004-105012505</t>
        </is>
      </c>
      <c r="T1476" t="inlineStr">
        <is>
          <t>អេស៊ាន ហ្វ្រេត (ខេមបូឌា)</t>
        </is>
      </c>
      <c r="U1476" t="n">
        <v>3358790</v>
      </c>
      <c r="V1476" t="n">
        <v>0</v>
      </c>
    </row>
    <row r="1477">
      <c r="A1477" t="n">
        <v>1476</v>
      </c>
      <c r="B1477" t="inlineStr">
        <is>
          <t>Charge from warehouse/cy to trucks</t>
        </is>
      </c>
      <c r="C1477" t="inlineStr">
        <is>
          <t>កំពង់ផែស្វយ័តក្រុងព្រះសីហនុ</t>
        </is>
      </c>
      <c r="D1477" t="inlineStr">
        <is>
          <t>L001-100044638</t>
        </is>
      </c>
      <c r="E1477" t="inlineStr">
        <is>
          <t>216065</t>
        </is>
      </c>
      <c r="F1477" t="inlineStr">
        <is>
          <t>18-10-2024</t>
        </is>
      </c>
      <c r="G1477" t="n">
        <v>620</v>
      </c>
      <c r="I1477">
        <f>G1477</f>
        <v/>
      </c>
      <c r="K1477">
        <f>I1477-G1477</f>
        <v/>
      </c>
      <c r="M1477">
        <f>R1477=E1477</f>
        <v/>
      </c>
      <c r="N1477">
        <f>AND(MONTH(F1477)=MONTH(Q1477), YEAR(F1477)=YEAR(Q1477))</f>
        <v/>
      </c>
      <c r="O1477">
        <f>"L001-902303751"=S1477</f>
        <v/>
      </c>
      <c r="P1477">
        <f>G1477-U1477</f>
        <v/>
      </c>
      <c r="Q1477" s="35" t="n">
        <v>45537</v>
      </c>
      <c r="R1477" t="inlineStr"/>
      <c r="S1477" t="inlineStr">
        <is>
          <t>L001-107032791</t>
        </is>
      </c>
      <c r="T1477" t="inlineStr">
        <is>
          <t>នីបផន អិចប្រេស (ខេមបូឌា) ខូ អិលធីឌី</t>
        </is>
      </c>
      <c r="U1477" t="n">
        <v>0</v>
      </c>
      <c r="V1477" t="n">
        <v>0</v>
      </c>
    </row>
    <row r="1478">
      <c r="A1478" t="n">
        <v>1477</v>
      </c>
      <c r="B1478" t="inlineStr">
        <is>
          <t>Cargo Terminal</t>
        </is>
      </c>
      <c r="C1478" t="inlineStr">
        <is>
          <t>សូស៊ីយេតេ កុងសេស្យូនែរ ដឺ ឡាអេរ៉ូព័រ</t>
        </is>
      </c>
      <c r="D1478" t="inlineStr">
        <is>
          <t>L001-100047300</t>
        </is>
      </c>
      <c r="E1478" t="inlineStr">
        <is>
          <t>2400083517</t>
        </is>
      </c>
      <c r="F1478" t="inlineStr">
        <is>
          <t>17-10-2024</t>
        </is>
      </c>
      <c r="G1478" t="n">
        <v>812</v>
      </c>
      <c r="I1478">
        <f>G1478</f>
        <v/>
      </c>
      <c r="K1478">
        <f>I1478-G1478</f>
        <v/>
      </c>
      <c r="M1478">
        <f>R1478=E1478</f>
        <v/>
      </c>
      <c r="N1478">
        <f>AND(MONTH(F1478)=MONTH(Q1478), YEAR(F1478)=YEAR(Q1478))</f>
        <v/>
      </c>
      <c r="O1478">
        <f>"L001-902303751"=S1478</f>
        <v/>
      </c>
      <c r="P1478">
        <f>G1478-U1478</f>
        <v/>
      </c>
      <c r="Q1478" s="35" t="n">
        <v>45537</v>
      </c>
      <c r="R1478" t="n">
        <v>83210</v>
      </c>
      <c r="S1478" t="inlineStr">
        <is>
          <t>L001-107032791</t>
        </is>
      </c>
      <c r="T1478" t="inlineStr">
        <is>
          <t>នីបផន អិចប្រេស (ខេមបូឌា) ខូ អិលធីឌី</t>
        </is>
      </c>
      <c r="U1478" t="n">
        <v>83210</v>
      </c>
      <c r="V1478" t="n">
        <v>0</v>
      </c>
    </row>
    <row r="1479">
      <c r="A1479" t="n">
        <v>1478</v>
      </c>
      <c r="B1479" t="inlineStr">
        <is>
          <t>Warehouse Fee</t>
        </is>
      </c>
      <c r="C1479" t="inlineStr">
        <is>
          <t>ហាន​ &amp; ជុន ត្រេនស្ព័ត ខូ អិលធីឌី</t>
        </is>
      </c>
      <c r="D1479" t="inlineStr">
        <is>
          <t>L001-104016647</t>
        </is>
      </c>
      <c r="E1479" t="inlineStr">
        <is>
          <t>HJ24-3365</t>
        </is>
      </c>
      <c r="F1479" t="inlineStr">
        <is>
          <t>17-10-2024</t>
        </is>
      </c>
      <c r="G1479" t="n">
        <v>4060</v>
      </c>
      <c r="I1479">
        <f>G1479</f>
        <v/>
      </c>
      <c r="K1479">
        <f>I1479-G1479</f>
        <v/>
      </c>
      <c r="M1479">
        <f>R1479=E1479</f>
        <v/>
      </c>
      <c r="N1479">
        <f>AND(MONTH(F1479)=MONTH(Q1479), YEAR(F1479)=YEAR(Q1479))</f>
        <v/>
      </c>
      <c r="O1479">
        <f>"L001-902303751"=S1479</f>
        <v/>
      </c>
      <c r="P1479">
        <f>G1479-U1479</f>
        <v/>
      </c>
      <c r="Q1479" s="35" t="n">
        <v>45537</v>
      </c>
      <c r="R1479" t="inlineStr"/>
      <c r="S1479" t="inlineStr">
        <is>
          <t>L001-107032791</t>
        </is>
      </c>
      <c r="T1479" t="inlineStr">
        <is>
          <t>នីបផន អិចប្រេស (ខេមបូឌា) ខូ អិលធីឌី</t>
        </is>
      </c>
      <c r="U1479" t="n">
        <v>0</v>
      </c>
      <c r="V1479" t="n">
        <v>0</v>
      </c>
    </row>
    <row r="1480">
      <c r="A1480" t="n">
        <v>1479</v>
      </c>
      <c r="B1480" t="inlineStr">
        <is>
          <t>Import Shipment Expense</t>
        </is>
      </c>
      <c r="C1480" t="inlineStr">
        <is>
          <t>ប៊ី.អាយ.អិម ឡូជីស្ទីក ឯ.ក</t>
        </is>
      </c>
      <c r="D1480" t="inlineStr">
        <is>
          <t>K005-901902912</t>
        </is>
      </c>
      <c r="E1480" t="inlineStr">
        <is>
          <t>BI24-549</t>
        </is>
      </c>
      <c r="F1480" t="inlineStr">
        <is>
          <t>17-10-2024</t>
        </is>
      </c>
      <c r="G1480" t="n">
        <v>42224</v>
      </c>
      <c r="I1480">
        <f>G1480</f>
        <v/>
      </c>
      <c r="K1480">
        <f>I1480-G1480</f>
        <v/>
      </c>
      <c r="M1480">
        <f>R1480=E1480</f>
        <v/>
      </c>
      <c r="N1480">
        <f>AND(MONTH(F1480)=MONTH(Q1480), YEAR(F1480)=YEAR(Q1480))</f>
        <v/>
      </c>
      <c r="O1480">
        <f>"L001-902303751"=S1480</f>
        <v/>
      </c>
      <c r="P1480">
        <f>G1480-U1480</f>
        <v/>
      </c>
      <c r="Q1480" s="35" t="n">
        <v>45558</v>
      </c>
      <c r="R1480" t="n">
        <v>111733</v>
      </c>
      <c r="S1480" t="inlineStr">
        <is>
          <t>L001-107032791</t>
        </is>
      </c>
      <c r="T1480" t="inlineStr">
        <is>
          <t>នីបផន អិចប្រេស (ខេមបូឌា) ខូ អិលធីឌី</t>
        </is>
      </c>
      <c r="U1480" t="n">
        <v>111733</v>
      </c>
      <c r="V1480" t="n">
        <v>0</v>
      </c>
    </row>
    <row r="1481">
      <c r="A1481" t="n">
        <v>1480</v>
      </c>
      <c r="B1481" t="inlineStr">
        <is>
          <t>Import Shipment Expense</t>
        </is>
      </c>
      <c r="C1481" t="inlineStr">
        <is>
          <t>ប៊ី.អាយ.អិម ឡូជីស្ទីក ឯ.ក</t>
        </is>
      </c>
      <c r="D1481" t="inlineStr">
        <is>
          <t>K005-901902912</t>
        </is>
      </c>
      <c r="E1481" t="inlineStr">
        <is>
          <t>BI24-548</t>
        </is>
      </c>
      <c r="F1481" t="inlineStr">
        <is>
          <t>17-10-2024</t>
        </is>
      </c>
      <c r="G1481" t="n">
        <v>56630</v>
      </c>
      <c r="I1481">
        <f>G1481</f>
        <v/>
      </c>
      <c r="K1481">
        <f>I1481-G1481</f>
        <v/>
      </c>
      <c r="M1481">
        <f>R1481=E1481</f>
        <v/>
      </c>
      <c r="N1481">
        <f>AND(MONTH(F1481)=MONTH(Q1481), YEAR(F1481)=YEAR(Q1481))</f>
        <v/>
      </c>
      <c r="O1481">
        <f>"L001-902303751"=S1481</f>
        <v/>
      </c>
      <c r="P1481">
        <f>G1481-U1481</f>
        <v/>
      </c>
      <c r="Q1481" s="35" t="n">
        <v>45544</v>
      </c>
      <c r="R1481" t="n">
        <v>112035</v>
      </c>
      <c r="S1481" t="inlineStr">
        <is>
          <t>L001-107032791</t>
        </is>
      </c>
      <c r="T1481" t="inlineStr">
        <is>
          <t>នីបផន អិចប្រេស (ខេមបូឌា) ខូ អិលធីឌី</t>
        </is>
      </c>
      <c r="U1481" t="n">
        <v>112035</v>
      </c>
      <c r="V1481" t="n">
        <v>0</v>
      </c>
    </row>
    <row r="1482">
      <c r="A1482" t="n">
        <v>1481</v>
      </c>
      <c r="B1482" t="inlineStr">
        <is>
          <t>Import Shipment Expense</t>
        </is>
      </c>
      <c r="C1482" t="inlineStr">
        <is>
          <t>ខាហ្គោផត (ខេមបូឌា)</t>
        </is>
      </c>
      <c r="D1482" t="inlineStr">
        <is>
          <t>K005-100099521</t>
        </is>
      </c>
      <c r="E1482" t="inlineStr">
        <is>
          <t>24-2505</t>
        </is>
      </c>
      <c r="F1482" t="inlineStr">
        <is>
          <t>17-10-2024</t>
        </is>
      </c>
      <c r="G1482" t="n">
        <v>50750</v>
      </c>
      <c r="I1482">
        <f>G1482</f>
        <v/>
      </c>
      <c r="K1482">
        <f>I1482-G1482</f>
        <v/>
      </c>
      <c r="M1482">
        <f>R1482=E1482</f>
        <v/>
      </c>
      <c r="N1482">
        <f>AND(MONTH(F1482)=MONTH(Q1482), YEAR(F1482)=YEAR(Q1482))</f>
        <v/>
      </c>
      <c r="O1482">
        <f>"L001-902303751"=S1482</f>
        <v/>
      </c>
      <c r="P1482">
        <f>G1482-U1482</f>
        <v/>
      </c>
      <c r="Q1482" s="35" t="n">
        <v>45551</v>
      </c>
      <c r="R1482" t="n">
        <v>111485</v>
      </c>
      <c r="S1482" t="inlineStr">
        <is>
          <t>K005-100150195</t>
        </is>
      </c>
      <c r="T1482" t="inlineStr">
        <is>
          <t>អេស អ វី ស៊ី ហ្វ្រេត សឺវីស (ខេមបូឌា) ខូ អិលធីឌី</t>
        </is>
      </c>
      <c r="U1482" t="n">
        <v>111485</v>
      </c>
      <c r="V1482" t="n">
        <v>0</v>
      </c>
    </row>
    <row r="1483">
      <c r="A1483" t="n">
        <v>1482</v>
      </c>
      <c r="B1483" t="inlineStr">
        <is>
          <t>Export Adminstration Fee, Custom Processing Fee and Overtime Charges</t>
        </is>
      </c>
      <c r="C1483" t="inlineStr">
        <is>
          <t>ជី លីង អិចប្រេស ឡូជីស្ទីក (ខេមបូឌា) លីមីធីត</t>
        </is>
      </c>
      <c r="D1483" t="inlineStr">
        <is>
          <t>L001-100044956</t>
        </is>
      </c>
      <c r="E1483" t="inlineStr">
        <is>
          <t>24158956</t>
        </is>
      </c>
      <c r="F1483" t="inlineStr">
        <is>
          <t>17-10-2024</t>
        </is>
      </c>
      <c r="G1483" t="n">
        <v>190820</v>
      </c>
      <c r="I1483">
        <f>G1483</f>
        <v/>
      </c>
      <c r="K1483">
        <f>I1483-G1483</f>
        <v/>
      </c>
      <c r="M1483">
        <f>R1483=E1483</f>
        <v/>
      </c>
      <c r="N1483">
        <f>AND(MONTH(F1483)=MONTH(Q1483), YEAR(F1483)=YEAR(Q1483))</f>
        <v/>
      </c>
      <c r="O1483">
        <f>"L001-902303751"=S1483</f>
        <v/>
      </c>
      <c r="P1483">
        <f>G1483-U1483</f>
        <v/>
      </c>
      <c r="Q1483" s="35" t="n">
        <v>45537</v>
      </c>
      <c r="R1483" t="n">
        <v>83210</v>
      </c>
      <c r="S1483" t="inlineStr">
        <is>
          <t>L001-107032791</t>
        </is>
      </c>
      <c r="T1483" t="inlineStr">
        <is>
          <t>នីបផន អិចប្រេស (ខេមបូឌា) ខូ អិលធីឌី</t>
        </is>
      </c>
      <c r="U1483" t="n">
        <v>83210</v>
      </c>
      <c r="V1483" t="n">
        <v>0</v>
      </c>
    </row>
    <row r="1484">
      <c r="A1484" t="n">
        <v>1483</v>
      </c>
      <c r="B1484" t="inlineStr">
        <is>
          <t>Cargo Terminal</t>
        </is>
      </c>
      <c r="C1484" t="inlineStr">
        <is>
          <t>សូស៊ីយេតេ កុងសេស្យូនែរ ដឺ ឡាអេរ៉ូព័រ</t>
        </is>
      </c>
      <c r="D1484" t="inlineStr">
        <is>
          <t>L001-100047300</t>
        </is>
      </c>
      <c r="E1484" t="inlineStr">
        <is>
          <t>2400083518</t>
        </is>
      </c>
      <c r="F1484" t="inlineStr">
        <is>
          <t>17-10-2024</t>
        </is>
      </c>
      <c r="G1484" t="n">
        <v>1916</v>
      </c>
      <c r="I1484">
        <f>G1484</f>
        <v/>
      </c>
      <c r="K1484">
        <f>I1484-G1484</f>
        <v/>
      </c>
      <c r="M1484">
        <f>R1484=E1484</f>
        <v/>
      </c>
      <c r="N1484">
        <f>AND(MONTH(F1484)=MONTH(Q1484), YEAR(F1484)=YEAR(Q1484))</f>
        <v/>
      </c>
      <c r="O1484">
        <f>"L001-902303751"=S1484</f>
        <v/>
      </c>
      <c r="P1484">
        <f>G1484-U1484</f>
        <v/>
      </c>
      <c r="Q1484" s="35" t="n">
        <v>45544</v>
      </c>
      <c r="R1484" t="inlineStr"/>
      <c r="S1484" t="inlineStr">
        <is>
          <t>L001-100045995</t>
        </is>
      </c>
      <c r="T1484" t="inlineStr">
        <is>
          <t>ឌីអេចអិល ឡូជីស្ទីក (ខេមបូឌា)</t>
        </is>
      </c>
      <c r="U1484" t="n">
        <v>0</v>
      </c>
      <c r="V1484" t="n">
        <v>0</v>
      </c>
    </row>
    <row r="1485">
      <c r="A1485" t="n">
        <v>1484</v>
      </c>
      <c r="B1485" t="inlineStr">
        <is>
          <t>Cargo Terminal</t>
        </is>
      </c>
      <c r="C1485" t="inlineStr">
        <is>
          <t>សូស៊ីយេតេ កុងសេស្យូនែរ ដឺ ឡាអេរ៉ូព័រ</t>
        </is>
      </c>
      <c r="D1485" t="inlineStr">
        <is>
          <t>L001-100047300</t>
        </is>
      </c>
      <c r="E1485" t="inlineStr">
        <is>
          <t>2400083516</t>
        </is>
      </c>
      <c r="F1485" t="inlineStr">
        <is>
          <t>17-10-2024</t>
        </is>
      </c>
      <c r="G1485" t="n">
        <v>17443</v>
      </c>
      <c r="I1485">
        <f>G1485</f>
        <v/>
      </c>
      <c r="K1485">
        <f>I1485-G1485</f>
        <v/>
      </c>
      <c r="M1485">
        <f>R1485=E1485</f>
        <v/>
      </c>
      <c r="N1485">
        <f>AND(MONTH(F1485)=MONTH(Q1485), YEAR(F1485)=YEAR(Q1485))</f>
        <v/>
      </c>
      <c r="O1485">
        <f>"L001-902303751"=S1485</f>
        <v/>
      </c>
      <c r="P1485">
        <f>G1485-U1485</f>
        <v/>
      </c>
      <c r="Q1485" s="35" t="n">
        <v>45537</v>
      </c>
      <c r="R1485" t="n">
        <v>111623</v>
      </c>
      <c r="S1485" t="inlineStr">
        <is>
          <t>L001-100045995</t>
        </is>
      </c>
      <c r="T1485" t="inlineStr">
        <is>
          <t>ឌីអេចអិល ឡូជីស្ទីក (ខេមបូឌា)</t>
        </is>
      </c>
      <c r="U1485" t="n">
        <v>111623</v>
      </c>
      <c r="V1485" t="n">
        <v>0</v>
      </c>
    </row>
    <row r="1486">
      <c r="A1486" t="n">
        <v>1485</v>
      </c>
      <c r="B1486" t="inlineStr">
        <is>
          <t>Cargo Terminal</t>
        </is>
      </c>
      <c r="C1486" t="inlineStr">
        <is>
          <t>សូស៊ីយេតេ កុងសេស្យូនែរ ដឺ ឡាអេរ៉ូព័រ</t>
        </is>
      </c>
      <c r="D1486" t="inlineStr">
        <is>
          <t>L001-100047300</t>
        </is>
      </c>
      <c r="E1486" t="inlineStr">
        <is>
          <t>2400083515</t>
        </is>
      </c>
      <c r="F1486" t="inlineStr">
        <is>
          <t>17-10-2024</t>
        </is>
      </c>
      <c r="G1486" t="n">
        <v>12342</v>
      </c>
      <c r="I1486">
        <f>G1486</f>
        <v/>
      </c>
      <c r="K1486">
        <f>I1486-G1486</f>
        <v/>
      </c>
      <c r="M1486">
        <f>R1486=E1486</f>
        <v/>
      </c>
      <c r="N1486">
        <f>AND(MONTH(F1486)=MONTH(Q1486), YEAR(F1486)=YEAR(Q1486))</f>
        <v/>
      </c>
      <c r="O1486">
        <f>"L001-902303751"=S1486</f>
        <v/>
      </c>
      <c r="P1486">
        <f>G1486-U1486</f>
        <v/>
      </c>
      <c r="Q1486" s="35" t="n">
        <v>45537</v>
      </c>
      <c r="R1486" t="inlineStr"/>
      <c r="S1486" t="inlineStr">
        <is>
          <t>L001-100045995</t>
        </is>
      </c>
      <c r="T1486" t="inlineStr">
        <is>
          <t>ឌីអេចអិល ឡូជីស្ទីក (ខេមបូឌា)</t>
        </is>
      </c>
      <c r="U1486" t="n">
        <v>0</v>
      </c>
      <c r="V1486" t="n">
        <v>0</v>
      </c>
    </row>
    <row r="1487">
      <c r="A1487" t="n">
        <v>1486</v>
      </c>
      <c r="B1487" t="inlineStr">
        <is>
          <t>Charge from Warehouse/cy to trucks and Storage charges</t>
        </is>
      </c>
      <c r="C1487" t="inlineStr">
        <is>
          <t>កំពង់ផែស្វយ័តក្រុងព្រះសីហនុ</t>
        </is>
      </c>
      <c r="D1487" t="inlineStr">
        <is>
          <t>L001-100044638</t>
        </is>
      </c>
      <c r="E1487" t="inlineStr">
        <is>
          <t>214262</t>
        </is>
      </c>
      <c r="F1487" t="inlineStr">
        <is>
          <t>17-10-2024</t>
        </is>
      </c>
      <c r="G1487" t="n">
        <v>782</v>
      </c>
      <c r="I1487">
        <f>G1487</f>
        <v/>
      </c>
      <c r="K1487">
        <f>I1487-G1487</f>
        <v/>
      </c>
      <c r="M1487">
        <f>R1487=E1487</f>
        <v/>
      </c>
      <c r="N1487">
        <f>AND(MONTH(F1487)=MONTH(Q1487), YEAR(F1487)=YEAR(Q1487))</f>
        <v/>
      </c>
      <c r="O1487">
        <f>"L001-902303751"=S1487</f>
        <v/>
      </c>
      <c r="P1487">
        <f>G1487-U1487</f>
        <v/>
      </c>
      <c r="Q1487" s="35" t="n">
        <v>45537</v>
      </c>
      <c r="R1487" t="inlineStr"/>
      <c r="S1487" t="inlineStr">
        <is>
          <t>L001-107032791</t>
        </is>
      </c>
      <c r="T1487" t="inlineStr">
        <is>
          <t>នីបផន អិចប្រេស (ខេមបូឌា) ខូ អិលធីឌី</t>
        </is>
      </c>
      <c r="U1487" t="n">
        <v>0</v>
      </c>
      <c r="V1487" t="n">
        <v>0</v>
      </c>
    </row>
    <row r="1488">
      <c r="A1488" t="n">
        <v>1487</v>
      </c>
      <c r="B1488" t="inlineStr">
        <is>
          <t>Charge from Warehouse/cy to trucks and Storage Charges</t>
        </is>
      </c>
      <c r="C1488" t="inlineStr">
        <is>
          <t>កំពង់ផែស្វយ័តក្រុងព្រះសីហនុ</t>
        </is>
      </c>
      <c r="D1488" t="inlineStr">
        <is>
          <t>L001-100044638</t>
        </is>
      </c>
      <c r="E1488" t="inlineStr">
        <is>
          <t>214258</t>
        </is>
      </c>
      <c r="F1488" t="inlineStr">
        <is>
          <t>17-10-2024</t>
        </is>
      </c>
      <c r="G1488" t="n">
        <v>782</v>
      </c>
      <c r="I1488">
        <f>G1488</f>
        <v/>
      </c>
      <c r="K1488">
        <f>I1488-G1488</f>
        <v/>
      </c>
      <c r="M1488">
        <f>R1488=E1488</f>
        <v/>
      </c>
      <c r="N1488">
        <f>AND(MONTH(F1488)=MONTH(Q1488), YEAR(F1488)=YEAR(Q1488))</f>
        <v/>
      </c>
      <c r="O1488">
        <f>"L001-902303751"=S1488</f>
        <v/>
      </c>
      <c r="P1488">
        <f>G1488-U1488</f>
        <v/>
      </c>
      <c r="Q1488" s="35" t="n">
        <v>45537</v>
      </c>
      <c r="R1488" t="n">
        <v>111623</v>
      </c>
      <c r="S1488" t="inlineStr">
        <is>
          <t>L001-107032791</t>
        </is>
      </c>
      <c r="T1488" t="inlineStr">
        <is>
          <t>នីបផន អិចប្រេស (ខេមបូឌា) ខូ អិលធីឌី</t>
        </is>
      </c>
      <c r="U1488" t="n">
        <v>111623</v>
      </c>
      <c r="V1488" t="n">
        <v>0</v>
      </c>
    </row>
    <row r="1489">
      <c r="A1489" t="n">
        <v>1488</v>
      </c>
      <c r="B1489" t="inlineStr">
        <is>
          <t>Charge from warehouse/cy to trucks</t>
        </is>
      </c>
      <c r="C1489" t="inlineStr">
        <is>
          <t>កំពង់ផែស្វយ័តក្រុងព្រះសីហនុ</t>
        </is>
      </c>
      <c r="D1489" t="inlineStr">
        <is>
          <t>L001-100044638</t>
        </is>
      </c>
      <c r="E1489" t="inlineStr">
        <is>
          <t>216063</t>
        </is>
      </c>
      <c r="F1489" t="inlineStr">
        <is>
          <t>18-10-2024</t>
        </is>
      </c>
      <c r="G1489" t="n">
        <v>1244</v>
      </c>
      <c r="I1489">
        <f>G1489</f>
        <v/>
      </c>
      <c r="K1489">
        <f>I1489-G1489</f>
        <v/>
      </c>
      <c r="M1489">
        <f>R1489=E1489</f>
        <v/>
      </c>
      <c r="N1489">
        <f>AND(MONTH(F1489)=MONTH(Q1489), YEAR(F1489)=YEAR(Q1489))</f>
        <v/>
      </c>
      <c r="O1489">
        <f>"L001-902303751"=S1489</f>
        <v/>
      </c>
      <c r="P1489">
        <f>G1489-U1489</f>
        <v/>
      </c>
      <c r="Q1489" s="35" t="n">
        <v>45561</v>
      </c>
      <c r="R1489" t="n">
        <v>16252</v>
      </c>
      <c r="S1489" t="inlineStr">
        <is>
          <t>K005-901805913</t>
        </is>
      </c>
      <c r="T1489" t="inlineStr">
        <is>
          <t>ស្តារ ខង់ខដ (ខេមបូឌា) ឯ.ក</t>
        </is>
      </c>
      <c r="U1489" t="n">
        <v>16252</v>
      </c>
      <c r="V1489" t="n">
        <v>0</v>
      </c>
    </row>
    <row r="1490">
      <c r="A1490" t="n">
        <v>1489</v>
      </c>
      <c r="B1490" t="inlineStr">
        <is>
          <t>CFS Charges, THC Charges, Bill of lading Fee, FCR Charge and Manifest Fee</t>
        </is>
      </c>
      <c r="C1490" t="inlineStr">
        <is>
          <t>អ៊ិចស្ពែឌីធ័រ ខេមបូឌា អិលធីឌី</t>
        </is>
      </c>
      <c r="D1490" t="inlineStr">
        <is>
          <t>L001-100045898</t>
        </is>
      </c>
      <c r="E1490" t="inlineStr">
        <is>
          <t>TI-0293271</t>
        </is>
      </c>
      <c r="F1490" t="inlineStr">
        <is>
          <t>17-10-2024</t>
        </is>
      </c>
      <c r="G1490" t="n">
        <v>58966</v>
      </c>
      <c r="I1490">
        <f>G1490</f>
        <v/>
      </c>
      <c r="K1490">
        <f>I1490-G1490</f>
        <v/>
      </c>
      <c r="M1490">
        <f>R1490=E1490</f>
        <v/>
      </c>
      <c r="N1490">
        <f>AND(MONTH(F1490)=MONTH(Q1490), YEAR(F1490)=YEAR(Q1490))</f>
        <v/>
      </c>
      <c r="O1490">
        <f>"L001-902303751"=S1490</f>
        <v/>
      </c>
      <c r="P1490">
        <f>G1490-U1490</f>
        <v/>
      </c>
      <c r="Q1490" s="35" t="n">
        <v>45565</v>
      </c>
      <c r="R1490" t="n">
        <v>83251</v>
      </c>
      <c r="S1490" t="inlineStr">
        <is>
          <t>L001-107032791</t>
        </is>
      </c>
      <c r="T1490" t="inlineStr">
        <is>
          <t>នីបផន អិចប្រេស (ខេមបូឌា) ខូ អិលធីឌី</t>
        </is>
      </c>
      <c r="U1490" t="n">
        <v>83251</v>
      </c>
      <c r="V1490" t="n">
        <v>0</v>
      </c>
    </row>
    <row r="1491">
      <c r="A1491" t="n">
        <v>1490</v>
      </c>
      <c r="B1491" t="inlineStr">
        <is>
          <t>Origin Handling, House Waybill Charge, Origin THC, Origin CFS Charge. Origin Bonded Truck Surcharge, Origin Customs Export Clearance and Solas VGM Management Fee</t>
        </is>
      </c>
      <c r="C1491" t="inlineStr">
        <is>
          <t>ស៊ីវ៉ា អ៊ែរ អ៊ែន អូសៀន (ខេមបូឌា) ឯ.ក</t>
        </is>
      </c>
      <c r="D1491" t="inlineStr">
        <is>
          <t>L001-100045340</t>
        </is>
      </c>
      <c r="E1491" t="inlineStr">
        <is>
          <t>TF24003306</t>
        </is>
      </c>
      <c r="F1491" t="inlineStr">
        <is>
          <t>17-10-2024</t>
        </is>
      </c>
      <c r="G1491" t="n">
        <v>167117</v>
      </c>
      <c r="I1491">
        <f>G1491</f>
        <v/>
      </c>
      <c r="K1491">
        <f>I1491-G1491</f>
        <v/>
      </c>
      <c r="M1491">
        <f>R1491=E1491</f>
        <v/>
      </c>
      <c r="N1491">
        <f>AND(MONTH(F1491)=MONTH(Q1491), YEAR(F1491)=YEAR(Q1491))</f>
        <v/>
      </c>
      <c r="O1491">
        <f>"L001-902303751"=S1491</f>
        <v/>
      </c>
      <c r="P1491">
        <f>G1491-U1491</f>
        <v/>
      </c>
      <c r="Q1491" s="35" t="n">
        <v>45565</v>
      </c>
      <c r="R1491" t="n">
        <v>111678</v>
      </c>
      <c r="S1491" t="inlineStr">
        <is>
          <t>L001-107032791</t>
        </is>
      </c>
      <c r="T1491" t="inlineStr">
        <is>
          <t>នីបផន អិចប្រេស (ខេមបូឌា) ខូ អិលធីឌី</t>
        </is>
      </c>
      <c r="U1491" t="n">
        <v>111678</v>
      </c>
      <c r="V1491" t="n">
        <v>0</v>
      </c>
    </row>
    <row r="1492">
      <c r="A1492" t="n">
        <v>1491</v>
      </c>
      <c r="B1492" t="inlineStr">
        <is>
          <t>Export Custom Clearance, Terminal Handling Charges, Documentation Fee, Handling Fee, Trucking Fee, Export Custom Clearance and B/L Surrender Fee</t>
        </is>
      </c>
      <c r="C1492" t="inlineStr">
        <is>
          <t>អ៊ីឃ្យូឡាញ វើលវ៉ាយដ៍ ឡូជីស្ទីក</t>
        </is>
      </c>
      <c r="D1492" t="inlineStr">
        <is>
          <t>K003-901635943</t>
        </is>
      </c>
      <c r="E1492" t="inlineStr">
        <is>
          <t>PPTI24/005139</t>
        </is>
      </c>
      <c r="F1492" t="inlineStr">
        <is>
          <t>17-10-2024</t>
        </is>
      </c>
      <c r="G1492" t="n">
        <v>197154</v>
      </c>
      <c r="I1492">
        <f>G1492</f>
        <v/>
      </c>
      <c r="K1492">
        <f>I1492-G1492</f>
        <v/>
      </c>
      <c r="M1492">
        <f>R1492=E1492</f>
        <v/>
      </c>
      <c r="N1492">
        <f>AND(MONTH(F1492)=MONTH(Q1492), YEAR(F1492)=YEAR(Q1492))</f>
        <v/>
      </c>
      <c r="O1492">
        <f>"L001-902303751"=S1492</f>
        <v/>
      </c>
      <c r="P1492">
        <f>G1492-U1492</f>
        <v/>
      </c>
      <c r="Q1492" s="35" t="n">
        <v>45558</v>
      </c>
      <c r="R1492" t="n">
        <v>111733</v>
      </c>
      <c r="S1492" t="inlineStr">
        <is>
          <t>L001-100045995</t>
        </is>
      </c>
      <c r="T1492" t="inlineStr">
        <is>
          <t>ឌីអេចអិល ឡូជីស្ទីក (ខេមបូឌា)</t>
        </is>
      </c>
      <c r="U1492" t="n">
        <v>111733</v>
      </c>
      <c r="V1492" t="n">
        <v>0</v>
      </c>
    </row>
    <row r="1493">
      <c r="A1493" t="n">
        <v>1492</v>
      </c>
      <c r="B1493" t="inlineStr">
        <is>
          <t>Send Docs and Material</t>
        </is>
      </c>
      <c r="C1493" t="inlineStr">
        <is>
          <t>ឌី អេច អិល អិចប្រេស (ខេមបូឌា)</t>
        </is>
      </c>
      <c r="D1493" t="inlineStr">
        <is>
          <t>L001-100045197</t>
        </is>
      </c>
      <c r="E1493" t="inlineStr">
        <is>
          <t>PNHR000507010</t>
        </is>
      </c>
      <c r="F1493" t="inlineStr">
        <is>
          <t>17-10-2024</t>
        </is>
      </c>
      <c r="G1493" t="n">
        <v>103859</v>
      </c>
      <c r="I1493">
        <f>G1493</f>
        <v/>
      </c>
      <c r="K1493">
        <f>I1493-G1493</f>
        <v/>
      </c>
      <c r="M1493">
        <f>R1493=E1493</f>
        <v/>
      </c>
      <c r="N1493">
        <f>AND(MONTH(F1493)=MONTH(Q1493), YEAR(F1493)=YEAR(Q1493))</f>
        <v/>
      </c>
      <c r="O1493">
        <f>"L001-902303751"=S1493</f>
        <v/>
      </c>
      <c r="P1493">
        <f>G1493-U1493</f>
        <v/>
      </c>
      <c r="Q1493" s="35" t="n">
        <v>45551</v>
      </c>
      <c r="R1493" t="inlineStr"/>
      <c r="S1493" t="inlineStr">
        <is>
          <t>L001-901500191</t>
        </is>
      </c>
      <c r="T1493" t="inlineStr">
        <is>
          <t>អ.អិន.វ៉ាយ ត្រេនស្ព័ត</t>
        </is>
      </c>
      <c r="U1493" t="n">
        <v>0</v>
      </c>
      <c r="V1493" t="n">
        <v>0</v>
      </c>
    </row>
    <row r="1494">
      <c r="A1494" t="n">
        <v>1493</v>
      </c>
      <c r="B1494" t="inlineStr">
        <is>
          <t>Send Sample</t>
        </is>
      </c>
      <c r="C1494" t="inlineStr">
        <is>
          <t>ឌី អេច អិល អិចប្រេស (ខេមបូឌា)</t>
        </is>
      </c>
      <c r="D1494" t="inlineStr">
        <is>
          <t>L001-100045197</t>
        </is>
      </c>
      <c r="E1494" t="inlineStr">
        <is>
          <t>PNHIR00247702</t>
        </is>
      </c>
      <c r="F1494" t="inlineStr">
        <is>
          <t>17-10-2024</t>
        </is>
      </c>
      <c r="G1494" t="n">
        <v>8120</v>
      </c>
      <c r="I1494">
        <f>G1494</f>
        <v/>
      </c>
      <c r="K1494">
        <f>I1494-G1494</f>
        <v/>
      </c>
      <c r="M1494">
        <f>R1494=E1494</f>
        <v/>
      </c>
      <c r="N1494">
        <f>AND(MONTH(F1494)=MONTH(Q1494), YEAR(F1494)=YEAR(Q1494))</f>
        <v/>
      </c>
      <c r="O1494">
        <f>"L001-902303751"=S1494</f>
        <v/>
      </c>
      <c r="P1494">
        <f>G1494-U1494</f>
        <v/>
      </c>
      <c r="Q1494" s="35" t="n">
        <v>45544</v>
      </c>
      <c r="R1494" t="n">
        <v>112035</v>
      </c>
      <c r="S1494" t="inlineStr">
        <is>
          <t>L001-107032791</t>
        </is>
      </c>
      <c r="T1494" t="inlineStr">
        <is>
          <t>នីបផន អិចប្រេស (ខេមបូឌា) ខូ អិលធីឌី</t>
        </is>
      </c>
      <c r="U1494" t="n">
        <v>112035</v>
      </c>
      <c r="V1494" t="n">
        <v>0</v>
      </c>
    </row>
    <row r="1495">
      <c r="A1495" t="n">
        <v>1494</v>
      </c>
      <c r="B1495" t="inlineStr">
        <is>
          <t>Send Docs</t>
        </is>
      </c>
      <c r="C1495" t="inlineStr">
        <is>
          <t>ឌី អេច អិល អិចប្រេស (ខេមបូឌា)</t>
        </is>
      </c>
      <c r="D1495" t="inlineStr">
        <is>
          <t>L001-100045197</t>
        </is>
      </c>
      <c r="E1495" t="inlineStr">
        <is>
          <t>PNHIR00247701</t>
        </is>
      </c>
      <c r="F1495" t="inlineStr">
        <is>
          <t>17-10-2024</t>
        </is>
      </c>
      <c r="G1495" t="n">
        <v>24360</v>
      </c>
      <c r="I1495">
        <f>G1495</f>
        <v/>
      </c>
      <c r="K1495">
        <f>I1495-G1495</f>
        <v/>
      </c>
      <c r="M1495">
        <f>R1495=E1495</f>
        <v/>
      </c>
      <c r="N1495">
        <f>AND(MONTH(F1495)=MONTH(Q1495), YEAR(F1495)=YEAR(Q1495))</f>
        <v/>
      </c>
      <c r="O1495">
        <f>"L001-902303751"=S1495</f>
        <v/>
      </c>
      <c r="P1495">
        <f>G1495-U1495</f>
        <v/>
      </c>
      <c r="Q1495" s="35" t="n">
        <v>45551</v>
      </c>
      <c r="R1495" t="inlineStr"/>
      <c r="S1495" t="inlineStr">
        <is>
          <t>L001-107032791</t>
        </is>
      </c>
      <c r="T1495" t="inlineStr">
        <is>
          <t>នីបផន អិចប្រេស (ខេមបូឌា) ខូ អិលធីឌី</t>
        </is>
      </c>
      <c r="U1495" t="n">
        <v>0</v>
      </c>
      <c r="V1495" t="n">
        <v>0</v>
      </c>
    </row>
    <row r="1496">
      <c r="A1496" t="n">
        <v>1495</v>
      </c>
      <c r="B1496" t="inlineStr">
        <is>
          <t>Send Material</t>
        </is>
      </c>
      <c r="C1496" t="inlineStr">
        <is>
          <t>ឌី អេច អិល អិចប្រេស (ខេមបូឌា)</t>
        </is>
      </c>
      <c r="D1496" t="inlineStr">
        <is>
          <t>L001-100045197</t>
        </is>
      </c>
      <c r="E1496" t="inlineStr">
        <is>
          <t>PNHIR00247700</t>
        </is>
      </c>
      <c r="F1496" t="inlineStr">
        <is>
          <t>17-10-2024</t>
        </is>
      </c>
      <c r="G1496" t="n">
        <v>132628</v>
      </c>
      <c r="I1496">
        <f>G1496</f>
        <v/>
      </c>
      <c r="K1496">
        <f>I1496-G1496</f>
        <v/>
      </c>
      <c r="M1496">
        <f>R1496=E1496</f>
        <v/>
      </c>
      <c r="N1496">
        <f>AND(MONTH(F1496)=MONTH(Q1496), YEAR(F1496)=YEAR(Q1496))</f>
        <v/>
      </c>
      <c r="O1496">
        <f>"L001-902303751"=S1496</f>
        <v/>
      </c>
      <c r="P1496">
        <f>G1496-U1496</f>
        <v/>
      </c>
      <c r="Q1496" s="35" t="n">
        <v>45565</v>
      </c>
      <c r="R1496" t="n">
        <v>201020</v>
      </c>
      <c r="S1496" t="inlineStr">
        <is>
          <t>K005-100150195</t>
        </is>
      </c>
      <c r="T1496" t="inlineStr">
        <is>
          <t>អេស អ វី ស៊ី ហ្វ្រេត សឺវីស (ខេមបូឌា) ខូ អិលធីឌី</t>
        </is>
      </c>
      <c r="U1496" t="n">
        <v>201020</v>
      </c>
      <c r="V1496" t="n">
        <v>0</v>
      </c>
    </row>
    <row r="1497">
      <c r="A1497" t="n">
        <v>1496</v>
      </c>
      <c r="B1497" t="inlineStr">
        <is>
          <t>Import Shipment Expense</t>
        </is>
      </c>
      <c r="C1497" t="inlineStr">
        <is>
          <t>ខេអិលអិន ហ្វ្រេត (ខេមបូឌា) ឯ.ក</t>
        </is>
      </c>
      <c r="D1497" t="inlineStr">
        <is>
          <t>L001-100074669</t>
        </is>
      </c>
      <c r="E1497" t="inlineStr">
        <is>
          <t>IVO16293</t>
        </is>
      </c>
      <c r="F1497" t="inlineStr">
        <is>
          <t>17-10-2024</t>
        </is>
      </c>
      <c r="G1497" t="n">
        <v>119338</v>
      </c>
      <c r="I1497">
        <f>G1497</f>
        <v/>
      </c>
      <c r="K1497">
        <f>I1497-G1497</f>
        <v/>
      </c>
      <c r="M1497">
        <f>R1497=E1497</f>
        <v/>
      </c>
      <c r="N1497">
        <f>AND(MONTH(F1497)=MONTH(Q1497), YEAR(F1497)=YEAR(Q1497))</f>
        <v/>
      </c>
      <c r="O1497">
        <f>"L001-902303751"=S1497</f>
        <v/>
      </c>
      <c r="P1497">
        <f>G1497-U1497</f>
        <v/>
      </c>
      <c r="Q1497" s="35" t="n">
        <v>45565</v>
      </c>
      <c r="R1497" t="inlineStr"/>
      <c r="S1497" t="inlineStr">
        <is>
          <t>L001-107032791</t>
        </is>
      </c>
      <c r="T1497" t="inlineStr">
        <is>
          <t>នីបផន អិចប្រេស (ខេមបូឌា) ខូ អិលធីឌី</t>
        </is>
      </c>
      <c r="U1497" t="n">
        <v>0</v>
      </c>
      <c r="V1497" t="n">
        <v>0</v>
      </c>
    </row>
    <row r="1498">
      <c r="A1498" t="n">
        <v>1497</v>
      </c>
      <c r="B1498" t="inlineStr">
        <is>
          <t>Import Shipment Expense</t>
        </is>
      </c>
      <c r="C1498" t="inlineStr">
        <is>
          <t>ខាហ្គោលីង អ៊ិនធើណេសិនណល ឯ.ក</t>
        </is>
      </c>
      <c r="D1498" t="inlineStr">
        <is>
          <t>K009-902002784</t>
        </is>
      </c>
      <c r="E1498" t="inlineStr">
        <is>
          <t>CLI2024-2857</t>
        </is>
      </c>
      <c r="F1498" t="inlineStr">
        <is>
          <t>04-10-2024</t>
        </is>
      </c>
      <c r="G1498" t="n">
        <v>93763</v>
      </c>
      <c r="I1498">
        <f>G1498</f>
        <v/>
      </c>
      <c r="K1498">
        <f>I1498-G1498</f>
        <v/>
      </c>
      <c r="M1498">
        <f>R1498=E1498</f>
        <v/>
      </c>
      <c r="N1498">
        <f>AND(MONTH(F1498)=MONTH(Q1498), YEAR(F1498)=YEAR(Q1498))</f>
        <v/>
      </c>
      <c r="O1498">
        <f>"L001-902303751"=S1498</f>
        <v/>
      </c>
      <c r="P1498">
        <f>G1498-U1498</f>
        <v/>
      </c>
      <c r="Q1498" s="35" t="n">
        <v>45562</v>
      </c>
      <c r="R1498" t="n">
        <v>111678</v>
      </c>
      <c r="S1498" t="inlineStr">
        <is>
          <t>L001-107032791</t>
        </is>
      </c>
      <c r="T1498" t="inlineStr">
        <is>
          <t>នីបផន អិចប្រេស (ខេមបូឌា) ខូ អិលធីឌី</t>
        </is>
      </c>
      <c r="U1498" t="n">
        <v>111678</v>
      </c>
      <c r="V1498" t="n">
        <v>0</v>
      </c>
    </row>
    <row r="1499">
      <c r="A1499" t="n">
        <v>1498</v>
      </c>
      <c r="B1499" t="inlineStr">
        <is>
          <t>Send Sample</t>
        </is>
      </c>
      <c r="C1499" t="inlineStr">
        <is>
          <t>ឌី អេច អិល អិចប្រេស (ខេមបូឌា)</t>
        </is>
      </c>
      <c r="D1499" t="inlineStr">
        <is>
          <t>L001-100045197</t>
        </is>
      </c>
      <c r="E1499" t="inlineStr">
        <is>
          <t>PNHIR00245593</t>
        </is>
      </c>
      <c r="F1499" t="inlineStr">
        <is>
          <t>04-10-2024</t>
        </is>
      </c>
      <c r="G1499" t="n">
        <v>24354</v>
      </c>
      <c r="I1499">
        <f>G1499</f>
        <v/>
      </c>
      <c r="K1499">
        <f>I1499-G1499</f>
        <v/>
      </c>
      <c r="M1499">
        <f>R1499=E1499</f>
        <v/>
      </c>
      <c r="N1499">
        <f>AND(MONTH(F1499)=MONTH(Q1499), YEAR(F1499)=YEAR(Q1499))</f>
        <v/>
      </c>
      <c r="O1499">
        <f>"L001-902303751"=S1499</f>
        <v/>
      </c>
      <c r="P1499">
        <f>G1499-U1499</f>
        <v/>
      </c>
      <c r="Q1499" s="35" t="n">
        <v>45558</v>
      </c>
      <c r="R1499" t="inlineStr"/>
      <c r="S1499" t="inlineStr">
        <is>
          <t>L001-100045995</t>
        </is>
      </c>
      <c r="T1499" t="inlineStr">
        <is>
          <t>ឌីអេចអិល ឡូជីស្ទីក (ខេមបូឌា)</t>
        </is>
      </c>
      <c r="U1499" t="n">
        <v>0</v>
      </c>
      <c r="V1499" t="n">
        <v>0</v>
      </c>
    </row>
    <row r="1500">
      <c r="A1500" t="n">
        <v>1499</v>
      </c>
      <c r="B1500" t="inlineStr">
        <is>
          <t>Storage Charges</t>
        </is>
      </c>
      <c r="C1500" t="inlineStr">
        <is>
          <t>ហាន​ &amp; ជុន ត្រេនស្ព័ត ខូ អិលធីឌី</t>
        </is>
      </c>
      <c r="D1500" t="inlineStr">
        <is>
          <t>L001-104016647</t>
        </is>
      </c>
      <c r="E1500" t="inlineStr">
        <is>
          <t>HJ24-3258</t>
        </is>
      </c>
      <c r="F1500" t="inlineStr">
        <is>
          <t>04-10-2024</t>
        </is>
      </c>
      <c r="G1500" t="n">
        <v>244</v>
      </c>
      <c r="I1500">
        <f>G1500</f>
        <v/>
      </c>
      <c r="K1500">
        <f>I1500-G1500</f>
        <v/>
      </c>
      <c r="M1500">
        <f>R1500=E1500</f>
        <v/>
      </c>
      <c r="N1500">
        <f>AND(MONTH(F1500)=MONTH(Q1500), YEAR(F1500)=YEAR(Q1500))</f>
        <v/>
      </c>
      <c r="O1500">
        <f>"L001-902303751"=S1500</f>
        <v/>
      </c>
      <c r="P1500">
        <f>G1500-U1500</f>
        <v/>
      </c>
      <c r="Q1500" s="35" t="n">
        <v>45558</v>
      </c>
      <c r="R1500" t="n">
        <v>85729</v>
      </c>
      <c r="S1500" t="inlineStr">
        <is>
          <t>K005-901805913</t>
        </is>
      </c>
      <c r="T1500" t="inlineStr">
        <is>
          <t>ស្តារ ខង់ខដ (ខេមបូឌា) ឯ.ក</t>
        </is>
      </c>
      <c r="U1500" t="n">
        <v>85729</v>
      </c>
      <c r="V1500" t="n">
        <v>0</v>
      </c>
    </row>
    <row r="1501">
      <c r="A1501" t="n">
        <v>1500</v>
      </c>
      <c r="B1501" t="inlineStr">
        <is>
          <t>Warehouse Fee</t>
        </is>
      </c>
      <c r="C1501" t="inlineStr">
        <is>
          <t>ហាន​ &amp; ជុន ត្រេនស្ព័ត ខូ អិលធីឌី</t>
        </is>
      </c>
      <c r="D1501" t="inlineStr">
        <is>
          <t>L001-104016647</t>
        </is>
      </c>
      <c r="E1501" t="inlineStr">
        <is>
          <t>HJ24-3187</t>
        </is>
      </c>
      <c r="F1501" t="inlineStr">
        <is>
          <t>04-10-2024</t>
        </is>
      </c>
      <c r="G1501" t="n">
        <v>4059</v>
      </c>
      <c r="I1501">
        <f>G1501</f>
        <v/>
      </c>
      <c r="K1501">
        <f>I1501-G1501</f>
        <v/>
      </c>
      <c r="M1501">
        <f>R1501=E1501</f>
        <v/>
      </c>
      <c r="N1501">
        <f>AND(MONTH(F1501)=MONTH(Q1501), YEAR(F1501)=YEAR(Q1501))</f>
        <v/>
      </c>
      <c r="O1501">
        <f>"L001-902303751"=S1501</f>
        <v/>
      </c>
      <c r="P1501">
        <f>G1501-U1501</f>
        <v/>
      </c>
      <c r="Q1501" s="35" t="n">
        <v>45551</v>
      </c>
      <c r="R1501" t="inlineStr"/>
      <c r="S1501" t="inlineStr">
        <is>
          <t>L001-901500191</t>
        </is>
      </c>
      <c r="T1501" t="inlineStr">
        <is>
          <t>អ.អិន.វ៉ាយ ត្រេនស្ព័ត</t>
        </is>
      </c>
      <c r="U1501" t="n">
        <v>0</v>
      </c>
      <c r="V1501" t="n">
        <v>0</v>
      </c>
    </row>
    <row r="1502">
      <c r="A1502" t="n">
        <v>1501</v>
      </c>
      <c r="B1502" t="inlineStr">
        <is>
          <t>Import Shipment Expense</t>
        </is>
      </c>
      <c r="C1502" t="inlineStr">
        <is>
          <t>ហ្វ្រេត ខនសិប (ខេមបូឌា)</t>
        </is>
      </c>
      <c r="D1502" t="inlineStr">
        <is>
          <t>K009-901502482</t>
        </is>
      </c>
      <c r="E1502" t="inlineStr">
        <is>
          <t>241011</t>
        </is>
      </c>
      <c r="F1502" t="inlineStr">
        <is>
          <t>04-10-2024</t>
        </is>
      </c>
      <c r="G1502" t="n">
        <v>137438</v>
      </c>
      <c r="I1502">
        <f>G1502</f>
        <v/>
      </c>
      <c r="K1502">
        <f>I1502-G1502</f>
        <v/>
      </c>
      <c r="M1502">
        <f>R1502=E1502</f>
        <v/>
      </c>
      <c r="N1502">
        <f>AND(MONTH(F1502)=MONTH(Q1502), YEAR(F1502)=YEAR(Q1502))</f>
        <v/>
      </c>
      <c r="O1502">
        <f>"L001-902303751"=S1502</f>
        <v/>
      </c>
      <c r="P1502">
        <f>G1502-U1502</f>
        <v/>
      </c>
      <c r="Q1502" s="35" t="n">
        <v>45551</v>
      </c>
      <c r="R1502" t="n">
        <v>83107</v>
      </c>
      <c r="S1502" t="inlineStr">
        <is>
          <t>L001-107032791</t>
        </is>
      </c>
      <c r="T1502" t="inlineStr">
        <is>
          <t>នីបផន អិចប្រេស (ខេមបូឌា) ខូ អិលធីឌី</t>
        </is>
      </c>
      <c r="U1502" t="n">
        <v>83107</v>
      </c>
      <c r="V1502" t="n">
        <v>0</v>
      </c>
    </row>
    <row r="1503">
      <c r="A1503" t="n">
        <v>1502</v>
      </c>
      <c r="B1503" t="inlineStr">
        <is>
          <t>Import Shipment Expense</t>
        </is>
      </c>
      <c r="C1503" t="inlineStr">
        <is>
          <t>ហ្វ្រេត ខនសិប (ខេមបូឌា)</t>
        </is>
      </c>
      <c r="D1503" t="inlineStr">
        <is>
          <t>K009-901502482</t>
        </is>
      </c>
      <c r="E1503" t="inlineStr">
        <is>
          <t>240998</t>
        </is>
      </c>
      <c r="F1503" t="inlineStr">
        <is>
          <t>04-10-2024</t>
        </is>
      </c>
      <c r="G1503" t="n">
        <v>310514</v>
      </c>
      <c r="I1503">
        <f>G1503</f>
        <v/>
      </c>
      <c r="K1503">
        <f>I1503-G1503</f>
        <v/>
      </c>
      <c r="M1503">
        <f>R1503=E1503</f>
        <v/>
      </c>
      <c r="N1503">
        <f>AND(MONTH(F1503)=MONTH(Q1503), YEAR(F1503)=YEAR(Q1503))</f>
        <v/>
      </c>
      <c r="O1503">
        <f>"L001-902303751"=S1503</f>
        <v/>
      </c>
      <c r="P1503">
        <f>G1503-U1503</f>
        <v/>
      </c>
      <c r="Q1503" s="35" t="n">
        <v>45544</v>
      </c>
      <c r="R1503" t="inlineStr"/>
      <c r="S1503" t="inlineStr">
        <is>
          <t>L001-107032791</t>
        </is>
      </c>
      <c r="T1503" t="inlineStr">
        <is>
          <t>នីបផន អិចប្រេស (ខេមបូឌា) ខូ អិលធីឌី</t>
        </is>
      </c>
      <c r="U1503" t="n">
        <v>0</v>
      </c>
      <c r="V1503" t="n">
        <v>0</v>
      </c>
    </row>
    <row r="1504">
      <c r="A1504" t="n">
        <v>1503</v>
      </c>
      <c r="B1504" t="inlineStr">
        <is>
          <t>Import Shipment Expense</t>
        </is>
      </c>
      <c r="C1504" t="inlineStr">
        <is>
          <t>អូរៀនថល ឡូជីស្ទីក &amp; ឌីស្ទ្រីប៊្យូសិន (ខេមបូឌា)</t>
        </is>
      </c>
      <c r="D1504" t="inlineStr">
        <is>
          <t>L001-103007369</t>
        </is>
      </c>
      <c r="E1504" t="inlineStr">
        <is>
          <t>SIPNH2409464</t>
        </is>
      </c>
      <c r="F1504" t="inlineStr">
        <is>
          <t>01-10-2024</t>
        </is>
      </c>
      <c r="G1504" t="n">
        <v>52793</v>
      </c>
      <c r="I1504">
        <f>G1504</f>
        <v/>
      </c>
      <c r="K1504">
        <f>I1504-G1504</f>
        <v/>
      </c>
      <c r="M1504">
        <f>R1504=E1504</f>
        <v/>
      </c>
      <c r="N1504">
        <f>AND(MONTH(F1504)=MONTH(Q1504), YEAR(F1504)=YEAR(Q1504))</f>
        <v/>
      </c>
      <c r="O1504">
        <f>"L001-902303751"=S1504</f>
        <v/>
      </c>
      <c r="P1504">
        <f>G1504-U1504</f>
        <v/>
      </c>
      <c r="Q1504" s="35" t="n">
        <v>45537</v>
      </c>
      <c r="R1504" t="n">
        <v>85645</v>
      </c>
      <c r="S1504" t="inlineStr">
        <is>
          <t>L001-100045340</t>
        </is>
      </c>
      <c r="T1504" t="inlineStr">
        <is>
          <t xml:space="preserve">ស៊ីវ៉ា អ៊ែរ អ៊ែន អូសៀន (ខេមបូឌា) ឯ.ក </t>
        </is>
      </c>
      <c r="U1504" t="n">
        <v>85645</v>
      </c>
      <c r="V1504" t="n">
        <v>0</v>
      </c>
    </row>
    <row r="1505">
      <c r="A1505" t="n">
        <v>1504</v>
      </c>
      <c r="B1505" t="inlineStr">
        <is>
          <t>Import Shipment Expense</t>
        </is>
      </c>
      <c r="C1505" t="inlineStr">
        <is>
          <t>អេស៊ាន ហ្វ្រេត (ខេមបូឌា)</t>
        </is>
      </c>
      <c r="D1505" t="inlineStr">
        <is>
          <t>K004-105012505</t>
        </is>
      </c>
      <c r="E1505" t="inlineStr">
        <is>
          <t>PPTI24/2106</t>
        </is>
      </c>
      <c r="F1505" t="inlineStr">
        <is>
          <t>07-10-2024</t>
        </is>
      </c>
      <c r="G1505" t="n">
        <v>65626</v>
      </c>
      <c r="I1505">
        <f>G1505</f>
        <v/>
      </c>
      <c r="K1505">
        <f>I1505-G1505</f>
        <v/>
      </c>
      <c r="M1505">
        <f>R1505=E1505</f>
        <v/>
      </c>
      <c r="N1505">
        <f>AND(MONTH(F1505)=MONTH(Q1505), YEAR(F1505)=YEAR(Q1505))</f>
        <v/>
      </c>
      <c r="O1505">
        <f>"L001-902303751"=S1505</f>
        <v/>
      </c>
      <c r="P1505">
        <f>G1505-U1505</f>
        <v/>
      </c>
      <c r="Q1505" s="35" t="n">
        <v>45537</v>
      </c>
      <c r="R1505" t="inlineStr"/>
      <c r="S1505" t="inlineStr">
        <is>
          <t>L001-100045340</t>
        </is>
      </c>
      <c r="T1505" t="inlineStr">
        <is>
          <t xml:space="preserve">ស៊ីវ៉ា អ៊ែរ អ៊ែន អូសៀន (ខេមបូឌា) ឯ.ក </t>
        </is>
      </c>
      <c r="U1505" t="n">
        <v>0</v>
      </c>
      <c r="V1505" t="n">
        <v>0</v>
      </c>
    </row>
    <row r="1506">
      <c r="A1506" t="n">
        <v>1505</v>
      </c>
      <c r="B1506" t="inlineStr">
        <is>
          <t>Customs Clearance of LCL shipment, THC Charge of LCL, CFS Charge, Trucking Fee of LCL, CARGO HANDLING FEE and Bill Fee or Document Fee</t>
        </is>
      </c>
      <c r="C1506" t="inlineStr">
        <is>
          <t>អេវើរស្តារ ស៊ីលែនឌែរ</t>
        </is>
      </c>
      <c r="D1506" t="inlineStr">
        <is>
          <t>K002-100160492</t>
        </is>
      </c>
      <c r="E1506" t="inlineStr">
        <is>
          <t>TI-2024-048</t>
        </is>
      </c>
      <c r="F1506" t="inlineStr">
        <is>
          <t>04-10-2024</t>
        </is>
      </c>
      <c r="G1506" t="n">
        <v>135230</v>
      </c>
      <c r="I1506">
        <f>G1506</f>
        <v/>
      </c>
      <c r="K1506">
        <f>I1506-G1506</f>
        <v/>
      </c>
      <c r="M1506">
        <f>R1506=E1506</f>
        <v/>
      </c>
      <c r="N1506">
        <f>AND(MONTH(F1506)=MONTH(Q1506), YEAR(F1506)=YEAR(Q1506))</f>
        <v/>
      </c>
      <c r="O1506">
        <f>"L001-902303751"=S1506</f>
        <v/>
      </c>
      <c r="P1506">
        <f>G1506-U1506</f>
        <v/>
      </c>
      <c r="Q1506" s="35" t="n">
        <v>45565</v>
      </c>
      <c r="R1506" t="n">
        <v>111678</v>
      </c>
      <c r="S1506" t="inlineStr">
        <is>
          <t>L001-107032791</t>
        </is>
      </c>
      <c r="T1506" t="inlineStr">
        <is>
          <t>នីបផន អិចប្រេស (ខេមបូឌា) ខូ អិលធីឌី</t>
        </is>
      </c>
      <c r="U1506" t="n">
        <v>111678</v>
      </c>
      <c r="V1506" t="n">
        <v>0</v>
      </c>
    </row>
    <row r="1507">
      <c r="A1507" t="n">
        <v>1506</v>
      </c>
      <c r="B1507" t="inlineStr">
        <is>
          <t>THC, CFS, Scan Fee, CIC-Imbalance, Agency Fee, Document Fee, D.O Fee, LSS, Handling Fee, Importer Security Filing, Fuel Surcharge and Inbound Manifest Filing</t>
        </is>
      </c>
      <c r="C1507" t="inlineStr">
        <is>
          <t>ហ្វ្រេតាស (ខេមបូឌា) ឯ.ក</t>
        </is>
      </c>
      <c r="D1507" t="inlineStr">
        <is>
          <t>K007-901638107</t>
        </is>
      </c>
      <c r="E1507" t="inlineStr">
        <is>
          <t>Y24-119</t>
        </is>
      </c>
      <c r="F1507" t="inlineStr">
        <is>
          <t>04-10-2024</t>
        </is>
      </c>
      <c r="G1507" t="n">
        <v>314978</v>
      </c>
      <c r="I1507">
        <f>G1507</f>
        <v/>
      </c>
      <c r="K1507">
        <f>I1507-G1507</f>
        <v/>
      </c>
      <c r="M1507">
        <f>R1507=E1507</f>
        <v/>
      </c>
      <c r="N1507">
        <f>AND(MONTH(F1507)=MONTH(Q1507), YEAR(F1507)=YEAR(Q1507))</f>
        <v/>
      </c>
      <c r="O1507">
        <f>"L001-902303751"=S1507</f>
        <v/>
      </c>
      <c r="P1507">
        <f>G1507-U1507</f>
        <v/>
      </c>
      <c r="Q1507" s="35" t="n">
        <v>45565</v>
      </c>
      <c r="R1507" t="n">
        <v>172593</v>
      </c>
      <c r="S1507" t="inlineStr">
        <is>
          <t>L001-107032791</t>
        </is>
      </c>
      <c r="T1507" t="inlineStr">
        <is>
          <t>នីបផន អិចប្រេស (ខេមបូឌា) ខូ អិលធីឌី</t>
        </is>
      </c>
      <c r="U1507" t="n">
        <v>172593</v>
      </c>
      <c r="V1507" t="n">
        <v>0</v>
      </c>
    </row>
    <row r="1508">
      <c r="A1508" t="n">
        <v>1507</v>
      </c>
      <c r="B1508" t="inlineStr">
        <is>
          <t>Admin Fee, B/L Surrender Charge, Sea OTHC/CBM, ENS Charges, CFS Charges, Custom Clearance Ch, LCL Trucking, HBL Charge and VGM Fee</t>
        </is>
      </c>
      <c r="C1508" t="inlineStr">
        <is>
          <t>ត្រេនម៉ារីន ឡូជីស្ទីក (ខេមបូឌា)</t>
        </is>
      </c>
      <c r="D1508" t="inlineStr">
        <is>
          <t>L001-106004107</t>
        </is>
      </c>
      <c r="E1508" t="inlineStr">
        <is>
          <t>9961035024</t>
        </is>
      </c>
      <c r="F1508" t="inlineStr">
        <is>
          <t>07-10-2024</t>
        </is>
      </c>
      <c r="G1508" t="n">
        <v>159165</v>
      </c>
      <c r="I1508">
        <f>G1508</f>
        <v/>
      </c>
      <c r="K1508">
        <f>I1508-G1508</f>
        <v/>
      </c>
      <c r="M1508">
        <f>R1508=E1508</f>
        <v/>
      </c>
      <c r="N1508">
        <f>AND(MONTH(F1508)=MONTH(Q1508), YEAR(F1508)=YEAR(Q1508))</f>
        <v/>
      </c>
      <c r="O1508">
        <f>"L001-902303751"=S1508</f>
        <v/>
      </c>
      <c r="P1508">
        <f>G1508-U1508</f>
        <v/>
      </c>
      <c r="Q1508" s="35" t="n">
        <v>45565</v>
      </c>
      <c r="R1508" t="inlineStr"/>
      <c r="S1508" t="inlineStr">
        <is>
          <t>L001-107032791</t>
        </is>
      </c>
      <c r="T1508" t="inlineStr">
        <is>
          <t>នីបផន អិចប្រេស (ខេមបូឌា) ខូ អិលធីឌី</t>
        </is>
      </c>
      <c r="U1508" t="n">
        <v>0</v>
      </c>
      <c r="V1508" t="n">
        <v>0</v>
      </c>
    </row>
    <row r="1509">
      <c r="A1509" t="n">
        <v>1508</v>
      </c>
      <c r="B1509" t="inlineStr">
        <is>
          <t>Import Shipment Expense</t>
        </is>
      </c>
      <c r="C1509" t="inlineStr">
        <is>
          <t>ហ្វ្រេត ខនសិប (ខេមបូឌា)</t>
        </is>
      </c>
      <c r="D1509" t="inlineStr">
        <is>
          <t>K009-901502482</t>
        </is>
      </c>
      <c r="E1509" t="inlineStr">
        <is>
          <t>241012</t>
        </is>
      </c>
      <c r="F1509" t="inlineStr">
        <is>
          <t>07-10-2024</t>
        </is>
      </c>
      <c r="G1509" t="n">
        <v>83148</v>
      </c>
      <c r="I1509">
        <f>G1509</f>
        <v/>
      </c>
      <c r="K1509">
        <f>I1509-G1509</f>
        <v/>
      </c>
      <c r="M1509">
        <f>R1509=E1509</f>
        <v/>
      </c>
      <c r="N1509">
        <f>AND(MONTH(F1509)=MONTH(Q1509), YEAR(F1509)=YEAR(Q1509))</f>
        <v/>
      </c>
      <c r="O1509">
        <f>"L001-902303751"=S1509</f>
        <v/>
      </c>
      <c r="P1509">
        <f>G1509-U1509</f>
        <v/>
      </c>
      <c r="Q1509" s="35" t="n">
        <v>45555</v>
      </c>
      <c r="R1509" t="n">
        <v>331784</v>
      </c>
      <c r="S1509" t="inlineStr">
        <is>
          <t>K007-901638107</t>
        </is>
      </c>
      <c r="T1509" t="inlineStr">
        <is>
          <t>ហ្វ្រេតាស (ខេមបូឌា) ឯ.ក</t>
        </is>
      </c>
      <c r="U1509" t="n">
        <v>331784</v>
      </c>
      <c r="V1509" t="n">
        <v>0</v>
      </c>
    </row>
    <row r="1510">
      <c r="A1510" t="n">
        <v>1509</v>
      </c>
      <c r="B1510" t="inlineStr">
        <is>
          <t>THC, DOC Fee and Container Imbalance</t>
        </is>
      </c>
      <c r="C1510" t="inlineStr">
        <is>
          <t>សាខាក្រុមហ៊ុន ជីម៉ាឌីប ស៊ីបភីង ខមភេនី លីមីធីត</t>
        </is>
      </c>
      <c r="D1510" t="inlineStr">
        <is>
          <t>L001-901704777</t>
        </is>
      </c>
      <c r="E1510" t="inlineStr">
        <is>
          <t>24-03670</t>
        </is>
      </c>
      <c r="F1510" t="inlineStr">
        <is>
          <t>07-10-2024</t>
        </is>
      </c>
      <c r="G1510" t="n">
        <v>95316</v>
      </c>
      <c r="I1510">
        <f>G1510</f>
        <v/>
      </c>
      <c r="K1510">
        <f>I1510-G1510</f>
        <v/>
      </c>
      <c r="M1510">
        <f>R1510=E1510</f>
        <v/>
      </c>
      <c r="N1510">
        <f>AND(MONTH(F1510)=MONTH(Q1510), YEAR(F1510)=YEAR(Q1510))</f>
        <v/>
      </c>
      <c r="O1510">
        <f>"L001-902303751"=S1510</f>
        <v/>
      </c>
      <c r="P1510">
        <f>G1510-U1510</f>
        <v/>
      </c>
      <c r="Q1510" s="35" t="n">
        <v>45551</v>
      </c>
      <c r="R1510" t="inlineStr"/>
      <c r="S1510" t="inlineStr">
        <is>
          <t>L001-100045995</t>
        </is>
      </c>
      <c r="T1510" t="inlineStr">
        <is>
          <t>ឌីអេចអិល ឡូជីស្ទីក (ខេមបូឌា)</t>
        </is>
      </c>
      <c r="U1510" t="n">
        <v>0</v>
      </c>
      <c r="V1510" t="n">
        <v>0</v>
      </c>
    </row>
    <row r="1511">
      <c r="A1511" t="n">
        <v>1510</v>
      </c>
      <c r="B1511" t="inlineStr">
        <is>
          <t>Cargo Terminal</t>
        </is>
      </c>
      <c r="C1511" t="inlineStr">
        <is>
          <t>សូស៊ីយេតេ កុងសេស្យូនែរ ដឺ ឡាអេរ៉ូព័រ</t>
        </is>
      </c>
      <c r="D1511" t="inlineStr">
        <is>
          <t>L001-100047300</t>
        </is>
      </c>
      <c r="E1511" t="inlineStr">
        <is>
          <t>2400-080110</t>
        </is>
      </c>
      <c r="F1511" t="inlineStr">
        <is>
          <t>07-10-2024</t>
        </is>
      </c>
      <c r="G1511" t="n">
        <v>71662</v>
      </c>
      <c r="I1511">
        <f>G1511</f>
        <v/>
      </c>
      <c r="K1511">
        <f>I1511-G1511</f>
        <v/>
      </c>
      <c r="M1511">
        <f>R1511=E1511</f>
        <v/>
      </c>
      <c r="N1511">
        <f>AND(MONTH(F1511)=MONTH(Q1511), YEAR(F1511)=YEAR(Q1511))</f>
        <v/>
      </c>
      <c r="O1511">
        <f>"L001-902303751"=S1511</f>
        <v/>
      </c>
      <c r="P1511">
        <f>G1511-U1511</f>
        <v/>
      </c>
      <c r="Q1511" s="35" t="n">
        <v>45544</v>
      </c>
      <c r="R1511" t="n">
        <v>112035</v>
      </c>
      <c r="S1511" t="inlineStr">
        <is>
          <t>L001-107032791</t>
        </is>
      </c>
      <c r="T1511" t="inlineStr">
        <is>
          <t>នីបផន អិចប្រេស (ខេមបូឌា) ខូ អិលធីឌី</t>
        </is>
      </c>
      <c r="U1511" t="n">
        <v>112035</v>
      </c>
      <c r="V1511" t="n">
        <v>0</v>
      </c>
    </row>
    <row r="1512">
      <c r="A1512" t="n">
        <v>1511</v>
      </c>
      <c r="B1512" t="inlineStr">
        <is>
          <t>Cargo Terminal</t>
        </is>
      </c>
      <c r="C1512" t="inlineStr">
        <is>
          <t>សូស៊ីយេតេ កុងសេស្យូនែរ ដឺ ឡាអេរ៉ូព័រ</t>
        </is>
      </c>
      <c r="D1512" t="inlineStr">
        <is>
          <t>L001-100047300</t>
        </is>
      </c>
      <c r="E1512" t="inlineStr">
        <is>
          <t>2400-080109</t>
        </is>
      </c>
      <c r="F1512" t="inlineStr">
        <is>
          <t>07-10-2024</t>
        </is>
      </c>
      <c r="G1512" t="n">
        <v>39863</v>
      </c>
      <c r="I1512">
        <f>G1512</f>
        <v/>
      </c>
      <c r="K1512">
        <f>I1512-G1512</f>
        <v/>
      </c>
      <c r="M1512">
        <f>R1512=E1512</f>
        <v/>
      </c>
      <c r="N1512">
        <f>AND(MONTH(F1512)=MONTH(Q1512), YEAR(F1512)=YEAR(Q1512))</f>
        <v/>
      </c>
      <c r="O1512">
        <f>"L001-902303751"=S1512</f>
        <v/>
      </c>
      <c r="P1512">
        <f>G1512-U1512</f>
        <v/>
      </c>
      <c r="Q1512" s="35" t="n">
        <v>45544</v>
      </c>
      <c r="R1512" t="n">
        <v>112035</v>
      </c>
      <c r="S1512" t="inlineStr">
        <is>
          <t>L001-107032791</t>
        </is>
      </c>
      <c r="T1512" t="inlineStr">
        <is>
          <t>នីបផន អិចប្រេស (ខេមបូឌា) ខូ អិលធីឌី</t>
        </is>
      </c>
      <c r="U1512" t="n">
        <v>112035</v>
      </c>
      <c r="V1512" t="n">
        <v>0</v>
      </c>
    </row>
    <row r="1513">
      <c r="A1513" t="n">
        <v>1512</v>
      </c>
      <c r="B1513" t="inlineStr">
        <is>
          <t>Monthly Charge of Photo Copier from 06/09/2024-06/10/2024</t>
        </is>
      </c>
      <c r="C1513" t="inlineStr">
        <is>
          <t>វី.អាយ.អេស ខភៀ ឯ.ក</t>
        </is>
      </c>
      <c r="D1513" t="inlineStr">
        <is>
          <t>K007-901705195</t>
        </is>
      </c>
      <c r="E1513" t="inlineStr">
        <is>
          <t>RNT241026</t>
        </is>
      </c>
      <c r="F1513" t="inlineStr">
        <is>
          <t>06-10-2024</t>
        </is>
      </c>
      <c r="G1513" t="n">
        <v>28413</v>
      </c>
      <c r="I1513">
        <f>G1513</f>
        <v/>
      </c>
      <c r="K1513">
        <f>I1513-G1513</f>
        <v/>
      </c>
      <c r="M1513">
        <f>R1513=E1513</f>
        <v/>
      </c>
      <c r="N1513">
        <f>AND(MONTH(F1513)=MONTH(Q1513), YEAR(F1513)=YEAR(Q1513))</f>
        <v/>
      </c>
      <c r="O1513">
        <f>"L001-902303751"=S1513</f>
        <v/>
      </c>
      <c r="P1513">
        <f>G1513-U1513</f>
        <v/>
      </c>
      <c r="Q1513" s="35" t="n">
        <v>45551</v>
      </c>
      <c r="R1513" t="n">
        <v>172295</v>
      </c>
      <c r="S1513" t="inlineStr">
        <is>
          <t>L001-107032791</t>
        </is>
      </c>
      <c r="T1513" t="inlineStr">
        <is>
          <t>នីបផន អិចប្រេស (ខេមបូឌា) ខូ អិលធីឌី</t>
        </is>
      </c>
      <c r="U1513" t="n">
        <v>172295</v>
      </c>
      <c r="V1513" t="n">
        <v>0</v>
      </c>
    </row>
    <row r="1514">
      <c r="A1514" t="n">
        <v>1513</v>
      </c>
      <c r="B1514" t="inlineStr">
        <is>
          <t>Monthly Charge of Photo Copier from 06/09/2024-06/10/2024</t>
        </is>
      </c>
      <c r="C1514" t="inlineStr">
        <is>
          <t>វី.អាយ.អេស ខភៀ ឯ.ក</t>
        </is>
      </c>
      <c r="D1514" t="inlineStr">
        <is>
          <t>K007-901705195</t>
        </is>
      </c>
      <c r="E1514" t="inlineStr">
        <is>
          <t>RNT241025</t>
        </is>
      </c>
      <c r="F1514" t="inlineStr">
        <is>
          <t>06-10-2024</t>
        </is>
      </c>
      <c r="G1514" t="n">
        <v>56826</v>
      </c>
      <c r="I1514">
        <f>G1514</f>
        <v/>
      </c>
      <c r="K1514">
        <f>I1514-G1514</f>
        <v/>
      </c>
      <c r="M1514">
        <f>R1514=E1514</f>
        <v/>
      </c>
      <c r="N1514">
        <f>AND(MONTH(F1514)=MONTH(Q1514), YEAR(F1514)=YEAR(Q1514))</f>
        <v/>
      </c>
      <c r="O1514">
        <f>"L001-902303751"=S1514</f>
        <v/>
      </c>
      <c r="P1514">
        <f>G1514-U1514</f>
        <v/>
      </c>
      <c r="Q1514" s="35" t="n">
        <v>45551</v>
      </c>
      <c r="R1514" t="inlineStr"/>
      <c r="S1514" t="inlineStr">
        <is>
          <t>L001-107032791</t>
        </is>
      </c>
      <c r="T1514" t="inlineStr">
        <is>
          <t>នីបផន អិចប្រេស (ខេមបូឌា) ខូ អិលធីឌី</t>
        </is>
      </c>
      <c r="U1514" t="n">
        <v>0</v>
      </c>
      <c r="V1514" t="n">
        <v>0</v>
      </c>
    </row>
    <row r="1515">
      <c r="A1515" t="n">
        <v>1514</v>
      </c>
      <c r="B1515" t="inlineStr">
        <is>
          <t>Monthly Charge of Photo Copier from 06/09/2024-06/10/2024</t>
        </is>
      </c>
      <c r="C1515" t="inlineStr">
        <is>
          <t>វី.អាយ.អេស ខភៀ ឯ.ក</t>
        </is>
      </c>
      <c r="D1515" t="inlineStr">
        <is>
          <t>K007-901705195</t>
        </is>
      </c>
      <c r="E1515" t="inlineStr">
        <is>
          <t>RNT241024</t>
        </is>
      </c>
      <c r="F1515" t="inlineStr">
        <is>
          <t>06-10-2024</t>
        </is>
      </c>
      <c r="G1515" t="n">
        <v>28413</v>
      </c>
      <c r="I1515">
        <f>G1515</f>
        <v/>
      </c>
      <c r="K1515">
        <f>I1515-G1515</f>
        <v/>
      </c>
      <c r="M1515">
        <f>R1515=E1515</f>
        <v/>
      </c>
      <c r="N1515">
        <f>AND(MONTH(F1515)=MONTH(Q1515), YEAR(F1515)=YEAR(Q1515))</f>
        <v/>
      </c>
      <c r="O1515">
        <f>"L001-902303751"=S1515</f>
        <v/>
      </c>
      <c r="P1515">
        <f>G1515-U1515</f>
        <v/>
      </c>
      <c r="Q1515" s="35" t="n">
        <v>45551</v>
      </c>
      <c r="R1515" t="inlineStr"/>
      <c r="S1515" t="inlineStr">
        <is>
          <t>L001-107032791</t>
        </is>
      </c>
      <c r="T1515" t="inlineStr">
        <is>
          <t>នីបផន អិចប្រេស (ខេមបូឌា) ខូ អិលធីឌី</t>
        </is>
      </c>
      <c r="U1515" t="n">
        <v>0</v>
      </c>
      <c r="V1515" t="n">
        <v>0</v>
      </c>
    </row>
    <row r="1516">
      <c r="A1516" t="n">
        <v>1515</v>
      </c>
      <c r="B1516" t="inlineStr">
        <is>
          <t>Monthly Charge of Photo Copier from 06/09/2024-06/10/2024</t>
        </is>
      </c>
      <c r="C1516" t="inlineStr">
        <is>
          <t>វី.អាយ.អេស ខភៀ ឯ.ក</t>
        </is>
      </c>
      <c r="D1516" t="inlineStr">
        <is>
          <t>K007-901705195</t>
        </is>
      </c>
      <c r="E1516" t="inlineStr">
        <is>
          <t>RNT241023</t>
        </is>
      </c>
      <c r="F1516" t="inlineStr">
        <is>
          <t>06-10-2024</t>
        </is>
      </c>
      <c r="G1516" t="n">
        <v>26384</v>
      </c>
      <c r="I1516">
        <f>G1516</f>
        <v/>
      </c>
      <c r="K1516">
        <f>I1516-G1516</f>
        <v/>
      </c>
      <c r="M1516">
        <f>R1516=E1516</f>
        <v/>
      </c>
      <c r="N1516">
        <f>AND(MONTH(F1516)=MONTH(Q1516), YEAR(F1516)=YEAR(Q1516))</f>
        <v/>
      </c>
      <c r="O1516">
        <f>"L001-902303751"=S1516</f>
        <v/>
      </c>
      <c r="P1516">
        <f>G1516-U1516</f>
        <v/>
      </c>
      <c r="Q1516" s="35" t="n">
        <v>45551</v>
      </c>
      <c r="R1516" t="n">
        <v>111485</v>
      </c>
      <c r="S1516" t="inlineStr">
        <is>
          <t>L001-107032791</t>
        </is>
      </c>
      <c r="T1516" t="inlineStr">
        <is>
          <t>នីបផន អិចប្រេស (ខេមបូឌា) ខូ អិលធីឌី</t>
        </is>
      </c>
      <c r="U1516" t="n">
        <v>111485</v>
      </c>
      <c r="V1516" t="n">
        <v>0</v>
      </c>
    </row>
    <row r="1517">
      <c r="A1517" t="n">
        <v>1516</v>
      </c>
      <c r="B1517" t="inlineStr">
        <is>
          <t>Monthly Charge of Photo Copier from 06/09/2024-06/10/2024</t>
        </is>
      </c>
      <c r="C1517" t="inlineStr">
        <is>
          <t>វី.អាយ.អេស ខភៀ ឯ.ក</t>
        </is>
      </c>
      <c r="D1517" t="inlineStr">
        <is>
          <t>K007-901705195</t>
        </is>
      </c>
      <c r="E1517" t="inlineStr">
        <is>
          <t>RNT241022</t>
        </is>
      </c>
      <c r="F1517" t="inlineStr">
        <is>
          <t>06-10-2024</t>
        </is>
      </c>
      <c r="G1517" t="n">
        <v>56826</v>
      </c>
      <c r="I1517">
        <f>G1517</f>
        <v/>
      </c>
      <c r="K1517">
        <f>I1517-G1517</f>
        <v/>
      </c>
      <c r="M1517">
        <f>R1517=E1517</f>
        <v/>
      </c>
      <c r="N1517">
        <f>AND(MONTH(F1517)=MONTH(Q1517), YEAR(F1517)=YEAR(Q1517))</f>
        <v/>
      </c>
      <c r="O1517">
        <f>"L001-902303751"=S1517</f>
        <v/>
      </c>
      <c r="P1517">
        <f>G1517-U1517</f>
        <v/>
      </c>
      <c r="Q1517" s="35" t="n">
        <v>45551</v>
      </c>
      <c r="R1517" t="inlineStr"/>
      <c r="S1517" t="inlineStr">
        <is>
          <t>L001-100045995</t>
        </is>
      </c>
      <c r="T1517" t="inlineStr">
        <is>
          <t>ឌីអេចអិល ឡូជីស្ទីក (ខេមបូឌា)</t>
        </is>
      </c>
      <c r="U1517" t="n">
        <v>0</v>
      </c>
      <c r="V1517" t="n">
        <v>0</v>
      </c>
    </row>
    <row r="1518">
      <c r="A1518" t="n">
        <v>1517</v>
      </c>
      <c r="B1518" t="inlineStr">
        <is>
          <t>HAWB Freight, OM Forwarding Fee, H/C and AWB Fee</t>
        </is>
      </c>
      <c r="C1518" t="inlineStr">
        <is>
          <t>អ៊ិចស្ពែឌីធ័រ ខេមបូឌា អិលធីឌី</t>
        </is>
      </c>
      <c r="D1518" t="inlineStr">
        <is>
          <t>L001-100045898</t>
        </is>
      </c>
      <c r="E1518" t="inlineStr">
        <is>
          <t>TI-0292451</t>
        </is>
      </c>
      <c r="F1518" t="inlineStr">
        <is>
          <t>09-10-2024</t>
        </is>
      </c>
      <c r="G1518" t="n">
        <v>46748</v>
      </c>
      <c r="I1518">
        <f>G1518</f>
        <v/>
      </c>
      <c r="K1518">
        <f>I1518-G1518</f>
        <v/>
      </c>
      <c r="M1518">
        <f>R1518=E1518</f>
        <v/>
      </c>
      <c r="N1518">
        <f>AND(MONTH(F1518)=MONTH(Q1518), YEAR(F1518)=YEAR(Q1518))</f>
        <v/>
      </c>
      <c r="O1518">
        <f>"L001-902303751"=S1518</f>
        <v/>
      </c>
      <c r="P1518">
        <f>G1518-U1518</f>
        <v/>
      </c>
      <c r="Q1518" s="35" t="n">
        <v>45537</v>
      </c>
      <c r="R1518" t="inlineStr"/>
      <c r="S1518" t="inlineStr">
        <is>
          <t>K005-901805913</t>
        </is>
      </c>
      <c r="T1518" t="inlineStr">
        <is>
          <t>ស្តារ ខង់ខដ (ខេមបូឌា) ឯ.ក</t>
        </is>
      </c>
      <c r="U1518" t="n">
        <v>0</v>
      </c>
      <c r="V1518" t="n">
        <v>0</v>
      </c>
    </row>
    <row r="1519">
      <c r="A1519" t="n">
        <v>1518</v>
      </c>
      <c r="B1519" t="inlineStr">
        <is>
          <t>Import Shipment Expense</t>
        </is>
      </c>
      <c r="C1519" t="inlineStr">
        <is>
          <t>ផេនដា គ្លូប៊ល ឡូជីស្ទីក (ខេមបូឌា)</t>
        </is>
      </c>
      <c r="D1519" t="inlineStr">
        <is>
          <t>K005-901501155</t>
        </is>
      </c>
      <c r="E1519" t="inlineStr">
        <is>
          <t>PD240407</t>
        </is>
      </c>
      <c r="F1519" t="inlineStr">
        <is>
          <t>09-10-2024</t>
        </is>
      </c>
      <c r="G1519" t="n">
        <v>108946</v>
      </c>
      <c r="I1519">
        <f>G1519</f>
        <v/>
      </c>
      <c r="K1519">
        <f>I1519-G1519</f>
        <v/>
      </c>
      <c r="M1519">
        <f>R1519=E1519</f>
        <v/>
      </c>
      <c r="N1519">
        <f>AND(MONTH(F1519)=MONTH(Q1519), YEAR(F1519)=YEAR(Q1519))</f>
        <v/>
      </c>
      <c r="O1519">
        <f>"L001-902303751"=S1519</f>
        <v/>
      </c>
      <c r="P1519">
        <f>G1519-U1519</f>
        <v/>
      </c>
      <c r="Q1519" s="35" t="n">
        <v>45544</v>
      </c>
      <c r="R1519" t="n">
        <v>83517</v>
      </c>
      <c r="S1519" t="inlineStr">
        <is>
          <t>L001-107032791</t>
        </is>
      </c>
      <c r="T1519" t="inlineStr">
        <is>
          <t>នីបផន អិចប្រេស (ខេមបូឌា) ខូ អិលធីឌី</t>
        </is>
      </c>
      <c r="U1519" t="n">
        <v>83517</v>
      </c>
      <c r="V1519" t="n">
        <v>0</v>
      </c>
    </row>
    <row r="1520">
      <c r="A1520" t="n">
        <v>1519</v>
      </c>
      <c r="B1520" t="inlineStr">
        <is>
          <t>Import Shipment Expense</t>
        </is>
      </c>
      <c r="C1520" t="inlineStr">
        <is>
          <t>ស្តារ ខង់ខដ (ខេមបូឌា) ឯ.ក</t>
        </is>
      </c>
      <c r="D1520" t="inlineStr">
        <is>
          <t>K005-901805913</t>
        </is>
      </c>
      <c r="E1520" t="inlineStr">
        <is>
          <t>KHMTAXIV2410004494</t>
        </is>
      </c>
      <c r="F1520" t="inlineStr">
        <is>
          <t>09-10-2024</t>
        </is>
      </c>
      <c r="G1520" t="n">
        <v>59464</v>
      </c>
      <c r="I1520">
        <f>G1520</f>
        <v/>
      </c>
      <c r="K1520">
        <f>I1520-G1520</f>
        <v/>
      </c>
      <c r="M1520">
        <f>R1520=E1520</f>
        <v/>
      </c>
      <c r="N1520">
        <f>AND(MONTH(F1520)=MONTH(Q1520), YEAR(F1520)=YEAR(Q1520))</f>
        <v/>
      </c>
      <c r="O1520">
        <f>"L001-902303751"=S1520</f>
        <v/>
      </c>
      <c r="P1520">
        <f>G1520-U1520</f>
        <v/>
      </c>
      <c r="Q1520" s="35" t="n">
        <v>45544</v>
      </c>
      <c r="R1520" t="n">
        <v>83517</v>
      </c>
      <c r="S1520" t="inlineStr">
        <is>
          <t>L001-107032791</t>
        </is>
      </c>
      <c r="T1520" t="inlineStr">
        <is>
          <t>នីបផន អិចប្រេស (ខេមបូឌា) ខូ អិលធីឌី</t>
        </is>
      </c>
      <c r="U1520" t="n">
        <v>83517</v>
      </c>
      <c r="V1520" t="n">
        <v>0</v>
      </c>
    </row>
    <row r="1521">
      <c r="A1521" t="n">
        <v>1520</v>
      </c>
      <c r="B1521" t="inlineStr">
        <is>
          <t>Import Shipment Expense</t>
        </is>
      </c>
      <c r="C1521" t="inlineStr">
        <is>
          <t>ហ្វ្រេត ខនសិប (ខេមបូឌា)</t>
        </is>
      </c>
      <c r="D1521" t="inlineStr">
        <is>
          <t>K009-901502482</t>
        </is>
      </c>
      <c r="E1521" t="inlineStr">
        <is>
          <t>241034</t>
        </is>
      </c>
      <c r="F1521" t="inlineStr">
        <is>
          <t>09-10-2024</t>
        </is>
      </c>
      <c r="G1521" t="n">
        <v>191177</v>
      </c>
      <c r="I1521">
        <f>G1521</f>
        <v/>
      </c>
      <c r="K1521">
        <f>I1521-G1521</f>
        <v/>
      </c>
      <c r="M1521">
        <f>R1521=E1521</f>
        <v/>
      </c>
      <c r="N1521">
        <f>AND(MONTH(F1521)=MONTH(Q1521), YEAR(F1521)=YEAR(Q1521))</f>
        <v/>
      </c>
      <c r="O1521">
        <f>"L001-902303751"=S1521</f>
        <v/>
      </c>
      <c r="P1521">
        <f>G1521-U1521</f>
        <v/>
      </c>
      <c r="Q1521" s="35" t="n">
        <v>45565</v>
      </c>
      <c r="R1521" t="inlineStr"/>
      <c r="S1521" t="inlineStr">
        <is>
          <t>L001-107032791</t>
        </is>
      </c>
      <c r="T1521" t="inlineStr">
        <is>
          <t>នីបផន អិចប្រេស (ខេមបូឌា) ខូ អិលធីឌី</t>
        </is>
      </c>
      <c r="U1521" t="n">
        <v>0</v>
      </c>
      <c r="V1521" t="n">
        <v>0</v>
      </c>
    </row>
    <row r="1522">
      <c r="A1522" t="n">
        <v>1521</v>
      </c>
      <c r="B1522" t="inlineStr">
        <is>
          <t>Cargo Terminal</t>
        </is>
      </c>
      <c r="C1522" t="inlineStr">
        <is>
          <t>សូស៊ីយេតេ កុងសេស្យូនែរ ដឺ ឡាអេរ៉ូព័រ</t>
        </is>
      </c>
      <c r="D1522" t="inlineStr">
        <is>
          <t>L001-100047300</t>
        </is>
      </c>
      <c r="E1522" t="inlineStr">
        <is>
          <t>2400-080951</t>
        </is>
      </c>
      <c r="F1522" t="inlineStr">
        <is>
          <t>09-10-2024</t>
        </is>
      </c>
      <c r="G1522" t="n">
        <v>38603</v>
      </c>
      <c r="I1522">
        <f>G1522</f>
        <v/>
      </c>
      <c r="K1522">
        <f>I1522-G1522</f>
        <v/>
      </c>
      <c r="M1522">
        <f>R1522=E1522</f>
        <v/>
      </c>
      <c r="N1522">
        <f>AND(MONTH(F1522)=MONTH(Q1522), YEAR(F1522)=YEAR(Q1522))</f>
        <v/>
      </c>
      <c r="O1522">
        <f>"L001-902303751"=S1522</f>
        <v/>
      </c>
      <c r="P1522">
        <f>G1522-U1522</f>
        <v/>
      </c>
      <c r="Q1522" s="35" t="n">
        <v>45565</v>
      </c>
      <c r="R1522" t="inlineStr"/>
      <c r="S1522" t="inlineStr">
        <is>
          <t>L001-107032791</t>
        </is>
      </c>
      <c r="T1522" t="inlineStr">
        <is>
          <t>នីបផន អិចប្រេស (ខេមបូឌា) ខូ អិលធីឌី</t>
        </is>
      </c>
      <c r="U1522" t="n">
        <v>0</v>
      </c>
      <c r="V1522" t="n">
        <v>0</v>
      </c>
    </row>
    <row r="1523">
      <c r="A1523" t="n">
        <v>1522</v>
      </c>
      <c r="B1523" t="inlineStr">
        <is>
          <t>Cargo Terminal</t>
        </is>
      </c>
      <c r="C1523" t="inlineStr">
        <is>
          <t>សូស៊ីយេតេ កុងសេស្យូនែរ ដឺ ឡាអេរ៉ូព័រ</t>
        </is>
      </c>
      <c r="D1523" t="inlineStr">
        <is>
          <t>L001-100047300</t>
        </is>
      </c>
      <c r="E1523" t="inlineStr">
        <is>
          <t>2400-080645</t>
        </is>
      </c>
      <c r="F1523" t="inlineStr">
        <is>
          <t>09-10-2024</t>
        </is>
      </c>
      <c r="G1523" t="n">
        <v>38307</v>
      </c>
      <c r="I1523">
        <f>G1523</f>
        <v/>
      </c>
      <c r="K1523">
        <f>I1523-G1523</f>
        <v/>
      </c>
      <c r="M1523">
        <f>R1523=E1523</f>
        <v/>
      </c>
      <c r="N1523">
        <f>AND(MONTH(F1523)=MONTH(Q1523), YEAR(F1523)=YEAR(Q1523))</f>
        <v/>
      </c>
      <c r="O1523">
        <f>"L001-902303751"=S1523</f>
        <v/>
      </c>
      <c r="P1523">
        <f>G1523-U1523</f>
        <v/>
      </c>
      <c r="Q1523" s="35" t="n">
        <v>45551</v>
      </c>
      <c r="R1523" t="n">
        <v>111485</v>
      </c>
      <c r="S1523" t="inlineStr">
        <is>
          <t>L001-107032791</t>
        </is>
      </c>
      <c r="T1523" t="inlineStr">
        <is>
          <t>នីបផន អិចប្រេស (ខេមបូឌា) ខូ អិលធីឌី</t>
        </is>
      </c>
      <c r="U1523" t="n">
        <v>111485</v>
      </c>
      <c r="V1523" t="n">
        <v>0</v>
      </c>
    </row>
    <row r="1524">
      <c r="A1524" t="n">
        <v>1523</v>
      </c>
      <c r="B1524" t="inlineStr">
        <is>
          <t>Cargo Terminal</t>
        </is>
      </c>
      <c r="C1524" t="inlineStr">
        <is>
          <t>សូស៊ីយេតេ កុងសេស្យូនែរ ដឺ ឡាអេរ៉ូព័រ</t>
        </is>
      </c>
      <c r="D1524" t="inlineStr">
        <is>
          <t>L001-100047300</t>
        </is>
      </c>
      <c r="E1524" t="inlineStr">
        <is>
          <t>2400-080644</t>
        </is>
      </c>
      <c r="F1524" t="inlineStr">
        <is>
          <t>09-10-2024</t>
        </is>
      </c>
      <c r="G1524" t="n">
        <v>37398</v>
      </c>
      <c r="I1524">
        <f>G1524</f>
        <v/>
      </c>
      <c r="K1524">
        <f>I1524-G1524</f>
        <v/>
      </c>
      <c r="M1524">
        <f>R1524=E1524</f>
        <v/>
      </c>
      <c r="N1524">
        <f>AND(MONTH(F1524)=MONTH(Q1524), YEAR(F1524)=YEAR(Q1524))</f>
        <v/>
      </c>
      <c r="O1524">
        <f>"L001-902303751"=S1524</f>
        <v/>
      </c>
      <c r="P1524">
        <f>G1524-U1524</f>
        <v/>
      </c>
      <c r="Q1524" s="35" t="n">
        <v>45558</v>
      </c>
      <c r="R1524" t="inlineStr"/>
      <c r="S1524" t="inlineStr">
        <is>
          <t>L001-107032791</t>
        </is>
      </c>
      <c r="T1524" t="inlineStr">
        <is>
          <t>នីបផន អិចប្រេស (ខេមបូឌា) ខូ អិលធីឌី</t>
        </is>
      </c>
      <c r="U1524" t="n">
        <v>0</v>
      </c>
      <c r="V1524" t="n">
        <v>0</v>
      </c>
    </row>
    <row r="1525">
      <c r="A1525" t="n">
        <v>1524</v>
      </c>
      <c r="B1525" t="inlineStr">
        <is>
          <t>Cargo Terminal</t>
        </is>
      </c>
      <c r="C1525" t="inlineStr">
        <is>
          <t>សូស៊ីយេតេ កុងសេស្យូនែរ ដឺ ឡាអេរ៉ូព័រ</t>
        </is>
      </c>
      <c r="D1525" t="inlineStr">
        <is>
          <t>L001-100047300</t>
        </is>
      </c>
      <c r="E1525" t="inlineStr">
        <is>
          <t>2400-080643</t>
        </is>
      </c>
      <c r="F1525" t="inlineStr">
        <is>
          <t>09-10-2024</t>
        </is>
      </c>
      <c r="G1525" t="n">
        <v>18862</v>
      </c>
      <c r="I1525">
        <f>G1525</f>
        <v/>
      </c>
      <c r="K1525">
        <f>I1525-G1525</f>
        <v/>
      </c>
      <c r="M1525">
        <f>R1525=E1525</f>
        <v/>
      </c>
      <c r="N1525">
        <f>AND(MONTH(F1525)=MONTH(Q1525), YEAR(F1525)=YEAR(Q1525))</f>
        <v/>
      </c>
      <c r="O1525">
        <f>"L001-902303751"=S1525</f>
        <v/>
      </c>
      <c r="P1525">
        <f>G1525-U1525</f>
        <v/>
      </c>
      <c r="Q1525" s="35" t="n">
        <v>45551</v>
      </c>
      <c r="R1525" t="inlineStr"/>
      <c r="S1525" t="inlineStr">
        <is>
          <t>L001-107032791</t>
        </is>
      </c>
      <c r="T1525" t="inlineStr">
        <is>
          <t>នីបផន អិចប្រេស (ខេមបូឌា) ខូ អិលធីឌី</t>
        </is>
      </c>
      <c r="U1525" t="n">
        <v>0</v>
      </c>
      <c r="V1525" t="n">
        <v>0</v>
      </c>
    </row>
    <row r="1526">
      <c r="A1526" t="n">
        <v>1525</v>
      </c>
      <c r="B1526" t="inlineStr">
        <is>
          <t>Cargo Terminal</t>
        </is>
      </c>
      <c r="C1526" t="inlineStr">
        <is>
          <t>សូស៊ីយេតេ កុងសេស្យូនែរ ដឺ ឡាអេរ៉ូព័រ</t>
        </is>
      </c>
      <c r="D1526" t="inlineStr">
        <is>
          <t>L001-100047300</t>
        </is>
      </c>
      <c r="E1526" t="inlineStr">
        <is>
          <t>2400-080642</t>
        </is>
      </c>
      <c r="F1526" t="inlineStr">
        <is>
          <t>09-10-2024</t>
        </is>
      </c>
      <c r="G1526" t="n">
        <v>24423</v>
      </c>
      <c r="I1526">
        <f>G1526</f>
        <v/>
      </c>
      <c r="K1526">
        <f>I1526-G1526</f>
        <v/>
      </c>
      <c r="M1526">
        <f>R1526=E1526</f>
        <v/>
      </c>
      <c r="N1526">
        <f>AND(MONTH(F1526)=MONTH(Q1526), YEAR(F1526)=YEAR(Q1526))</f>
        <v/>
      </c>
      <c r="O1526">
        <f>"L001-902303751"=S1526</f>
        <v/>
      </c>
      <c r="P1526">
        <f>G1526-U1526</f>
        <v/>
      </c>
      <c r="Q1526" s="35" t="n">
        <v>45551</v>
      </c>
      <c r="R1526" t="inlineStr"/>
      <c r="S1526" t="inlineStr">
        <is>
          <t>L001-107032791</t>
        </is>
      </c>
      <c r="T1526" t="inlineStr">
        <is>
          <t>នីបផន អិចប្រេស (ខេមបូឌា) ខូ អិលធីឌី</t>
        </is>
      </c>
      <c r="U1526" t="n">
        <v>0</v>
      </c>
      <c r="V1526" t="n">
        <v>0</v>
      </c>
    </row>
    <row r="1527">
      <c r="A1527" t="n">
        <v>1526</v>
      </c>
      <c r="B1527" t="inlineStr">
        <is>
          <t>Documentation Origin, Entry Summary Declaration, Seal Surcharge, VGM Processing Fee, Handling Charges and Terminal Handling Charges s</t>
        </is>
      </c>
      <c r="C1527" t="inlineStr">
        <is>
          <t>ឌីប៊ី សេនឃើរ (ខេមបូឌា) លីមីធីត</t>
        </is>
      </c>
      <c r="D1527" t="inlineStr">
        <is>
          <t>L001-107041723</t>
        </is>
      </c>
      <c r="E1527" t="inlineStr">
        <is>
          <t>2400008103</t>
        </is>
      </c>
      <c r="F1527" t="inlineStr">
        <is>
          <t>09-10-2024</t>
        </is>
      </c>
      <c r="G1527" t="n">
        <v>144308</v>
      </c>
      <c r="I1527">
        <f>G1527</f>
        <v/>
      </c>
      <c r="K1527">
        <f>I1527-G1527</f>
        <v/>
      </c>
      <c r="M1527">
        <f>R1527=E1527</f>
        <v/>
      </c>
      <c r="N1527">
        <f>AND(MONTH(F1527)=MONTH(Q1527), YEAR(F1527)=YEAR(Q1527))</f>
        <v/>
      </c>
      <c r="O1527">
        <f>"L001-902303751"=S1527</f>
        <v/>
      </c>
      <c r="P1527">
        <f>G1527-U1527</f>
        <v/>
      </c>
      <c r="Q1527" s="35" t="n">
        <v>45537</v>
      </c>
      <c r="R1527" t="n">
        <v>172508</v>
      </c>
      <c r="S1527" t="inlineStr">
        <is>
          <t>L001-107032791</t>
        </is>
      </c>
      <c r="T1527" t="inlineStr">
        <is>
          <t>នីបផន អិចប្រេស (ខេមបូឌា) ខូ អិលធីឌី</t>
        </is>
      </c>
      <c r="U1527" t="n">
        <v>172508</v>
      </c>
      <c r="V1527" t="n">
        <v>0</v>
      </c>
    </row>
    <row r="1528">
      <c r="A1528" t="n">
        <v>1527</v>
      </c>
      <c r="B1528" t="inlineStr">
        <is>
          <t>Charge from Warehouse/cy to trucks and Storage Charges</t>
        </is>
      </c>
      <c r="C1528" t="inlineStr">
        <is>
          <t>កំពង់ផែស្វយ័តក្រុងព្រះសីហនុ</t>
        </is>
      </c>
      <c r="D1528" t="inlineStr">
        <is>
          <t>L001-100044638</t>
        </is>
      </c>
      <c r="E1528" t="inlineStr">
        <is>
          <t>207578</t>
        </is>
      </c>
      <c r="F1528" t="inlineStr">
        <is>
          <t>09-10-2024</t>
        </is>
      </c>
      <c r="G1528" t="n">
        <v>661</v>
      </c>
      <c r="I1528">
        <f>G1528</f>
        <v/>
      </c>
      <c r="K1528">
        <f>I1528-G1528</f>
        <v/>
      </c>
      <c r="M1528">
        <f>R1528=E1528</f>
        <v/>
      </c>
      <c r="N1528">
        <f>AND(MONTH(F1528)=MONTH(Q1528), YEAR(F1528)=YEAR(Q1528))</f>
        <v/>
      </c>
      <c r="O1528">
        <f>"L001-902303751"=S1528</f>
        <v/>
      </c>
      <c r="P1528">
        <f>G1528-U1528</f>
        <v/>
      </c>
      <c r="Q1528" s="35" t="n">
        <v>45565</v>
      </c>
      <c r="R1528" t="inlineStr"/>
      <c r="S1528" t="inlineStr">
        <is>
          <t>K005-100150195</t>
        </is>
      </c>
      <c r="T1528" t="inlineStr">
        <is>
          <t>អេស អ វី ស៊ី ហ្វ្រេត សឺវីស (ខេមបូឌា) ខូ អិលធីឌី</t>
        </is>
      </c>
      <c r="U1528" t="n">
        <v>0</v>
      </c>
      <c r="V1528" t="n">
        <v>0</v>
      </c>
    </row>
    <row r="1529">
      <c r="A1529" t="n">
        <v>1528</v>
      </c>
      <c r="B1529" t="inlineStr">
        <is>
          <t>Send Docs and Material</t>
        </is>
      </c>
      <c r="C1529" t="inlineStr">
        <is>
          <t>ឌី អេច អិល អិចប្រេស (ខេមបូឌា)</t>
        </is>
      </c>
      <c r="D1529" t="inlineStr">
        <is>
          <t>L001-100045197</t>
        </is>
      </c>
      <c r="E1529" t="inlineStr">
        <is>
          <t>PNHR000506431</t>
        </is>
      </c>
      <c r="F1529" t="inlineStr">
        <is>
          <t>10-10-2024</t>
        </is>
      </c>
      <c r="G1529" t="n">
        <v>54184</v>
      </c>
      <c r="I1529">
        <f>G1529</f>
        <v/>
      </c>
      <c r="K1529">
        <f>I1529-G1529</f>
        <v/>
      </c>
      <c r="M1529">
        <f>R1529=E1529</f>
        <v/>
      </c>
      <c r="N1529">
        <f>AND(MONTH(F1529)=MONTH(Q1529), YEAR(F1529)=YEAR(Q1529))</f>
        <v/>
      </c>
      <c r="O1529">
        <f>"L001-902303751"=S1529</f>
        <v/>
      </c>
      <c r="P1529">
        <f>G1529-U1529</f>
        <v/>
      </c>
      <c r="Q1529" s="35" t="n">
        <v>45558</v>
      </c>
      <c r="R1529" t="n">
        <v>172678</v>
      </c>
      <c r="S1529" t="inlineStr">
        <is>
          <t>L001-100045995</t>
        </is>
      </c>
      <c r="T1529" t="inlineStr">
        <is>
          <t>ឌីអេចអិល ឡូជីស្ទីក (ខេមបូឌា)</t>
        </is>
      </c>
      <c r="U1529" t="n">
        <v>172678</v>
      </c>
      <c r="V1529" t="n">
        <v>0</v>
      </c>
    </row>
    <row r="1530">
      <c r="A1530" t="n">
        <v>1529</v>
      </c>
      <c r="B1530" t="inlineStr">
        <is>
          <t>Send Material and Docs</t>
        </is>
      </c>
      <c r="C1530" t="inlineStr">
        <is>
          <t>ឌី អេច អិល អិចប្រេស (ខេមបូឌា)</t>
        </is>
      </c>
      <c r="D1530" t="inlineStr">
        <is>
          <t>L001-100045197</t>
        </is>
      </c>
      <c r="E1530" t="inlineStr">
        <is>
          <t>PNHIR00246590</t>
        </is>
      </c>
      <c r="F1530" t="inlineStr">
        <is>
          <t>10-10-2024</t>
        </is>
      </c>
      <c r="G1530" t="n">
        <v>255715</v>
      </c>
      <c r="I1530">
        <f>G1530</f>
        <v/>
      </c>
      <c r="K1530">
        <f>I1530-G1530</f>
        <v/>
      </c>
      <c r="M1530">
        <f>R1530=E1530</f>
        <v/>
      </c>
      <c r="N1530">
        <f>AND(MONTH(F1530)=MONTH(Q1530), YEAR(F1530)=YEAR(Q1530))</f>
        <v/>
      </c>
      <c r="O1530">
        <f>"L001-902303751"=S1530</f>
        <v/>
      </c>
      <c r="P1530">
        <f>G1530-U1530</f>
        <v/>
      </c>
      <c r="Q1530" s="35" t="n">
        <v>45558</v>
      </c>
      <c r="R1530" t="inlineStr"/>
      <c r="S1530" t="inlineStr">
        <is>
          <t>K005-901805913</t>
        </is>
      </c>
      <c r="T1530" t="inlineStr">
        <is>
          <t>ស្តារ ខង់ខដ (ខេមបូឌា) ឯ.ក</t>
        </is>
      </c>
      <c r="U1530" t="n">
        <v>0</v>
      </c>
      <c r="V1530" t="n">
        <v>0</v>
      </c>
    </row>
    <row r="1531">
      <c r="A1531" t="n">
        <v>1530</v>
      </c>
      <c r="B1531" t="inlineStr">
        <is>
          <t>Send Docs</t>
        </is>
      </c>
      <c r="C1531" t="inlineStr">
        <is>
          <t>ឌី អេច អិល អិចប្រេស (ខេមបូឌា)</t>
        </is>
      </c>
      <c r="D1531" t="inlineStr">
        <is>
          <t>L001-100045197</t>
        </is>
      </c>
      <c r="E1531" t="inlineStr">
        <is>
          <t>PNHIR00246570</t>
        </is>
      </c>
      <c r="F1531" t="inlineStr">
        <is>
          <t>10-10-2024</t>
        </is>
      </c>
      <c r="G1531" t="n">
        <v>6099</v>
      </c>
      <c r="I1531">
        <f>G1531</f>
        <v/>
      </c>
      <c r="K1531">
        <f>I1531-G1531</f>
        <v/>
      </c>
      <c r="M1531">
        <f>R1531=E1531</f>
        <v/>
      </c>
      <c r="N1531">
        <f>AND(MONTH(F1531)=MONTH(Q1531), YEAR(F1531)=YEAR(Q1531))</f>
        <v/>
      </c>
      <c r="O1531">
        <f>"L001-902303751"=S1531</f>
        <v/>
      </c>
      <c r="P1531">
        <f>G1531-U1531</f>
        <v/>
      </c>
      <c r="Q1531" s="35" t="n">
        <v>45551</v>
      </c>
      <c r="R1531" t="n">
        <v>83107</v>
      </c>
      <c r="S1531" t="inlineStr">
        <is>
          <t>L001-100045995</t>
        </is>
      </c>
      <c r="T1531" t="inlineStr">
        <is>
          <t>ឌីអេចអិល ឡូជីស្ទីក (ខេមបូឌា)</t>
        </is>
      </c>
      <c r="U1531" t="n">
        <v>83107</v>
      </c>
      <c r="V1531" t="n">
        <v>0</v>
      </c>
    </row>
    <row r="1532">
      <c r="A1532" t="n">
        <v>1531</v>
      </c>
      <c r="B1532" t="inlineStr">
        <is>
          <t>Lift-On Charges 20" Full and Gate Fee Charges 20" Full</t>
        </is>
      </c>
      <c r="C1532" t="inlineStr">
        <is>
          <t>កំពង់ផែស្វយ័តភ្នំពេញ "ក.ស.ភ"</t>
        </is>
      </c>
      <c r="D1532" t="inlineStr">
        <is>
          <t>L001-100044999</t>
        </is>
      </c>
      <c r="E1532" t="inlineStr">
        <is>
          <t>INV20241075684</t>
        </is>
      </c>
      <c r="F1532" t="inlineStr">
        <is>
          <t>10-10-2024</t>
        </is>
      </c>
      <c r="G1532" t="n">
        <v>18704</v>
      </c>
      <c r="I1532">
        <f>G1532</f>
        <v/>
      </c>
      <c r="K1532">
        <f>I1532-G1532</f>
        <v/>
      </c>
      <c r="M1532">
        <f>R1532=E1532</f>
        <v/>
      </c>
      <c r="N1532">
        <f>AND(MONTH(F1532)=MONTH(Q1532), YEAR(F1532)=YEAR(Q1532))</f>
        <v/>
      </c>
      <c r="O1532">
        <f>"L001-902303751"=S1532</f>
        <v/>
      </c>
      <c r="P1532">
        <f>G1532-U1532</f>
        <v/>
      </c>
      <c r="Q1532" s="35" t="n">
        <v>45551</v>
      </c>
      <c r="R1532" t="n">
        <v>83107</v>
      </c>
      <c r="S1532" t="inlineStr">
        <is>
          <t>L001-901500191</t>
        </is>
      </c>
      <c r="T1532" t="inlineStr">
        <is>
          <t>អ.អិន.វ៉ាយ ត្រេនស្ព័ត</t>
        </is>
      </c>
      <c r="U1532" t="n">
        <v>83107</v>
      </c>
      <c r="V1532" t="n">
        <v>0</v>
      </c>
    </row>
    <row r="1533">
      <c r="A1533" t="n">
        <v>1532</v>
      </c>
      <c r="B1533" t="inlineStr">
        <is>
          <t>Cargo Terminal</t>
        </is>
      </c>
      <c r="C1533" t="inlineStr">
        <is>
          <t>សូស៊ីយេតេ កុងសេស្យូនែរ ដឺ ឡាអេរ៉ូព័រ</t>
        </is>
      </c>
      <c r="D1533" t="inlineStr">
        <is>
          <t>L001-100047300</t>
        </is>
      </c>
      <c r="E1533" t="inlineStr">
        <is>
          <t>2400-081223</t>
        </is>
      </c>
      <c r="F1533" t="inlineStr">
        <is>
          <t>10-10-2024</t>
        </is>
      </c>
      <c r="G1533" t="n">
        <v>4162</v>
      </c>
      <c r="I1533">
        <f>G1533</f>
        <v/>
      </c>
      <c r="K1533">
        <f>I1533-G1533</f>
        <v/>
      </c>
      <c r="M1533">
        <f>R1533=E1533</f>
        <v/>
      </c>
      <c r="N1533">
        <f>AND(MONTH(F1533)=MONTH(Q1533), YEAR(F1533)=YEAR(Q1533))</f>
        <v/>
      </c>
      <c r="O1533">
        <f>"L001-902303751"=S1533</f>
        <v/>
      </c>
      <c r="P1533">
        <f>G1533-U1533</f>
        <v/>
      </c>
      <c r="Q1533" s="35" t="n">
        <v>45558</v>
      </c>
      <c r="R1533" t="inlineStr"/>
      <c r="S1533" t="inlineStr">
        <is>
          <t>L001-107032791</t>
        </is>
      </c>
      <c r="T1533" t="inlineStr">
        <is>
          <t>នីបផន អិចប្រេស (ខេមបូឌា) ខូ អិលធីឌី</t>
        </is>
      </c>
      <c r="U1533" t="n">
        <v>0</v>
      </c>
      <c r="V1533" t="n">
        <v>0</v>
      </c>
    </row>
    <row r="1534">
      <c r="A1534" t="n">
        <v>1533</v>
      </c>
      <c r="B1534" t="inlineStr">
        <is>
          <t>Demurage and storage</t>
        </is>
      </c>
      <c r="C1534" t="inlineStr">
        <is>
          <t>ហ្វ្រេតាស (ខេមបូឌា) ឯ.ក</t>
        </is>
      </c>
      <c r="D1534" t="inlineStr">
        <is>
          <t>K007-901638107</t>
        </is>
      </c>
      <c r="E1534" t="inlineStr">
        <is>
          <t>Y24-120</t>
        </is>
      </c>
      <c r="F1534" t="inlineStr">
        <is>
          <t>08-10-2024</t>
        </is>
      </c>
      <c r="G1534" t="n">
        <v>12192</v>
      </c>
      <c r="I1534">
        <f>G1534</f>
        <v/>
      </c>
      <c r="K1534">
        <f>I1534-G1534</f>
        <v/>
      </c>
      <c r="M1534">
        <f>R1534=E1534</f>
        <v/>
      </c>
      <c r="N1534">
        <f>AND(MONTH(F1534)=MONTH(Q1534), YEAR(F1534)=YEAR(Q1534))</f>
        <v/>
      </c>
      <c r="O1534">
        <f>"L001-902303751"=S1534</f>
        <v/>
      </c>
      <c r="P1534">
        <f>G1534-U1534</f>
        <v/>
      </c>
      <c r="Q1534" s="35" t="n">
        <v>45558</v>
      </c>
      <c r="R1534" t="n">
        <v>83292</v>
      </c>
      <c r="S1534" t="inlineStr">
        <is>
          <t>L001-107032791</t>
        </is>
      </c>
      <c r="T1534" t="inlineStr">
        <is>
          <t>នីបផន អិចប្រេស (ខេមបូឌា) ខូ អិលធីឌី</t>
        </is>
      </c>
      <c r="U1534" t="n">
        <v>83292</v>
      </c>
      <c r="V1534" t="n">
        <v>0</v>
      </c>
    </row>
    <row r="1535">
      <c r="A1535" t="n">
        <v>1534</v>
      </c>
      <c r="B1535" t="inlineStr">
        <is>
          <t>HAWB Freight, OM Forwarding Fee, H/C, AWB Fee, OT Warehouse and Finished</t>
        </is>
      </c>
      <c r="C1535" t="inlineStr">
        <is>
          <t>អ៊ិចស្ពែឌីធ័រ ខេមបូឌា អិលធីឌី</t>
        </is>
      </c>
      <c r="D1535" t="inlineStr">
        <is>
          <t>L001-100045898</t>
        </is>
      </c>
      <c r="E1535" t="inlineStr">
        <is>
          <t>TI-0292182</t>
        </is>
      </c>
      <c r="F1535" t="inlineStr">
        <is>
          <t>08-10-2024</t>
        </is>
      </c>
      <c r="G1535" t="n">
        <v>65024</v>
      </c>
      <c r="I1535">
        <f>G1535</f>
        <v/>
      </c>
      <c r="K1535">
        <f>I1535-G1535</f>
        <v/>
      </c>
      <c r="M1535">
        <f>R1535=E1535</f>
        <v/>
      </c>
      <c r="N1535">
        <f>AND(MONTH(F1535)=MONTH(Q1535), YEAR(F1535)=YEAR(Q1535))</f>
        <v/>
      </c>
      <c r="O1535">
        <f>"L001-902303751"=S1535</f>
        <v/>
      </c>
      <c r="P1535">
        <f>G1535-U1535</f>
        <v/>
      </c>
      <c r="Q1535" s="35" t="n">
        <v>45558</v>
      </c>
      <c r="R1535" t="inlineStr"/>
      <c r="S1535" t="inlineStr">
        <is>
          <t>L001-100045995</t>
        </is>
      </c>
      <c r="T1535" t="inlineStr">
        <is>
          <t>ឌីអេចអិល ឡូជីស្ទីក (ខេមបូឌា)</t>
        </is>
      </c>
      <c r="U1535" t="n">
        <v>0</v>
      </c>
      <c r="V1535" t="n">
        <v>0</v>
      </c>
    </row>
    <row r="1536">
      <c r="A1536" t="n">
        <v>1535</v>
      </c>
      <c r="B1536" t="inlineStr">
        <is>
          <t>HAWB Freight, OM Forwarding Fee, H/C and AWB Fee</t>
        </is>
      </c>
      <c r="C1536" t="inlineStr">
        <is>
          <t>អ៊ិចស្ពែឌីធ័រ ខេមបូឌា អិលធីឌី</t>
        </is>
      </c>
      <c r="D1536" t="inlineStr">
        <is>
          <t>L001-100045898</t>
        </is>
      </c>
      <c r="E1536" t="inlineStr">
        <is>
          <t>TI-0291890</t>
        </is>
      </c>
      <c r="F1536" t="inlineStr">
        <is>
          <t>08-10-2024</t>
        </is>
      </c>
      <c r="G1536" t="n">
        <v>46736</v>
      </c>
      <c r="I1536">
        <f>G1536</f>
        <v/>
      </c>
      <c r="K1536">
        <f>I1536-G1536</f>
        <v/>
      </c>
      <c r="M1536">
        <f>R1536=E1536</f>
        <v/>
      </c>
      <c r="N1536">
        <f>AND(MONTH(F1536)=MONTH(Q1536), YEAR(F1536)=YEAR(Q1536))</f>
        <v/>
      </c>
      <c r="O1536">
        <f>"L001-902303751"=S1536</f>
        <v/>
      </c>
      <c r="P1536">
        <f>G1536-U1536</f>
        <v/>
      </c>
      <c r="Q1536" s="35" t="n">
        <v>45551</v>
      </c>
      <c r="R1536" t="inlineStr"/>
      <c r="S1536" t="inlineStr">
        <is>
          <t>K005-901805913</t>
        </is>
      </c>
      <c r="T1536" t="inlineStr">
        <is>
          <t>ស្តារ ខង់ខដ (ខេមបូឌា) ឯ.ក</t>
        </is>
      </c>
      <c r="U1536" t="n">
        <v>0</v>
      </c>
      <c r="V1536" t="n">
        <v>0</v>
      </c>
    </row>
    <row r="1537">
      <c r="A1537" t="n">
        <v>1536</v>
      </c>
      <c r="B1537" t="inlineStr">
        <is>
          <t>Charge from Warehouse/cy to trucks and Storage Charges</t>
        </is>
      </c>
      <c r="C1537" t="inlineStr">
        <is>
          <t>កំពង់ផែស្វយ័តក្រុងព្រះសីហនុ</t>
        </is>
      </c>
      <c r="D1537" t="inlineStr">
        <is>
          <t>L001-100044638</t>
        </is>
      </c>
      <c r="E1537" t="inlineStr">
        <is>
          <t>206337</t>
        </is>
      </c>
      <c r="F1537" t="inlineStr">
        <is>
          <t>08-10-2024</t>
        </is>
      </c>
      <c r="G1537" t="n">
        <v>946</v>
      </c>
      <c r="I1537">
        <f>G1537</f>
        <v/>
      </c>
      <c r="K1537">
        <f>I1537-G1537</f>
        <v/>
      </c>
      <c r="M1537">
        <f>R1537=E1537</f>
        <v/>
      </c>
      <c r="N1537">
        <f>AND(MONTH(F1537)=MONTH(Q1537), YEAR(F1537)=YEAR(Q1537))</f>
        <v/>
      </c>
      <c r="O1537">
        <f>"L001-902303751"=S1537</f>
        <v/>
      </c>
      <c r="P1537">
        <f>G1537-U1537</f>
        <v/>
      </c>
      <c r="Q1537" s="35" t="n">
        <v>45544</v>
      </c>
      <c r="R1537" t="n">
        <v>83517</v>
      </c>
      <c r="S1537" t="inlineStr">
        <is>
          <t>L001-107032791</t>
        </is>
      </c>
      <c r="T1537" t="inlineStr">
        <is>
          <t>នីបផន អិចប្រេស (ខេមបូឌា) ខូ អិលធីឌី</t>
        </is>
      </c>
      <c r="U1537" t="n">
        <v>83517</v>
      </c>
      <c r="V1537" t="n">
        <v>0</v>
      </c>
    </row>
    <row r="1538">
      <c r="A1538" t="n">
        <v>1537</v>
      </c>
      <c r="B1538" t="inlineStr">
        <is>
          <t>Charge from Warehouse/cy to trucks and Storage Charges</t>
        </is>
      </c>
      <c r="C1538" t="inlineStr">
        <is>
          <t>កំពង់ផែស្វយ័តក្រុងព្រះសីហនុ</t>
        </is>
      </c>
      <c r="D1538" t="inlineStr">
        <is>
          <t>L001-100044638</t>
        </is>
      </c>
      <c r="E1538" t="inlineStr">
        <is>
          <t>206335</t>
        </is>
      </c>
      <c r="F1538" t="inlineStr">
        <is>
          <t>08-10-2024</t>
        </is>
      </c>
      <c r="G1538" t="n">
        <v>2841</v>
      </c>
      <c r="I1538">
        <f>G1538</f>
        <v/>
      </c>
      <c r="K1538">
        <f>I1538-G1538</f>
        <v/>
      </c>
      <c r="M1538">
        <f>R1538=E1538</f>
        <v/>
      </c>
      <c r="N1538">
        <f>AND(MONTH(F1538)=MONTH(Q1538), YEAR(F1538)=YEAR(Q1538))</f>
        <v/>
      </c>
      <c r="O1538">
        <f>"L001-902303751"=S1538</f>
        <v/>
      </c>
      <c r="P1538">
        <f>G1538-U1538</f>
        <v/>
      </c>
      <c r="Q1538" s="35" t="n">
        <v>45537</v>
      </c>
      <c r="R1538" t="inlineStr"/>
      <c r="S1538" t="inlineStr">
        <is>
          <t>L001-107032791</t>
        </is>
      </c>
      <c r="T1538" t="inlineStr">
        <is>
          <t>នីបផន អិចប្រេស (ខេមបូឌា) ខូ អិលធីឌី</t>
        </is>
      </c>
      <c r="U1538" t="n">
        <v>0</v>
      </c>
      <c r="V1538" t="n">
        <v>0</v>
      </c>
    </row>
    <row r="1539">
      <c r="A1539" t="n">
        <v>1538</v>
      </c>
      <c r="B1539" t="inlineStr">
        <is>
          <t>Cargo Terminal</t>
        </is>
      </c>
      <c r="C1539" t="inlineStr">
        <is>
          <t>សូស៊ីយេតេ កុងសេស្យូនែរ ដឺ ឡាអេរ៉ូព័រ</t>
        </is>
      </c>
      <c r="D1539" t="inlineStr">
        <is>
          <t>L001-100047300</t>
        </is>
      </c>
      <c r="E1539" t="inlineStr">
        <is>
          <t>2400-080279</t>
        </is>
      </c>
      <c r="F1539" t="inlineStr">
        <is>
          <t>08-10-2024</t>
        </is>
      </c>
      <c r="G1539" t="n">
        <v>10256</v>
      </c>
      <c r="I1539">
        <f>G1539</f>
        <v/>
      </c>
      <c r="K1539">
        <f>I1539-G1539</f>
        <v/>
      </c>
      <c r="M1539">
        <f>R1539=E1539</f>
        <v/>
      </c>
      <c r="N1539">
        <f>AND(MONTH(F1539)=MONTH(Q1539), YEAR(F1539)=YEAR(Q1539))</f>
        <v/>
      </c>
      <c r="O1539">
        <f>"L001-902303751"=S1539</f>
        <v/>
      </c>
      <c r="P1539">
        <f>G1539-U1539</f>
        <v/>
      </c>
      <c r="Q1539" s="35" t="n">
        <v>45558</v>
      </c>
      <c r="R1539" t="inlineStr"/>
      <c r="S1539" t="inlineStr">
        <is>
          <t>L001-107032791</t>
        </is>
      </c>
      <c r="T1539" t="inlineStr">
        <is>
          <t>នីបផន អិចប្រេស (ខេមបូឌា) ខូ អិលធីឌី</t>
        </is>
      </c>
      <c r="U1539" t="n">
        <v>0</v>
      </c>
      <c r="V1539" t="n">
        <v>0</v>
      </c>
    </row>
    <row r="1540">
      <c r="A1540" t="n">
        <v>1539</v>
      </c>
      <c r="B1540" t="inlineStr">
        <is>
          <t>Charge from Warehouse/cy to trucks and Storage Charges</t>
        </is>
      </c>
      <c r="C1540" t="inlineStr">
        <is>
          <t>កំពង់ផែស្វយ័តក្រុងព្រះសីហនុ</t>
        </is>
      </c>
      <c r="D1540" t="inlineStr">
        <is>
          <t>L001-100044638</t>
        </is>
      </c>
      <c r="E1540" t="inlineStr">
        <is>
          <t>206338</t>
        </is>
      </c>
      <c r="F1540" t="inlineStr">
        <is>
          <t>08-10-2024</t>
        </is>
      </c>
      <c r="G1540" t="n">
        <v>1895</v>
      </c>
      <c r="I1540">
        <f>G1540</f>
        <v/>
      </c>
      <c r="K1540">
        <f>I1540-G1540</f>
        <v/>
      </c>
      <c r="M1540">
        <f>R1540=E1540</f>
        <v/>
      </c>
      <c r="N1540">
        <f>AND(MONTH(F1540)=MONTH(Q1540), YEAR(F1540)=YEAR(Q1540))</f>
        <v/>
      </c>
      <c r="O1540">
        <f>"L001-902303751"=S1540</f>
        <v/>
      </c>
      <c r="P1540">
        <f>G1540-U1540</f>
        <v/>
      </c>
      <c r="Q1540" s="35" t="n">
        <v>45558</v>
      </c>
      <c r="R1540" t="n">
        <v>83292</v>
      </c>
      <c r="S1540" t="inlineStr">
        <is>
          <t>L001-100045995</t>
        </is>
      </c>
      <c r="T1540" t="inlineStr">
        <is>
          <t>ឌីអេចអិល ឡូជីស្ទីក (ខេមបូឌា)</t>
        </is>
      </c>
      <c r="U1540" t="n">
        <v>83292</v>
      </c>
      <c r="V1540" t="n">
        <v>0</v>
      </c>
    </row>
    <row r="1541">
      <c r="A1541" t="n">
        <v>1540</v>
      </c>
      <c r="B1541" t="inlineStr">
        <is>
          <t>Cargo Terminal</t>
        </is>
      </c>
      <c r="C1541" t="inlineStr">
        <is>
          <t>សូស៊ីយេតេ កុងសេស្យូនែរ ដឺ ឡាអេរ៉ូព័រ</t>
        </is>
      </c>
      <c r="D1541" t="inlineStr">
        <is>
          <t>L001-100047300</t>
        </is>
      </c>
      <c r="E1541" t="inlineStr">
        <is>
          <t>2400-080280</t>
        </is>
      </c>
      <c r="F1541" t="inlineStr">
        <is>
          <t>08-10-2024</t>
        </is>
      </c>
      <c r="G1541" t="n">
        <v>5704</v>
      </c>
      <c r="I1541">
        <f>G1541</f>
        <v/>
      </c>
      <c r="K1541">
        <f>I1541-G1541</f>
        <v/>
      </c>
      <c r="M1541">
        <f>R1541=E1541</f>
        <v/>
      </c>
      <c r="N1541">
        <f>AND(MONTH(F1541)=MONTH(Q1541), YEAR(F1541)=YEAR(Q1541))</f>
        <v/>
      </c>
      <c r="O1541">
        <f>"L001-902303751"=S1541</f>
        <v/>
      </c>
      <c r="P1541">
        <f>G1541-U1541</f>
        <v/>
      </c>
      <c r="Q1541" s="35" t="n">
        <v>45560</v>
      </c>
      <c r="R1541" t="n">
        <v>16252</v>
      </c>
      <c r="S1541" t="inlineStr">
        <is>
          <t>L001-100045340</t>
        </is>
      </c>
      <c r="T1541" t="inlineStr">
        <is>
          <t xml:space="preserve">ស៊ីវ៉ា អ៊ែរ អ៊ែន អូសៀន (ខេមបូឌា) ឯ.ក </t>
        </is>
      </c>
      <c r="U1541" t="n">
        <v>16252</v>
      </c>
      <c r="V1541" t="n">
        <v>0</v>
      </c>
    </row>
    <row r="1542">
      <c r="A1542" t="n">
        <v>1541</v>
      </c>
      <c r="B1542" t="inlineStr">
        <is>
          <t>HAWB Freight, OM Forwarding Fee, H/C and AWB Fee</t>
        </is>
      </c>
      <c r="C1542" t="inlineStr">
        <is>
          <t>អ៊ិចស្ពែឌីធ័រ ខេមបូឌា អិលធីឌី</t>
        </is>
      </c>
      <c r="D1542" t="inlineStr">
        <is>
          <t>L001-100045898</t>
        </is>
      </c>
      <c r="E1542" t="inlineStr">
        <is>
          <t>TI-0291828</t>
        </is>
      </c>
      <c r="F1542" t="inlineStr">
        <is>
          <t>08-10-2024</t>
        </is>
      </c>
      <c r="G1542" t="n">
        <v>46736</v>
      </c>
      <c r="I1542">
        <f>G1542</f>
        <v/>
      </c>
      <c r="K1542">
        <f>I1542-G1542</f>
        <v/>
      </c>
      <c r="M1542">
        <f>R1542=E1542</f>
        <v/>
      </c>
      <c r="N1542">
        <f>AND(MONTH(F1542)=MONTH(Q1542), YEAR(F1542)=YEAR(Q1542))</f>
        <v/>
      </c>
      <c r="O1542">
        <f>"L001-902303751"=S1542</f>
        <v/>
      </c>
      <c r="P1542">
        <f>G1542-U1542</f>
        <v/>
      </c>
      <c r="Q1542" s="35" t="n">
        <v>45544</v>
      </c>
      <c r="R1542" t="inlineStr"/>
      <c r="S1542" t="inlineStr">
        <is>
          <t>L001-100045995</t>
        </is>
      </c>
      <c r="T1542" t="inlineStr">
        <is>
          <t>ឌីអេចអិល ឡូជីស្ទីក (ខេមបូឌា)</t>
        </is>
      </c>
      <c r="U1542" t="n">
        <v>0</v>
      </c>
      <c r="V1542" t="n">
        <v>0</v>
      </c>
    </row>
    <row r="1543">
      <c r="A1543" t="n">
        <v>1542</v>
      </c>
      <c r="B1543" t="inlineStr">
        <is>
          <t>HAWB Freight, OM Forwarding Fee, H/C and AWB Fee</t>
        </is>
      </c>
      <c r="C1543" t="inlineStr">
        <is>
          <t>អ៊ិចស្ពែឌីធ័រ ខេមបូឌា អិលធីឌី</t>
        </is>
      </c>
      <c r="D1543" t="inlineStr">
        <is>
          <t>L001-100045898</t>
        </is>
      </c>
      <c r="E1543" t="inlineStr">
        <is>
          <t>TI-0291810</t>
        </is>
      </c>
      <c r="F1543" t="inlineStr">
        <is>
          <t>08-10-2024</t>
        </is>
      </c>
      <c r="G1543" t="n">
        <v>46736</v>
      </c>
      <c r="I1543">
        <f>G1543</f>
        <v/>
      </c>
      <c r="K1543">
        <f>I1543-G1543</f>
        <v/>
      </c>
      <c r="M1543">
        <f>R1543=E1543</f>
        <v/>
      </c>
      <c r="N1543">
        <f>AND(MONTH(F1543)=MONTH(Q1543), YEAR(F1543)=YEAR(Q1543))</f>
        <v/>
      </c>
      <c r="O1543">
        <f>"L001-902303751"=S1543</f>
        <v/>
      </c>
      <c r="P1543">
        <f>G1543-U1543</f>
        <v/>
      </c>
      <c r="Q1543" s="35" t="n">
        <v>45551</v>
      </c>
      <c r="R1543" t="inlineStr"/>
      <c r="S1543" t="inlineStr">
        <is>
          <t>L001-107032791</t>
        </is>
      </c>
      <c r="T1543" t="inlineStr">
        <is>
          <t>នីបផន អិចប្រេស (ខេមបូឌា) ខូ អិលធីឌី</t>
        </is>
      </c>
      <c r="U1543" t="n">
        <v>0</v>
      </c>
      <c r="V1543" t="n">
        <v>0</v>
      </c>
    </row>
    <row r="1544">
      <c r="A1544" t="n">
        <v>1543</v>
      </c>
      <c r="B1544" t="inlineStr">
        <is>
          <t>CFS Charges, THC Charges and Bill of lading Fee</t>
        </is>
      </c>
      <c r="C1544" t="inlineStr">
        <is>
          <t>អ៊ិចស្ពែឌីធ័រ ខេមបូឌា អិលធីឌី</t>
        </is>
      </c>
      <c r="D1544" t="inlineStr">
        <is>
          <t>L001-100045898</t>
        </is>
      </c>
      <c r="E1544" t="inlineStr">
        <is>
          <t>TI-0291765</t>
        </is>
      </c>
      <c r="F1544" t="inlineStr">
        <is>
          <t>08-10-2024</t>
        </is>
      </c>
      <c r="G1544" t="n">
        <v>216449</v>
      </c>
      <c r="I1544">
        <f>G1544</f>
        <v/>
      </c>
      <c r="K1544">
        <f>I1544-G1544</f>
        <v/>
      </c>
      <c r="M1544">
        <f>R1544=E1544</f>
        <v/>
      </c>
      <c r="N1544">
        <f>AND(MONTH(F1544)=MONTH(Q1544), YEAR(F1544)=YEAR(Q1544))</f>
        <v/>
      </c>
      <c r="O1544">
        <f>"L001-902303751"=S1544</f>
        <v/>
      </c>
      <c r="P1544">
        <f>G1544-U1544</f>
        <v/>
      </c>
      <c r="Q1544" s="35" t="n">
        <v>45558</v>
      </c>
      <c r="R1544" t="inlineStr"/>
      <c r="S1544" t="inlineStr">
        <is>
          <t>L001-100045340</t>
        </is>
      </c>
      <c r="T1544" t="inlineStr">
        <is>
          <t xml:space="preserve">ស៊ីវ៉ា អ៊ែរ អ៊ែន អូសៀន (ខេមបូឌា) ឯ.ក </t>
        </is>
      </c>
      <c r="U1544" t="n">
        <v>0</v>
      </c>
      <c r="V1544" t="n">
        <v>0</v>
      </c>
    </row>
    <row r="1545">
      <c r="A1545" t="n">
        <v>1544</v>
      </c>
      <c r="B1545" t="inlineStr">
        <is>
          <t>Trucking, Customs Clearance, Extra Trucking and Truck Fuel Surcharge</t>
        </is>
      </c>
      <c r="C1545" t="inlineStr">
        <is>
          <t>អេស អ វី ស៊ី ហ្វ្រេត សឺវីស (ខេមបូឌា) ខូ អិលធីឌី</t>
        </is>
      </c>
      <c r="D1545" t="inlineStr">
        <is>
          <t>K005-100150195</t>
        </is>
      </c>
      <c r="E1545" t="inlineStr">
        <is>
          <t>SRVI2406400</t>
        </is>
      </c>
      <c r="F1545" t="inlineStr">
        <is>
          <t>08-10-2024</t>
        </is>
      </c>
      <c r="G1545" t="n">
        <v>162560</v>
      </c>
      <c r="I1545">
        <f>G1545</f>
        <v/>
      </c>
      <c r="K1545">
        <f>I1545-G1545</f>
        <v/>
      </c>
      <c r="M1545">
        <f>R1545=E1545</f>
        <v/>
      </c>
      <c r="N1545">
        <f>AND(MONTH(F1545)=MONTH(Q1545), YEAR(F1545)=YEAR(Q1545))</f>
        <v/>
      </c>
      <c r="O1545">
        <f>"L001-902303751"=S1545</f>
        <v/>
      </c>
      <c r="P1545">
        <f>G1545-U1545</f>
        <v/>
      </c>
      <c r="Q1545" s="35" t="n">
        <v>45558</v>
      </c>
      <c r="R1545" t="n">
        <v>201119</v>
      </c>
      <c r="S1545" t="inlineStr">
        <is>
          <t>L001-107032791</t>
        </is>
      </c>
      <c r="T1545" t="inlineStr">
        <is>
          <t>នីបផន អិចប្រេស (ខេមបូឌា) ខូ អិលធីឌី</t>
        </is>
      </c>
      <c r="U1545" t="n">
        <v>201119</v>
      </c>
      <c r="V1545" t="n">
        <v>0</v>
      </c>
    </row>
    <row r="1546">
      <c r="A1546" t="n">
        <v>1545</v>
      </c>
      <c r="B1546" t="inlineStr">
        <is>
          <t>Send Docs</t>
        </is>
      </c>
      <c r="C1546" t="inlineStr">
        <is>
          <t>ឌី អេច អិល អិចប្រេស (ខេមបូឌា)</t>
        </is>
      </c>
      <c r="D1546" t="inlineStr">
        <is>
          <t>L001-100045197</t>
        </is>
      </c>
      <c r="E1546" t="inlineStr">
        <is>
          <t>PNHIR00245646</t>
        </is>
      </c>
      <c r="F1546" t="inlineStr">
        <is>
          <t>08-10-2024</t>
        </is>
      </c>
      <c r="G1546" t="n">
        <v>12192</v>
      </c>
      <c r="I1546">
        <f>G1546</f>
        <v/>
      </c>
      <c r="K1546">
        <f>I1546-G1546</f>
        <v/>
      </c>
      <c r="M1546">
        <f>R1546=E1546</f>
        <v/>
      </c>
      <c r="N1546">
        <f>AND(MONTH(F1546)=MONTH(Q1546), YEAR(F1546)=YEAR(Q1546))</f>
        <v/>
      </c>
      <c r="O1546">
        <f>"L001-902303751"=S1546</f>
        <v/>
      </c>
      <c r="P1546">
        <f>G1546-U1546</f>
        <v/>
      </c>
      <c r="Q1546" s="35" t="n">
        <v>45222</v>
      </c>
      <c r="R1546" t="inlineStr"/>
      <c r="S1546" t="inlineStr">
        <is>
          <t>L001-100045340</t>
        </is>
      </c>
      <c r="T1546" t="inlineStr">
        <is>
          <t xml:space="preserve">ស៊ីវ៉ា អ៊ែរ អ៊ែន អូសៀន (ខេមបូឌា) ឯ.ក </t>
        </is>
      </c>
      <c r="U1546" t="n">
        <v>0</v>
      </c>
      <c r="V1546" t="n">
        <v>0</v>
      </c>
    </row>
    <row r="1547">
      <c r="A1547" t="n">
        <v>1546</v>
      </c>
      <c r="B1547" t="inlineStr">
        <is>
          <t>Import Shipment Expense</t>
        </is>
      </c>
      <c r="C1547" t="inlineStr">
        <is>
          <t>ហ្វ្រេត ខនសិប (ខេមបូឌា)</t>
        </is>
      </c>
      <c r="D1547" t="inlineStr">
        <is>
          <t>K009-901502482</t>
        </is>
      </c>
      <c r="E1547" t="inlineStr">
        <is>
          <t>241028</t>
        </is>
      </c>
      <c r="F1547" t="inlineStr">
        <is>
          <t>08-10-2024</t>
        </is>
      </c>
      <c r="G1547" t="n">
        <v>87539</v>
      </c>
      <c r="I1547">
        <f>G1547</f>
        <v/>
      </c>
      <c r="K1547">
        <f>I1547-G1547</f>
        <v/>
      </c>
      <c r="M1547">
        <f>R1547=E1547</f>
        <v/>
      </c>
      <c r="N1547">
        <f>AND(MONTH(F1547)=MONTH(Q1547), YEAR(F1547)=YEAR(Q1547))</f>
        <v/>
      </c>
      <c r="O1547">
        <f>"L001-902303751"=S1547</f>
        <v/>
      </c>
      <c r="P1547">
        <f>G1547-U1547</f>
        <v/>
      </c>
      <c r="Q1547" s="35" t="n">
        <v>45219</v>
      </c>
      <c r="R1547" t="inlineStr"/>
      <c r="S1547" t="inlineStr">
        <is>
          <t>K009-107034735</t>
        </is>
      </c>
      <c r="T1547" t="inlineStr">
        <is>
          <t>ស៊ីប៊ីជី ឡូជីស្ទីក (ខេមបូឌា)</t>
        </is>
      </c>
      <c r="U1547" t="n">
        <v>0</v>
      </c>
      <c r="V1547" t="n">
        <v>0</v>
      </c>
    </row>
    <row r="1548">
      <c r="A1548" t="n">
        <v>1547</v>
      </c>
      <c r="B1548" t="inlineStr">
        <is>
          <t>Gate Fee Charges-GC Truck-1-6 Tons</t>
        </is>
      </c>
      <c r="C1548" t="inlineStr">
        <is>
          <t>កំពង់ផែស្វយ័តភ្នំពេញ "ក.ស.ភ"</t>
        </is>
      </c>
      <c r="D1548" t="inlineStr">
        <is>
          <t>L001-100044999</t>
        </is>
      </c>
      <c r="E1548" t="inlineStr">
        <is>
          <t>INV20241075397</t>
        </is>
      </c>
      <c r="F1548" t="inlineStr">
        <is>
          <t>08-10-2024</t>
        </is>
      </c>
      <c r="G1548" t="n">
        <v>813</v>
      </c>
      <c r="I1548">
        <f>G1548</f>
        <v/>
      </c>
      <c r="K1548">
        <f>I1548-G1548</f>
        <v/>
      </c>
      <c r="M1548">
        <f>R1548=E1548</f>
        <v/>
      </c>
      <c r="N1548">
        <f>AND(MONTH(F1548)=MONTH(Q1548), YEAR(F1548)=YEAR(Q1548))</f>
        <v/>
      </c>
      <c r="O1548">
        <f>"L001-902303751"=S1548</f>
        <v/>
      </c>
      <c r="P1548">
        <f>G1548-U1548</f>
        <v/>
      </c>
      <c r="Q1548" s="35" t="n">
        <v>45227</v>
      </c>
      <c r="R1548" t="inlineStr"/>
      <c r="S1548" t="inlineStr">
        <is>
          <t>K009-107034735</t>
        </is>
      </c>
      <c r="T1548" t="inlineStr">
        <is>
          <t>ស៊ីប៊ីជី ឡូជីស្ទីក (ខេមបូឌា)</t>
        </is>
      </c>
      <c r="U1548" t="n">
        <v>0</v>
      </c>
      <c r="V1548" t="n">
        <v>0</v>
      </c>
    </row>
    <row r="1549">
      <c r="A1549" t="n">
        <v>1548</v>
      </c>
      <c r="B1549" t="inlineStr">
        <is>
          <t>Import Shipment Expense</t>
        </is>
      </c>
      <c r="C1549" t="inlineStr">
        <is>
          <t>ប៊ី.អាយ.អិម ឡូជីស្ទីក ឯ.ក</t>
        </is>
      </c>
      <c r="D1549" t="inlineStr">
        <is>
          <t>K005-901902912</t>
        </is>
      </c>
      <c r="E1549" t="inlineStr">
        <is>
          <t>BI24-533</t>
        </is>
      </c>
      <c r="F1549" t="inlineStr">
        <is>
          <t>08-10-2024</t>
        </is>
      </c>
      <c r="G1549" t="n">
        <v>51613</v>
      </c>
      <c r="I1549">
        <f>G1549</f>
        <v/>
      </c>
      <c r="K1549">
        <f>I1549-G1549</f>
        <v/>
      </c>
      <c r="M1549">
        <f>R1549=E1549</f>
        <v/>
      </c>
      <c r="N1549">
        <f>AND(MONTH(F1549)=MONTH(Q1549), YEAR(F1549)=YEAR(Q1549))</f>
        <v/>
      </c>
      <c r="O1549">
        <f>"L001-902303751"=S1549</f>
        <v/>
      </c>
      <c r="P1549">
        <f>G1549-U1549</f>
        <v/>
      </c>
      <c r="Q1549" s="35" t="n">
        <v>45224</v>
      </c>
      <c r="R1549" t="n">
        <v>384927</v>
      </c>
      <c r="S1549" t="inlineStr">
        <is>
          <t>L001-100011888</t>
        </is>
      </c>
      <c r="T1549" t="inlineStr">
        <is>
          <t>ត្រេន ស្តារ ហ្រេ្វត</t>
        </is>
      </c>
      <c r="U1549" t="n">
        <v>384927</v>
      </c>
      <c r="V1549" t="n">
        <v>0</v>
      </c>
    </row>
    <row r="1550">
      <c r="A1550" t="n">
        <v>1549</v>
      </c>
      <c r="B1550" t="inlineStr">
        <is>
          <t>Export Adminstration Fee and Custom Processing Fee</t>
        </is>
      </c>
      <c r="C1550" t="inlineStr">
        <is>
          <t>ជី លីង អិចប្រេស ឡូជីស្ទីក (ខេមបូឌា) លីមីធីត</t>
        </is>
      </c>
      <c r="D1550" t="inlineStr">
        <is>
          <t>L001-100044956</t>
        </is>
      </c>
      <c r="E1550" t="inlineStr">
        <is>
          <t>24158699</t>
        </is>
      </c>
      <c r="F1550" t="inlineStr">
        <is>
          <t>08-10-2024</t>
        </is>
      </c>
      <c r="G1550" t="n">
        <v>65024</v>
      </c>
      <c r="I1550">
        <f>G1550</f>
        <v/>
      </c>
      <c r="K1550">
        <f>I1550-G1550</f>
        <v/>
      </c>
      <c r="M1550">
        <f>R1550=E1550</f>
        <v/>
      </c>
      <c r="N1550">
        <f>AND(MONTH(F1550)=MONTH(Q1550), YEAR(F1550)=YEAR(Q1550))</f>
        <v/>
      </c>
      <c r="O1550">
        <f>"L001-902303751"=S1550</f>
        <v/>
      </c>
      <c r="P1550">
        <f>G1550-U1550</f>
        <v/>
      </c>
      <c r="Q1550" s="35" t="n">
        <v>45208</v>
      </c>
      <c r="R1550" t="n">
        <v>111510</v>
      </c>
      <c r="S1550" t="inlineStr">
        <is>
          <t>L001-100045995</t>
        </is>
      </c>
      <c r="T1550" t="inlineStr">
        <is>
          <t>ឌីអេចអិល ឡូជីស្ទីក (ខេមបូឌា)</t>
        </is>
      </c>
      <c r="U1550" t="n">
        <v>111510</v>
      </c>
      <c r="V1550" t="n">
        <v>0</v>
      </c>
    </row>
    <row r="1551">
      <c r="A1551" t="n">
        <v>1550</v>
      </c>
      <c r="B1551" t="inlineStr">
        <is>
          <t>Document Origin, Handling Charges Origin, Airfreight, Overtime Fee, PLACI fee and HAWB Transmission Fee</t>
        </is>
      </c>
      <c r="C1551" t="inlineStr">
        <is>
          <t>ឌីប៊ី សេនឃើរ (ខេមបូឌា) លីមីធីត</t>
        </is>
      </c>
      <c r="D1551" t="inlineStr">
        <is>
          <t>L001-107041723</t>
        </is>
      </c>
      <c r="E1551" t="inlineStr">
        <is>
          <t>2400008683</t>
        </is>
      </c>
      <c r="F1551" t="inlineStr">
        <is>
          <t>30-10-2024</t>
        </is>
      </c>
      <c r="G1551" t="n">
        <v>90560</v>
      </c>
      <c r="I1551">
        <f>G1551</f>
        <v/>
      </c>
      <c r="K1551">
        <f>I1551-G1551</f>
        <v/>
      </c>
      <c r="M1551">
        <f>R1551=E1551</f>
        <v/>
      </c>
      <c r="N1551">
        <f>AND(MONTH(F1551)=MONTH(Q1551), YEAR(F1551)=YEAR(Q1551))</f>
        <v/>
      </c>
      <c r="O1551">
        <f>"L001-902303751"=S1551</f>
        <v/>
      </c>
      <c r="P1551">
        <f>G1551-U1551</f>
        <v/>
      </c>
      <c r="Q1551" s="35" t="n">
        <v>45208</v>
      </c>
      <c r="R1551" t="inlineStr"/>
      <c r="S1551" t="inlineStr">
        <is>
          <t>L001-107041723</t>
        </is>
      </c>
      <c r="T1551" t="inlineStr">
        <is>
          <t>ឌីប៊ី សេនឃើរ (ខេមបូឌា) លីមីធីត</t>
        </is>
      </c>
      <c r="U1551" t="n">
        <v>0</v>
      </c>
      <c r="V1551" t="n">
        <v>0</v>
      </c>
    </row>
    <row r="1552">
      <c r="A1552" t="n">
        <v>1551</v>
      </c>
      <c r="B1552" t="inlineStr">
        <is>
          <t>Customs Clearance Fee and Trucking Fee</t>
        </is>
      </c>
      <c r="C1552" t="inlineStr">
        <is>
          <t>ត្រាយអ៊ែងហ្គល ឡូជីស្ទីក (ខេមបូឌា) ឯ.ក</t>
        </is>
      </c>
      <c r="D1552" t="inlineStr">
        <is>
          <t>K010-902101743</t>
        </is>
      </c>
      <c r="E1552" t="inlineStr">
        <is>
          <t>TAG-24-00797</t>
        </is>
      </c>
      <c r="F1552" t="inlineStr">
        <is>
          <t>28-10-2024</t>
        </is>
      </c>
      <c r="G1552" t="n">
        <v>32488</v>
      </c>
      <c r="I1552">
        <f>G1552</f>
        <v/>
      </c>
      <c r="K1552">
        <f>I1552-G1552</f>
        <v/>
      </c>
      <c r="M1552">
        <f>R1552=E1552</f>
        <v/>
      </c>
      <c r="N1552">
        <f>AND(MONTH(F1552)=MONTH(Q1552), YEAR(F1552)=YEAR(Q1552))</f>
        <v/>
      </c>
      <c r="O1552">
        <f>"L001-902303751"=S1552</f>
        <v/>
      </c>
      <c r="P1552">
        <f>G1552-U1552</f>
        <v/>
      </c>
      <c r="Q1552" s="35" t="n">
        <v>45215</v>
      </c>
      <c r="R1552" t="inlineStr"/>
      <c r="S1552" t="inlineStr">
        <is>
          <t>K005-901501155</t>
        </is>
      </c>
      <c r="T1552" t="inlineStr">
        <is>
          <t>ផេនដា គ្លូប៊ល ឡូជីស្ទីក (ខេមបូឌា)</t>
        </is>
      </c>
      <c r="U1552" t="n">
        <v>0</v>
      </c>
      <c r="V1552" t="n">
        <v>0</v>
      </c>
    </row>
    <row r="1553">
      <c r="A1553" t="n">
        <v>1552</v>
      </c>
      <c r="B1553" t="inlineStr">
        <is>
          <t>Customs Clearance Fee and Trucking Fee</t>
        </is>
      </c>
      <c r="C1553" t="inlineStr">
        <is>
          <t>ត្រាយអ៊ែងហ្គល ឡូជីស្ទីក (ខេមបូឌា) ឯ.ក</t>
        </is>
      </c>
      <c r="D1553" t="inlineStr">
        <is>
          <t>K010-902101743</t>
        </is>
      </c>
      <c r="E1553" t="inlineStr">
        <is>
          <t>TAG-24-00796</t>
        </is>
      </c>
      <c r="F1553" t="inlineStr">
        <is>
          <t>28-10-2024</t>
        </is>
      </c>
      <c r="G1553" t="n">
        <v>109647</v>
      </c>
      <c r="I1553">
        <f>G1553</f>
        <v/>
      </c>
      <c r="K1553">
        <f>I1553-G1553</f>
        <v/>
      </c>
      <c r="M1553">
        <f>R1553=E1553</f>
        <v/>
      </c>
      <c r="N1553">
        <f>AND(MONTH(F1553)=MONTH(Q1553), YEAR(F1553)=YEAR(Q1553))</f>
        <v/>
      </c>
      <c r="O1553">
        <f>"L001-902303751"=S1553</f>
        <v/>
      </c>
      <c r="P1553">
        <f>G1553-U1553</f>
        <v/>
      </c>
      <c r="Q1553" s="35" t="n">
        <v>45222</v>
      </c>
      <c r="R1553" t="n">
        <v>111645</v>
      </c>
      <c r="S1553" t="inlineStr">
        <is>
          <t>L001-100045995</t>
        </is>
      </c>
      <c r="T1553" t="inlineStr">
        <is>
          <t>ឌីអេចអិល ឡូជីស្ទីក (ខេមបូឌា)</t>
        </is>
      </c>
      <c r="U1553" t="n">
        <v>111645</v>
      </c>
      <c r="V1553" t="n">
        <v>0</v>
      </c>
    </row>
    <row r="1554">
      <c r="A1554" t="n">
        <v>1553</v>
      </c>
      <c r="B1554" t="inlineStr">
        <is>
          <t>Customs Clearance Fee and Trucking Fee</t>
        </is>
      </c>
      <c r="C1554" t="inlineStr">
        <is>
          <t>ត្រាយអ៊ែងហ្គល ឡូជីស្ទីក (ខេមបូឌា) ឯ.ក</t>
        </is>
      </c>
      <c r="D1554" t="inlineStr">
        <is>
          <t>K010-902101743</t>
        </is>
      </c>
      <c r="E1554" t="inlineStr">
        <is>
          <t>TAG-24-00795</t>
        </is>
      </c>
      <c r="F1554" t="inlineStr">
        <is>
          <t>28-10-2024</t>
        </is>
      </c>
      <c r="G1554" t="n">
        <v>32488</v>
      </c>
      <c r="I1554">
        <f>G1554</f>
        <v/>
      </c>
      <c r="K1554">
        <f>I1554-G1554</f>
        <v/>
      </c>
      <c r="M1554">
        <f>R1554=E1554</f>
        <v/>
      </c>
      <c r="N1554">
        <f>AND(MONTH(F1554)=MONTH(Q1554), YEAR(F1554)=YEAR(Q1554))</f>
        <v/>
      </c>
      <c r="O1554">
        <f>"L001-902303751"=S1554</f>
        <v/>
      </c>
      <c r="P1554">
        <f>G1554-U1554</f>
        <v/>
      </c>
      <c r="Q1554" s="35" t="n">
        <v>45224</v>
      </c>
      <c r="R1554" t="n">
        <v>82780</v>
      </c>
      <c r="S1554" t="inlineStr">
        <is>
          <t>L001-103007369</t>
        </is>
      </c>
      <c r="T1554" t="inlineStr">
        <is>
          <t>អូរៀនថល ឡូជីស្ទីក &amp; ឌីស្ទ្រីប៊្យូសិន (ខេមបូឌា)</t>
        </is>
      </c>
      <c r="U1554" t="n">
        <v>82780</v>
      </c>
      <c r="V1554" t="n">
        <v>0</v>
      </c>
    </row>
    <row r="1555">
      <c r="A1555" t="n">
        <v>1554</v>
      </c>
      <c r="B1555" t="inlineStr">
        <is>
          <t>Customs Clearance Fee and Trucking Fee</t>
        </is>
      </c>
      <c r="C1555" t="inlineStr">
        <is>
          <t>ត្រាយអ៊ែងហ្គល ឡូជីស្ទីក (ខេមបូឌា) ឯ.ក</t>
        </is>
      </c>
      <c r="D1555" t="inlineStr">
        <is>
          <t>K010-902101743</t>
        </is>
      </c>
      <c r="E1555" t="inlineStr">
        <is>
          <t>TAG-24-00794</t>
        </is>
      </c>
      <c r="F1555" t="inlineStr">
        <is>
          <t>28-10-2024</t>
        </is>
      </c>
      <c r="G1555" t="n">
        <v>109647</v>
      </c>
      <c r="I1555">
        <f>G1555</f>
        <v/>
      </c>
      <c r="K1555">
        <f>I1555-G1555</f>
        <v/>
      </c>
      <c r="M1555">
        <f>R1555=E1555</f>
        <v/>
      </c>
      <c r="N1555">
        <f>AND(MONTH(F1555)=MONTH(Q1555), YEAR(F1555)=YEAR(Q1555))</f>
        <v/>
      </c>
      <c r="O1555">
        <f>"L001-902303751"=S1555</f>
        <v/>
      </c>
      <c r="P1555">
        <f>G1555-U1555</f>
        <v/>
      </c>
      <c r="Q1555" s="35" t="n">
        <v>45204</v>
      </c>
      <c r="R1555" t="n">
        <v>125491</v>
      </c>
      <c r="S1555" t="inlineStr">
        <is>
          <t>L001-100011888</t>
        </is>
      </c>
      <c r="T1555" t="inlineStr">
        <is>
          <t>ត្រេន ស្តារ ហ្រេ្វត</t>
        </is>
      </c>
      <c r="U1555" t="n">
        <v>125491</v>
      </c>
      <c r="V1555" t="n">
        <v>0</v>
      </c>
    </row>
    <row r="1556">
      <c r="A1556" t="n">
        <v>1555</v>
      </c>
      <c r="B1556" t="inlineStr">
        <is>
          <t>Customs Clearance Fee and Trucking Fee</t>
        </is>
      </c>
      <c r="C1556" t="inlineStr">
        <is>
          <t>ត្រាយអ៊ែងហ្គល ឡូជីស្ទីក (ខេមបូឌា) ឯ.ក</t>
        </is>
      </c>
      <c r="D1556" t="inlineStr">
        <is>
          <t>K010-902101743</t>
        </is>
      </c>
      <c r="E1556" t="inlineStr">
        <is>
          <t>TAG-24-00790</t>
        </is>
      </c>
      <c r="F1556" t="inlineStr">
        <is>
          <t>28-10-2024</t>
        </is>
      </c>
      <c r="G1556" t="n">
        <v>109647</v>
      </c>
      <c r="I1556">
        <f>G1556</f>
        <v/>
      </c>
      <c r="K1556">
        <f>I1556-G1556</f>
        <v/>
      </c>
      <c r="M1556">
        <f>R1556=E1556</f>
        <v/>
      </c>
      <c r="N1556">
        <f>AND(MONTH(F1556)=MONTH(Q1556), YEAR(F1556)=YEAR(Q1556))</f>
        <v/>
      </c>
      <c r="O1556">
        <f>"L001-902303751"=S1556</f>
        <v/>
      </c>
      <c r="P1556">
        <f>G1556-U1556</f>
        <v/>
      </c>
      <c r="Q1556" s="35" t="n">
        <v>45200</v>
      </c>
      <c r="R1556" t="n">
        <v>82440</v>
      </c>
      <c r="S1556" t="inlineStr">
        <is>
          <t>K002-901800477</t>
        </is>
      </c>
      <c r="T1556" t="inlineStr">
        <is>
          <t>អាយធីអាយ អ៊ិនធើណេសិនណល ត្រេនស័្ពរថេសិន (ខេមបូឌា) ឯ.ក</t>
        </is>
      </c>
      <c r="U1556" t="n">
        <v>82440</v>
      </c>
      <c r="V1556" t="n">
        <v>0</v>
      </c>
    </row>
    <row r="1557">
      <c r="A1557" t="n">
        <v>1556</v>
      </c>
      <c r="B1557" t="inlineStr">
        <is>
          <t>Send Sample</t>
        </is>
      </c>
      <c r="C1557" t="inlineStr">
        <is>
          <t>ឌី អេច អិល អិចប្រេស (ខេមបូឌា)</t>
        </is>
      </c>
      <c r="D1557" t="inlineStr">
        <is>
          <t>L001-100045197</t>
        </is>
      </c>
      <c r="E1557" t="inlineStr">
        <is>
          <t>PNHIR00250125</t>
        </is>
      </c>
      <c r="F1557" t="inlineStr">
        <is>
          <t>28-10-2024</t>
        </is>
      </c>
      <c r="G1557" t="n">
        <v>16244</v>
      </c>
      <c r="I1557">
        <f>G1557</f>
        <v/>
      </c>
      <c r="K1557">
        <f>I1557-G1557</f>
        <v/>
      </c>
      <c r="M1557">
        <f>R1557=E1557</f>
        <v/>
      </c>
      <c r="N1557">
        <f>AND(MONTH(F1557)=MONTH(Q1557), YEAR(F1557)=YEAR(Q1557))</f>
        <v/>
      </c>
      <c r="O1557">
        <f>"L001-902303751"=S1557</f>
        <v/>
      </c>
      <c r="P1557">
        <f>G1557-U1557</f>
        <v/>
      </c>
      <c r="Q1557" s="35" t="n">
        <v>45224</v>
      </c>
      <c r="R1557" t="inlineStr"/>
      <c r="S1557" t="inlineStr">
        <is>
          <t>L001-103007369</t>
        </is>
      </c>
      <c r="T1557" t="inlineStr">
        <is>
          <t>អូរៀនថល ឡូជីស្ទីក &amp; ឌីស្ទ្រីប៊្យូសិន (ខេមបូឌា)</t>
        </is>
      </c>
      <c r="U1557" t="n">
        <v>0</v>
      </c>
      <c r="V1557" t="n">
        <v>0</v>
      </c>
    </row>
    <row r="1558">
      <c r="A1558" t="n">
        <v>1557</v>
      </c>
      <c r="B1558" t="inlineStr">
        <is>
          <t>Rental Machine</t>
        </is>
      </c>
      <c r="C1558" t="inlineStr">
        <is>
          <t>ក្លាក ហ៊ូ ឯ.ក</t>
        </is>
      </c>
      <c r="D1558" t="inlineStr">
        <is>
          <t>K007-901639199</t>
        </is>
      </c>
      <c r="E1558" t="inlineStr">
        <is>
          <t>IN2371</t>
        </is>
      </c>
      <c r="F1558" t="inlineStr">
        <is>
          <t>28-10-2024</t>
        </is>
      </c>
      <c r="G1558" t="n">
        <v>1002255</v>
      </c>
      <c r="I1558">
        <f>G1558</f>
        <v/>
      </c>
      <c r="K1558">
        <f>I1558-G1558</f>
        <v/>
      </c>
      <c r="M1558">
        <f>R1558=E1558</f>
        <v/>
      </c>
      <c r="N1558">
        <f>AND(MONTH(F1558)=MONTH(Q1558), YEAR(F1558)=YEAR(Q1558))</f>
        <v/>
      </c>
      <c r="O1558">
        <f>"L001-902303751"=S1558</f>
        <v/>
      </c>
      <c r="P1558">
        <f>G1558-U1558</f>
        <v/>
      </c>
      <c r="Q1558" s="35" t="n">
        <v>45200</v>
      </c>
      <c r="R1558" t="n">
        <v>836766</v>
      </c>
      <c r="S1558" t="inlineStr">
        <is>
          <t>K002-901800477</t>
        </is>
      </c>
      <c r="T1558" t="inlineStr">
        <is>
          <t>អាយធីអាយ អ៊ិនធើណេសិនណល ត្រេនស័្ពរថេសិន (ខេមបូឌា) ឯ.ក</t>
        </is>
      </c>
      <c r="U1558" t="n">
        <v>836766</v>
      </c>
      <c r="V1558" t="n">
        <v>0</v>
      </c>
    </row>
    <row r="1559">
      <c r="A1559" t="n">
        <v>1558</v>
      </c>
      <c r="B1559" t="inlineStr">
        <is>
          <t>Customs Clearance Fee and Trucking Fee</t>
        </is>
      </c>
      <c r="C1559" t="inlineStr">
        <is>
          <t>ត្រាយអ៊ែងហ្គល ឡូជីស្ទីក (ខេមបូឌា) ឯ.ក</t>
        </is>
      </c>
      <c r="D1559" t="inlineStr">
        <is>
          <t>K010-902101743</t>
        </is>
      </c>
      <c r="E1559" t="inlineStr">
        <is>
          <t>TAG-24-00798</t>
        </is>
      </c>
      <c r="F1559" t="inlineStr">
        <is>
          <t>28-10-2024</t>
        </is>
      </c>
      <c r="G1559" t="n">
        <v>38385</v>
      </c>
      <c r="I1559">
        <f>G1559</f>
        <v/>
      </c>
      <c r="K1559">
        <f>I1559-G1559</f>
        <v/>
      </c>
      <c r="M1559">
        <f>R1559=E1559</f>
        <v/>
      </c>
      <c r="N1559">
        <f>AND(MONTH(F1559)=MONTH(Q1559), YEAR(F1559)=YEAR(Q1559))</f>
        <v/>
      </c>
      <c r="O1559">
        <f>"L001-902303751"=S1559</f>
        <v/>
      </c>
      <c r="P1559">
        <f>G1559-U1559</f>
        <v/>
      </c>
      <c r="Q1559" s="35" t="n">
        <v>45222</v>
      </c>
      <c r="R1559" t="inlineStr"/>
      <c r="S1559" t="inlineStr">
        <is>
          <t>L001-107032791</t>
        </is>
      </c>
      <c r="T1559" t="inlineStr">
        <is>
          <t>នីបផន អិចប្រេស (ខេមបូឌា) ខូ អិលធីឌី</t>
        </is>
      </c>
      <c r="U1559" t="n">
        <v>0</v>
      </c>
      <c r="V1559" t="n">
        <v>0</v>
      </c>
    </row>
    <row r="1560">
      <c r="A1560" t="n">
        <v>1559</v>
      </c>
      <c r="B1560" t="inlineStr">
        <is>
          <t>Customs Clearance Fee and Trucking Fee</t>
        </is>
      </c>
      <c r="C1560" t="inlineStr">
        <is>
          <t>ត្រាយអ៊ែងហ្គល ឡូជីស្ទីក (ខេមបូឌា) ឯ.ក</t>
        </is>
      </c>
      <c r="D1560" t="inlineStr">
        <is>
          <t>K010-902101743</t>
        </is>
      </c>
      <c r="E1560" t="inlineStr">
        <is>
          <t>TAG-24-00799</t>
        </is>
      </c>
      <c r="F1560" t="inlineStr">
        <is>
          <t>28-10-2024</t>
        </is>
      </c>
      <c r="G1560" t="n">
        <v>32488</v>
      </c>
      <c r="I1560">
        <f>G1560</f>
        <v/>
      </c>
      <c r="K1560">
        <f>I1560-G1560</f>
        <v/>
      </c>
      <c r="M1560">
        <f>R1560=E1560</f>
        <v/>
      </c>
      <c r="N1560">
        <f>AND(MONTH(F1560)=MONTH(Q1560), YEAR(F1560)=YEAR(Q1560))</f>
        <v/>
      </c>
      <c r="O1560">
        <f>"L001-902303751"=S1560</f>
        <v/>
      </c>
      <c r="P1560">
        <f>G1560-U1560</f>
        <v/>
      </c>
      <c r="Q1560" s="35" t="n">
        <v>45222</v>
      </c>
      <c r="R1560" t="inlineStr"/>
      <c r="S1560" t="inlineStr">
        <is>
          <t>K003-901635943</t>
        </is>
      </c>
      <c r="T1560" t="inlineStr">
        <is>
          <t>អ៊ីឃ្យូឡាញ វើលវ៉ាយដ៍ ឡូជីស្ទីក</t>
        </is>
      </c>
      <c r="U1560" t="n">
        <v>0</v>
      </c>
      <c r="V1560" t="n">
        <v>0</v>
      </c>
    </row>
    <row r="1561">
      <c r="A1561" t="n">
        <v>1560</v>
      </c>
      <c r="B1561" t="inlineStr">
        <is>
          <t>Customs Clearance Fee and Trucking Fee</t>
        </is>
      </c>
      <c r="C1561" t="inlineStr">
        <is>
          <t>ត្រាយអ៊ែងហ្គល ឡូជីស្ទីក (ខេមបូឌា) ឯ.ក</t>
        </is>
      </c>
      <c r="D1561" t="inlineStr">
        <is>
          <t>K010-902101743</t>
        </is>
      </c>
      <c r="E1561" t="inlineStr">
        <is>
          <t>TAG-24-00800</t>
        </is>
      </c>
      <c r="F1561" t="inlineStr">
        <is>
          <t>28-10-2024</t>
        </is>
      </c>
      <c r="G1561" t="n">
        <v>39847</v>
      </c>
      <c r="I1561">
        <f>G1561</f>
        <v/>
      </c>
      <c r="K1561">
        <f>I1561-G1561</f>
        <v/>
      </c>
      <c r="M1561">
        <f>R1561=E1561</f>
        <v/>
      </c>
      <c r="N1561">
        <f>AND(MONTH(F1561)=MONTH(Q1561), YEAR(F1561)=YEAR(Q1561))</f>
        <v/>
      </c>
      <c r="O1561">
        <f>"L001-902303751"=S1561</f>
        <v/>
      </c>
      <c r="P1561">
        <f>G1561-U1561</f>
        <v/>
      </c>
      <c r="Q1561" s="35" t="n">
        <v>45229</v>
      </c>
      <c r="R1561" t="inlineStr"/>
      <c r="S1561" t="inlineStr">
        <is>
          <t>L001-100074669</t>
        </is>
      </c>
      <c r="T1561" t="inlineStr">
        <is>
          <t>ខេអិលអិន ហ្វ្រេត (ខេមបូឌា) ឯ.ក</t>
        </is>
      </c>
      <c r="U1561" t="n">
        <v>0</v>
      </c>
      <c r="V1561" t="n">
        <v>0</v>
      </c>
    </row>
    <row r="1562">
      <c r="A1562" t="n">
        <v>1561</v>
      </c>
      <c r="B1562" t="inlineStr">
        <is>
          <t>Cargo Terminal</t>
        </is>
      </c>
      <c r="C1562" t="inlineStr">
        <is>
          <t>សូស៊ីយេតេ កុងសេស្យូនែរ ដឺ ឡាអេរ៉ូព័រ</t>
        </is>
      </c>
      <c r="D1562" t="inlineStr">
        <is>
          <t>L001-100047300</t>
        </is>
      </c>
      <c r="E1562" t="inlineStr">
        <is>
          <t>2400087251</t>
        </is>
      </c>
      <c r="F1562" t="inlineStr">
        <is>
          <t>29-10-2024</t>
        </is>
      </c>
      <c r="G1562" t="n">
        <v>15790</v>
      </c>
      <c r="I1562">
        <f>G1562</f>
        <v/>
      </c>
      <c r="K1562">
        <f>I1562-G1562</f>
        <v/>
      </c>
      <c r="M1562">
        <f>R1562=E1562</f>
        <v/>
      </c>
      <c r="N1562">
        <f>AND(MONTH(F1562)=MONTH(Q1562), YEAR(F1562)=YEAR(Q1562))</f>
        <v/>
      </c>
      <c r="O1562">
        <f>"L001-902303751"=S1562</f>
        <v/>
      </c>
      <c r="P1562">
        <f>G1562-U1562</f>
        <v/>
      </c>
      <c r="Q1562" s="35" t="n">
        <v>45224</v>
      </c>
      <c r="R1562" t="n">
        <v>82780</v>
      </c>
      <c r="S1562" t="inlineStr">
        <is>
          <t>K002-901800477</t>
        </is>
      </c>
      <c r="T1562" t="inlineStr">
        <is>
          <t>អាយធីអាយ អ៊ិនធើណេសិនណល ត្រេនស័្ពរថេសិន (ខេមបូឌា) ឯ.ក</t>
        </is>
      </c>
      <c r="U1562" t="n">
        <v>82780</v>
      </c>
      <c r="V1562" t="n">
        <v>0</v>
      </c>
    </row>
    <row r="1563">
      <c r="A1563" t="n">
        <v>1562</v>
      </c>
      <c r="B1563" t="inlineStr">
        <is>
          <t>Customs Clearance Fee and Trucking Fee</t>
        </is>
      </c>
      <c r="C1563" t="inlineStr">
        <is>
          <t>ត្រាយអ៊ែងហ្គល ឡូជីស្ទីក (ខេមបូឌា) ឯ.ក</t>
        </is>
      </c>
      <c r="D1563" t="inlineStr">
        <is>
          <t>K010-902101743</t>
        </is>
      </c>
      <c r="E1563" t="inlineStr">
        <is>
          <t>TAG-24-00804</t>
        </is>
      </c>
      <c r="F1563" t="inlineStr">
        <is>
          <t>28-10-2024</t>
        </is>
      </c>
      <c r="G1563" t="n">
        <v>32488</v>
      </c>
      <c r="I1563">
        <f>G1563</f>
        <v/>
      </c>
      <c r="K1563">
        <f>I1563-G1563</f>
        <v/>
      </c>
      <c r="M1563">
        <f>R1563=E1563</f>
        <v/>
      </c>
      <c r="N1563">
        <f>AND(MONTH(F1563)=MONTH(Q1563), YEAR(F1563)=YEAR(Q1563))</f>
        <v/>
      </c>
      <c r="O1563">
        <f>"L001-902303751"=S1563</f>
        <v/>
      </c>
      <c r="P1563">
        <f>G1563-U1563</f>
        <v/>
      </c>
      <c r="Q1563" s="35" t="n">
        <v>45224</v>
      </c>
      <c r="R1563" t="inlineStr"/>
      <c r="S1563" t="inlineStr">
        <is>
          <t>L001-103007369</t>
        </is>
      </c>
      <c r="T1563" t="inlineStr">
        <is>
          <t>អូរៀនថល ឡូជីស្ទីក &amp; ឌីស្ទ្រីប៊្យូសិន (ខេមបូឌា)</t>
        </is>
      </c>
      <c r="U1563" t="n">
        <v>0</v>
      </c>
      <c r="V1563" t="n">
        <v>0</v>
      </c>
    </row>
    <row r="1564">
      <c r="A1564" t="n">
        <v>1563</v>
      </c>
      <c r="B1564" t="inlineStr">
        <is>
          <t>THC, CFS, Scan Fee, CIC-Imbalance, Agency Fee, D.O Fee, LSS, Handling Fee, Importer Security Security Filing, Fuel Surcharge and Inbound Manifest Filing</t>
        </is>
      </c>
      <c r="C1564" t="inlineStr">
        <is>
          <t>ហ្វ្រេតាស (ខេមបូឌា) ឯ.ក</t>
        </is>
      </c>
      <c r="D1564" t="inlineStr">
        <is>
          <t>K007-901638107</t>
        </is>
      </c>
      <c r="E1564" t="inlineStr">
        <is>
          <t>Y24-133</t>
        </is>
      </c>
      <c r="F1564" t="inlineStr">
        <is>
          <t>28-10-2024</t>
        </is>
      </c>
      <c r="G1564" t="n">
        <v>315134</v>
      </c>
      <c r="I1564">
        <f>G1564</f>
        <v/>
      </c>
      <c r="K1564">
        <f>I1564-G1564</f>
        <v/>
      </c>
      <c r="M1564">
        <f>R1564=E1564</f>
        <v/>
      </c>
      <c r="N1564">
        <f>AND(MONTH(F1564)=MONTH(Q1564), YEAR(F1564)=YEAR(Q1564))</f>
        <v/>
      </c>
      <c r="O1564">
        <f>"L001-902303751"=S1564</f>
        <v/>
      </c>
      <c r="P1564">
        <f>G1564-U1564</f>
        <v/>
      </c>
      <c r="Q1564" s="35" t="n">
        <v>45202</v>
      </c>
      <c r="R1564" t="inlineStr"/>
      <c r="S1564" t="inlineStr">
        <is>
          <t>L001-107041723</t>
        </is>
      </c>
      <c r="T1564" t="inlineStr">
        <is>
          <t>ឌីប៊ី សេនឃើរ (ខេមបូឌា) លីមីធីត</t>
        </is>
      </c>
      <c r="U1564" t="n">
        <v>0</v>
      </c>
      <c r="V1564" t="n">
        <v>0</v>
      </c>
    </row>
    <row r="1565">
      <c r="A1565" t="n">
        <v>1564</v>
      </c>
      <c r="B1565" t="inlineStr">
        <is>
          <t>CARGO HANDLING FEE and Bill Fee or Document Fee</t>
        </is>
      </c>
      <c r="C1565" t="inlineStr">
        <is>
          <t>អេវើរស្តារ ស៊ីលែនឌែរ</t>
        </is>
      </c>
      <c r="D1565" t="inlineStr">
        <is>
          <t>K002-100160492</t>
        </is>
      </c>
      <c r="E1565" t="inlineStr">
        <is>
          <t>TI-2024-050</t>
        </is>
      </c>
      <c r="F1565" t="inlineStr">
        <is>
          <t>28-10-2024</t>
        </is>
      </c>
      <c r="G1565" t="n">
        <v>44671</v>
      </c>
      <c r="I1565">
        <f>G1565</f>
        <v/>
      </c>
      <c r="K1565">
        <f>I1565-G1565</f>
        <v/>
      </c>
      <c r="M1565">
        <f>R1565=E1565</f>
        <v/>
      </c>
      <c r="N1565">
        <f>AND(MONTH(F1565)=MONTH(Q1565), YEAR(F1565)=YEAR(Q1565))</f>
        <v/>
      </c>
      <c r="O1565">
        <f>"L001-902303751"=S1565</f>
        <v/>
      </c>
      <c r="P1565">
        <f>G1565-U1565</f>
        <v/>
      </c>
      <c r="Q1565" s="35" t="n">
        <v>45202</v>
      </c>
      <c r="R1565" t="inlineStr"/>
      <c r="S1565" t="inlineStr">
        <is>
          <t>K003-901635943</t>
        </is>
      </c>
      <c r="T1565" t="inlineStr">
        <is>
          <t>អ៊ីឃ្យូឡាញ វើលវ៉ាយដ៍ ឡូជីស្ទីក</t>
        </is>
      </c>
      <c r="U1565" t="n">
        <v>0</v>
      </c>
      <c r="V1565" t="n">
        <v>0</v>
      </c>
    </row>
    <row r="1566">
      <c r="A1566" t="n">
        <v>1565</v>
      </c>
      <c r="B1566" t="inlineStr">
        <is>
          <t>Customs Clearance Fee</t>
        </is>
      </c>
      <c r="C1566" t="inlineStr">
        <is>
          <t>ត្រាយអ៊ែងហ្គល ឡូជីស្ទីក (ខេមបូឌា) ឯ.ក</t>
        </is>
      </c>
      <c r="D1566" t="inlineStr">
        <is>
          <t>K010-902101743</t>
        </is>
      </c>
      <c r="E1566" t="inlineStr">
        <is>
          <t>TAG-24-00814</t>
        </is>
      </c>
      <c r="F1566" t="inlineStr">
        <is>
          <t>28-10-2024</t>
        </is>
      </c>
      <c r="G1566" t="n">
        <v>8122</v>
      </c>
      <c r="I1566">
        <f>G1566</f>
        <v/>
      </c>
      <c r="K1566">
        <f>I1566-G1566</f>
        <v/>
      </c>
      <c r="M1566">
        <f>R1566=E1566</f>
        <v/>
      </c>
      <c r="N1566">
        <f>AND(MONTH(F1566)=MONTH(Q1566), YEAR(F1566)=YEAR(Q1566))</f>
        <v/>
      </c>
      <c r="O1566">
        <f>"L001-902303751"=S1566</f>
        <v/>
      </c>
      <c r="P1566">
        <f>G1566-U1566</f>
        <v/>
      </c>
      <c r="Q1566" s="35" t="n">
        <v>45200</v>
      </c>
      <c r="R1566" t="inlineStr"/>
      <c r="S1566" t="inlineStr">
        <is>
          <t>K002-901800477</t>
        </is>
      </c>
      <c r="T1566" t="inlineStr">
        <is>
          <t>អាយធីអាយ អ៊ិនធើណេសិនណល ត្រេនស័្ពរថេសិន (ខេមបូឌា) ឯ.ក</t>
        </is>
      </c>
      <c r="U1566" t="n">
        <v>0</v>
      </c>
      <c r="V1566" t="n">
        <v>0</v>
      </c>
    </row>
    <row r="1567">
      <c r="A1567" t="n">
        <v>1566</v>
      </c>
      <c r="B1567" t="inlineStr">
        <is>
          <t>Customs Clearance Fee</t>
        </is>
      </c>
      <c r="C1567" t="inlineStr">
        <is>
          <t>ត្រាយអ៊ែងហ្គល ឡូជីស្ទីក (ខេមបូឌា) ឯ.ក</t>
        </is>
      </c>
      <c r="D1567" t="inlineStr">
        <is>
          <t>K010-902101743</t>
        </is>
      </c>
      <c r="E1567" t="inlineStr">
        <is>
          <t>TAG-24-00813</t>
        </is>
      </c>
      <c r="F1567" t="inlineStr">
        <is>
          <t>28-10-2024</t>
        </is>
      </c>
      <c r="G1567" t="n">
        <v>8122</v>
      </c>
      <c r="I1567">
        <f>G1567</f>
        <v/>
      </c>
      <c r="K1567">
        <f>I1567-G1567</f>
        <v/>
      </c>
      <c r="M1567">
        <f>R1567=E1567</f>
        <v/>
      </c>
      <c r="N1567">
        <f>AND(MONTH(F1567)=MONTH(Q1567), YEAR(F1567)=YEAR(Q1567))</f>
        <v/>
      </c>
      <c r="O1567">
        <f>"L001-902303751"=S1567</f>
        <v/>
      </c>
      <c r="P1567">
        <f>G1567-U1567</f>
        <v/>
      </c>
      <c r="Q1567" s="35" t="n">
        <v>45200</v>
      </c>
      <c r="R1567" t="inlineStr"/>
      <c r="S1567" t="inlineStr">
        <is>
          <t>K002-901800477</t>
        </is>
      </c>
      <c r="T1567" t="inlineStr">
        <is>
          <t>អាយធីអាយ អ៊ិនធើណេសិនណល ត្រេនស័្ពរថេសិន (ខេមបូឌា) ឯ.ក</t>
        </is>
      </c>
      <c r="U1567" t="n">
        <v>0</v>
      </c>
      <c r="V1567" t="n">
        <v>0</v>
      </c>
    </row>
    <row r="1568">
      <c r="A1568" t="n">
        <v>1567</v>
      </c>
      <c r="B1568" t="inlineStr">
        <is>
          <t>Customs Clearance Fee</t>
        </is>
      </c>
      <c r="C1568" t="inlineStr">
        <is>
          <t>ត្រាយអ៊ែងហ្គល ឡូជីស្ទីក (ខេមបូឌា) ឯ.ក</t>
        </is>
      </c>
      <c r="D1568" t="inlineStr">
        <is>
          <t>K010-902101743</t>
        </is>
      </c>
      <c r="E1568" t="inlineStr">
        <is>
          <t>TAG-24-00812</t>
        </is>
      </c>
      <c r="F1568" t="inlineStr">
        <is>
          <t>28-10-2024</t>
        </is>
      </c>
      <c r="G1568" t="n">
        <v>8122</v>
      </c>
      <c r="I1568">
        <f>G1568</f>
        <v/>
      </c>
      <c r="K1568">
        <f>I1568-G1568</f>
        <v/>
      </c>
      <c r="M1568">
        <f>R1568=E1568</f>
        <v/>
      </c>
      <c r="N1568">
        <f>AND(MONTH(F1568)=MONTH(Q1568), YEAR(F1568)=YEAR(Q1568))</f>
        <v/>
      </c>
      <c r="O1568">
        <f>"L001-902303751"=S1568</f>
        <v/>
      </c>
      <c r="P1568">
        <f>G1568-U1568</f>
        <v/>
      </c>
      <c r="Q1568" s="35" t="n">
        <v>45200</v>
      </c>
      <c r="R1568" t="inlineStr"/>
      <c r="S1568" t="inlineStr">
        <is>
          <t>K002-901800477</t>
        </is>
      </c>
      <c r="T1568" t="inlineStr">
        <is>
          <t>អាយធីអាយ អ៊ិនធើណេសិនណល ត្រេនស័្ពរថេសិន (ខេមបូឌា) ឯ.ក</t>
        </is>
      </c>
      <c r="U1568" t="n">
        <v>0</v>
      </c>
      <c r="V1568" t="n">
        <v>0</v>
      </c>
    </row>
    <row r="1569">
      <c r="A1569" t="n">
        <v>1568</v>
      </c>
      <c r="B1569" t="inlineStr">
        <is>
          <t>Customs Clearance Fee</t>
        </is>
      </c>
      <c r="C1569" t="inlineStr">
        <is>
          <t>ត្រាយអ៊ែងហ្គល ឡូជីស្ទីក (ខេមបូឌា) ឯ.ក</t>
        </is>
      </c>
      <c r="D1569" t="inlineStr">
        <is>
          <t>K010-902101743</t>
        </is>
      </c>
      <c r="E1569" t="inlineStr">
        <is>
          <t>TAG-24-00811</t>
        </is>
      </c>
      <c r="F1569" t="inlineStr">
        <is>
          <t>28-10-2024</t>
        </is>
      </c>
      <c r="G1569" t="n">
        <v>8122</v>
      </c>
      <c r="I1569">
        <f>G1569</f>
        <v/>
      </c>
      <c r="K1569">
        <f>I1569-G1569</f>
        <v/>
      </c>
      <c r="M1569">
        <f>R1569=E1569</f>
        <v/>
      </c>
      <c r="N1569">
        <f>AND(MONTH(F1569)=MONTH(Q1569), YEAR(F1569)=YEAR(Q1569))</f>
        <v/>
      </c>
      <c r="O1569">
        <f>"L001-902303751"=S1569</f>
        <v/>
      </c>
      <c r="P1569">
        <f>G1569-U1569</f>
        <v/>
      </c>
      <c r="Q1569" s="35" t="n">
        <v>45224</v>
      </c>
      <c r="R1569" t="n">
        <v>202811</v>
      </c>
      <c r="S1569" t="inlineStr">
        <is>
          <t>K002-901800477</t>
        </is>
      </c>
      <c r="T1569" t="inlineStr">
        <is>
          <t>អាយធីអាយ អ៊ិនធើណេសិនណល ត្រេនស័្ពរថេសិន (ខេមបូឌា) ឯ.ក</t>
        </is>
      </c>
      <c r="U1569" t="n">
        <v>202811</v>
      </c>
      <c r="V1569" t="n">
        <v>0</v>
      </c>
    </row>
    <row r="1570">
      <c r="A1570" t="n">
        <v>1569</v>
      </c>
      <c r="B1570" t="inlineStr">
        <is>
          <t>Customs Clearance Fee and Trucking Fee</t>
        </is>
      </c>
      <c r="C1570" t="inlineStr">
        <is>
          <t>ត្រាយអ៊ែងហ្គល ឡូជីស្ទីក (ខេមបូឌា) ឯ.ក</t>
        </is>
      </c>
      <c r="D1570" t="inlineStr">
        <is>
          <t>K010-902101743</t>
        </is>
      </c>
      <c r="E1570" t="inlineStr">
        <is>
          <t>TAG-24-00810</t>
        </is>
      </c>
      <c r="F1570" t="inlineStr">
        <is>
          <t>28-10-2024</t>
        </is>
      </c>
      <c r="G1570" t="n">
        <v>28427</v>
      </c>
      <c r="I1570">
        <f>G1570</f>
        <v/>
      </c>
      <c r="K1570">
        <f>I1570-G1570</f>
        <v/>
      </c>
      <c r="M1570">
        <f>R1570=E1570</f>
        <v/>
      </c>
      <c r="N1570">
        <f>AND(MONTH(F1570)=MONTH(Q1570), YEAR(F1570)=YEAR(Q1570))</f>
        <v/>
      </c>
      <c r="O1570">
        <f>"L001-902303751"=S1570</f>
        <v/>
      </c>
      <c r="P1570">
        <f>G1570-U1570</f>
        <v/>
      </c>
      <c r="Q1570" s="35" t="n">
        <v>45224</v>
      </c>
      <c r="R1570" t="inlineStr"/>
      <c r="S1570" t="inlineStr">
        <is>
          <t>L001-901500191</t>
        </is>
      </c>
      <c r="T1570" t="inlineStr">
        <is>
          <t>អ.អិន.វ៉ាយ ត្រេនស្ព័ត</t>
        </is>
      </c>
      <c r="U1570" t="n">
        <v>0</v>
      </c>
      <c r="V1570" t="n">
        <v>0</v>
      </c>
    </row>
    <row r="1571">
      <c r="A1571" t="n">
        <v>1570</v>
      </c>
      <c r="B1571" t="inlineStr">
        <is>
          <t>Customs Clearance Fee and Trucking Fee</t>
        </is>
      </c>
      <c r="C1571" t="inlineStr">
        <is>
          <t>ត្រាយអ៊ែងហ្គល ឡូជីស្ទីក (ខេមបូឌា) ឯ.ក</t>
        </is>
      </c>
      <c r="D1571" t="inlineStr">
        <is>
          <t>K010-902101743</t>
        </is>
      </c>
      <c r="E1571" t="inlineStr">
        <is>
          <t>TAG-24-00809</t>
        </is>
      </c>
      <c r="F1571" t="inlineStr">
        <is>
          <t>28-10-2024</t>
        </is>
      </c>
      <c r="G1571" t="n">
        <v>28427</v>
      </c>
      <c r="I1571">
        <f>G1571</f>
        <v/>
      </c>
      <c r="K1571">
        <f>I1571-G1571</f>
        <v/>
      </c>
      <c r="M1571">
        <f>R1571=E1571</f>
        <v/>
      </c>
      <c r="N1571">
        <f>AND(MONTH(F1571)=MONTH(Q1571), YEAR(F1571)=YEAR(Q1571))</f>
        <v/>
      </c>
      <c r="O1571">
        <f>"L001-902303751"=S1571</f>
        <v/>
      </c>
      <c r="P1571">
        <f>G1571-U1571</f>
        <v/>
      </c>
      <c r="Q1571" s="35" t="n">
        <v>45224</v>
      </c>
      <c r="R1571" t="inlineStr"/>
      <c r="S1571" t="inlineStr">
        <is>
          <t>K002-901800477</t>
        </is>
      </c>
      <c r="T1571" t="inlineStr">
        <is>
          <t>អាយធីអាយ អ៊ិនធើណេសិនណល ត្រេនស័្ពរថេសិន (ខេមបូឌា) ឯ.ក</t>
        </is>
      </c>
      <c r="U1571" t="n">
        <v>0</v>
      </c>
      <c r="V1571" t="n">
        <v>0</v>
      </c>
    </row>
    <row r="1572">
      <c r="A1572" t="n">
        <v>1571</v>
      </c>
      <c r="B1572" t="inlineStr">
        <is>
          <t>Customs Clearance Fee and Trucking Fee</t>
        </is>
      </c>
      <c r="C1572" t="inlineStr">
        <is>
          <t>ត្រាយអ៊ែងហ្គល ឡូជីស្ទីក (ខេមបូឌា) ឯ.ក</t>
        </is>
      </c>
      <c r="D1572" t="inlineStr">
        <is>
          <t>K010-902101743</t>
        </is>
      </c>
      <c r="E1572" t="inlineStr">
        <is>
          <t>TAG-24-00805</t>
        </is>
      </c>
      <c r="F1572" t="inlineStr">
        <is>
          <t>28-10-2024</t>
        </is>
      </c>
      <c r="G1572" t="n">
        <v>32488</v>
      </c>
      <c r="I1572">
        <f>G1572</f>
        <v/>
      </c>
      <c r="K1572">
        <f>I1572-G1572</f>
        <v/>
      </c>
      <c r="M1572">
        <f>R1572=E1572</f>
        <v/>
      </c>
      <c r="N1572">
        <f>AND(MONTH(F1572)=MONTH(Q1572), YEAR(F1572)=YEAR(Q1572))</f>
        <v/>
      </c>
      <c r="O1572">
        <f>"L001-902303751"=S1572</f>
        <v/>
      </c>
      <c r="P1572">
        <f>G1572-U1572</f>
        <v/>
      </c>
      <c r="Q1572" s="35" t="n">
        <v>45219</v>
      </c>
      <c r="R1572" t="n">
        <v>82640</v>
      </c>
      <c r="S1572" t="inlineStr">
        <is>
          <t>K009-107034735</t>
        </is>
      </c>
      <c r="T1572" t="inlineStr">
        <is>
          <t>ស៊ីប៊ីជី ឡូជីស្ទីក (ខេមបូឌា)</t>
        </is>
      </c>
      <c r="U1572" t="n">
        <v>82640</v>
      </c>
      <c r="V1572" t="n">
        <v>0</v>
      </c>
    </row>
    <row r="1573">
      <c r="A1573" t="n">
        <v>1572</v>
      </c>
      <c r="B1573" t="inlineStr">
        <is>
          <t>Monthly Security for October 2024</t>
        </is>
      </c>
      <c r="C1573" t="inlineStr">
        <is>
          <t>អិល.ប៊ី.អិល.អេច ស៊ីឃ្យូរឹធី ឯ.ក</t>
        </is>
      </c>
      <c r="D1573" t="inlineStr">
        <is>
          <t>K010-902202247</t>
        </is>
      </c>
      <c r="E1573" t="inlineStr">
        <is>
          <t>L.B.L.H00024</t>
        </is>
      </c>
      <c r="F1573" t="inlineStr">
        <is>
          <t>25-10-2024</t>
        </is>
      </c>
      <c r="G1573" t="n">
        <v>812200</v>
      </c>
      <c r="I1573">
        <f>G1573</f>
        <v/>
      </c>
      <c r="K1573">
        <f>I1573-G1573</f>
        <v/>
      </c>
      <c r="M1573">
        <f>R1573=E1573</f>
        <v/>
      </c>
      <c r="N1573">
        <f>AND(MONTH(F1573)=MONTH(Q1573), YEAR(F1573)=YEAR(Q1573))</f>
        <v/>
      </c>
      <c r="O1573">
        <f>"L001-902303751"=S1573</f>
        <v/>
      </c>
      <c r="P1573">
        <f>G1573-U1573</f>
        <v/>
      </c>
      <c r="Q1573" s="35" t="n">
        <v>45222</v>
      </c>
      <c r="R1573" t="inlineStr"/>
      <c r="S1573" t="inlineStr">
        <is>
          <t>L001-100045995</t>
        </is>
      </c>
      <c r="T1573" t="inlineStr">
        <is>
          <t>ឌីអេចអិល ឡូជីស្ទីក (ខេមបូឌា)</t>
        </is>
      </c>
      <c r="U1573" t="n">
        <v>0</v>
      </c>
      <c r="V1573" t="n">
        <v>0</v>
      </c>
    </row>
    <row r="1574">
      <c r="A1574" t="n">
        <v>1573</v>
      </c>
      <c r="B1574" t="inlineStr">
        <is>
          <t>Customs Clearance Fee and Trucking Fee</t>
        </is>
      </c>
      <c r="C1574" t="inlineStr">
        <is>
          <t>ត្រាយអ៊ែងហ្គល ឡូជីស្ទីក (ខេមបូឌា) ឯ.ក</t>
        </is>
      </c>
      <c r="D1574" t="inlineStr">
        <is>
          <t>K010-902101743</t>
        </is>
      </c>
      <c r="E1574" t="inlineStr">
        <is>
          <t>TAG-24-00783</t>
        </is>
      </c>
      <c r="F1574" t="inlineStr">
        <is>
          <t>25-10-2024</t>
        </is>
      </c>
      <c r="G1574" t="n">
        <v>32488</v>
      </c>
      <c r="I1574">
        <f>G1574</f>
        <v/>
      </c>
      <c r="K1574">
        <f>I1574-G1574</f>
        <v/>
      </c>
      <c r="M1574">
        <f>R1574=E1574</f>
        <v/>
      </c>
      <c r="N1574">
        <f>AND(MONTH(F1574)=MONTH(Q1574), YEAR(F1574)=YEAR(Q1574))</f>
        <v/>
      </c>
      <c r="O1574">
        <f>"L001-902303751"=S1574</f>
        <v/>
      </c>
      <c r="P1574">
        <f>G1574-U1574</f>
        <v/>
      </c>
      <c r="Q1574" s="35" t="n">
        <v>45227</v>
      </c>
      <c r="R1574" t="n">
        <v>202713</v>
      </c>
      <c r="S1574" t="inlineStr">
        <is>
          <t>L001-902000739</t>
        </is>
      </c>
      <c r="T1574" t="inlineStr">
        <is>
          <t>អាន រ៉ុង ហ្ស៊ី យី ឯ.ក</t>
        </is>
      </c>
      <c r="U1574" t="n">
        <v>202713</v>
      </c>
      <c r="V1574" t="n">
        <v>0</v>
      </c>
    </row>
    <row r="1575">
      <c r="A1575" t="n">
        <v>1574</v>
      </c>
      <c r="B1575" t="inlineStr">
        <is>
          <t>Customs Clearance Fee and Trucking Fee</t>
        </is>
      </c>
      <c r="C1575" t="inlineStr">
        <is>
          <t>ត្រាយអ៊ែងហ្គល ឡូជីស្ទីក (ខេមបូឌា) ឯ.ក</t>
        </is>
      </c>
      <c r="D1575" t="inlineStr">
        <is>
          <t>K010-902101743</t>
        </is>
      </c>
      <c r="E1575" t="inlineStr">
        <is>
          <t>TAG-24-00782</t>
        </is>
      </c>
      <c r="F1575" t="inlineStr">
        <is>
          <t>25-10-2024</t>
        </is>
      </c>
      <c r="G1575" t="n">
        <v>32488</v>
      </c>
      <c r="I1575">
        <f>G1575</f>
        <v/>
      </c>
      <c r="K1575">
        <f>I1575-G1575</f>
        <v/>
      </c>
      <c r="M1575">
        <f>R1575=E1575</f>
        <v/>
      </c>
      <c r="N1575">
        <f>AND(MONTH(F1575)=MONTH(Q1575), YEAR(F1575)=YEAR(Q1575))</f>
        <v/>
      </c>
      <c r="O1575">
        <f>"L001-902303751"=S1575</f>
        <v/>
      </c>
      <c r="P1575">
        <f>G1575-U1575</f>
        <v/>
      </c>
      <c r="Q1575" s="35" t="n">
        <v>45226</v>
      </c>
      <c r="R1575" t="inlineStr"/>
      <c r="S1575" t="inlineStr">
        <is>
          <t>L001-100045995</t>
        </is>
      </c>
      <c r="T1575" t="inlineStr">
        <is>
          <t>ឌីអេចអិល ឡូជីស្ទីក (ខេមបូឌា)</t>
        </is>
      </c>
      <c r="U1575" t="n">
        <v>0</v>
      </c>
      <c r="V1575" t="n">
        <v>0</v>
      </c>
    </row>
    <row r="1576">
      <c r="A1576" t="n">
        <v>1575</v>
      </c>
      <c r="B1576" t="inlineStr">
        <is>
          <t>Customs Clearance Fee and Trucking Fee</t>
        </is>
      </c>
      <c r="C1576" t="inlineStr">
        <is>
          <t>ត្រាយអ៊ែងហ្គល ឡូជីស្ទីក (ខេមបូឌា) ឯ.ក</t>
        </is>
      </c>
      <c r="D1576" t="inlineStr">
        <is>
          <t>K010-902101743</t>
        </is>
      </c>
      <c r="E1576" t="inlineStr">
        <is>
          <t>TAG-24-00781</t>
        </is>
      </c>
      <c r="F1576" t="inlineStr">
        <is>
          <t>25-10-2024</t>
        </is>
      </c>
      <c r="G1576" t="n">
        <v>32488</v>
      </c>
      <c r="I1576">
        <f>G1576</f>
        <v/>
      </c>
      <c r="K1576">
        <f>I1576-G1576</f>
        <v/>
      </c>
      <c r="M1576">
        <f>R1576=E1576</f>
        <v/>
      </c>
      <c r="N1576">
        <f>AND(MONTH(F1576)=MONTH(Q1576), YEAR(F1576)=YEAR(Q1576))</f>
        <v/>
      </c>
      <c r="O1576">
        <f>"L001-902303751"=S1576</f>
        <v/>
      </c>
      <c r="P1576">
        <f>G1576-U1576</f>
        <v/>
      </c>
      <c r="Q1576" s="35" t="n">
        <v>45224</v>
      </c>
      <c r="R1576" t="n">
        <v>1477623</v>
      </c>
      <c r="S1576" t="inlineStr">
        <is>
          <t>K002-901800477</t>
        </is>
      </c>
      <c r="T1576" t="inlineStr">
        <is>
          <t>អាយធីអាយ អ៊ិនធើណេសិនណល ត្រេនស័្ពរថេសិន (ខេមបូឌា) ឯ.ក</t>
        </is>
      </c>
      <c r="U1576" t="n">
        <v>1477623</v>
      </c>
      <c r="V1576" t="n">
        <v>0</v>
      </c>
    </row>
    <row r="1577">
      <c r="A1577" t="n">
        <v>1576</v>
      </c>
      <c r="B1577" t="inlineStr">
        <is>
          <t>Customs Clearance Fee and Trucking Fee</t>
        </is>
      </c>
      <c r="C1577" t="inlineStr">
        <is>
          <t>ត្រាយអ៊ែងហ្គល ឡូជីស្ទីក (ខេមបូឌា) ឯ.ក</t>
        </is>
      </c>
      <c r="D1577" t="inlineStr">
        <is>
          <t>K010-902101743</t>
        </is>
      </c>
      <c r="E1577" t="inlineStr">
        <is>
          <t>TAG-24-00779</t>
        </is>
      </c>
      <c r="F1577" t="inlineStr">
        <is>
          <t>25-10-2024</t>
        </is>
      </c>
      <c r="G1577" t="n">
        <v>50153</v>
      </c>
      <c r="I1577">
        <f>G1577</f>
        <v/>
      </c>
      <c r="K1577">
        <f>I1577-G1577</f>
        <v/>
      </c>
      <c r="M1577">
        <f>R1577=E1577</f>
        <v/>
      </c>
      <c r="N1577">
        <f>AND(MONTH(F1577)=MONTH(Q1577), YEAR(F1577)=YEAR(Q1577))</f>
        <v/>
      </c>
      <c r="O1577">
        <f>"L001-902303751"=S1577</f>
        <v/>
      </c>
      <c r="P1577">
        <f>G1577-U1577</f>
        <v/>
      </c>
      <c r="Q1577" s="35" t="n">
        <v>45202</v>
      </c>
      <c r="R1577" t="inlineStr"/>
      <c r="S1577" t="inlineStr">
        <is>
          <t>L001-107032791</t>
        </is>
      </c>
      <c r="T1577" t="inlineStr">
        <is>
          <t>នីបផន អិចប្រេស (ខេមបូឌា) ខូ អិលធីឌី</t>
        </is>
      </c>
      <c r="U1577" t="n">
        <v>0</v>
      </c>
      <c r="V1577" t="n">
        <v>0</v>
      </c>
    </row>
    <row r="1578">
      <c r="A1578" t="n">
        <v>1577</v>
      </c>
      <c r="B1578" t="inlineStr">
        <is>
          <t>Customs Clearance Fee and Trucking Fee</t>
        </is>
      </c>
      <c r="C1578" t="inlineStr">
        <is>
          <t>ត្រាយអ៊ែងហ្គល ឡូជីស្ទីក (ខេមបូឌា) ឯ.ក</t>
        </is>
      </c>
      <c r="D1578" t="inlineStr">
        <is>
          <t>K010-902101743</t>
        </is>
      </c>
      <c r="E1578" t="inlineStr">
        <is>
          <t>TAG-24-00778</t>
        </is>
      </c>
      <c r="F1578" t="inlineStr">
        <is>
          <t>25-10-2024</t>
        </is>
      </c>
      <c r="G1578" t="n">
        <v>32488</v>
      </c>
      <c r="I1578">
        <f>G1578</f>
        <v/>
      </c>
      <c r="K1578">
        <f>I1578-G1578</f>
        <v/>
      </c>
      <c r="M1578">
        <f>R1578=E1578</f>
        <v/>
      </c>
      <c r="N1578">
        <f>AND(MONTH(F1578)=MONTH(Q1578), YEAR(F1578)=YEAR(Q1578))</f>
        <v/>
      </c>
      <c r="O1578">
        <f>"L001-902303751"=S1578</f>
        <v/>
      </c>
      <c r="P1578">
        <f>G1578-U1578</f>
        <v/>
      </c>
      <c r="Q1578" s="35" t="n">
        <v>45204</v>
      </c>
      <c r="R1578" t="inlineStr"/>
      <c r="S1578" t="inlineStr">
        <is>
          <t>L001-100011888</t>
        </is>
      </c>
      <c r="T1578" t="inlineStr">
        <is>
          <t>ត្រេន ស្តារ ហ្រេ្វត</t>
        </is>
      </c>
      <c r="U1578" t="n">
        <v>0</v>
      </c>
      <c r="V1578" t="n">
        <v>0</v>
      </c>
    </row>
    <row r="1579">
      <c r="A1579" t="n">
        <v>1578</v>
      </c>
      <c r="B1579" t="inlineStr">
        <is>
          <t>Customs Clearance Fee and Trucking Fee</t>
        </is>
      </c>
      <c r="C1579" t="inlineStr">
        <is>
          <t>ត្រាយអ៊ែងហ្គល ឡូជីស្ទីក (ខេមបូឌា) ឯ.ក</t>
        </is>
      </c>
      <c r="D1579" t="inlineStr">
        <is>
          <t>K010-902101743</t>
        </is>
      </c>
      <c r="E1579" t="inlineStr">
        <is>
          <t>TAG-24-00777</t>
        </is>
      </c>
      <c r="F1579" t="inlineStr">
        <is>
          <t>25-10-2024</t>
        </is>
      </c>
      <c r="G1579" t="n">
        <v>32488</v>
      </c>
      <c r="I1579">
        <f>G1579</f>
        <v/>
      </c>
      <c r="K1579">
        <f>I1579-G1579</f>
        <v/>
      </c>
      <c r="M1579">
        <f>R1579=E1579</f>
        <v/>
      </c>
      <c r="N1579">
        <f>AND(MONTH(F1579)=MONTH(Q1579), YEAR(F1579)=YEAR(Q1579))</f>
        <v/>
      </c>
      <c r="O1579">
        <f>"L001-902303751"=S1579</f>
        <v/>
      </c>
      <c r="P1579">
        <f>G1579-U1579</f>
        <v/>
      </c>
      <c r="Q1579" s="35" t="n">
        <v>45224</v>
      </c>
      <c r="R1579" t="inlineStr"/>
      <c r="S1579" t="inlineStr">
        <is>
          <t>K002-901800477</t>
        </is>
      </c>
      <c r="T1579" t="inlineStr">
        <is>
          <t>អាយធីអាយ អ៊ិនធើណេសិនណល ត្រេនស័្ពរថេសិន (ខេមបូឌា) ឯ.ក</t>
        </is>
      </c>
      <c r="U1579" t="n">
        <v>0</v>
      </c>
      <c r="V1579" t="n">
        <v>0</v>
      </c>
    </row>
    <row r="1580">
      <c r="A1580" t="n">
        <v>1579</v>
      </c>
      <c r="B1580" t="inlineStr">
        <is>
          <t>THC Fee, LCL Fee, Scanning Fee, Doc Fee, DO Fee, Agency Fee, CIC and Handling Fee</t>
        </is>
      </c>
      <c r="C1580" t="inlineStr">
        <is>
          <t>គ្លូប៊ល ស៊ី &amp; លែន ឯ.ក</t>
        </is>
      </c>
      <c r="D1580" t="inlineStr">
        <is>
          <t>K007-901702732</t>
        </is>
      </c>
      <c r="E1580" t="inlineStr">
        <is>
          <t>PPTI24-10-063</t>
        </is>
      </c>
      <c r="F1580" t="inlineStr">
        <is>
          <t>25-10-2024</t>
        </is>
      </c>
      <c r="G1580" t="n">
        <v>88936</v>
      </c>
      <c r="I1580">
        <f>G1580</f>
        <v/>
      </c>
      <c r="K1580">
        <f>I1580-G1580</f>
        <v/>
      </c>
      <c r="M1580">
        <f>R1580=E1580</f>
        <v/>
      </c>
      <c r="N1580">
        <f>AND(MONTH(F1580)=MONTH(Q1580), YEAR(F1580)=YEAR(Q1580))</f>
        <v/>
      </c>
      <c r="O1580">
        <f>"L001-902303751"=S1580</f>
        <v/>
      </c>
      <c r="P1580">
        <f>G1580-U1580</f>
        <v/>
      </c>
      <c r="Q1580" s="35" t="n">
        <v>45222</v>
      </c>
      <c r="R1580" t="inlineStr"/>
      <c r="S1580" t="inlineStr">
        <is>
          <t>K005-901902888</t>
        </is>
      </c>
      <c r="T1580" t="inlineStr">
        <is>
          <t>អឹឡាយអិន ហ្វ័រវើឌីង (ខេមបូឌា) ឯ.ក</t>
        </is>
      </c>
      <c r="U1580" t="n">
        <v>0</v>
      </c>
      <c r="V1580" t="n">
        <v>0</v>
      </c>
    </row>
    <row r="1581">
      <c r="A1581" t="n">
        <v>1580</v>
      </c>
      <c r="B1581" t="inlineStr">
        <is>
          <t>Monthly Security for October 2024</t>
        </is>
      </c>
      <c r="C1581" t="inlineStr">
        <is>
          <t>អិល.ប៊ី.អិល.អេច ស៊ីឃ្យូរឹធី ឯ.ក</t>
        </is>
      </c>
      <c r="D1581" t="inlineStr">
        <is>
          <t>K010-902202247</t>
        </is>
      </c>
      <c r="E1581" t="inlineStr">
        <is>
          <t>L.B.L.H00010</t>
        </is>
      </c>
      <c r="F1581" t="inlineStr">
        <is>
          <t>25-10-2024</t>
        </is>
      </c>
      <c r="G1581" t="n">
        <v>1388862</v>
      </c>
      <c r="I1581">
        <f>G1581</f>
        <v/>
      </c>
      <c r="K1581">
        <f>I1581-G1581</f>
        <v/>
      </c>
      <c r="M1581">
        <f>R1581=E1581</f>
        <v/>
      </c>
      <c r="N1581">
        <f>AND(MONTH(F1581)=MONTH(Q1581), YEAR(F1581)=YEAR(Q1581))</f>
        <v/>
      </c>
      <c r="O1581">
        <f>"L001-902303751"=S1581</f>
        <v/>
      </c>
      <c r="P1581">
        <f>G1581-U1581</f>
        <v/>
      </c>
      <c r="Q1581" s="35" t="n">
        <v>45227</v>
      </c>
      <c r="R1581" t="n">
        <v>82740</v>
      </c>
      <c r="S1581" t="inlineStr">
        <is>
          <t>K009-107034735</t>
        </is>
      </c>
      <c r="T1581" t="inlineStr">
        <is>
          <t>ស៊ីប៊ីជី ឡូជីស្ទីក (ខេមបូឌា)</t>
        </is>
      </c>
      <c r="U1581" t="n">
        <v>82740</v>
      </c>
      <c r="V1581" t="n">
        <v>0</v>
      </c>
    </row>
    <row r="1582">
      <c r="A1582" t="n">
        <v>1581</v>
      </c>
      <c r="B1582" t="inlineStr">
        <is>
          <t>Customs Clearance Fee and Trucking Fee</t>
        </is>
      </c>
      <c r="C1582" t="inlineStr">
        <is>
          <t>ត្រាយអ៊ែងហ្គល ឡូជីស្ទីក (ខេមបូឌា) ឯ.ក</t>
        </is>
      </c>
      <c r="D1582" t="inlineStr">
        <is>
          <t>K010-902101743</t>
        </is>
      </c>
      <c r="E1582" t="inlineStr">
        <is>
          <t>TAG-24-00785</t>
        </is>
      </c>
      <c r="F1582" t="inlineStr">
        <is>
          <t>25-10-2024</t>
        </is>
      </c>
      <c r="G1582" t="n">
        <v>63896</v>
      </c>
      <c r="I1582">
        <f>G1582</f>
        <v/>
      </c>
      <c r="K1582">
        <f>I1582-G1582</f>
        <v/>
      </c>
      <c r="M1582">
        <f>R1582=E1582</f>
        <v/>
      </c>
      <c r="N1582">
        <f>AND(MONTH(F1582)=MONTH(Q1582), YEAR(F1582)=YEAR(Q1582))</f>
        <v/>
      </c>
      <c r="O1582">
        <f>"L001-902303751"=S1582</f>
        <v/>
      </c>
      <c r="P1582">
        <f>G1582-U1582</f>
        <v/>
      </c>
      <c r="Q1582" s="35" t="n">
        <v>45227</v>
      </c>
      <c r="R1582" t="inlineStr"/>
      <c r="S1582" t="inlineStr">
        <is>
          <t>L001-902000739</t>
        </is>
      </c>
      <c r="T1582" t="inlineStr">
        <is>
          <t>អាន រ៉ុង ហ្ស៊ី យី ឯ.ក</t>
        </is>
      </c>
      <c r="U1582" t="n">
        <v>0</v>
      </c>
      <c r="V1582" t="n">
        <v>0</v>
      </c>
    </row>
    <row r="1583">
      <c r="A1583" t="n">
        <v>1582</v>
      </c>
      <c r="B1583" t="inlineStr">
        <is>
          <t>Import Shipment Expense</t>
        </is>
      </c>
      <c r="C1583" t="inlineStr">
        <is>
          <t>ខេអិលអិន ហ្វ្រេត (ខេមបូឌា) ឯ.ក</t>
        </is>
      </c>
      <c r="D1583" t="inlineStr">
        <is>
          <t>L001-100074669</t>
        </is>
      </c>
      <c r="E1583" t="inlineStr">
        <is>
          <t>IVO16741</t>
        </is>
      </c>
      <c r="F1583" t="inlineStr">
        <is>
          <t>25-10-2024</t>
        </is>
      </c>
      <c r="G1583" t="n">
        <v>285333</v>
      </c>
      <c r="I1583">
        <f>G1583</f>
        <v/>
      </c>
      <c r="K1583">
        <f>I1583-G1583</f>
        <v/>
      </c>
      <c r="M1583">
        <f>R1583=E1583</f>
        <v/>
      </c>
      <c r="N1583">
        <f>AND(MONTH(F1583)=MONTH(Q1583), YEAR(F1583)=YEAR(Q1583))</f>
        <v/>
      </c>
      <c r="O1583">
        <f>"L001-902303751"=S1583</f>
        <v/>
      </c>
      <c r="P1583">
        <f>G1583-U1583</f>
        <v/>
      </c>
      <c r="Q1583" s="35" t="n">
        <v>45229</v>
      </c>
      <c r="R1583" t="n">
        <v>85222</v>
      </c>
      <c r="S1583" t="inlineStr">
        <is>
          <t>K003-901635943</t>
        </is>
      </c>
      <c r="T1583" t="inlineStr">
        <is>
          <t>អ៊ីឃ្យូឡាញ វើលវ៉ាយដ៍ ឡូជីស្ទីក</t>
        </is>
      </c>
      <c r="U1583" t="n">
        <v>85222</v>
      </c>
      <c r="V1583" t="n">
        <v>0</v>
      </c>
    </row>
    <row r="1584">
      <c r="A1584" t="n">
        <v>1583</v>
      </c>
      <c r="B1584" t="inlineStr">
        <is>
          <t>Import Shipment Expense</t>
        </is>
      </c>
      <c r="C1584" t="inlineStr">
        <is>
          <t>ខេអិលអិន ហ្វ្រេត (ខេមបូឌា) ឯ.ក</t>
        </is>
      </c>
      <c r="D1584" t="inlineStr">
        <is>
          <t>L001-100074669</t>
        </is>
      </c>
      <c r="E1584" t="inlineStr">
        <is>
          <t>IVO16718</t>
        </is>
      </c>
      <c r="F1584" t="inlineStr">
        <is>
          <t>25-10-2024</t>
        </is>
      </c>
      <c r="G1584" t="n">
        <v>214210</v>
      </c>
      <c r="I1584">
        <f>G1584</f>
        <v/>
      </c>
      <c r="K1584">
        <f>I1584-G1584</f>
        <v/>
      </c>
      <c r="M1584">
        <f>R1584=E1584</f>
        <v/>
      </c>
      <c r="N1584">
        <f>AND(MONTH(F1584)=MONTH(Q1584), YEAR(F1584)=YEAR(Q1584))</f>
        <v/>
      </c>
      <c r="O1584">
        <f>"L001-902303751"=S1584</f>
        <v/>
      </c>
      <c r="P1584">
        <f>G1584-U1584</f>
        <v/>
      </c>
      <c r="Q1584" s="35" t="n">
        <v>45202</v>
      </c>
      <c r="R1584" t="n">
        <v>82540</v>
      </c>
      <c r="S1584" t="inlineStr">
        <is>
          <t>L001-100045995</t>
        </is>
      </c>
      <c r="T1584" t="inlineStr">
        <is>
          <t>ឌីអេចអិល ឡូជីស្ទីក (ខេមបូឌា)</t>
        </is>
      </c>
      <c r="U1584" t="n">
        <v>82540</v>
      </c>
      <c r="V1584" t="n">
        <v>0</v>
      </c>
    </row>
    <row r="1585">
      <c r="A1585" t="n">
        <v>1584</v>
      </c>
      <c r="B1585" t="inlineStr">
        <is>
          <t>Customs Clearance Fee and Trucking Fee</t>
        </is>
      </c>
      <c r="C1585" t="inlineStr">
        <is>
          <t>ត្រាយអ៊ែងហ្គល ឡូជីស្ទីក (ខេមបូឌា) ឯ.ក</t>
        </is>
      </c>
      <c r="D1585" t="inlineStr">
        <is>
          <t>K010-902101743</t>
        </is>
      </c>
      <c r="E1585" t="inlineStr">
        <is>
          <t>TAG-24-00784</t>
        </is>
      </c>
      <c r="F1585" t="inlineStr">
        <is>
          <t>25-10-2024</t>
        </is>
      </c>
      <c r="G1585" t="n">
        <v>32488</v>
      </c>
      <c r="I1585">
        <f>G1585</f>
        <v/>
      </c>
      <c r="K1585">
        <f>I1585-G1585</f>
        <v/>
      </c>
      <c r="M1585">
        <f>R1585=E1585</f>
        <v/>
      </c>
      <c r="N1585">
        <f>AND(MONTH(F1585)=MONTH(Q1585), YEAR(F1585)=YEAR(Q1585))</f>
        <v/>
      </c>
      <c r="O1585">
        <f>"L001-902303751"=S1585</f>
        <v/>
      </c>
      <c r="P1585">
        <f>G1585-U1585</f>
        <v/>
      </c>
      <c r="Q1585" s="35" t="n">
        <v>45202</v>
      </c>
      <c r="R1585" t="inlineStr"/>
      <c r="S1585" t="inlineStr">
        <is>
          <t>K003-901635943</t>
        </is>
      </c>
      <c r="T1585" t="inlineStr">
        <is>
          <t>អ៊ីឃ្យូឡាញ វើលវ៉ាយដ៍ ឡូជីស្ទីក</t>
        </is>
      </c>
      <c r="U1585" t="n">
        <v>0</v>
      </c>
      <c r="V1585" t="n">
        <v>0</v>
      </c>
    </row>
    <row r="1586">
      <c r="A1586" t="n">
        <v>1585</v>
      </c>
      <c r="B1586" t="inlineStr">
        <is>
          <t>Customs Clearance Fee and Trucking Fee</t>
        </is>
      </c>
      <c r="C1586" t="inlineStr">
        <is>
          <t>ត្រាយអ៊ែងហ្គល ឡូជីស្ទីក (ខេមបូឌា) ឯ.ក</t>
        </is>
      </c>
      <c r="D1586" t="inlineStr">
        <is>
          <t>K010-902101743</t>
        </is>
      </c>
      <c r="E1586" t="inlineStr">
        <is>
          <t>TAG-24-00788</t>
        </is>
      </c>
      <c r="F1586" t="inlineStr">
        <is>
          <t>25-10-2024</t>
        </is>
      </c>
      <c r="G1586" t="n">
        <v>109647</v>
      </c>
      <c r="I1586">
        <f>G1586</f>
        <v/>
      </c>
      <c r="K1586">
        <f>I1586-G1586</f>
        <v/>
      </c>
      <c r="M1586">
        <f>R1586=E1586</f>
        <v/>
      </c>
      <c r="N1586">
        <f>AND(MONTH(F1586)=MONTH(Q1586), YEAR(F1586)=YEAR(Q1586))</f>
        <v/>
      </c>
      <c r="O1586">
        <f>"L001-902303751"=S1586</f>
        <v/>
      </c>
      <c r="P1586">
        <f>G1586-U1586</f>
        <v/>
      </c>
      <c r="Q1586" s="35" t="n">
        <v>45202</v>
      </c>
      <c r="R1586" t="n">
        <v>85016</v>
      </c>
      <c r="S1586" t="inlineStr">
        <is>
          <t>K003-901635943</t>
        </is>
      </c>
      <c r="T1586" t="inlineStr">
        <is>
          <t>អ៊ីឃ្យូឡាញ វើលវ៉ាយដ៍ ឡូជីស្ទីក</t>
        </is>
      </c>
      <c r="U1586" t="n">
        <v>85016</v>
      </c>
      <c r="V1586" t="n">
        <v>0</v>
      </c>
    </row>
    <row r="1587">
      <c r="A1587" t="n">
        <v>1586</v>
      </c>
      <c r="B1587" t="inlineStr">
        <is>
          <t>Lift-on &amp; Lift-off</t>
        </is>
      </c>
      <c r="C1587" t="inlineStr">
        <is>
          <t>កំពង់ផែស្វយ័តក្រុងព្រះសីហនុ</t>
        </is>
      </c>
      <c r="D1587" t="inlineStr">
        <is>
          <t>L001-100044638</t>
        </is>
      </c>
      <c r="E1587" t="inlineStr">
        <is>
          <t>223097</t>
        </is>
      </c>
      <c r="F1587" t="inlineStr">
        <is>
          <t>28-10-2024</t>
        </is>
      </c>
      <c r="G1587" t="n">
        <v>23148</v>
      </c>
      <c r="I1587">
        <f>G1587</f>
        <v/>
      </c>
      <c r="K1587">
        <f>I1587-G1587</f>
        <v/>
      </c>
      <c r="M1587">
        <f>R1587=E1587</f>
        <v/>
      </c>
      <c r="N1587">
        <f>AND(MONTH(F1587)=MONTH(Q1587), YEAR(F1587)=YEAR(Q1587))</f>
        <v/>
      </c>
      <c r="O1587">
        <f>"L001-902303751"=S1587</f>
        <v/>
      </c>
      <c r="P1587">
        <f>G1587-U1587</f>
        <v/>
      </c>
      <c r="Q1587" s="35" t="n">
        <v>45209</v>
      </c>
      <c r="R1587" t="n">
        <v>9912</v>
      </c>
      <c r="S1587" t="inlineStr">
        <is>
          <t>K002-901800477</t>
        </is>
      </c>
      <c r="T1587" t="inlineStr">
        <is>
          <t>អាយធីអាយ អ៊ិនធើណេសិនណល ត្រេនស័្ពរថេសិន (ខេមបូឌា) ឯ.ក</t>
        </is>
      </c>
      <c r="U1587" t="n">
        <v>9912</v>
      </c>
      <c r="V1587" t="n">
        <v>0</v>
      </c>
    </row>
    <row r="1588">
      <c r="A1588" t="n">
        <v>1587</v>
      </c>
      <c r="B1588" t="inlineStr">
        <is>
          <t>Charge from warehouse/cy to truck</t>
        </is>
      </c>
      <c r="C1588" t="inlineStr">
        <is>
          <t>កំពង់ផែស្វយ័តក្រុងព្រះសីហនុ</t>
        </is>
      </c>
      <c r="D1588" t="inlineStr">
        <is>
          <t>L001-100044638</t>
        </is>
      </c>
      <c r="E1588" t="inlineStr">
        <is>
          <t>222592</t>
        </is>
      </c>
      <c r="F1588" t="inlineStr">
        <is>
          <t>28-10-2024</t>
        </is>
      </c>
      <c r="G1588" t="n">
        <v>2485</v>
      </c>
      <c r="I1588">
        <f>G1588</f>
        <v/>
      </c>
      <c r="K1588">
        <f>I1588-G1588</f>
        <v/>
      </c>
      <c r="M1588">
        <f>R1588=E1588</f>
        <v/>
      </c>
      <c r="N1588">
        <f>AND(MONTH(F1588)=MONTH(Q1588), YEAR(F1588)=YEAR(Q1588))</f>
        <v/>
      </c>
      <c r="O1588">
        <f>"L001-902303751"=S1588</f>
        <v/>
      </c>
      <c r="P1588">
        <f>G1588-U1588</f>
        <v/>
      </c>
      <c r="Q1588" s="35" t="n">
        <v>45208</v>
      </c>
      <c r="R1588" t="inlineStr"/>
      <c r="S1588" t="inlineStr">
        <is>
          <t>K002-901800477</t>
        </is>
      </c>
      <c r="T1588" t="inlineStr">
        <is>
          <t>អាយធីអាយ អ៊ិនធើណេសិនណល ត្រេនស័្ពរថេសិន (ខេមបូឌា) ឯ.ក</t>
        </is>
      </c>
      <c r="U1588" t="n">
        <v>0</v>
      </c>
      <c r="V1588" t="n">
        <v>0</v>
      </c>
    </row>
    <row r="1589">
      <c r="A1589" t="n">
        <v>1588</v>
      </c>
      <c r="B1589" t="inlineStr">
        <is>
          <t>Charge from Warehouse/cy to trucks</t>
        </is>
      </c>
      <c r="C1589" t="inlineStr">
        <is>
          <t>កំពង់ផែស្វយ័តក្រុងព្រះសីហនុ</t>
        </is>
      </c>
      <c r="D1589" t="inlineStr">
        <is>
          <t>L001-100044638</t>
        </is>
      </c>
      <c r="E1589" t="inlineStr">
        <is>
          <t>222589</t>
        </is>
      </c>
      <c r="F1589" t="inlineStr">
        <is>
          <t>28-10-2024</t>
        </is>
      </c>
      <c r="G1589" t="n">
        <v>620</v>
      </c>
      <c r="I1589">
        <f>G1589</f>
        <v/>
      </c>
      <c r="K1589">
        <f>I1589-G1589</f>
        <v/>
      </c>
      <c r="M1589">
        <f>R1589=E1589</f>
        <v/>
      </c>
      <c r="N1589">
        <f>AND(MONTH(F1589)=MONTH(Q1589), YEAR(F1589)=YEAR(Q1589))</f>
        <v/>
      </c>
      <c r="O1589">
        <f>"L001-902303751"=S1589</f>
        <v/>
      </c>
      <c r="P1589">
        <f>G1589-U1589</f>
        <v/>
      </c>
      <c r="Q1589" s="35" t="n">
        <v>45200</v>
      </c>
      <c r="R1589" t="inlineStr"/>
      <c r="S1589" t="inlineStr">
        <is>
          <t>L001-107000385</t>
        </is>
      </c>
      <c r="T1589" t="inlineStr">
        <is>
          <t>អិចស្ពោលាំងកា ហ្រ្វេត (ខេមបូឌា) លីមីធីត</t>
        </is>
      </c>
      <c r="U1589" t="n">
        <v>0</v>
      </c>
      <c r="V1589" t="n">
        <v>0</v>
      </c>
    </row>
    <row r="1590">
      <c r="A1590" t="n">
        <v>1589</v>
      </c>
      <c r="B1590" t="inlineStr">
        <is>
          <t>Charge from warehouse/cy to truck</t>
        </is>
      </c>
      <c r="C1590" t="inlineStr">
        <is>
          <t>កំពង់ផែស្វយ័តក្រុងព្រះសីហនុ</t>
        </is>
      </c>
      <c r="D1590" t="inlineStr">
        <is>
          <t>L001-100044638</t>
        </is>
      </c>
      <c r="E1590" t="inlineStr">
        <is>
          <t>222578</t>
        </is>
      </c>
      <c r="F1590" t="inlineStr">
        <is>
          <t>28-10-2024</t>
        </is>
      </c>
      <c r="G1590" t="n">
        <v>1244</v>
      </c>
      <c r="I1590">
        <f>G1590</f>
        <v/>
      </c>
      <c r="K1590">
        <f>I1590-G1590</f>
        <v/>
      </c>
      <c r="M1590">
        <f>R1590=E1590</f>
        <v/>
      </c>
      <c r="N1590">
        <f>AND(MONTH(F1590)=MONTH(Q1590), YEAR(F1590)=YEAR(Q1590))</f>
        <v/>
      </c>
      <c r="O1590">
        <f>"L001-902303751"=S1590</f>
        <v/>
      </c>
      <c r="P1590">
        <f>G1590-U1590</f>
        <v/>
      </c>
      <c r="Q1590" s="35" t="n">
        <v>45200</v>
      </c>
      <c r="R1590" t="n">
        <v>201978</v>
      </c>
      <c r="S1590" t="inlineStr">
        <is>
          <t>K005-100150195</t>
        </is>
      </c>
      <c r="T1590" t="inlineStr">
        <is>
          <t>អេស អ វី ស៊ី ហ្វ្រេត សឺវីស (ខេមបូឌា) ខូ អិលធីឌី</t>
        </is>
      </c>
      <c r="U1590" t="n">
        <v>201978</v>
      </c>
      <c r="V1590" t="n">
        <v>0</v>
      </c>
    </row>
    <row r="1591">
      <c r="A1591" t="n">
        <v>1590</v>
      </c>
      <c r="B1591" t="inlineStr">
        <is>
          <t>Non Woven Interlining</t>
        </is>
      </c>
      <c r="C1591" t="inlineStr">
        <is>
          <t>ដេលី ហ្គាមេន អេកសេសឺរី</t>
        </is>
      </c>
      <c r="D1591" t="inlineStr">
        <is>
          <t>L001-108012794</t>
        </is>
      </c>
      <c r="E1591" t="inlineStr">
        <is>
          <t>00448</t>
        </is>
      </c>
      <c r="F1591" t="inlineStr">
        <is>
          <t>28-10-2024</t>
        </is>
      </c>
      <c r="G1591" t="n">
        <v>1171347</v>
      </c>
      <c r="I1591">
        <f>G1591</f>
        <v/>
      </c>
      <c r="K1591">
        <f>I1591-G1591</f>
        <v/>
      </c>
      <c r="M1591">
        <f>R1591=E1591</f>
        <v/>
      </c>
      <c r="N1591">
        <f>AND(MONTH(F1591)=MONTH(Q1591), YEAR(F1591)=YEAR(Q1591))</f>
        <v/>
      </c>
      <c r="O1591">
        <f>"L001-902303751"=S1591</f>
        <v/>
      </c>
      <c r="P1591">
        <f>G1591-U1591</f>
        <v/>
      </c>
      <c r="Q1591" s="35" t="n">
        <v>45224</v>
      </c>
      <c r="R1591" t="inlineStr"/>
      <c r="S1591" t="inlineStr">
        <is>
          <t>K002-901800477</t>
        </is>
      </c>
      <c r="T1591" t="inlineStr">
        <is>
          <t>អាយធីអាយ អ៊ិនធើណេសិនណល ត្រេនស័្ពរថេសិន (ខេមបូឌា) ឯ.ក</t>
        </is>
      </c>
      <c r="U1591" t="n">
        <v>0</v>
      </c>
      <c r="V1591" t="n">
        <v>0</v>
      </c>
    </row>
    <row r="1592">
      <c r="A1592" t="n">
        <v>1591</v>
      </c>
      <c r="B1592" t="inlineStr">
        <is>
          <t>Hardware</t>
        </is>
      </c>
      <c r="C1592" t="inlineStr">
        <is>
          <t>ភ្នំពេញ ថប វើលដ៍ ខនស្ត្រាក់សិន &amp; អេនជីនារីង ឯ.ក</t>
        </is>
      </c>
      <c r="D1592" t="inlineStr">
        <is>
          <t>K005-901638261</t>
        </is>
      </c>
      <c r="E1592" t="inlineStr">
        <is>
          <t>000026</t>
        </is>
      </c>
      <c r="F1592" t="inlineStr">
        <is>
          <t>28-10-2024</t>
        </is>
      </c>
      <c r="G1592" t="n">
        <v>831490</v>
      </c>
      <c r="I1592">
        <f>G1592</f>
        <v/>
      </c>
      <c r="K1592">
        <f>I1592-G1592</f>
        <v/>
      </c>
      <c r="M1592">
        <f>R1592=E1592</f>
        <v/>
      </c>
      <c r="N1592">
        <f>AND(MONTH(F1592)=MONTH(Q1592), YEAR(F1592)=YEAR(Q1592))</f>
        <v/>
      </c>
      <c r="O1592">
        <f>"L001-902303751"=S1592</f>
        <v/>
      </c>
      <c r="P1592">
        <f>G1592-U1592</f>
        <v/>
      </c>
      <c r="Q1592" s="35" t="n">
        <v>45224</v>
      </c>
      <c r="R1592" t="n">
        <v>82780</v>
      </c>
      <c r="S1592" t="inlineStr">
        <is>
          <t>L001-103007369</t>
        </is>
      </c>
      <c r="T1592" t="inlineStr">
        <is>
          <t>អូរៀនថល ឡូជីស្ទីក &amp; ឌីស្ទ្រីប៊្យូសិន (ខេមបូឌា)</t>
        </is>
      </c>
      <c r="U1592" t="n">
        <v>82780</v>
      </c>
      <c r="V1592" t="n">
        <v>0</v>
      </c>
    </row>
    <row r="1593">
      <c r="A1593" t="n">
        <v>1592</v>
      </c>
      <c r="B1593" t="inlineStr">
        <is>
          <t>Documentation Origin, Handling Charges Origin, PLACI fee and HAWB Transmission Fee</t>
        </is>
      </c>
      <c r="C1593" t="inlineStr">
        <is>
          <t>ឌីប៊ី សេនឃើរ (ខេមបូឌា) លីមីធីត</t>
        </is>
      </c>
      <c r="D1593" t="inlineStr">
        <is>
          <t>L001-107041723</t>
        </is>
      </c>
      <c r="E1593" t="inlineStr">
        <is>
          <t>2400008681</t>
        </is>
      </c>
      <c r="F1593" t="inlineStr">
        <is>
          <t>30-10-2024</t>
        </is>
      </c>
      <c r="G1593" t="n">
        <v>49950</v>
      </c>
      <c r="I1593">
        <f>G1593</f>
        <v/>
      </c>
      <c r="K1593">
        <f>I1593-G1593</f>
        <v/>
      </c>
      <c r="M1593">
        <f>R1593=E1593</f>
        <v/>
      </c>
      <c r="N1593">
        <f>AND(MONTH(F1593)=MONTH(Q1593), YEAR(F1593)=YEAR(Q1593))</f>
        <v/>
      </c>
      <c r="O1593">
        <f>"L001-902303751"=S1593</f>
        <v/>
      </c>
      <c r="P1593">
        <f>G1593-U1593</f>
        <v/>
      </c>
      <c r="Q1593" s="35" t="n">
        <v>45222</v>
      </c>
      <c r="R1593" t="n">
        <v>85181</v>
      </c>
      <c r="S1593" t="inlineStr">
        <is>
          <t>L001-100045340</t>
        </is>
      </c>
      <c r="T1593" t="inlineStr">
        <is>
          <t xml:space="preserve">ស៊ីវ៉ា អ៊ែរ អ៊ែន អូសៀន (ខេមបូឌា) ឯ.ក </t>
        </is>
      </c>
      <c r="U1593" t="n">
        <v>85181</v>
      </c>
      <c r="V1593" t="n">
        <v>0</v>
      </c>
    </row>
    <row r="1594">
      <c r="A1594" t="n">
        <v>1593</v>
      </c>
      <c r="B1594" t="inlineStr">
        <is>
          <t>Documentation Origin, Handling Charges Origin, PLACI fee and HAWB Transmission Fee</t>
        </is>
      </c>
      <c r="C1594" t="inlineStr">
        <is>
          <t>ឌីប៊ី សេនឃើរ (ខេមបូឌា) លីមីធីត</t>
        </is>
      </c>
      <c r="D1594" t="inlineStr">
        <is>
          <t>L001-107041723</t>
        </is>
      </c>
      <c r="E1594" t="inlineStr">
        <is>
          <t>2400008684</t>
        </is>
      </c>
      <c r="F1594" t="inlineStr">
        <is>
          <t>30-10-2024</t>
        </is>
      </c>
      <c r="G1594" t="n">
        <v>49950</v>
      </c>
      <c r="I1594">
        <f>G1594</f>
        <v/>
      </c>
      <c r="K1594">
        <f>I1594-G1594</f>
        <v/>
      </c>
      <c r="M1594">
        <f>R1594=E1594</f>
        <v/>
      </c>
      <c r="N1594">
        <f>AND(MONTH(F1594)=MONTH(Q1594), YEAR(F1594)=YEAR(Q1594))</f>
        <v/>
      </c>
      <c r="O1594">
        <f>"L001-902303751"=S1594</f>
        <v/>
      </c>
      <c r="P1594">
        <f>G1594-U1594</f>
        <v/>
      </c>
      <c r="Q1594" s="35" t="n">
        <v>45222</v>
      </c>
      <c r="R1594" t="n">
        <v>20675</v>
      </c>
      <c r="S1594" t="inlineStr">
        <is>
          <t>L001-100045995</t>
        </is>
      </c>
      <c r="T1594" t="inlineStr">
        <is>
          <t>ឌីអេចអិល ឡូជីស្ទីក (ខេមបូឌា)</t>
        </is>
      </c>
      <c r="U1594" t="n">
        <v>20675</v>
      </c>
      <c r="V1594" t="n">
        <v>0</v>
      </c>
    </row>
    <row r="1595">
      <c r="A1595" t="n">
        <v>1594</v>
      </c>
      <c r="B1595" t="inlineStr">
        <is>
          <t>Cargo Terminal</t>
        </is>
      </c>
      <c r="C1595" t="inlineStr">
        <is>
          <t>សូស៊ីយេតេ កុងសេស្យូនែរ ដឺ ឡាអេរ៉ូព័រ</t>
        </is>
      </c>
      <c r="D1595" t="inlineStr">
        <is>
          <t>L001-100047300</t>
        </is>
      </c>
      <c r="E1595" t="inlineStr">
        <is>
          <t>2400087532</t>
        </is>
      </c>
      <c r="F1595" t="inlineStr">
        <is>
          <t>30-10-2024</t>
        </is>
      </c>
      <c r="G1595" t="n">
        <v>812</v>
      </c>
      <c r="I1595">
        <f>G1595</f>
        <v/>
      </c>
      <c r="K1595">
        <f>I1595-G1595</f>
        <v/>
      </c>
      <c r="M1595">
        <f>R1595=E1595</f>
        <v/>
      </c>
      <c r="N1595">
        <f>AND(MONTH(F1595)=MONTH(Q1595), YEAR(F1595)=YEAR(Q1595))</f>
        <v/>
      </c>
      <c r="O1595">
        <f>"L001-902303751"=S1595</f>
        <v/>
      </c>
      <c r="P1595">
        <f>G1595-U1595</f>
        <v/>
      </c>
      <c r="Q1595" s="35" t="n">
        <v>45226</v>
      </c>
      <c r="R1595" t="n">
        <v>82740</v>
      </c>
      <c r="S1595" t="inlineStr">
        <is>
          <t>L001-100045995</t>
        </is>
      </c>
      <c r="T1595" t="inlineStr">
        <is>
          <t>ឌីអេចអិល ឡូជីស្ទីក (ខេមបូឌា)</t>
        </is>
      </c>
      <c r="U1595" t="n">
        <v>82740</v>
      </c>
      <c r="V1595" t="n">
        <v>0</v>
      </c>
    </row>
    <row r="1596">
      <c r="A1596" t="n">
        <v>1595</v>
      </c>
      <c r="B1596" t="inlineStr">
        <is>
          <t>Raw Material</t>
        </is>
      </c>
      <c r="C1596" t="inlineStr">
        <is>
          <t>ក្លាក ហ៊ូ ឯ.ក</t>
        </is>
      </c>
      <c r="D1596" t="inlineStr">
        <is>
          <t>K007-901639199</t>
        </is>
      </c>
      <c r="E1596" t="inlineStr">
        <is>
          <t>IN2477</t>
        </is>
      </c>
      <c r="F1596" t="inlineStr">
        <is>
          <t>31-10-2024</t>
        </is>
      </c>
      <c r="G1596" t="n">
        <v>467164</v>
      </c>
      <c r="I1596">
        <f>G1596</f>
        <v/>
      </c>
      <c r="K1596">
        <f>I1596-G1596</f>
        <v/>
      </c>
      <c r="M1596">
        <f>R1596=E1596</f>
        <v/>
      </c>
      <c r="N1596">
        <f>AND(MONTH(F1596)=MONTH(Q1596), YEAR(F1596)=YEAR(Q1596))</f>
        <v/>
      </c>
      <c r="O1596">
        <f>"L001-902303751"=S1596</f>
        <v/>
      </c>
      <c r="P1596">
        <f>G1596-U1596</f>
        <v/>
      </c>
      <c r="Q1596" s="35" t="n">
        <v>45229</v>
      </c>
      <c r="R1596" t="inlineStr"/>
      <c r="S1596" t="inlineStr">
        <is>
          <t>K003-901635943</t>
        </is>
      </c>
      <c r="T1596" t="inlineStr">
        <is>
          <t>អ៊ីឃ្យូឡាញ វើលវ៉ាយដ៍ ឡូជីស្ទីក</t>
        </is>
      </c>
      <c r="U1596" t="n">
        <v>0</v>
      </c>
      <c r="V1596" t="n">
        <v>0</v>
      </c>
    </row>
    <row r="1597">
      <c r="A1597" t="n">
        <v>1596</v>
      </c>
      <c r="B1597" t="inlineStr">
        <is>
          <t>Needle</t>
        </is>
      </c>
      <c r="C1597" t="inlineStr">
        <is>
          <t>ក្លាក ហ៊ូ ឯ.ក</t>
        </is>
      </c>
      <c r="D1597" t="inlineStr">
        <is>
          <t>K007-901639199</t>
        </is>
      </c>
      <c r="E1597" t="inlineStr">
        <is>
          <t>IN2476</t>
        </is>
      </c>
      <c r="F1597" t="inlineStr">
        <is>
          <t>31-10-2024</t>
        </is>
      </c>
      <c r="G1597" t="n">
        <v>570526</v>
      </c>
      <c r="I1597">
        <f>G1597</f>
        <v/>
      </c>
      <c r="K1597">
        <f>I1597-G1597</f>
        <v/>
      </c>
      <c r="M1597">
        <f>R1597=E1597</f>
        <v/>
      </c>
      <c r="N1597">
        <f>AND(MONTH(F1597)=MONTH(Q1597), YEAR(F1597)=YEAR(Q1597))</f>
        <v/>
      </c>
      <c r="O1597">
        <f>"L001-902303751"=S1597</f>
        <v/>
      </c>
      <c r="P1597">
        <f>G1597-U1597</f>
        <v/>
      </c>
      <c r="Q1597" s="35" t="n">
        <v>45224</v>
      </c>
      <c r="R1597" t="inlineStr"/>
      <c r="S1597" t="inlineStr">
        <is>
          <t>L001-100011888</t>
        </is>
      </c>
      <c r="T1597" t="inlineStr">
        <is>
          <t>ត្រេន ស្តារ ហ្រេ្វត</t>
        </is>
      </c>
      <c r="U1597" t="n">
        <v>0</v>
      </c>
      <c r="V1597" t="n">
        <v>0</v>
      </c>
    </row>
    <row r="1598">
      <c r="A1598" t="n">
        <v>1597</v>
      </c>
      <c r="B1598" t="inlineStr">
        <is>
          <t>Maintenance Cutting Machine</t>
        </is>
      </c>
      <c r="C1598" t="inlineStr">
        <is>
          <t>ក្លាក ហ៊ូ ឯ.ក</t>
        </is>
      </c>
      <c r="D1598" t="inlineStr">
        <is>
          <t>K007-901639199</t>
        </is>
      </c>
      <c r="E1598" t="inlineStr">
        <is>
          <t>IN2430</t>
        </is>
      </c>
      <c r="F1598" t="inlineStr">
        <is>
          <t>31-10-2024</t>
        </is>
      </c>
      <c r="G1598" t="n">
        <v>170646</v>
      </c>
      <c r="I1598">
        <f>G1598</f>
        <v/>
      </c>
      <c r="K1598">
        <f>I1598-G1598</f>
        <v/>
      </c>
      <c r="M1598">
        <f>R1598=E1598</f>
        <v/>
      </c>
      <c r="N1598">
        <f>AND(MONTH(F1598)=MONTH(Q1598), YEAR(F1598)=YEAR(Q1598))</f>
        <v/>
      </c>
      <c r="O1598">
        <f>"L001-902303751"=S1598</f>
        <v/>
      </c>
      <c r="P1598">
        <f>G1598-U1598</f>
        <v/>
      </c>
      <c r="Q1598" s="35" t="n">
        <v>45202</v>
      </c>
      <c r="R1598" t="inlineStr"/>
      <c r="S1598" t="inlineStr">
        <is>
          <t>L001-100045995</t>
        </is>
      </c>
      <c r="T1598" t="inlineStr">
        <is>
          <t>ឌីអេចអិល ឡូជីស្ទីក (ខេមបូឌា)</t>
        </is>
      </c>
      <c r="U1598" t="n">
        <v>0</v>
      </c>
      <c r="V1598" t="n">
        <v>0</v>
      </c>
    </row>
    <row r="1599">
      <c r="A1599" t="n">
        <v>1598</v>
      </c>
      <c r="B1599" t="inlineStr">
        <is>
          <t>Rental Machine</t>
        </is>
      </c>
      <c r="C1599" t="inlineStr">
        <is>
          <t>ក្លាក ហ៊ូ ឯ.ក</t>
        </is>
      </c>
      <c r="D1599" t="inlineStr">
        <is>
          <t>K007-901639199</t>
        </is>
      </c>
      <c r="E1599" t="inlineStr">
        <is>
          <t>IN2429</t>
        </is>
      </c>
      <c r="F1599" t="inlineStr">
        <is>
          <t>31-10-2024</t>
        </is>
      </c>
      <c r="G1599" t="n">
        <v>40630</v>
      </c>
      <c r="I1599">
        <f>G1599</f>
        <v/>
      </c>
      <c r="K1599">
        <f>I1599-G1599</f>
        <v/>
      </c>
      <c r="M1599">
        <f>R1599=E1599</f>
        <v/>
      </c>
      <c r="N1599">
        <f>AND(MONTH(F1599)=MONTH(Q1599), YEAR(F1599)=YEAR(Q1599))</f>
        <v/>
      </c>
      <c r="O1599">
        <f>"L001-902303751"=S1599</f>
        <v/>
      </c>
      <c r="P1599">
        <f>G1599-U1599</f>
        <v/>
      </c>
      <c r="Q1599" s="35" t="n">
        <v>45208</v>
      </c>
      <c r="R1599" t="inlineStr"/>
      <c r="S1599" t="inlineStr">
        <is>
          <t>L001-107032791</t>
        </is>
      </c>
      <c r="T1599" t="inlineStr">
        <is>
          <t>នីបផន អិចប្រេស (ខេមបូឌា) ខូ អិលធីឌី</t>
        </is>
      </c>
      <c r="U1599" t="n">
        <v>0</v>
      </c>
      <c r="V1599" t="n">
        <v>0</v>
      </c>
    </row>
    <row r="1600">
      <c r="A1600" t="n">
        <v>1599</v>
      </c>
      <c r="B1600" t="inlineStr">
        <is>
          <t>Rental Machine</t>
        </is>
      </c>
      <c r="C1600" t="inlineStr">
        <is>
          <t>ក្លាក ហ៊ូ ឯ.ក</t>
        </is>
      </c>
      <c r="D1600" t="inlineStr">
        <is>
          <t>K007-901639199</t>
        </is>
      </c>
      <c r="E1600" t="inlineStr">
        <is>
          <t>IN2428</t>
        </is>
      </c>
      <c r="F1600" t="inlineStr">
        <is>
          <t>31-10-2024</t>
        </is>
      </c>
      <c r="G1600" t="n">
        <v>138681</v>
      </c>
      <c r="I1600">
        <f>G1600</f>
        <v/>
      </c>
      <c r="K1600">
        <f>I1600-G1600</f>
        <v/>
      </c>
      <c r="M1600">
        <f>R1600=E1600</f>
        <v/>
      </c>
      <c r="N1600">
        <f>AND(MONTH(F1600)=MONTH(Q1600), YEAR(F1600)=YEAR(Q1600))</f>
        <v/>
      </c>
      <c r="O1600">
        <f>"L001-902303751"=S1600</f>
        <v/>
      </c>
      <c r="P1600">
        <f>G1600-U1600</f>
        <v/>
      </c>
      <c r="Q1600" s="35" t="n">
        <v>45208</v>
      </c>
      <c r="R1600" t="n">
        <v>82600</v>
      </c>
      <c r="S1600" t="inlineStr">
        <is>
          <t>L001-100045995</t>
        </is>
      </c>
      <c r="T1600" t="inlineStr">
        <is>
          <t>ឌីអេចអិល ឡូជីស្ទីក (ខេមបូឌា)</t>
        </is>
      </c>
      <c r="U1600" t="n">
        <v>82600</v>
      </c>
      <c r="V1600" t="n">
        <v>0</v>
      </c>
    </row>
    <row r="1601">
      <c r="A1601" t="n">
        <v>1600</v>
      </c>
      <c r="B1601" t="inlineStr">
        <is>
          <t>Rental Machine</t>
        </is>
      </c>
      <c r="C1601" t="inlineStr">
        <is>
          <t>ក្លាក ហ៊ូ ឯ.ក</t>
        </is>
      </c>
      <c r="D1601" t="inlineStr">
        <is>
          <t>K007-901639199</t>
        </is>
      </c>
      <c r="E1601" t="inlineStr">
        <is>
          <t>IN2427</t>
        </is>
      </c>
      <c r="F1601" t="inlineStr">
        <is>
          <t>31-10-2024</t>
        </is>
      </c>
      <c r="G1601" t="n">
        <v>211276</v>
      </c>
      <c r="I1601">
        <f>G1601</f>
        <v/>
      </c>
      <c r="K1601">
        <f>I1601-G1601</f>
        <v/>
      </c>
      <c r="M1601">
        <f>R1601=E1601</f>
        <v/>
      </c>
      <c r="N1601">
        <f>AND(MONTH(F1601)=MONTH(Q1601), YEAR(F1601)=YEAR(Q1601))</f>
        <v/>
      </c>
      <c r="O1601">
        <f>"L001-902303751"=S1601</f>
        <v/>
      </c>
      <c r="P1601">
        <f>G1601-U1601</f>
        <v/>
      </c>
      <c r="Q1601" s="35" t="n">
        <v>45224</v>
      </c>
      <c r="R1601" t="n">
        <v>111753</v>
      </c>
      <c r="S1601" t="inlineStr">
        <is>
          <t>K002-901800477</t>
        </is>
      </c>
      <c r="T1601" t="inlineStr">
        <is>
          <t>អាយធីអាយ អ៊ិនធើណេសិនណល ត្រេនស័្ពរថេសិន (ខេមបូឌា) ឯ.ក</t>
        </is>
      </c>
      <c r="U1601" t="n">
        <v>111753</v>
      </c>
      <c r="V1601" t="n">
        <v>0</v>
      </c>
    </row>
    <row r="1602">
      <c r="A1602" t="n">
        <v>1601</v>
      </c>
      <c r="B1602" t="inlineStr">
        <is>
          <t>Rental Machine</t>
        </is>
      </c>
      <c r="C1602" t="inlineStr">
        <is>
          <t>ក្លាក ហ៊ូ ឯ.ក</t>
        </is>
      </c>
      <c r="D1602" t="inlineStr">
        <is>
          <t>K007-901639199</t>
        </is>
      </c>
      <c r="E1602" t="inlineStr">
        <is>
          <t>IN2426</t>
        </is>
      </c>
      <c r="F1602" t="inlineStr">
        <is>
          <t>31-10-2024</t>
        </is>
      </c>
      <c r="G1602" t="n">
        <v>87894</v>
      </c>
      <c r="I1602">
        <f>G1602</f>
        <v/>
      </c>
      <c r="K1602">
        <f>I1602-G1602</f>
        <v/>
      </c>
      <c r="M1602">
        <f>R1602=E1602</f>
        <v/>
      </c>
      <c r="N1602">
        <f>AND(MONTH(F1602)=MONTH(Q1602), YEAR(F1602)=YEAR(Q1602))</f>
        <v/>
      </c>
      <c r="O1602">
        <f>"L001-902303751"=S1602</f>
        <v/>
      </c>
      <c r="P1602">
        <f>G1602-U1602</f>
        <v/>
      </c>
      <c r="Q1602" s="35" t="n">
        <v>45224</v>
      </c>
      <c r="R1602" t="n">
        <v>173838</v>
      </c>
      <c r="S1602" t="inlineStr">
        <is>
          <t>K002-901800477</t>
        </is>
      </c>
      <c r="T1602" t="inlineStr">
        <is>
          <t>អាយធីអាយ អ៊ិនធើណេសិនណល ត្រេនស័្ពរថេសិន (ខេមបូឌា) ឯ.ក</t>
        </is>
      </c>
      <c r="U1602" t="n">
        <v>173838</v>
      </c>
      <c r="V1602" t="n">
        <v>0</v>
      </c>
    </row>
    <row r="1603">
      <c r="A1603" t="n">
        <v>1602</v>
      </c>
      <c r="B1603" t="inlineStr">
        <is>
          <t>Rental Machine</t>
        </is>
      </c>
      <c r="C1603" t="inlineStr">
        <is>
          <t>ក្លាក ហ៊ូ ឯ.ក</t>
        </is>
      </c>
      <c r="D1603" t="inlineStr">
        <is>
          <t>K007-901639199</t>
        </is>
      </c>
      <c r="E1603" t="inlineStr">
        <is>
          <t>IN2425</t>
        </is>
      </c>
      <c r="F1603" t="inlineStr">
        <is>
          <t>31-10-2024</t>
        </is>
      </c>
      <c r="G1603" t="n">
        <v>95348</v>
      </c>
      <c r="I1603">
        <f>G1603</f>
        <v/>
      </c>
      <c r="K1603">
        <f>I1603-G1603</f>
        <v/>
      </c>
      <c r="M1603">
        <f>R1603=E1603</f>
        <v/>
      </c>
      <c r="N1603">
        <f>AND(MONTH(F1603)=MONTH(Q1603), YEAR(F1603)=YEAR(Q1603))</f>
        <v/>
      </c>
      <c r="O1603">
        <f>"L001-902303751"=S1603</f>
        <v/>
      </c>
      <c r="P1603">
        <f>G1603-U1603</f>
        <v/>
      </c>
      <c r="Q1603" s="35" t="n">
        <v>45216</v>
      </c>
      <c r="R1603" t="n">
        <v>85016</v>
      </c>
      <c r="S1603" t="inlineStr">
        <is>
          <t>K003-901635943</t>
        </is>
      </c>
      <c r="T1603" t="inlineStr">
        <is>
          <t>អ៊ីឃ្យូឡាញ វើលវ៉ាយដ៍ ឡូជីស្ទីក</t>
        </is>
      </c>
      <c r="U1603" t="n">
        <v>85016</v>
      </c>
      <c r="V1603" t="n">
        <v>0</v>
      </c>
    </row>
    <row r="1604">
      <c r="A1604" t="n">
        <v>1603</v>
      </c>
      <c r="B1604" t="inlineStr">
        <is>
          <t>Rental Machine</t>
        </is>
      </c>
      <c r="C1604" t="inlineStr">
        <is>
          <t>ក្លាក ហ៊ូ ឯ.ក</t>
        </is>
      </c>
      <c r="D1604" t="inlineStr">
        <is>
          <t>K007-901639199</t>
        </is>
      </c>
      <c r="E1604" t="inlineStr">
        <is>
          <t>IN2424</t>
        </is>
      </c>
      <c r="F1604" t="inlineStr">
        <is>
          <t>31-10-2024</t>
        </is>
      </c>
      <c r="G1604" t="n">
        <v>1305848</v>
      </c>
      <c r="I1604">
        <f>G1604</f>
        <v/>
      </c>
      <c r="K1604">
        <f>I1604-G1604</f>
        <v/>
      </c>
      <c r="M1604">
        <f>R1604=E1604</f>
        <v/>
      </c>
      <c r="N1604">
        <f>AND(MONTH(F1604)=MONTH(Q1604), YEAR(F1604)=YEAR(Q1604))</f>
        <v/>
      </c>
      <c r="O1604">
        <f>"L001-902303751"=S1604</f>
        <v/>
      </c>
      <c r="P1604">
        <f>G1604-U1604</f>
        <v/>
      </c>
      <c r="Q1604" s="35" t="n">
        <v>45215</v>
      </c>
      <c r="R1604" t="n">
        <v>202321</v>
      </c>
      <c r="S1604" t="inlineStr">
        <is>
          <t>K005-901501155</t>
        </is>
      </c>
      <c r="T1604" t="inlineStr">
        <is>
          <t>ផេនដា គ្លូប៊ល ឡូជីស្ទីក (ខេមបូឌា)</t>
        </is>
      </c>
      <c r="U1604" t="n">
        <v>202321</v>
      </c>
      <c r="V1604" t="n">
        <v>0</v>
      </c>
    </row>
    <row r="1605">
      <c r="A1605" t="n">
        <v>1604</v>
      </c>
      <c r="B1605" t="inlineStr">
        <is>
          <t>Rental Machine</t>
        </is>
      </c>
      <c r="C1605" t="inlineStr">
        <is>
          <t>ក្លាក ហ៊ូ ឯ.ក</t>
        </is>
      </c>
      <c r="D1605" t="inlineStr">
        <is>
          <t>K007-901639199</t>
        </is>
      </c>
      <c r="E1605" t="inlineStr">
        <is>
          <t>IN2423</t>
        </is>
      </c>
      <c r="F1605" t="inlineStr">
        <is>
          <t>31-10-2024</t>
        </is>
      </c>
      <c r="G1605" t="n">
        <v>60945</v>
      </c>
      <c r="I1605">
        <f>G1605</f>
        <v/>
      </c>
      <c r="K1605">
        <f>I1605-G1605</f>
        <v/>
      </c>
      <c r="M1605">
        <f>R1605=E1605</f>
        <v/>
      </c>
      <c r="N1605">
        <f>AND(MONTH(F1605)=MONTH(Q1605), YEAR(F1605)=YEAR(Q1605))</f>
        <v/>
      </c>
      <c r="O1605">
        <f>"L001-902303751"=S1605</f>
        <v/>
      </c>
      <c r="P1605">
        <f>G1605-U1605</f>
        <v/>
      </c>
      <c r="Q1605" s="35" t="n">
        <v>45229</v>
      </c>
      <c r="R1605" t="n">
        <v>12411</v>
      </c>
      <c r="S1605" t="inlineStr">
        <is>
          <t>K002-901800477</t>
        </is>
      </c>
      <c r="T1605" t="inlineStr">
        <is>
          <t>អាយធីអាយ អ៊ិនធើណេសិនណល ត្រេនស័្ពរថេសិន (ខេមបូឌា) ឯ.ក</t>
        </is>
      </c>
      <c r="U1605" t="n">
        <v>12411</v>
      </c>
      <c r="V1605" t="n">
        <v>0</v>
      </c>
    </row>
    <row r="1606">
      <c r="A1606" t="n">
        <v>1605</v>
      </c>
      <c r="B1606" t="inlineStr">
        <is>
          <t>Rental Machine</t>
        </is>
      </c>
      <c r="C1606" t="inlineStr">
        <is>
          <t>ក្លាក ហ៊ូ ឯ.ក</t>
        </is>
      </c>
      <c r="D1606" t="inlineStr">
        <is>
          <t>K007-901639199</t>
        </is>
      </c>
      <c r="E1606" t="inlineStr">
        <is>
          <t>IN2422</t>
        </is>
      </c>
      <c r="F1606" t="inlineStr">
        <is>
          <t>31-10-2024</t>
        </is>
      </c>
      <c r="G1606" t="n">
        <v>60945</v>
      </c>
      <c r="I1606">
        <f>G1606</f>
        <v/>
      </c>
      <c r="K1606">
        <f>I1606-G1606</f>
        <v/>
      </c>
      <c r="M1606">
        <f>R1606=E1606</f>
        <v/>
      </c>
      <c r="N1606">
        <f>AND(MONTH(F1606)=MONTH(Q1606), YEAR(F1606)=YEAR(Q1606))</f>
        <v/>
      </c>
      <c r="O1606">
        <f>"L001-902303751"=S1606</f>
        <v/>
      </c>
      <c r="P1606">
        <f>G1606-U1606</f>
        <v/>
      </c>
      <c r="Q1606" s="35" t="n">
        <v>45229</v>
      </c>
      <c r="R1606" t="n">
        <v>111699</v>
      </c>
      <c r="S1606" t="inlineStr">
        <is>
          <t>L001-107032791</t>
        </is>
      </c>
      <c r="T1606" t="inlineStr">
        <is>
          <t>នីបផន អិចប្រេស (ខេមបូឌា) ខូ អិលធីឌី</t>
        </is>
      </c>
      <c r="U1606" t="n">
        <v>111699</v>
      </c>
      <c r="V1606" t="n">
        <v>0</v>
      </c>
    </row>
    <row r="1607">
      <c r="A1607" t="n">
        <v>1606</v>
      </c>
      <c r="B1607" t="inlineStr">
        <is>
          <t>Rental Machine</t>
        </is>
      </c>
      <c r="C1607" t="inlineStr">
        <is>
          <t>ក្លាក ហ៊ូ ឯ.ក</t>
        </is>
      </c>
      <c r="D1607" t="inlineStr">
        <is>
          <t>K007-901639199</t>
        </is>
      </c>
      <c r="E1607" t="inlineStr">
        <is>
          <t>IN2421</t>
        </is>
      </c>
      <c r="F1607" t="inlineStr">
        <is>
          <t>31-10-2024</t>
        </is>
      </c>
      <c r="G1607" t="n">
        <v>57968</v>
      </c>
      <c r="I1607">
        <f>G1607</f>
        <v/>
      </c>
      <c r="K1607">
        <f>I1607-G1607</f>
        <v/>
      </c>
      <c r="M1607">
        <f>R1607=E1607</f>
        <v/>
      </c>
      <c r="N1607">
        <f>AND(MONTH(F1607)=MONTH(Q1607), YEAR(F1607)=YEAR(Q1607))</f>
        <v/>
      </c>
      <c r="O1607">
        <f>"L001-902303751"=S1607</f>
        <v/>
      </c>
      <c r="P1607">
        <f>G1607-U1607</f>
        <v/>
      </c>
      <c r="Q1607" s="35" t="n">
        <v>45224</v>
      </c>
      <c r="R1607" t="inlineStr"/>
      <c r="S1607" t="inlineStr">
        <is>
          <t>K010-902101743</t>
        </is>
      </c>
      <c r="T1607" t="inlineStr">
        <is>
          <t>ត្រាយអ៊ែងហ្គល ឡូជីស្ទីក (ខេមបូឌា) ឯ.ក</t>
        </is>
      </c>
      <c r="U1607" t="n">
        <v>0</v>
      </c>
      <c r="V1607" t="n">
        <v>0</v>
      </c>
    </row>
    <row r="1608">
      <c r="A1608" t="n">
        <v>1607</v>
      </c>
      <c r="B1608" t="inlineStr">
        <is>
          <t>Rental Machine</t>
        </is>
      </c>
      <c r="C1608" t="inlineStr">
        <is>
          <t>ក្លាក ហ៊ូ ឯ.ក</t>
        </is>
      </c>
      <c r="D1608" t="inlineStr">
        <is>
          <t>K007-901639199</t>
        </is>
      </c>
      <c r="E1608" t="inlineStr">
        <is>
          <t>IN2420</t>
        </is>
      </c>
      <c r="F1608" t="inlineStr">
        <is>
          <t>31-10-2024</t>
        </is>
      </c>
      <c r="G1608" t="n">
        <v>97512</v>
      </c>
      <c r="I1608">
        <f>G1608</f>
        <v/>
      </c>
      <c r="K1608">
        <f>I1608-G1608</f>
        <v/>
      </c>
      <c r="M1608">
        <f>R1608=E1608</f>
        <v/>
      </c>
      <c r="N1608">
        <f>AND(MONTH(F1608)=MONTH(Q1608), YEAR(F1608)=YEAR(Q1608))</f>
        <v/>
      </c>
      <c r="O1608">
        <f>"L001-902303751"=S1608</f>
        <v/>
      </c>
      <c r="P1608">
        <f>G1608-U1608</f>
        <v/>
      </c>
      <c r="Q1608" s="35" t="n">
        <v>45224</v>
      </c>
      <c r="R1608" t="inlineStr"/>
      <c r="S1608" t="inlineStr">
        <is>
          <t>K002-901800477</t>
        </is>
      </c>
      <c r="T1608" t="inlineStr">
        <is>
          <t>អាយធីអាយ អ៊ិនធើណេសិនណល ត្រេនស័្ពរថេសិន (ខេមបូឌា) ឯ.ក</t>
        </is>
      </c>
      <c r="U1608" t="n">
        <v>0</v>
      </c>
      <c r="V1608" t="n">
        <v>0</v>
      </c>
    </row>
    <row r="1609">
      <c r="A1609" t="n">
        <v>1608</v>
      </c>
      <c r="B1609" t="inlineStr">
        <is>
          <t>Rental Machine</t>
        </is>
      </c>
      <c r="C1609" t="inlineStr">
        <is>
          <t>ក្លាក ហ៊ូ ឯ.ក</t>
        </is>
      </c>
      <c r="D1609" t="inlineStr">
        <is>
          <t>K007-901639199</t>
        </is>
      </c>
      <c r="E1609" t="inlineStr">
        <is>
          <t>IN2419</t>
        </is>
      </c>
      <c r="F1609" t="inlineStr">
        <is>
          <t>31-10-2024</t>
        </is>
      </c>
      <c r="G1609" t="n">
        <v>22753</v>
      </c>
      <c r="I1609">
        <f>G1609</f>
        <v/>
      </c>
      <c r="K1609">
        <f>I1609-G1609</f>
        <v/>
      </c>
      <c r="M1609">
        <f>R1609=E1609</f>
        <v/>
      </c>
      <c r="N1609">
        <f>AND(MONTH(F1609)=MONTH(Q1609), YEAR(F1609)=YEAR(Q1609))</f>
        <v/>
      </c>
      <c r="O1609">
        <f>"L001-902303751"=S1609</f>
        <v/>
      </c>
      <c r="P1609">
        <f>G1609-U1609</f>
        <v/>
      </c>
      <c r="Q1609" s="35" t="n">
        <v>45208</v>
      </c>
      <c r="R1609" t="n">
        <v>111510</v>
      </c>
      <c r="S1609" t="inlineStr">
        <is>
          <t>L001-107032791</t>
        </is>
      </c>
      <c r="T1609" t="inlineStr">
        <is>
          <t>នីបផន អិចប្រេស (ខេមបូឌា) ខូ អិលធីឌី</t>
        </is>
      </c>
      <c r="U1609" t="n">
        <v>111510</v>
      </c>
      <c r="V1609" t="n">
        <v>0</v>
      </c>
    </row>
    <row r="1610">
      <c r="A1610" t="n">
        <v>1609</v>
      </c>
      <c r="B1610" t="inlineStr">
        <is>
          <t>Rental Machine</t>
        </is>
      </c>
      <c r="C1610" t="inlineStr">
        <is>
          <t>ក្លាក ហ៊ូ ឯ.ក</t>
        </is>
      </c>
      <c r="D1610" t="inlineStr">
        <is>
          <t>K007-901639199</t>
        </is>
      </c>
      <c r="E1610" t="inlineStr">
        <is>
          <t>IN2418</t>
        </is>
      </c>
      <c r="F1610" t="inlineStr">
        <is>
          <t>31-10-2024</t>
        </is>
      </c>
      <c r="G1610" t="n">
        <v>170646</v>
      </c>
      <c r="I1610">
        <f>G1610</f>
        <v/>
      </c>
      <c r="K1610">
        <f>I1610-G1610</f>
        <v/>
      </c>
      <c r="M1610">
        <f>R1610=E1610</f>
        <v/>
      </c>
      <c r="N1610">
        <f>AND(MONTH(F1610)=MONTH(Q1610), YEAR(F1610)=YEAR(Q1610))</f>
        <v/>
      </c>
      <c r="O1610">
        <f>"L001-902303751"=S1610</f>
        <v/>
      </c>
      <c r="P1610">
        <f>G1610-U1610</f>
        <v/>
      </c>
      <c r="Q1610" s="35" t="n">
        <v>45208</v>
      </c>
      <c r="R1610" t="inlineStr"/>
      <c r="S1610" t="inlineStr">
        <is>
          <t>L001-100045995</t>
        </is>
      </c>
      <c r="T1610" t="inlineStr">
        <is>
          <t>ឌីអេចអិល ឡូជីស្ទីក (ខេមបូឌា)</t>
        </is>
      </c>
      <c r="U1610" t="n">
        <v>0</v>
      </c>
      <c r="V1610" t="n">
        <v>0</v>
      </c>
    </row>
    <row r="1611">
      <c r="A1611" t="n">
        <v>1610</v>
      </c>
      <c r="B1611" t="inlineStr">
        <is>
          <t>Rental Machine</t>
        </is>
      </c>
      <c r="C1611" t="inlineStr">
        <is>
          <t>ក្លាក ហ៊ូ ឯ.ក</t>
        </is>
      </c>
      <c r="D1611" t="inlineStr">
        <is>
          <t>K007-901639199</t>
        </is>
      </c>
      <c r="E1611" t="inlineStr">
        <is>
          <t>IN2417</t>
        </is>
      </c>
      <c r="F1611" t="inlineStr">
        <is>
          <t>31-10-2024</t>
        </is>
      </c>
      <c r="G1611" t="n">
        <v>65547</v>
      </c>
      <c r="I1611">
        <f>G1611</f>
        <v/>
      </c>
      <c r="K1611">
        <f>I1611-G1611</f>
        <v/>
      </c>
      <c r="M1611">
        <f>R1611=E1611</f>
        <v/>
      </c>
      <c r="N1611">
        <f>AND(MONTH(F1611)=MONTH(Q1611), YEAR(F1611)=YEAR(Q1611))</f>
        <v/>
      </c>
      <c r="O1611">
        <f>"L001-902303751"=S1611</f>
        <v/>
      </c>
      <c r="P1611">
        <f>G1611-U1611</f>
        <v/>
      </c>
      <c r="Q1611" s="35" t="n">
        <v>45208</v>
      </c>
      <c r="R1611" t="inlineStr"/>
      <c r="S1611" t="inlineStr">
        <is>
          <t>K003-901635943</t>
        </is>
      </c>
      <c r="T1611" t="inlineStr">
        <is>
          <t>អ៊ីឃ្យូឡាញ វើលវ៉ាយដ៍ ឡូជីស្ទីក</t>
        </is>
      </c>
      <c r="U1611" t="n">
        <v>0</v>
      </c>
      <c r="V1611" t="n">
        <v>0</v>
      </c>
    </row>
    <row r="1612">
      <c r="A1612" t="n">
        <v>1611</v>
      </c>
      <c r="B1612" t="inlineStr">
        <is>
          <t>Rental Machine</t>
        </is>
      </c>
      <c r="C1612" t="inlineStr">
        <is>
          <t>ក្លាក ហ៊ូ ឯ.ក</t>
        </is>
      </c>
      <c r="D1612" t="inlineStr">
        <is>
          <t>K007-901639199</t>
        </is>
      </c>
      <c r="E1612" t="inlineStr">
        <is>
          <t>IN2416</t>
        </is>
      </c>
      <c r="F1612" t="inlineStr">
        <is>
          <t>31-10-2024</t>
        </is>
      </c>
      <c r="G1612" t="n">
        <v>42662</v>
      </c>
      <c r="I1612">
        <f>G1612</f>
        <v/>
      </c>
      <c r="K1612">
        <f>I1612-G1612</f>
        <v/>
      </c>
      <c r="M1612">
        <f>R1612=E1612</f>
        <v/>
      </c>
      <c r="N1612">
        <f>AND(MONTH(F1612)=MONTH(Q1612), YEAR(F1612)=YEAR(Q1612))</f>
        <v/>
      </c>
      <c r="O1612">
        <f>"L001-902303751"=S1612</f>
        <v/>
      </c>
      <c r="P1612">
        <f>G1612-U1612</f>
        <v/>
      </c>
      <c r="Q1612" s="35" t="n">
        <v>45200</v>
      </c>
      <c r="R1612" t="n">
        <v>746082</v>
      </c>
      <c r="S1612" t="inlineStr">
        <is>
          <t>L001-901802873</t>
        </is>
      </c>
      <c r="T1612" t="inlineStr">
        <is>
          <t>គ្លូប៊ល ហៅស៍ (ខេមបូឌា) ឯ.ក</t>
        </is>
      </c>
      <c r="U1612" t="n">
        <v>746082</v>
      </c>
      <c r="V1612" t="n">
        <v>0</v>
      </c>
    </row>
    <row r="1613">
      <c r="A1613" t="n">
        <v>1612</v>
      </c>
      <c r="B1613" t="inlineStr">
        <is>
          <t>Rental Machine</t>
        </is>
      </c>
      <c r="C1613" t="inlineStr">
        <is>
          <t>ក្លាក ហ៊ូ ឯ.ក</t>
        </is>
      </c>
      <c r="D1613" t="inlineStr">
        <is>
          <t>K007-901639199</t>
        </is>
      </c>
      <c r="E1613" t="inlineStr">
        <is>
          <t>IN2415</t>
        </is>
      </c>
      <c r="F1613" t="inlineStr">
        <is>
          <t>31-10-2024</t>
        </is>
      </c>
      <c r="G1613" t="n">
        <v>33450</v>
      </c>
      <c r="I1613">
        <f>G1613</f>
        <v/>
      </c>
      <c r="K1613">
        <f>I1613-G1613</f>
        <v/>
      </c>
      <c r="M1613">
        <f>R1613=E1613</f>
        <v/>
      </c>
      <c r="N1613">
        <f>AND(MONTH(F1613)=MONTH(Q1613), YEAR(F1613)=YEAR(Q1613))</f>
        <v/>
      </c>
      <c r="O1613">
        <f>"L001-902303751"=S1613</f>
        <v/>
      </c>
      <c r="P1613">
        <f>G1613-U1613</f>
        <v/>
      </c>
      <c r="Q1613" s="35" t="n">
        <v>45216</v>
      </c>
      <c r="R1613" t="inlineStr"/>
      <c r="S1613" t="inlineStr">
        <is>
          <t>K003-901635943</t>
        </is>
      </c>
      <c r="T1613" t="inlineStr">
        <is>
          <t>អ៊ីឃ្យូឡាញ វើលវ៉ាយដ៍ ឡូជីស្ទីក</t>
        </is>
      </c>
      <c r="U1613" t="n">
        <v>0</v>
      </c>
      <c r="V1613" t="n">
        <v>0</v>
      </c>
    </row>
    <row r="1614">
      <c r="A1614" t="n">
        <v>1613</v>
      </c>
      <c r="B1614" t="inlineStr">
        <is>
          <t>Rental Machine</t>
        </is>
      </c>
      <c r="C1614" t="inlineStr">
        <is>
          <t>ក្លាក ហ៊ូ ឯ.ក</t>
        </is>
      </c>
      <c r="D1614" t="inlineStr">
        <is>
          <t>K007-901639199</t>
        </is>
      </c>
      <c r="E1614" t="inlineStr">
        <is>
          <t>IN2414</t>
        </is>
      </c>
      <c r="F1614" t="inlineStr">
        <is>
          <t>31-10-2024</t>
        </is>
      </c>
      <c r="G1614" t="n">
        <v>25597</v>
      </c>
      <c r="I1614">
        <f>G1614</f>
        <v/>
      </c>
      <c r="K1614">
        <f>I1614-G1614</f>
        <v/>
      </c>
      <c r="M1614">
        <f>R1614=E1614</f>
        <v/>
      </c>
      <c r="N1614">
        <f>AND(MONTH(F1614)=MONTH(Q1614), YEAR(F1614)=YEAR(Q1614))</f>
        <v/>
      </c>
      <c r="O1614">
        <f>"L001-902303751"=S1614</f>
        <v/>
      </c>
      <c r="P1614">
        <f>G1614-U1614</f>
        <v/>
      </c>
      <c r="Q1614" s="35" t="n">
        <v>45224</v>
      </c>
      <c r="R1614" t="n">
        <v>82780</v>
      </c>
      <c r="S1614" t="inlineStr">
        <is>
          <t>K005-901501155</t>
        </is>
      </c>
      <c r="T1614" t="inlineStr">
        <is>
          <t>ផេនដា គ្លូប៊ល ឡូជីស្ទីក (ខេមបូឌា)</t>
        </is>
      </c>
      <c r="U1614" t="n">
        <v>82780</v>
      </c>
      <c r="V1614" t="n">
        <v>0</v>
      </c>
    </row>
    <row r="1615">
      <c r="A1615" t="n">
        <v>1614</v>
      </c>
      <c r="B1615" t="inlineStr">
        <is>
          <t>Rental Machine</t>
        </is>
      </c>
      <c r="C1615" t="inlineStr">
        <is>
          <t>ក្លាក ហ៊ូ ឯ.ក</t>
        </is>
      </c>
      <c r="D1615" t="inlineStr">
        <is>
          <t>K007-901639199</t>
        </is>
      </c>
      <c r="E1615" t="inlineStr">
        <is>
          <t>IN2413</t>
        </is>
      </c>
      <c r="F1615" t="inlineStr">
        <is>
          <t>31-10-2024</t>
        </is>
      </c>
      <c r="G1615" t="n">
        <v>229896</v>
      </c>
      <c r="I1615">
        <f>G1615</f>
        <v/>
      </c>
      <c r="K1615">
        <f>I1615-G1615</f>
        <v/>
      </c>
      <c r="M1615">
        <f>R1615=E1615</f>
        <v/>
      </c>
      <c r="N1615">
        <f>AND(MONTH(F1615)=MONTH(Q1615), YEAR(F1615)=YEAR(Q1615))</f>
        <v/>
      </c>
      <c r="O1615">
        <f>"L001-902303751"=S1615</f>
        <v/>
      </c>
      <c r="P1615">
        <f>G1615-U1615</f>
        <v/>
      </c>
      <c r="Q1615" s="35" t="n">
        <v>45224</v>
      </c>
      <c r="R1615" t="n">
        <v>82780</v>
      </c>
      <c r="S1615" t="inlineStr">
        <is>
          <t>L001-103007369</t>
        </is>
      </c>
      <c r="T1615" t="inlineStr">
        <is>
          <t>អូរៀនថល ឡូជីស្ទីក &amp; ឌីស្ទ្រីប៊្យូសិន (ខេមបូឌា)</t>
        </is>
      </c>
      <c r="U1615" t="n">
        <v>82780</v>
      </c>
      <c r="V1615" t="n">
        <v>0</v>
      </c>
    </row>
    <row r="1616">
      <c r="A1616" t="n">
        <v>1615</v>
      </c>
      <c r="B1616" t="inlineStr">
        <is>
          <t>Rental Machine</t>
        </is>
      </c>
      <c r="C1616" t="inlineStr">
        <is>
          <t>ក្លាក ហ៊ូ ឯ.ក</t>
        </is>
      </c>
      <c r="D1616" t="inlineStr">
        <is>
          <t>K007-901639199</t>
        </is>
      </c>
      <c r="E1616" t="inlineStr">
        <is>
          <t>IN2412</t>
        </is>
      </c>
      <c r="F1616" t="inlineStr">
        <is>
          <t>31-10-2024</t>
        </is>
      </c>
      <c r="G1616" t="n">
        <v>18487</v>
      </c>
      <c r="I1616">
        <f>G1616</f>
        <v/>
      </c>
      <c r="K1616">
        <f>I1616-G1616</f>
        <v/>
      </c>
      <c r="M1616">
        <f>R1616=E1616</f>
        <v/>
      </c>
      <c r="N1616">
        <f>AND(MONTH(F1616)=MONTH(Q1616), YEAR(F1616)=YEAR(Q1616))</f>
        <v/>
      </c>
      <c r="O1616">
        <f>"L001-902303751"=S1616</f>
        <v/>
      </c>
      <c r="P1616">
        <f>G1616-U1616</f>
        <v/>
      </c>
      <c r="Q1616" s="35" t="n">
        <v>45208</v>
      </c>
      <c r="R1616" t="n">
        <v>111510</v>
      </c>
      <c r="S1616" t="inlineStr">
        <is>
          <t>L001-107041723</t>
        </is>
      </c>
      <c r="T1616" t="inlineStr">
        <is>
          <t>ឌីប៊ី សេនឃើរ (ខេមបូឌា) លីមីធីត</t>
        </is>
      </c>
      <c r="U1616" t="n">
        <v>111510</v>
      </c>
      <c r="V1616" t="n">
        <v>0</v>
      </c>
    </row>
    <row r="1617">
      <c r="A1617" t="n">
        <v>1616</v>
      </c>
      <c r="B1617" t="inlineStr">
        <is>
          <t>Raw Material</t>
        </is>
      </c>
      <c r="C1617" t="inlineStr">
        <is>
          <t>ក្លាក ហ៊ូ ឯ.ក</t>
        </is>
      </c>
      <c r="D1617" t="inlineStr">
        <is>
          <t>K007-901639199</t>
        </is>
      </c>
      <c r="E1617" t="inlineStr">
        <is>
          <t>IN2478</t>
        </is>
      </c>
      <c r="F1617" t="inlineStr">
        <is>
          <t>31-10-2024</t>
        </is>
      </c>
      <c r="G1617" t="n">
        <v>433116</v>
      </c>
      <c r="I1617">
        <f>G1617</f>
        <v/>
      </c>
      <c r="K1617">
        <f>I1617-G1617</f>
        <v/>
      </c>
      <c r="M1617">
        <f>R1617=E1617</f>
        <v/>
      </c>
      <c r="N1617">
        <f>AND(MONTH(F1617)=MONTH(Q1617), YEAR(F1617)=YEAR(Q1617))</f>
        <v/>
      </c>
      <c r="O1617">
        <f>"L001-902303751"=S1617</f>
        <v/>
      </c>
      <c r="P1617">
        <f>G1617-U1617</f>
        <v/>
      </c>
      <c r="Q1617" s="35" t="n">
        <v>45208</v>
      </c>
      <c r="R1617" t="n">
        <v>82600</v>
      </c>
      <c r="S1617" t="inlineStr">
        <is>
          <t>K002-901800477</t>
        </is>
      </c>
      <c r="T1617" t="inlineStr">
        <is>
          <t>អាយធីអាយ អ៊ិនធើណេសិនណល ត្រេនស័្ពរថេសិន (ខេមបូឌា) ឯ.ក</t>
        </is>
      </c>
      <c r="U1617" t="n">
        <v>82600</v>
      </c>
      <c r="V1617" t="n">
        <v>0</v>
      </c>
    </row>
    <row r="1618">
      <c r="A1618" t="n">
        <v>1617</v>
      </c>
      <c r="B1618" t="inlineStr">
        <is>
          <t>Raw Material</t>
        </is>
      </c>
      <c r="C1618" t="inlineStr">
        <is>
          <t>ក្លាក ហ៊ូ ឯ.ក</t>
        </is>
      </c>
      <c r="D1618" t="inlineStr">
        <is>
          <t>K007-901639199</t>
        </is>
      </c>
      <c r="E1618" t="inlineStr">
        <is>
          <t>IN2479</t>
        </is>
      </c>
      <c r="F1618" t="inlineStr">
        <is>
          <t>31-10-2024</t>
        </is>
      </c>
      <c r="G1618" t="n">
        <v>223262</v>
      </c>
      <c r="I1618">
        <f>G1618</f>
        <v/>
      </c>
      <c r="K1618">
        <f>I1618-G1618</f>
        <v/>
      </c>
      <c r="M1618">
        <f>R1618=E1618</f>
        <v/>
      </c>
      <c r="N1618">
        <f>AND(MONTH(F1618)=MONTH(Q1618), YEAR(F1618)=YEAR(Q1618))</f>
        <v/>
      </c>
      <c r="O1618">
        <f>"L001-902303751"=S1618</f>
        <v/>
      </c>
      <c r="P1618">
        <f>G1618-U1618</f>
        <v/>
      </c>
      <c r="Q1618" s="35" t="n">
        <v>45200</v>
      </c>
      <c r="R1618" t="n">
        <v>568836</v>
      </c>
      <c r="S1618" t="inlineStr">
        <is>
          <t>L001-100044956</t>
        </is>
      </c>
      <c r="T1618" t="inlineStr">
        <is>
          <t>ជី លីង អិចប្រេស ឡូជីស្ទីក (ខេមបូឌា) លីមីធីត</t>
        </is>
      </c>
      <c r="U1618" t="n">
        <v>568836</v>
      </c>
      <c r="V1618" t="n">
        <v>0</v>
      </c>
    </row>
    <row r="1619">
      <c r="A1619" t="n">
        <v>1618</v>
      </c>
      <c r="B1619" t="inlineStr">
        <is>
          <t>Customs Clearance Fee and Trucking Fee</t>
        </is>
      </c>
      <c r="C1619" t="inlineStr">
        <is>
          <t>ត្រាយអ៊ែងហ្គល ឡូជីស្ទីក (ខេមបូឌា) ឯ.ក</t>
        </is>
      </c>
      <c r="D1619" t="inlineStr">
        <is>
          <t>K010-902101743</t>
        </is>
      </c>
      <c r="E1619" t="inlineStr">
        <is>
          <t>TAG-24-00824</t>
        </is>
      </c>
      <c r="F1619" t="inlineStr">
        <is>
          <t>31-10-2024</t>
        </is>
      </c>
      <c r="G1619" t="n">
        <v>109701</v>
      </c>
      <c r="I1619">
        <f>G1619</f>
        <v/>
      </c>
      <c r="K1619">
        <f>I1619-G1619</f>
        <v/>
      </c>
      <c r="M1619">
        <f>R1619=E1619</f>
        <v/>
      </c>
      <c r="N1619">
        <f>AND(MONTH(F1619)=MONTH(Q1619), YEAR(F1619)=YEAR(Q1619))</f>
        <v/>
      </c>
      <c r="O1619">
        <f>"L001-902303751"=S1619</f>
        <v/>
      </c>
      <c r="P1619">
        <f>G1619-U1619</f>
        <v/>
      </c>
      <c r="Q1619" s="35" t="n">
        <v>45200</v>
      </c>
      <c r="R1619" t="inlineStr"/>
      <c r="S1619" t="inlineStr">
        <is>
          <t>K005-100150195</t>
        </is>
      </c>
      <c r="T1619" t="inlineStr">
        <is>
          <t>អេស អ វី ស៊ី ហ្វ្រេត សឺវីស (ខេមបូឌា) ខូ អិលធីឌី</t>
        </is>
      </c>
      <c r="U1619" t="n">
        <v>0</v>
      </c>
      <c r="V1619" t="n">
        <v>0</v>
      </c>
    </row>
    <row r="1620">
      <c r="A1620" t="n">
        <v>1619</v>
      </c>
      <c r="B1620" t="inlineStr">
        <is>
          <t>Transportation Fee</t>
        </is>
      </c>
      <c r="C1620" t="inlineStr">
        <is>
          <t>យូ អេហ្វ អេស គ្លូប៊ល អិចប្រេស ឡូជីស្ទីក</t>
        </is>
      </c>
      <c r="D1620" t="inlineStr">
        <is>
          <t>K010-108005623</t>
        </is>
      </c>
      <c r="E1620" t="inlineStr">
        <is>
          <t>UFS-00827</t>
        </is>
      </c>
      <c r="F1620" t="inlineStr">
        <is>
          <t>31-10-2024</t>
        </is>
      </c>
      <c r="G1620" t="n">
        <v>3619958</v>
      </c>
      <c r="I1620">
        <f>G1620</f>
        <v/>
      </c>
      <c r="K1620">
        <f>I1620-G1620</f>
        <v/>
      </c>
      <c r="M1620">
        <f>R1620=E1620</f>
        <v/>
      </c>
      <c r="N1620">
        <f>AND(MONTH(F1620)=MONTH(Q1620), YEAR(F1620)=YEAR(Q1620))</f>
        <v/>
      </c>
      <c r="O1620">
        <f>"L001-902303751"=S1620</f>
        <v/>
      </c>
      <c r="P1620">
        <f>G1620-U1620</f>
        <v/>
      </c>
      <c r="Q1620" s="35" t="n">
        <v>45224</v>
      </c>
      <c r="R1620" t="n">
        <v>509097</v>
      </c>
      <c r="S1620" t="inlineStr">
        <is>
          <t>L001-100182259</t>
        </is>
      </c>
      <c r="T1620" t="inlineStr">
        <is>
          <t>សាខាក្រុមហ៊ុន ប៊ី ឡូជីស្ទីក ខបភើរេសិន (ខេមបូឌា)</t>
        </is>
      </c>
      <c r="U1620" t="n">
        <v>509097</v>
      </c>
      <c r="V1620" t="n">
        <v>0</v>
      </c>
    </row>
    <row r="1621">
      <c r="A1621" t="n">
        <v>1620</v>
      </c>
      <c r="B1621" t="inlineStr">
        <is>
          <t>OM Forwarding Fee, Terminal Handling, Carrier BL, Document Assembly, VGM Admin Fee and Container Seal</t>
        </is>
      </c>
      <c r="C1621" t="inlineStr">
        <is>
          <t>អ៊ិចស្ពែឌីធ័រ ខេមបូឌា អិលធីឌី</t>
        </is>
      </c>
      <c r="D1621" t="inlineStr">
        <is>
          <t>L001-100045898</t>
        </is>
      </c>
      <c r="E1621" t="inlineStr">
        <is>
          <t>TI-0295113</t>
        </is>
      </c>
      <c r="F1621" t="inlineStr">
        <is>
          <t>31-10-2024</t>
        </is>
      </c>
      <c r="G1621" t="n">
        <v>162520</v>
      </c>
      <c r="I1621">
        <f>G1621</f>
        <v/>
      </c>
      <c r="K1621">
        <f>I1621-G1621</f>
        <v/>
      </c>
      <c r="M1621">
        <f>R1621=E1621</f>
        <v/>
      </c>
      <c r="N1621">
        <f>AND(MONTH(F1621)=MONTH(Q1621), YEAR(F1621)=YEAR(Q1621))</f>
        <v/>
      </c>
      <c r="O1621">
        <f>"L001-902303751"=S1621</f>
        <v/>
      </c>
      <c r="P1621">
        <f>G1621-U1621</f>
        <v/>
      </c>
      <c r="Q1621" s="35" t="n">
        <v>45222</v>
      </c>
      <c r="R1621" t="n">
        <v>82700</v>
      </c>
      <c r="S1621" t="inlineStr">
        <is>
          <t>K005-901902888</t>
        </is>
      </c>
      <c r="T1621" t="inlineStr">
        <is>
          <t>អឹឡាយអិន ហ្វ័រវើឌីង (ខេមបូឌា) ឯ.ក</t>
        </is>
      </c>
      <c r="U1621" t="n">
        <v>82700</v>
      </c>
      <c r="V1621" t="n">
        <v>0</v>
      </c>
    </row>
    <row r="1622">
      <c r="A1622" t="n">
        <v>1621</v>
      </c>
      <c r="B1622" t="inlineStr">
        <is>
          <t>Customs Clearance Fee and Trucking Fee</t>
        </is>
      </c>
      <c r="C1622" t="inlineStr">
        <is>
          <t>ត្រាយអ៊ែងហ្គល ឡូជីស្ទីក (ខេមបូឌា) ឯ.ក</t>
        </is>
      </c>
      <c r="D1622" t="inlineStr">
        <is>
          <t>K010-902101743</t>
        </is>
      </c>
      <c r="E1622" t="inlineStr">
        <is>
          <t>TAG-24-00833</t>
        </is>
      </c>
      <c r="F1622" t="inlineStr">
        <is>
          <t>31-10-2024</t>
        </is>
      </c>
      <c r="G1622" t="n">
        <v>60782</v>
      </c>
      <c r="I1622">
        <f>G1622</f>
        <v/>
      </c>
      <c r="K1622">
        <f>I1622-G1622</f>
        <v/>
      </c>
      <c r="M1622">
        <f>R1622=E1622</f>
        <v/>
      </c>
      <c r="N1622">
        <f>AND(MONTH(F1622)=MONTH(Q1622), YEAR(F1622)=YEAR(Q1622))</f>
        <v/>
      </c>
      <c r="O1622">
        <f>"L001-902303751"=S1622</f>
        <v/>
      </c>
      <c r="P1622">
        <f>G1622-U1622</f>
        <v/>
      </c>
      <c r="Q1622" s="35" t="n">
        <v>45224</v>
      </c>
      <c r="R1622" t="inlineStr"/>
      <c r="S1622" t="inlineStr">
        <is>
          <t>L001-103007369</t>
        </is>
      </c>
      <c r="T1622" t="inlineStr">
        <is>
          <t>អូរៀនថល ឡូជីស្ទីក &amp; ឌីស្ទ្រីប៊្យូសិន (ខេមបូឌា)</t>
        </is>
      </c>
      <c r="U1622" t="n">
        <v>0</v>
      </c>
      <c r="V1622" t="n">
        <v>0</v>
      </c>
    </row>
    <row r="1623">
      <c r="A1623" t="n">
        <v>1622</v>
      </c>
      <c r="B1623" t="inlineStr">
        <is>
          <t>Customs Clearance Fee and Trucking Fee</t>
        </is>
      </c>
      <c r="C1623" t="inlineStr">
        <is>
          <t>ត្រាយអ៊ែងហ្គល ឡូជីស្ទីក (ខេមបូឌា) ឯ.ក</t>
        </is>
      </c>
      <c r="D1623" t="inlineStr">
        <is>
          <t>K010-902101743</t>
        </is>
      </c>
      <c r="E1623" t="inlineStr">
        <is>
          <t>TAG-24-00832</t>
        </is>
      </c>
      <c r="F1623" t="inlineStr">
        <is>
          <t>31-10-2024</t>
        </is>
      </c>
      <c r="G1623" t="n">
        <v>32504</v>
      </c>
      <c r="I1623">
        <f>G1623</f>
        <v/>
      </c>
      <c r="K1623">
        <f>I1623-G1623</f>
        <v/>
      </c>
      <c r="M1623">
        <f>R1623=E1623</f>
        <v/>
      </c>
      <c r="N1623">
        <f>AND(MONTH(F1623)=MONTH(Q1623), YEAR(F1623)=YEAR(Q1623))</f>
        <v/>
      </c>
      <c r="O1623">
        <f>"L001-902303751"=S1623</f>
        <v/>
      </c>
      <c r="P1623">
        <f>G1623-U1623</f>
        <v/>
      </c>
      <c r="Q1623" s="35" t="n">
        <v>45202</v>
      </c>
      <c r="R1623" t="inlineStr"/>
      <c r="S1623" t="inlineStr">
        <is>
          <t>L001-107041723</t>
        </is>
      </c>
      <c r="T1623" t="inlineStr">
        <is>
          <t>ឌីប៊ី សេនឃើរ (ខេមបូឌា) លីមីធីត</t>
        </is>
      </c>
      <c r="U1623" t="n">
        <v>0</v>
      </c>
      <c r="V1623" t="n">
        <v>0</v>
      </c>
    </row>
    <row r="1624">
      <c r="A1624" t="n">
        <v>1623</v>
      </c>
      <c r="B1624" t="inlineStr">
        <is>
          <t>Customs Clearance Fee</t>
        </is>
      </c>
      <c r="C1624" t="inlineStr">
        <is>
          <t>ត្រាយអ៊ែងហ្គល ឡូជីស្ទីក (ខេមបូឌា) ឯ.ក</t>
        </is>
      </c>
      <c r="D1624" t="inlineStr">
        <is>
          <t>K010-902101743</t>
        </is>
      </c>
      <c r="E1624" t="inlineStr">
        <is>
          <t>TAG-24-00831</t>
        </is>
      </c>
      <c r="F1624" t="inlineStr">
        <is>
          <t>31-10-2024</t>
        </is>
      </c>
      <c r="G1624" t="n">
        <v>8126</v>
      </c>
      <c r="I1624">
        <f>G1624</f>
        <v/>
      </c>
      <c r="K1624">
        <f>I1624-G1624</f>
        <v/>
      </c>
      <c r="M1624">
        <f>R1624=E1624</f>
        <v/>
      </c>
      <c r="N1624">
        <f>AND(MONTH(F1624)=MONTH(Q1624), YEAR(F1624)=YEAR(Q1624))</f>
        <v/>
      </c>
      <c r="O1624">
        <f>"L001-902303751"=S1624</f>
        <v/>
      </c>
      <c r="P1624">
        <f>G1624-U1624</f>
        <v/>
      </c>
      <c r="Q1624" s="35" t="n">
        <v>45202</v>
      </c>
      <c r="R1624" t="n">
        <v>82540</v>
      </c>
      <c r="S1624" t="inlineStr">
        <is>
          <t>L001-107041723</t>
        </is>
      </c>
      <c r="T1624" t="inlineStr">
        <is>
          <t>ឌីប៊ី សេនឃើរ (ខេមបូឌា) លីមីធីត</t>
        </is>
      </c>
      <c r="U1624" t="n">
        <v>82540</v>
      </c>
      <c r="V1624" t="n">
        <v>0</v>
      </c>
    </row>
    <row r="1625">
      <c r="A1625" t="n">
        <v>1624</v>
      </c>
      <c r="B1625" t="inlineStr">
        <is>
          <t>Customs Clearance Fee</t>
        </is>
      </c>
      <c r="C1625" t="inlineStr">
        <is>
          <t>ត្រាយអ៊ែងហ្គល ឡូជីស្ទីក (ខេមបូឌា) ឯ.ក</t>
        </is>
      </c>
      <c r="D1625" t="inlineStr">
        <is>
          <t>K010-902101743</t>
        </is>
      </c>
      <c r="E1625" t="inlineStr">
        <is>
          <t>TAG-24-00830</t>
        </is>
      </c>
      <c r="F1625" t="inlineStr">
        <is>
          <t>31-10-2024</t>
        </is>
      </c>
      <c r="G1625" t="n">
        <v>8126</v>
      </c>
      <c r="I1625">
        <f>G1625</f>
        <v/>
      </c>
      <c r="K1625">
        <f>I1625-G1625</f>
        <v/>
      </c>
      <c r="M1625">
        <f>R1625=E1625</f>
        <v/>
      </c>
      <c r="N1625">
        <f>AND(MONTH(F1625)=MONTH(Q1625), YEAR(F1625)=YEAR(Q1625))</f>
        <v/>
      </c>
      <c r="O1625">
        <f>"L001-902303751"=S1625</f>
        <v/>
      </c>
      <c r="P1625">
        <f>G1625-U1625</f>
        <v/>
      </c>
      <c r="Q1625" s="35" t="n">
        <v>45200</v>
      </c>
      <c r="R1625" t="n">
        <v>111294</v>
      </c>
      <c r="S1625" t="inlineStr">
        <is>
          <t>K002-901800477</t>
        </is>
      </c>
      <c r="T1625" t="inlineStr">
        <is>
          <t>អាយធីអាយ អ៊ិនធើណេសិនណល ត្រេនស័្ពរថេសិន (ខេមបូឌា) ឯ.ក</t>
        </is>
      </c>
      <c r="U1625" t="n">
        <v>111294</v>
      </c>
      <c r="V1625" t="n">
        <v>0</v>
      </c>
    </row>
    <row r="1626">
      <c r="A1626" t="n">
        <v>1625</v>
      </c>
      <c r="B1626" t="inlineStr">
        <is>
          <t>Customs Clearance Fee</t>
        </is>
      </c>
      <c r="C1626" t="inlineStr">
        <is>
          <t>ត្រាយអ៊ែងហ្គល ឡូជីស្ទីក (ខេមបូឌា) ឯ.ក</t>
        </is>
      </c>
      <c r="D1626" t="inlineStr">
        <is>
          <t>K010-902101743</t>
        </is>
      </c>
      <c r="E1626" t="inlineStr">
        <is>
          <t>TAG-24-00829</t>
        </is>
      </c>
      <c r="F1626" t="inlineStr">
        <is>
          <t>31-10-2024</t>
        </is>
      </c>
      <c r="G1626" t="n">
        <v>8126</v>
      </c>
      <c r="I1626">
        <f>G1626</f>
        <v/>
      </c>
      <c r="K1626">
        <f>I1626-G1626</f>
        <v/>
      </c>
      <c r="M1626">
        <f>R1626=E1626</f>
        <v/>
      </c>
      <c r="N1626">
        <f>AND(MONTH(F1626)=MONTH(Q1626), YEAR(F1626)=YEAR(Q1626))</f>
        <v/>
      </c>
      <c r="O1626">
        <f>"L001-902303751"=S1626</f>
        <v/>
      </c>
      <c r="P1626">
        <f>G1626-U1626</f>
        <v/>
      </c>
      <c r="Q1626" s="35" t="n">
        <v>45222</v>
      </c>
      <c r="R1626" t="n">
        <v>85181</v>
      </c>
      <c r="S1626" t="inlineStr">
        <is>
          <t>K003-901635943</t>
        </is>
      </c>
      <c r="T1626" t="inlineStr">
        <is>
          <t>អ៊ីឃ្យូឡាញ វើលវ៉ាយដ៍ ឡូជីស្ទីក</t>
        </is>
      </c>
      <c r="U1626" t="n">
        <v>85181</v>
      </c>
      <c r="V1626" t="n">
        <v>0</v>
      </c>
    </row>
    <row r="1627">
      <c r="A1627" t="n">
        <v>1626</v>
      </c>
      <c r="B1627" t="inlineStr">
        <is>
          <t>Customs Clearance Fee</t>
        </is>
      </c>
      <c r="C1627" t="inlineStr">
        <is>
          <t>ត្រាយអ៊ែងហ្គល ឡូជីស្ទីក (ខេមបូឌា) ឯ.ក</t>
        </is>
      </c>
      <c r="D1627" t="inlineStr">
        <is>
          <t>K010-902101743</t>
        </is>
      </c>
      <c r="E1627" t="inlineStr">
        <is>
          <t>TAG-24-00828</t>
        </is>
      </c>
      <c r="F1627" t="inlineStr">
        <is>
          <t>31-10-2024</t>
        </is>
      </c>
      <c r="G1627" t="n">
        <v>8126</v>
      </c>
      <c r="I1627">
        <f>G1627</f>
        <v/>
      </c>
      <c r="K1627">
        <f>I1627-G1627</f>
        <v/>
      </c>
      <c r="M1627">
        <f>R1627=E1627</f>
        <v/>
      </c>
      <c r="N1627">
        <f>AND(MONTH(F1627)=MONTH(Q1627), YEAR(F1627)=YEAR(Q1627))</f>
        <v/>
      </c>
      <c r="O1627">
        <f>"L001-902303751"=S1627</f>
        <v/>
      </c>
      <c r="P1627">
        <f>G1627-U1627</f>
        <v/>
      </c>
      <c r="Q1627" s="35" t="n">
        <v>45227</v>
      </c>
      <c r="R1627" t="n">
        <v>82740</v>
      </c>
      <c r="S1627" t="inlineStr">
        <is>
          <t>K003-901635943</t>
        </is>
      </c>
      <c r="T1627" t="inlineStr">
        <is>
          <t>អ៊ីឃ្យូឡាញ វើលវ៉ាយដ៍ ឡូជីស្ទីក</t>
        </is>
      </c>
      <c r="U1627" t="n">
        <v>82740</v>
      </c>
      <c r="V1627" t="n">
        <v>0</v>
      </c>
    </row>
    <row r="1628">
      <c r="A1628" t="n">
        <v>1627</v>
      </c>
      <c r="B1628" t="inlineStr">
        <is>
          <t>Customs Clearance Fee and Trucking Fee</t>
        </is>
      </c>
      <c r="C1628" t="inlineStr">
        <is>
          <t>ត្រាយអ៊ែងហ្គល ឡូជីស្ទីក (ខេមបូឌា) ឯ.ក</t>
        </is>
      </c>
      <c r="D1628" t="inlineStr">
        <is>
          <t>K010-902101743</t>
        </is>
      </c>
      <c r="E1628" t="inlineStr">
        <is>
          <t>TAG-24-00826</t>
        </is>
      </c>
      <c r="F1628" t="inlineStr">
        <is>
          <t>31-10-2024</t>
        </is>
      </c>
      <c r="G1628" t="n">
        <v>49731</v>
      </c>
      <c r="I1628">
        <f>G1628</f>
        <v/>
      </c>
      <c r="K1628">
        <f>I1628-G1628</f>
        <v/>
      </c>
      <c r="M1628">
        <f>R1628=E1628</f>
        <v/>
      </c>
      <c r="N1628">
        <f>AND(MONTH(F1628)=MONTH(Q1628), YEAR(F1628)=YEAR(Q1628))</f>
        <v/>
      </c>
      <c r="O1628">
        <f>"L001-902303751"=S1628</f>
        <v/>
      </c>
      <c r="P1628">
        <f>G1628-U1628</f>
        <v/>
      </c>
      <c r="Q1628" s="35" t="n">
        <v>45226</v>
      </c>
      <c r="R1628" t="n">
        <v>82740</v>
      </c>
      <c r="S1628" t="inlineStr">
        <is>
          <t>L001-100045995</t>
        </is>
      </c>
      <c r="T1628" t="inlineStr">
        <is>
          <t>ឌីអេចអិល ឡូជីស្ទីក (ខេមបូឌា)</t>
        </is>
      </c>
      <c r="U1628" t="n">
        <v>82740</v>
      </c>
      <c r="V1628" t="n">
        <v>0</v>
      </c>
    </row>
    <row r="1629">
      <c r="A1629" t="n">
        <v>1628</v>
      </c>
      <c r="B1629" t="inlineStr">
        <is>
          <t>Customs Clearance Fee and Trucking Fee</t>
        </is>
      </c>
      <c r="C1629" t="inlineStr">
        <is>
          <t>ត្រាយអ៊ែងហ្គល ឡូជីស្ទីក (ខេមបូឌា) ឯ.ក</t>
        </is>
      </c>
      <c r="D1629" t="inlineStr">
        <is>
          <t>K010-902101743</t>
        </is>
      </c>
      <c r="E1629" t="inlineStr">
        <is>
          <t>TAG-24-00821</t>
        </is>
      </c>
      <c r="F1629" t="inlineStr">
        <is>
          <t>31-10-2024</t>
        </is>
      </c>
      <c r="G1629" t="n">
        <v>32504</v>
      </c>
      <c r="I1629">
        <f>G1629</f>
        <v/>
      </c>
      <c r="K1629">
        <f>I1629-G1629</f>
        <v/>
      </c>
      <c r="M1629">
        <f>R1629=E1629</f>
        <v/>
      </c>
      <c r="N1629">
        <f>AND(MONTH(F1629)=MONTH(Q1629), YEAR(F1629)=YEAR(Q1629))</f>
        <v/>
      </c>
      <c r="O1629">
        <f>"L001-902303751"=S1629</f>
        <v/>
      </c>
      <c r="P1629">
        <f>G1629-U1629</f>
        <v/>
      </c>
      <c r="Q1629" s="35" t="n">
        <v>45229</v>
      </c>
      <c r="R1629" t="n">
        <v>488166</v>
      </c>
      <c r="S1629" t="inlineStr">
        <is>
          <t>L001-100074669</t>
        </is>
      </c>
      <c r="T1629" t="inlineStr">
        <is>
          <t>ខេអិលអិន ហ្វ្រេត (ខេមបូឌា) ឯ.ក</t>
        </is>
      </c>
      <c r="U1629" t="n">
        <v>488166</v>
      </c>
      <c r="V1629" t="n">
        <v>0</v>
      </c>
    </row>
    <row r="1630">
      <c r="A1630" t="n">
        <v>1629</v>
      </c>
      <c r="B1630" t="inlineStr">
        <is>
          <t>Send Docs and Material</t>
        </is>
      </c>
      <c r="C1630" t="inlineStr">
        <is>
          <t>ឌី អេច អិល អិចប្រេស (ខេមបូឌា)</t>
        </is>
      </c>
      <c r="D1630" t="inlineStr">
        <is>
          <t>L001-100045197</t>
        </is>
      </c>
      <c r="E1630" t="inlineStr">
        <is>
          <t>PNHIR00250819</t>
        </is>
      </c>
      <c r="F1630" t="inlineStr">
        <is>
          <t>31-10-2024</t>
        </is>
      </c>
      <c r="G1630" t="n">
        <v>27474</v>
      </c>
      <c r="I1630">
        <f>G1630</f>
        <v/>
      </c>
      <c r="K1630">
        <f>I1630-G1630</f>
        <v/>
      </c>
      <c r="M1630">
        <f>R1630=E1630</f>
        <v/>
      </c>
      <c r="N1630">
        <f>AND(MONTH(F1630)=MONTH(Q1630), YEAR(F1630)=YEAR(Q1630))</f>
        <v/>
      </c>
      <c r="O1630">
        <f>"L001-902303751"=S1630</f>
        <v/>
      </c>
      <c r="P1630">
        <f>G1630-U1630</f>
        <v/>
      </c>
      <c r="Q1630" s="35" t="n">
        <v>45224</v>
      </c>
      <c r="R1630" t="inlineStr"/>
      <c r="S1630" t="inlineStr">
        <is>
          <t>K002-901800477</t>
        </is>
      </c>
      <c r="T1630" t="inlineStr">
        <is>
          <t>អាយធីអាយ អ៊ិនធើណេសិនណល ត្រេនស័្ពរថេសិន (ខេមបូឌា) ឯ.ក</t>
        </is>
      </c>
      <c r="U1630" t="n">
        <v>0</v>
      </c>
      <c r="V1630" t="n">
        <v>0</v>
      </c>
    </row>
    <row r="1631">
      <c r="A1631" t="n">
        <v>1630</v>
      </c>
      <c r="B1631" t="inlineStr">
        <is>
          <t>Customs Clearance Fee</t>
        </is>
      </c>
      <c r="C1631" t="inlineStr">
        <is>
          <t>ត្រាយអ៊ែងហ្គល ឡូជីស្ទីក (ខេមបូឌា) ឯ.ក</t>
        </is>
      </c>
      <c r="D1631" t="inlineStr">
        <is>
          <t>K010-902101743</t>
        </is>
      </c>
      <c r="E1631" t="inlineStr">
        <is>
          <t>TAG-24-00820</t>
        </is>
      </c>
      <c r="F1631" t="inlineStr">
        <is>
          <t>31-10-2024</t>
        </is>
      </c>
      <c r="G1631" t="n">
        <v>8126</v>
      </c>
      <c r="I1631">
        <f>G1631</f>
        <v/>
      </c>
      <c r="K1631">
        <f>I1631-G1631</f>
        <v/>
      </c>
      <c r="M1631">
        <f>R1631=E1631</f>
        <v/>
      </c>
      <c r="N1631">
        <f>AND(MONTH(F1631)=MONTH(Q1631), YEAR(F1631)=YEAR(Q1631))</f>
        <v/>
      </c>
      <c r="O1631">
        <f>"L001-902303751"=S1631</f>
        <v/>
      </c>
      <c r="P1631">
        <f>G1631-U1631</f>
        <v/>
      </c>
      <c r="Q1631" s="35" t="n">
        <v>45202</v>
      </c>
      <c r="R1631" t="n">
        <v>173334</v>
      </c>
      <c r="S1631" t="inlineStr">
        <is>
          <t>L001-107032791</t>
        </is>
      </c>
      <c r="T1631" t="inlineStr">
        <is>
          <t>នីបផន អិចប្រេស (ខេមបូឌា) ខូ អិលធីឌី</t>
        </is>
      </c>
      <c r="U1631" t="n">
        <v>173334</v>
      </c>
      <c r="V1631" t="n">
        <v>0</v>
      </c>
    </row>
    <row r="1632">
      <c r="A1632" t="n">
        <v>1631</v>
      </c>
      <c r="B1632" t="inlineStr">
        <is>
          <t>Customs Clearance Fee</t>
        </is>
      </c>
      <c r="C1632" t="inlineStr">
        <is>
          <t>ត្រាយអ៊ែងហ្គល ឡូជីស្ទីក (ខេមបូឌា) ឯ.ក</t>
        </is>
      </c>
      <c r="D1632" t="inlineStr">
        <is>
          <t>K010-902101743</t>
        </is>
      </c>
      <c r="E1632" t="inlineStr">
        <is>
          <t>TAG-24-00819</t>
        </is>
      </c>
      <c r="F1632" t="inlineStr">
        <is>
          <t>31-10-2024</t>
        </is>
      </c>
      <c r="G1632" t="n">
        <v>28441</v>
      </c>
      <c r="I1632">
        <f>G1632</f>
        <v/>
      </c>
      <c r="K1632">
        <f>I1632-G1632</f>
        <v/>
      </c>
      <c r="M1632">
        <f>R1632=E1632</f>
        <v/>
      </c>
      <c r="N1632">
        <f>AND(MONTH(F1632)=MONTH(Q1632), YEAR(F1632)=YEAR(Q1632))</f>
        <v/>
      </c>
      <c r="O1632">
        <f>"L001-902303751"=S1632</f>
        <v/>
      </c>
      <c r="P1632">
        <f>G1632-U1632</f>
        <v/>
      </c>
      <c r="Q1632" s="35" t="n">
        <v>45208</v>
      </c>
      <c r="R1632" t="n">
        <v>113988</v>
      </c>
      <c r="S1632" t="inlineStr">
        <is>
          <t>K003-901635943</t>
        </is>
      </c>
      <c r="T1632" t="inlineStr">
        <is>
          <t>អ៊ីឃ្យូឡាញ វើលវ៉ាយដ៍ ឡូជីស្ទីក</t>
        </is>
      </c>
      <c r="U1632" t="n">
        <v>113988</v>
      </c>
      <c r="V1632" t="n">
        <v>0</v>
      </c>
    </row>
    <row r="1633">
      <c r="A1633" t="n">
        <v>1632</v>
      </c>
      <c r="B1633" t="inlineStr">
        <is>
          <t>Customs Clearance Fee and Trucking Fee</t>
        </is>
      </c>
      <c r="C1633" t="inlineStr">
        <is>
          <t>ត្រាយអ៊ែងហ្គល ឡូជីស្ទីក (ខេមបូឌា) ឯ.ក</t>
        </is>
      </c>
      <c r="D1633" t="inlineStr">
        <is>
          <t>K010-902101743</t>
        </is>
      </c>
      <c r="E1633" t="inlineStr">
        <is>
          <t>TAG-24-00818</t>
        </is>
      </c>
      <c r="F1633" t="inlineStr">
        <is>
          <t>31-10-2024</t>
        </is>
      </c>
      <c r="G1633" t="n">
        <v>28441</v>
      </c>
      <c r="I1633">
        <f>G1633</f>
        <v/>
      </c>
      <c r="K1633">
        <f>I1633-G1633</f>
        <v/>
      </c>
      <c r="M1633">
        <f>R1633=E1633</f>
        <v/>
      </c>
      <c r="N1633">
        <f>AND(MONTH(F1633)=MONTH(Q1633), YEAR(F1633)=YEAR(Q1633))</f>
        <v/>
      </c>
      <c r="O1633">
        <f>"L001-902303751"=S1633</f>
        <v/>
      </c>
      <c r="P1633">
        <f>G1633-U1633</f>
        <v/>
      </c>
      <c r="Q1633" s="35" t="n">
        <v>45200</v>
      </c>
      <c r="R1633" t="n">
        <v>91921</v>
      </c>
      <c r="S1633" t="inlineStr">
        <is>
          <t>L001-107000385</t>
        </is>
      </c>
      <c r="T1633" t="inlineStr">
        <is>
          <t>អិចស្ពោលាំងកា ហ្រ្វេត (ខេមបូឌា) លីមីធីត</t>
        </is>
      </c>
      <c r="U1633" t="n">
        <v>91921</v>
      </c>
      <c r="V1633" t="n">
        <v>0</v>
      </c>
    </row>
    <row r="1634">
      <c r="A1634" t="n">
        <v>1633</v>
      </c>
      <c r="B1634" t="inlineStr">
        <is>
          <t>Customs Clearance Fee</t>
        </is>
      </c>
      <c r="C1634" t="inlineStr">
        <is>
          <t>ត្រាយអ៊ែងហ្គល ឡូជីស្ទីក (ខេមបូឌា) ឯ.ក</t>
        </is>
      </c>
      <c r="D1634" t="inlineStr">
        <is>
          <t>K010-902101743</t>
        </is>
      </c>
      <c r="E1634" t="inlineStr">
        <is>
          <t>TAG-24-00816</t>
        </is>
      </c>
      <c r="F1634" t="inlineStr">
        <is>
          <t>31-10-2024</t>
        </is>
      </c>
      <c r="G1634" t="n">
        <v>8126</v>
      </c>
      <c r="I1634">
        <f>G1634</f>
        <v/>
      </c>
      <c r="K1634">
        <f>I1634-G1634</f>
        <v/>
      </c>
      <c r="M1634">
        <f>R1634=E1634</f>
        <v/>
      </c>
      <c r="N1634">
        <f>AND(MONTH(F1634)=MONTH(Q1634), YEAR(F1634)=YEAR(Q1634))</f>
        <v/>
      </c>
      <c r="O1634">
        <f>"L001-902303751"=S1634</f>
        <v/>
      </c>
      <c r="P1634">
        <f>G1634-U1634</f>
        <v/>
      </c>
      <c r="Q1634" s="35" t="n">
        <v>45224</v>
      </c>
      <c r="R1634" t="n">
        <v>82780</v>
      </c>
      <c r="S1634" t="inlineStr">
        <is>
          <t>K010-902101743</t>
        </is>
      </c>
      <c r="T1634" t="inlineStr">
        <is>
          <t>ត្រាយអ៊ែងហ្គល ឡូជីស្ទីក (ខេមបូឌា) ឯ.ក</t>
        </is>
      </c>
      <c r="U1634" t="n">
        <v>82780</v>
      </c>
      <c r="V1634" t="n">
        <v>0</v>
      </c>
    </row>
    <row r="1635">
      <c r="A1635" t="n">
        <v>1634</v>
      </c>
      <c r="B1635" t="inlineStr">
        <is>
          <t>Trucking, Customs Clearance, Extra Trucking and Truck Fuel Surcharge</t>
        </is>
      </c>
      <c r="C1635" t="inlineStr">
        <is>
          <t>អេស អ វី ស៊ី ហ្វ្រេត សឺវីស (ខេមបូឌា) ខូ អិលធីឌី</t>
        </is>
      </c>
      <c r="D1635" t="inlineStr">
        <is>
          <t>K005-100150195</t>
        </is>
      </c>
      <c r="E1635" t="inlineStr">
        <is>
          <t>SRVI2406836</t>
        </is>
      </c>
      <c r="F1635" t="inlineStr">
        <is>
          <t>31-10-2024</t>
        </is>
      </c>
      <c r="G1635" t="n">
        <v>176741</v>
      </c>
      <c r="I1635">
        <f>G1635</f>
        <v/>
      </c>
      <c r="K1635">
        <f>I1635-G1635</f>
        <v/>
      </c>
      <c r="M1635">
        <f>R1635=E1635</f>
        <v/>
      </c>
      <c r="N1635">
        <f>AND(MONTH(F1635)=MONTH(Q1635), YEAR(F1635)=YEAR(Q1635))</f>
        <v/>
      </c>
      <c r="O1635">
        <f>"L001-902303751"=S1635</f>
        <v/>
      </c>
      <c r="P1635">
        <f>G1635-U1635</f>
        <v/>
      </c>
      <c r="Q1635" s="35" t="n">
        <v>45202</v>
      </c>
      <c r="R1635" t="n">
        <v>111429</v>
      </c>
      <c r="S1635" t="inlineStr">
        <is>
          <t>L001-107041723</t>
        </is>
      </c>
      <c r="T1635" t="inlineStr">
        <is>
          <t>ឌីប៊ី សេនឃើរ (ខេមបូឌា) លីមីធីត</t>
        </is>
      </c>
      <c r="U1635" t="n">
        <v>111429</v>
      </c>
      <c r="V1635" t="n">
        <v>0</v>
      </c>
    </row>
    <row r="1636">
      <c r="A1636" t="n">
        <v>1635</v>
      </c>
      <c r="B1636" t="inlineStr">
        <is>
          <t>Send Docs and Material</t>
        </is>
      </c>
      <c r="C1636" t="inlineStr">
        <is>
          <t>ឌី អេច អិល អិចប្រេស (ខេមបូឌា)</t>
        </is>
      </c>
      <c r="D1636" t="inlineStr">
        <is>
          <t>L001-100045197</t>
        </is>
      </c>
      <c r="E1636" t="inlineStr">
        <is>
          <t>PNHR000508340</t>
        </is>
      </c>
      <c r="F1636" t="inlineStr">
        <is>
          <t>31-10-2024</t>
        </is>
      </c>
      <c r="G1636" t="n">
        <v>125339</v>
      </c>
      <c r="I1636">
        <f>G1636</f>
        <v/>
      </c>
      <c r="K1636">
        <f>I1636-G1636</f>
        <v/>
      </c>
      <c r="M1636">
        <f>R1636=E1636</f>
        <v/>
      </c>
      <c r="N1636">
        <f>AND(MONTH(F1636)=MONTH(Q1636), YEAR(F1636)=YEAR(Q1636))</f>
        <v/>
      </c>
      <c r="O1636">
        <f>"L001-902303751"=S1636</f>
        <v/>
      </c>
      <c r="P1636">
        <f>G1636-U1636</f>
        <v/>
      </c>
      <c r="Q1636" s="35" t="n">
        <v>45208</v>
      </c>
      <c r="R1636" t="inlineStr"/>
      <c r="S1636" t="inlineStr">
        <is>
          <t>L001-100045995</t>
        </is>
      </c>
      <c r="T1636" t="inlineStr">
        <is>
          <t>ឌីអេចអិល ឡូជីស្ទីក (ខេមបូឌា)</t>
        </is>
      </c>
      <c r="U1636" t="n">
        <v>0</v>
      </c>
      <c r="V1636" t="n">
        <v>0</v>
      </c>
    </row>
    <row r="1637">
      <c r="A1637" t="n">
        <v>1636</v>
      </c>
      <c r="B1637" t="inlineStr">
        <is>
          <t>Send Docs</t>
        </is>
      </c>
      <c r="C1637" t="inlineStr">
        <is>
          <t>ឌី អេច អិល អិចប្រេស (ខេមបូឌា)</t>
        </is>
      </c>
      <c r="D1637" t="inlineStr">
        <is>
          <t>L001-100045197</t>
        </is>
      </c>
      <c r="E1637" t="inlineStr">
        <is>
          <t>PNHIR00250820</t>
        </is>
      </c>
      <c r="F1637" t="inlineStr">
        <is>
          <t>31-10-2024</t>
        </is>
      </c>
      <c r="G1637" t="n">
        <v>12189</v>
      </c>
      <c r="I1637">
        <f>G1637</f>
        <v/>
      </c>
      <c r="K1637">
        <f>I1637-G1637</f>
        <v/>
      </c>
      <c r="M1637">
        <f>R1637=E1637</f>
        <v/>
      </c>
      <c r="N1637">
        <f>AND(MONTH(F1637)=MONTH(Q1637), YEAR(F1637)=YEAR(Q1637))</f>
        <v/>
      </c>
      <c r="O1637">
        <f>"L001-902303751"=S1637</f>
        <v/>
      </c>
      <c r="P1637">
        <f>G1637-U1637</f>
        <v/>
      </c>
      <c r="Q1637" s="35" t="n">
        <v>45208</v>
      </c>
      <c r="R1637" t="inlineStr"/>
      <c r="S1637" t="inlineStr">
        <is>
          <t>L001-107041723</t>
        </is>
      </c>
      <c r="T1637" t="inlineStr">
        <is>
          <t>ឌីប៊ី សេនឃើរ (ខេមបូឌា) លីមីធីត</t>
        </is>
      </c>
      <c r="U1637" t="n">
        <v>0</v>
      </c>
      <c r="V1637" t="n">
        <v>0</v>
      </c>
    </row>
    <row r="1638">
      <c r="A1638" t="n">
        <v>1637</v>
      </c>
      <c r="B1638" t="inlineStr">
        <is>
          <t>Transportation Fee</t>
        </is>
      </c>
      <c r="C1638" t="inlineStr">
        <is>
          <t>សំអាង &amp; មករា ត្រេនស្ព័ត ឯ.ក</t>
        </is>
      </c>
      <c r="D1638" t="inlineStr">
        <is>
          <t>K010-902204282</t>
        </is>
      </c>
      <c r="E1638" t="inlineStr">
        <is>
          <t>202300108</t>
        </is>
      </c>
      <c r="F1638" t="inlineStr">
        <is>
          <t>31-10-2024</t>
        </is>
      </c>
      <c r="G1638" t="n">
        <v>943022</v>
      </c>
      <c r="I1638">
        <f>G1638</f>
        <v/>
      </c>
      <c r="K1638">
        <f>I1638-G1638</f>
        <v/>
      </c>
      <c r="M1638">
        <f>R1638=E1638</f>
        <v/>
      </c>
      <c r="N1638">
        <f>AND(MONTH(F1638)=MONTH(Q1638), YEAR(F1638)=YEAR(Q1638))</f>
        <v/>
      </c>
      <c r="O1638">
        <f>"L001-902303751"=S1638</f>
        <v/>
      </c>
      <c r="P1638">
        <f>G1638-U1638</f>
        <v/>
      </c>
      <c r="Q1638" s="35" t="n">
        <v>45208</v>
      </c>
      <c r="R1638" t="n">
        <v>111510</v>
      </c>
      <c r="S1638" t="inlineStr">
        <is>
          <t>L001-107041723</t>
        </is>
      </c>
      <c r="T1638" t="inlineStr">
        <is>
          <t>ឌីប៊ី សេនឃើរ (ខេមបូឌា) លីមីធីត</t>
        </is>
      </c>
      <c r="U1638" t="n">
        <v>111510</v>
      </c>
      <c r="V1638" t="n">
        <v>0</v>
      </c>
    </row>
    <row r="1639">
      <c r="A1639" t="n">
        <v>1638</v>
      </c>
      <c r="B1639" t="inlineStr">
        <is>
          <t>Thread</t>
        </is>
      </c>
      <c r="C1639" t="inlineStr">
        <is>
          <t>គ្លូប៊ល សុីលីន ហ្គាមុិន អេកសេសឺរី ឯ.ក</t>
        </is>
      </c>
      <c r="D1639" t="inlineStr">
        <is>
          <t>L001-902200857</t>
        </is>
      </c>
      <c r="E1639" t="inlineStr">
        <is>
          <t>000808</t>
        </is>
      </c>
      <c r="F1639" t="inlineStr">
        <is>
          <t>31-10-2024</t>
        </is>
      </c>
      <c r="G1639" t="n">
        <v>211276</v>
      </c>
      <c r="I1639">
        <f>G1639</f>
        <v/>
      </c>
      <c r="K1639">
        <f>I1639-G1639</f>
        <v/>
      </c>
      <c r="M1639">
        <f>R1639=E1639</f>
        <v/>
      </c>
      <c r="N1639">
        <f>AND(MONTH(F1639)=MONTH(Q1639), YEAR(F1639)=YEAR(Q1639))</f>
        <v/>
      </c>
      <c r="O1639">
        <f>"L001-902303751"=S1639</f>
        <v/>
      </c>
      <c r="P1639">
        <f>G1639-U1639</f>
        <v/>
      </c>
      <c r="Q1639" s="35" t="n">
        <v>45200</v>
      </c>
      <c r="R1639" t="inlineStr"/>
      <c r="S1639" t="inlineStr">
        <is>
          <t>L001-100044956</t>
        </is>
      </c>
      <c r="T1639" t="inlineStr">
        <is>
          <t>ជី លីង អិចប្រេស ឡូជីស្ទីក (ខេមបូឌា) លីមីធីត</t>
        </is>
      </c>
      <c r="U1639" t="n">
        <v>0</v>
      </c>
      <c r="V1639" t="n">
        <v>0</v>
      </c>
    </row>
    <row r="1640">
      <c r="A1640" t="n">
        <v>1639</v>
      </c>
      <c r="B1640" t="inlineStr">
        <is>
          <t>Thread</t>
        </is>
      </c>
      <c r="C1640" t="inlineStr">
        <is>
          <t>គ្លូប៊ល សុីលីន ហ្គាមុិន អេកសេសឺរី ឯ.ក</t>
        </is>
      </c>
      <c r="D1640" t="inlineStr">
        <is>
          <t>L001-902200857</t>
        </is>
      </c>
      <c r="E1640" t="inlineStr">
        <is>
          <t>000807</t>
        </is>
      </c>
      <c r="F1640" t="inlineStr">
        <is>
          <t>31-10-2024</t>
        </is>
      </c>
      <c r="G1640" t="n">
        <v>199250</v>
      </c>
      <c r="I1640">
        <f>G1640</f>
        <v/>
      </c>
      <c r="K1640">
        <f>I1640-G1640</f>
        <v/>
      </c>
      <c r="M1640">
        <f>R1640=E1640</f>
        <v/>
      </c>
      <c r="N1640">
        <f>AND(MONTH(F1640)=MONTH(Q1640), YEAR(F1640)=YEAR(Q1640))</f>
        <v/>
      </c>
      <c r="O1640">
        <f>"L001-902303751"=S1640</f>
        <v/>
      </c>
      <c r="P1640">
        <f>G1640-U1640</f>
        <v/>
      </c>
      <c r="Q1640" s="35" t="n">
        <v>45224</v>
      </c>
      <c r="R1640" t="inlineStr"/>
      <c r="S1640" t="inlineStr">
        <is>
          <t>K002-901800477</t>
        </is>
      </c>
      <c r="T1640" t="inlineStr">
        <is>
          <t>អាយធីអាយ អ៊ិនធើណេសិនណល ត្រេនស័្ពរថេសិន (ខេមបូឌា) ឯ.ក</t>
        </is>
      </c>
      <c r="U1640" t="n">
        <v>0</v>
      </c>
      <c r="V1640" t="n">
        <v>0</v>
      </c>
    </row>
    <row r="1641">
      <c r="A1641" t="n">
        <v>1640</v>
      </c>
      <c r="B1641" t="inlineStr">
        <is>
          <t>Coated Paper</t>
        </is>
      </c>
      <c r="C1641" t="inlineStr">
        <is>
          <t>ហ្គូដញូ ភែកឃីជីង ថេកណឡជី ឯ.ក</t>
        </is>
      </c>
      <c r="D1641" t="inlineStr">
        <is>
          <t>L001-901704919</t>
        </is>
      </c>
      <c r="E1641" t="inlineStr">
        <is>
          <t>TI-GN-2024-059</t>
        </is>
      </c>
      <c r="F1641" t="inlineStr">
        <is>
          <t>30-10-2024</t>
        </is>
      </c>
      <c r="G1641" t="n">
        <v>180736</v>
      </c>
      <c r="I1641">
        <f>G1641</f>
        <v/>
      </c>
      <c r="K1641">
        <f>I1641-G1641</f>
        <v/>
      </c>
      <c r="M1641">
        <f>R1641=E1641</f>
        <v/>
      </c>
      <c r="N1641">
        <f>AND(MONTH(F1641)=MONTH(Q1641), YEAR(F1641)=YEAR(Q1641))</f>
        <v/>
      </c>
      <c r="O1641">
        <f>"L001-902303751"=S1641</f>
        <v/>
      </c>
      <c r="P1641">
        <f>G1641-U1641</f>
        <v/>
      </c>
      <c r="Q1641" s="35" t="n">
        <v>45229</v>
      </c>
      <c r="R1641" t="n">
        <v>82740</v>
      </c>
      <c r="S1641" t="inlineStr">
        <is>
          <t>L001-107032791</t>
        </is>
      </c>
      <c r="T1641" t="inlineStr">
        <is>
          <t>នីបផន អិចប្រេស (ខេមបូឌា) ខូ អិលធីឌី</t>
        </is>
      </c>
      <c r="U1641" t="n">
        <v>82740</v>
      </c>
      <c r="V1641" t="n">
        <v>0</v>
      </c>
    </row>
    <row r="1642">
      <c r="A1642" t="n">
        <v>1641</v>
      </c>
      <c r="B1642" t="inlineStr">
        <is>
          <t>Port and Terminal Handling Chaarges Origin, Custom Clearance, Trucking Charges, HBL Fee, Bunker Adjustment Factor, CFS Charges Origin, Handling Origin and BL Surrender</t>
        </is>
      </c>
      <c r="C1642" t="inlineStr">
        <is>
          <t>អិចស្ពោលាំងកា ហ្រ្វេត (ខេមបូឌា) លីមីធីត</t>
        </is>
      </c>
      <c r="D1642" t="inlineStr">
        <is>
          <t>L001-107000385</t>
        </is>
      </c>
      <c r="E1642" t="inlineStr">
        <is>
          <t>EFL-PNH-00070297</t>
        </is>
      </c>
      <c r="F1642" t="inlineStr">
        <is>
          <t>30-10-2024</t>
        </is>
      </c>
      <c r="G1642" t="n">
        <v>185374</v>
      </c>
      <c r="I1642">
        <f>G1642</f>
        <v/>
      </c>
      <c r="K1642">
        <f>I1642-G1642</f>
        <v/>
      </c>
      <c r="M1642">
        <f>R1642=E1642</f>
        <v/>
      </c>
      <c r="N1642">
        <f>AND(MONTH(F1642)=MONTH(Q1642), YEAR(F1642)=YEAR(Q1642))</f>
        <v/>
      </c>
      <c r="O1642">
        <f>"L001-902303751"=S1642</f>
        <v/>
      </c>
      <c r="P1642">
        <f>G1642-U1642</f>
        <v/>
      </c>
      <c r="Q1642" s="35" t="n">
        <v>45224</v>
      </c>
      <c r="R1642" t="inlineStr"/>
      <c r="S1642" t="inlineStr">
        <is>
          <t>K005-901501155</t>
        </is>
      </c>
      <c r="T1642" t="inlineStr">
        <is>
          <t>ផេនដា គ្លូប៊ល ឡូជីស្ទីក (ខេមបូឌា)</t>
        </is>
      </c>
      <c r="U1642" t="n">
        <v>0</v>
      </c>
      <c r="V1642" t="n">
        <v>0</v>
      </c>
    </row>
    <row r="1643">
      <c r="A1643" t="n">
        <v>1642</v>
      </c>
      <c r="B1643" t="inlineStr">
        <is>
          <t>Automatic cutting blade and Special double-sided tape</t>
        </is>
      </c>
      <c r="C1643" t="inlineStr">
        <is>
          <t>យីស៊ូ ធេមផ្លេត ក្រាហ្វ ឯ.ក</t>
        </is>
      </c>
      <c r="D1643" t="inlineStr">
        <is>
          <t>K010-902200360</t>
        </is>
      </c>
      <c r="E1643" t="inlineStr">
        <is>
          <t>24-0226</t>
        </is>
      </c>
      <c r="F1643" t="inlineStr">
        <is>
          <t>30-10-2024</t>
        </is>
      </c>
      <c r="G1643" t="n">
        <v>121830</v>
      </c>
      <c r="I1643">
        <f>G1643</f>
        <v/>
      </c>
      <c r="K1643">
        <f>I1643-G1643</f>
        <v/>
      </c>
      <c r="M1643">
        <f>R1643=E1643</f>
        <v/>
      </c>
      <c r="N1643">
        <f>AND(MONTH(F1643)=MONTH(Q1643), YEAR(F1643)=YEAR(Q1643))</f>
        <v/>
      </c>
      <c r="O1643">
        <f>"L001-902303751"=S1643</f>
        <v/>
      </c>
      <c r="P1643">
        <f>G1643-U1643</f>
        <v/>
      </c>
      <c r="Q1643" s="35" t="n">
        <v>45208</v>
      </c>
      <c r="R1643" t="inlineStr"/>
      <c r="S1643" t="inlineStr">
        <is>
          <t>L001-107041723</t>
        </is>
      </c>
      <c r="T1643" t="inlineStr">
        <is>
          <t>ឌីប៊ី សេនឃើរ (ខេមបូឌា) លីមីធីត</t>
        </is>
      </c>
      <c r="U1643" t="n">
        <v>0</v>
      </c>
      <c r="V1643" t="n">
        <v>0</v>
      </c>
    </row>
    <row r="1644">
      <c r="A1644" t="n">
        <v>1643</v>
      </c>
      <c r="B1644" t="inlineStr">
        <is>
          <t>Cargo Terminal</t>
        </is>
      </c>
      <c r="C1644" t="inlineStr">
        <is>
          <t>សូស៊ីយេតេ កុងសេស្យូនែរ ដឺ ឡាអេរ៉ូព័រ</t>
        </is>
      </c>
      <c r="D1644" t="inlineStr">
        <is>
          <t>L001-100047300</t>
        </is>
      </c>
      <c r="E1644" t="inlineStr">
        <is>
          <t>2400087632</t>
        </is>
      </c>
      <c r="F1644" t="inlineStr">
        <is>
          <t>30-10-2024</t>
        </is>
      </c>
      <c r="G1644" t="n">
        <v>6106</v>
      </c>
      <c r="I1644">
        <f>G1644</f>
        <v/>
      </c>
      <c r="K1644">
        <f>I1644-G1644</f>
        <v/>
      </c>
      <c r="M1644">
        <f>R1644=E1644</f>
        <v/>
      </c>
      <c r="N1644">
        <f>AND(MONTH(F1644)=MONTH(Q1644), YEAR(F1644)=YEAR(Q1644))</f>
        <v/>
      </c>
      <c r="O1644">
        <f>"L001-902303751"=S1644</f>
        <v/>
      </c>
      <c r="P1644">
        <f>G1644-U1644</f>
        <v/>
      </c>
      <c r="Q1644" s="35" t="n">
        <v>45200</v>
      </c>
      <c r="R1644" t="inlineStr"/>
      <c r="S1644" t="inlineStr">
        <is>
          <t>K002-901800477</t>
        </is>
      </c>
      <c r="T1644" t="inlineStr">
        <is>
          <t>អាយធីអាយ អ៊ិនធើណេសិនណល ត្រេនស័្ពរថេសិន (ខេមបូឌា) ឯ.ក</t>
        </is>
      </c>
      <c r="U1644" t="n">
        <v>0</v>
      </c>
      <c r="V1644" t="n">
        <v>0</v>
      </c>
    </row>
    <row r="1645">
      <c r="A1645" t="n">
        <v>1644</v>
      </c>
      <c r="B1645" t="inlineStr">
        <is>
          <t>Export Custom Clearance, B/L Surrender Fee, CFS Charges, Handling Fee, Trucking Fee, Documentation Fee and Terminal Handling Charges</t>
        </is>
      </c>
      <c r="C1645" t="inlineStr">
        <is>
          <t>អ៊ីឃ្យូឡាញ វើលវ៉ាយដ៍ ឡូជីស្ទីក</t>
        </is>
      </c>
      <c r="D1645" t="inlineStr">
        <is>
          <t>K003-901635943</t>
        </is>
      </c>
      <c r="E1645" t="inlineStr">
        <is>
          <t>PPTI24/005188</t>
        </is>
      </c>
      <c r="F1645" t="inlineStr">
        <is>
          <t>22-10-2024</t>
        </is>
      </c>
      <c r="G1645" t="n">
        <v>290230</v>
      </c>
      <c r="I1645">
        <f>G1645</f>
        <v/>
      </c>
      <c r="K1645">
        <f>I1645-G1645</f>
        <v/>
      </c>
      <c r="M1645">
        <f>R1645=E1645</f>
        <v/>
      </c>
      <c r="N1645">
        <f>AND(MONTH(F1645)=MONTH(Q1645), YEAR(F1645)=YEAR(Q1645))</f>
        <v/>
      </c>
      <c r="O1645">
        <f>"L001-902303751"=S1645</f>
        <v/>
      </c>
      <c r="P1645">
        <f>G1645-U1645</f>
        <v/>
      </c>
      <c r="Q1645" s="35" t="n">
        <v>45227</v>
      </c>
      <c r="R1645" t="inlineStr"/>
      <c r="S1645" t="inlineStr">
        <is>
          <t>K003-901635943</t>
        </is>
      </c>
      <c r="T1645" t="inlineStr">
        <is>
          <t>អ៊ីឃ្យូឡាញ វើលវ៉ាយដ៍ ឡូជីស្ទីក</t>
        </is>
      </c>
      <c r="U1645" t="n">
        <v>0</v>
      </c>
      <c r="V1645" t="n">
        <v>0</v>
      </c>
    </row>
    <row r="1646">
      <c r="A1646" t="n">
        <v>1645</v>
      </c>
      <c r="B1646" t="inlineStr">
        <is>
          <t>Docs Fee and Handling Fee</t>
        </is>
      </c>
      <c r="C1646" t="inlineStr">
        <is>
          <t>អិមអាយ ឡូជីកស៍ (ខេមបូឌា)</t>
        </is>
      </c>
      <c r="D1646" t="inlineStr">
        <is>
          <t>K009-107021862</t>
        </is>
      </c>
      <c r="E1646" t="inlineStr">
        <is>
          <t>MII202409-001</t>
        </is>
      </c>
      <c r="F1646" t="inlineStr">
        <is>
          <t>22-10-2024</t>
        </is>
      </c>
      <c r="G1646" t="n">
        <v>24372</v>
      </c>
      <c r="I1646">
        <f>G1646</f>
        <v/>
      </c>
      <c r="K1646">
        <f>I1646-G1646</f>
        <v/>
      </c>
      <c r="M1646">
        <f>R1646=E1646</f>
        <v/>
      </c>
      <c r="N1646">
        <f>AND(MONTH(F1646)=MONTH(Q1646), YEAR(F1646)=YEAR(Q1646))</f>
        <v/>
      </c>
      <c r="O1646">
        <f>"L001-902303751"=S1646</f>
        <v/>
      </c>
      <c r="P1646">
        <f>G1646-U1646</f>
        <v/>
      </c>
      <c r="Q1646" s="35" t="n">
        <v>45226</v>
      </c>
      <c r="R1646" t="inlineStr"/>
      <c r="S1646" t="inlineStr">
        <is>
          <t>L001-100045995</t>
        </is>
      </c>
      <c r="T1646" t="inlineStr">
        <is>
          <t>ឌីអេចអិល ឡូជីស្ទីក (ខេមបូឌា)</t>
        </is>
      </c>
      <c r="U1646" t="n">
        <v>0</v>
      </c>
      <c r="V1646" t="n">
        <v>0</v>
      </c>
    </row>
    <row r="1647">
      <c r="A1647" t="n">
        <v>1646</v>
      </c>
      <c r="B1647" t="inlineStr">
        <is>
          <t>Customs Clearance Fee and Trucking Fee</t>
        </is>
      </c>
      <c r="C1647" t="inlineStr">
        <is>
          <t>ត្រាយអ៊ែងហ្គល ឡូជីស្ទីក (ខេមបូឌា) ឯ.ក</t>
        </is>
      </c>
      <c r="D1647" t="inlineStr">
        <is>
          <t>K010-902101743</t>
        </is>
      </c>
      <c r="E1647" t="inlineStr">
        <is>
          <t>TAG-24-00751</t>
        </is>
      </c>
      <c r="F1647" t="inlineStr">
        <is>
          <t>22-10-2024</t>
        </is>
      </c>
      <c r="G1647" t="n">
        <v>28434</v>
      </c>
      <c r="I1647">
        <f>G1647</f>
        <v/>
      </c>
      <c r="K1647">
        <f>I1647-G1647</f>
        <v/>
      </c>
      <c r="M1647">
        <f>R1647=E1647</f>
        <v/>
      </c>
      <c r="N1647">
        <f>AND(MONTH(F1647)=MONTH(Q1647), YEAR(F1647)=YEAR(Q1647))</f>
        <v/>
      </c>
      <c r="O1647">
        <f>"L001-902303751"=S1647</f>
        <v/>
      </c>
      <c r="P1647">
        <f>G1647-U1647</f>
        <v/>
      </c>
      <c r="Q1647" s="35" t="n">
        <v>45229</v>
      </c>
      <c r="R1647" t="inlineStr"/>
      <c r="S1647" t="inlineStr">
        <is>
          <t>L001-107032791</t>
        </is>
      </c>
      <c r="T1647" t="inlineStr">
        <is>
          <t>នីបផន អិចប្រេស (ខេមបូឌា) ខូ អិលធីឌី</t>
        </is>
      </c>
      <c r="U1647" t="n">
        <v>0</v>
      </c>
      <c r="V1647" t="n">
        <v>0</v>
      </c>
    </row>
    <row r="1648">
      <c r="A1648" t="n">
        <v>1647</v>
      </c>
      <c r="B1648" t="inlineStr">
        <is>
          <t>HAWB Freight, OM Forwarding Fee, H/C and AWB Fee</t>
        </is>
      </c>
      <c r="C1648" t="inlineStr">
        <is>
          <t>អ៊ិចស្ពែឌីធ័រ ខេមបូឌា អិលធីឌី</t>
        </is>
      </c>
      <c r="D1648" t="inlineStr">
        <is>
          <t>L001-100045898</t>
        </is>
      </c>
      <c r="E1648" t="inlineStr">
        <is>
          <t>TI-0293745</t>
        </is>
      </c>
      <c r="F1648" t="inlineStr">
        <is>
          <t>22-10-2024</t>
        </is>
      </c>
      <c r="G1648" t="n">
        <v>46713</v>
      </c>
      <c r="I1648">
        <f>G1648</f>
        <v/>
      </c>
      <c r="K1648">
        <f>I1648-G1648</f>
        <v/>
      </c>
      <c r="M1648">
        <f>R1648=E1648</f>
        <v/>
      </c>
      <c r="N1648">
        <f>AND(MONTH(F1648)=MONTH(Q1648), YEAR(F1648)=YEAR(Q1648))</f>
        <v/>
      </c>
      <c r="O1648">
        <f>"L001-902303751"=S1648</f>
        <v/>
      </c>
      <c r="P1648">
        <f>G1648-U1648</f>
        <v/>
      </c>
      <c r="Q1648" s="35" t="n">
        <v>45229</v>
      </c>
      <c r="R1648" t="inlineStr"/>
      <c r="S1648" t="inlineStr">
        <is>
          <t>L001-107032791</t>
        </is>
      </c>
      <c r="T1648" t="inlineStr">
        <is>
          <t>នីបផន អិចប្រេស (ខេមបូឌា) ខូ អិលធីឌី</t>
        </is>
      </c>
      <c r="U1648" t="n">
        <v>0</v>
      </c>
      <c r="V1648" t="n">
        <v>0</v>
      </c>
    </row>
    <row r="1649">
      <c r="A1649" t="n">
        <v>1648</v>
      </c>
      <c r="B1649" t="inlineStr">
        <is>
          <t>Customs Clearance Fee</t>
        </is>
      </c>
      <c r="C1649" t="inlineStr">
        <is>
          <t>ត្រាយអ៊ែងហ្គល ឡូជីស្ទីក (ខេមបូឌា) ឯ.ក</t>
        </is>
      </c>
      <c r="D1649" t="inlineStr">
        <is>
          <t>K010-902101743</t>
        </is>
      </c>
      <c r="E1649" t="inlineStr">
        <is>
          <t>TAG-24-00755</t>
        </is>
      </c>
      <c r="F1649" t="inlineStr">
        <is>
          <t>22-10-2024</t>
        </is>
      </c>
      <c r="G1649" t="n">
        <v>8124</v>
      </c>
      <c r="I1649">
        <f>G1649</f>
        <v/>
      </c>
      <c r="K1649">
        <f>I1649-G1649</f>
        <v/>
      </c>
      <c r="M1649">
        <f>R1649=E1649</f>
        <v/>
      </c>
      <c r="N1649">
        <f>AND(MONTH(F1649)=MONTH(Q1649), YEAR(F1649)=YEAR(Q1649))</f>
        <v/>
      </c>
      <c r="O1649">
        <f>"L001-902303751"=S1649</f>
        <v/>
      </c>
      <c r="P1649">
        <f>G1649-U1649</f>
        <v/>
      </c>
      <c r="Q1649" s="35" t="n">
        <v>45200</v>
      </c>
      <c r="R1649" t="inlineStr"/>
      <c r="S1649" t="inlineStr">
        <is>
          <t>L001-901802873</t>
        </is>
      </c>
      <c r="T1649" t="inlineStr">
        <is>
          <t>គ្លូប៊ល ហៅស៍ (ខេមបូឌា) ឯ.ក</t>
        </is>
      </c>
      <c r="U1649" t="n">
        <v>0</v>
      </c>
      <c r="V1649" t="n">
        <v>0</v>
      </c>
    </row>
    <row r="1650">
      <c r="A1650" t="n">
        <v>1649</v>
      </c>
      <c r="B1650" t="inlineStr">
        <is>
          <t>Customs Clearance Fee</t>
        </is>
      </c>
      <c r="C1650" t="inlineStr">
        <is>
          <t>ត្រាយអ៊ែងហ្គល ឡូជីស្ទីក (ខេមបូឌា) ឯ.ក</t>
        </is>
      </c>
      <c r="D1650" t="inlineStr">
        <is>
          <t>K010-902101743</t>
        </is>
      </c>
      <c r="E1650" t="inlineStr">
        <is>
          <t>TAG-24-00754</t>
        </is>
      </c>
      <c r="F1650" t="inlineStr">
        <is>
          <t>22-10-2024</t>
        </is>
      </c>
      <c r="G1650" t="n">
        <v>8124</v>
      </c>
      <c r="I1650">
        <f>G1650</f>
        <v/>
      </c>
      <c r="K1650">
        <f>I1650-G1650</f>
        <v/>
      </c>
      <c r="M1650">
        <f>R1650=E1650</f>
        <v/>
      </c>
      <c r="N1650">
        <f>AND(MONTH(F1650)=MONTH(Q1650), YEAR(F1650)=YEAR(Q1650))</f>
        <v/>
      </c>
      <c r="O1650">
        <f>"L001-902303751"=S1650</f>
        <v/>
      </c>
      <c r="P1650">
        <f>G1650-U1650</f>
        <v/>
      </c>
      <c r="Q1650" s="35" t="n">
        <v>45224</v>
      </c>
      <c r="R1650" t="n">
        <v>111753</v>
      </c>
      <c r="S1650" t="inlineStr">
        <is>
          <t>K002-901800477</t>
        </is>
      </c>
      <c r="T1650" t="inlineStr">
        <is>
          <t>អាយធីអាយ អ៊ិនធើណេសិនណល ត្រេនស័្ពរថេសិន (ខេមបូឌា) ឯ.ក</t>
        </is>
      </c>
      <c r="U1650" t="n">
        <v>111753</v>
      </c>
      <c r="V1650" t="n">
        <v>0</v>
      </c>
    </row>
    <row r="1651">
      <c r="A1651" t="n">
        <v>1650</v>
      </c>
      <c r="B1651" t="inlineStr">
        <is>
          <t>Customs Clearance Fee</t>
        </is>
      </c>
      <c r="C1651" t="inlineStr">
        <is>
          <t>ត្រាយអ៊ែងហ្គល ឡូជីស្ទីក (ខេមបូឌា) ឯ.ក</t>
        </is>
      </c>
      <c r="D1651" t="inlineStr">
        <is>
          <t>K010-902101743</t>
        </is>
      </c>
      <c r="E1651" t="inlineStr">
        <is>
          <t>TAG-24-00753</t>
        </is>
      </c>
      <c r="F1651" t="inlineStr">
        <is>
          <t>22-10-2024</t>
        </is>
      </c>
      <c r="G1651" t="n">
        <v>8124</v>
      </c>
      <c r="I1651">
        <f>G1651</f>
        <v/>
      </c>
      <c r="K1651">
        <f>I1651-G1651</f>
        <v/>
      </c>
      <c r="M1651">
        <f>R1651=E1651</f>
        <v/>
      </c>
      <c r="N1651">
        <f>AND(MONTH(F1651)=MONTH(Q1651), YEAR(F1651)=YEAR(Q1651))</f>
        <v/>
      </c>
      <c r="O1651">
        <f>"L001-902303751"=S1651</f>
        <v/>
      </c>
      <c r="P1651">
        <f>G1651-U1651</f>
        <v/>
      </c>
      <c r="Q1651" s="35" t="n">
        <v>45224</v>
      </c>
      <c r="R1651" t="n">
        <v>111753</v>
      </c>
      <c r="S1651" t="inlineStr">
        <is>
          <t>L001-901500191</t>
        </is>
      </c>
      <c r="T1651" t="inlineStr">
        <is>
          <t>អ.អិន.វ៉ាយ ត្រេនស្ព័ត</t>
        </is>
      </c>
      <c r="U1651" t="n">
        <v>111753</v>
      </c>
      <c r="V1651" t="n">
        <v>0</v>
      </c>
    </row>
    <row r="1652">
      <c r="A1652" t="n">
        <v>1651</v>
      </c>
      <c r="B1652" t="inlineStr">
        <is>
          <t>Customs Clearance Fee and Trucking Fee</t>
        </is>
      </c>
      <c r="C1652" t="inlineStr">
        <is>
          <t>ត្រាយអ៊ែងហ្គល ឡូជីស្ទីក (ខេមបូឌា) ឯ.ក</t>
        </is>
      </c>
      <c r="D1652" t="inlineStr">
        <is>
          <t>K010-902101743</t>
        </is>
      </c>
      <c r="E1652" t="inlineStr">
        <is>
          <t>TAG-24-00752</t>
        </is>
      </c>
      <c r="F1652" t="inlineStr">
        <is>
          <t>22-10-2024</t>
        </is>
      </c>
      <c r="G1652" t="n">
        <v>28434</v>
      </c>
      <c r="I1652">
        <f>G1652</f>
        <v/>
      </c>
      <c r="K1652">
        <f>I1652-G1652</f>
        <v/>
      </c>
      <c r="M1652">
        <f>R1652=E1652</f>
        <v/>
      </c>
      <c r="N1652">
        <f>AND(MONTH(F1652)=MONTH(Q1652), YEAR(F1652)=YEAR(Q1652))</f>
        <v/>
      </c>
      <c r="O1652">
        <f>"L001-902303751"=S1652</f>
        <v/>
      </c>
      <c r="P1652">
        <f>G1652-U1652</f>
        <v/>
      </c>
      <c r="Q1652" s="35" t="n">
        <v>45224</v>
      </c>
      <c r="R1652" t="inlineStr"/>
      <c r="S1652" t="inlineStr">
        <is>
          <t>L001-100182259</t>
        </is>
      </c>
      <c r="T1652" t="inlineStr">
        <is>
          <t>សាខាក្រុមហ៊ុន ប៊ី ឡូជីស្ទីក ខបភើរេសិន (ខេមបូឌា)</t>
        </is>
      </c>
      <c r="U1652" t="n">
        <v>0</v>
      </c>
      <c r="V1652" t="n">
        <v>0</v>
      </c>
    </row>
    <row r="1653">
      <c r="A1653" t="n">
        <v>1652</v>
      </c>
      <c r="B1653" t="inlineStr">
        <is>
          <t>Customs Clearance Fee and Trucking Fee</t>
        </is>
      </c>
      <c r="C1653" t="inlineStr">
        <is>
          <t>ត្រាយអ៊ែងហ្គល ឡូជីស្ទីក (ខេមបូឌា) ឯ.ក</t>
        </is>
      </c>
      <c r="D1653" t="inlineStr">
        <is>
          <t>K010-902101743</t>
        </is>
      </c>
      <c r="E1653" t="inlineStr">
        <is>
          <t>TAG-24-00750</t>
        </is>
      </c>
      <c r="F1653" t="inlineStr">
        <is>
          <t>22-10-2024</t>
        </is>
      </c>
      <c r="G1653" t="n">
        <v>28434</v>
      </c>
      <c r="I1653">
        <f>G1653</f>
        <v/>
      </c>
      <c r="K1653">
        <f>I1653-G1653</f>
        <v/>
      </c>
      <c r="M1653">
        <f>R1653=E1653</f>
        <v/>
      </c>
      <c r="N1653">
        <f>AND(MONTH(F1653)=MONTH(Q1653), YEAR(F1653)=YEAR(Q1653))</f>
        <v/>
      </c>
      <c r="O1653">
        <f>"L001-902303751"=S1653</f>
        <v/>
      </c>
      <c r="P1653">
        <f>G1653-U1653</f>
        <v/>
      </c>
      <c r="Q1653" s="35" t="n">
        <v>45222</v>
      </c>
      <c r="R1653" t="n">
        <v>111645</v>
      </c>
      <c r="S1653" t="inlineStr">
        <is>
          <t>L001-107032791</t>
        </is>
      </c>
      <c r="T1653" t="inlineStr">
        <is>
          <t>នីបផន អិចប្រេស (ខេមបូឌា) ខូ អិលធីឌី</t>
        </is>
      </c>
      <c r="U1653" t="n">
        <v>111645</v>
      </c>
      <c r="V1653" t="n">
        <v>0</v>
      </c>
    </row>
    <row r="1654">
      <c r="A1654" t="n">
        <v>1653</v>
      </c>
      <c r="B1654" t="inlineStr">
        <is>
          <t>Customs Clearance Fee and Trucking Fee</t>
        </is>
      </c>
      <c r="C1654" t="inlineStr">
        <is>
          <t>ត្រាយអ៊ែងហ្គល ឡូជីស្ទីក (ខេមបូឌា) ឯ.ក</t>
        </is>
      </c>
      <c r="D1654" t="inlineStr">
        <is>
          <t>K010-902101743</t>
        </is>
      </c>
      <c r="E1654" t="inlineStr">
        <is>
          <t>TAG-24-00749</t>
        </is>
      </c>
      <c r="F1654" t="inlineStr">
        <is>
          <t>22-10-2024</t>
        </is>
      </c>
      <c r="G1654" t="n">
        <v>28434</v>
      </c>
      <c r="I1654">
        <f>G1654</f>
        <v/>
      </c>
      <c r="K1654">
        <f>I1654-G1654</f>
        <v/>
      </c>
      <c r="M1654">
        <f>R1654=E1654</f>
        <v/>
      </c>
      <c r="N1654">
        <f>AND(MONTH(F1654)=MONTH(Q1654), YEAR(F1654)=YEAR(Q1654))</f>
        <v/>
      </c>
      <c r="O1654">
        <f>"L001-902303751"=S1654</f>
        <v/>
      </c>
      <c r="P1654">
        <f>G1654-U1654</f>
        <v/>
      </c>
      <c r="Q1654" s="35" t="n">
        <v>45202</v>
      </c>
      <c r="R1654" t="n">
        <v>97397</v>
      </c>
      <c r="S1654" t="inlineStr">
        <is>
          <t>K003-901635943</t>
        </is>
      </c>
      <c r="T1654" t="inlineStr">
        <is>
          <t>អ៊ីឃ្យូឡាញ វើលវ៉ាយដ៍ ឡូជីស្ទីក</t>
        </is>
      </c>
      <c r="U1654" t="n">
        <v>97397</v>
      </c>
      <c r="V1654" t="n">
        <v>0</v>
      </c>
    </row>
    <row r="1655">
      <c r="A1655" t="n">
        <v>1654</v>
      </c>
      <c r="B1655" t="inlineStr">
        <is>
          <t>Customs Clearance Fee</t>
        </is>
      </c>
      <c r="C1655" t="inlineStr">
        <is>
          <t>ត្រាយអ៊ែងហ្គល ឡូជីស្ទីក (ខេមបូឌា) ឯ.ក</t>
        </is>
      </c>
      <c r="D1655" t="inlineStr">
        <is>
          <t>K010-902101743</t>
        </is>
      </c>
      <c r="E1655" t="inlineStr">
        <is>
          <t>TAG-24-00748</t>
        </is>
      </c>
      <c r="F1655" t="inlineStr">
        <is>
          <t>22-10-2024</t>
        </is>
      </c>
      <c r="G1655" t="n">
        <v>8124</v>
      </c>
      <c r="I1655">
        <f>G1655</f>
        <v/>
      </c>
      <c r="K1655">
        <f>I1655-G1655</f>
        <v/>
      </c>
      <c r="M1655">
        <f>R1655=E1655</f>
        <v/>
      </c>
      <c r="N1655">
        <f>AND(MONTH(F1655)=MONTH(Q1655), YEAR(F1655)=YEAR(Q1655))</f>
        <v/>
      </c>
      <c r="O1655">
        <f>"L001-902303751"=S1655</f>
        <v/>
      </c>
      <c r="P1655">
        <f>G1655-U1655</f>
        <v/>
      </c>
      <c r="Q1655" s="35" t="n">
        <v>45208</v>
      </c>
      <c r="R1655" t="n">
        <v>111510</v>
      </c>
      <c r="S1655" t="inlineStr">
        <is>
          <t>L001-107041723</t>
        </is>
      </c>
      <c r="T1655" t="inlineStr">
        <is>
          <t>ឌីប៊ី សេនឃើរ (ខេមបូឌា) លីមីធីត</t>
        </is>
      </c>
      <c r="U1655" t="n">
        <v>111510</v>
      </c>
      <c r="V1655" t="n">
        <v>0</v>
      </c>
    </row>
    <row r="1656">
      <c r="A1656" t="n">
        <v>1655</v>
      </c>
      <c r="B1656" t="inlineStr">
        <is>
          <t>Customs Clearance Fee</t>
        </is>
      </c>
      <c r="C1656" t="inlineStr">
        <is>
          <t>ត្រាយអ៊ែងហ្គល ឡូជីស្ទីក (ខេមបូឌា) ឯ.ក</t>
        </is>
      </c>
      <c r="D1656" t="inlineStr">
        <is>
          <t>K010-902101743</t>
        </is>
      </c>
      <c r="E1656" t="inlineStr">
        <is>
          <t>TAG-24-00747</t>
        </is>
      </c>
      <c r="F1656" t="inlineStr">
        <is>
          <t>22-10-2024</t>
        </is>
      </c>
      <c r="G1656" t="n">
        <v>8124</v>
      </c>
      <c r="I1656">
        <f>G1656</f>
        <v/>
      </c>
      <c r="K1656">
        <f>I1656-G1656</f>
        <v/>
      </c>
      <c r="M1656">
        <f>R1656=E1656</f>
        <v/>
      </c>
      <c r="N1656">
        <f>AND(MONTH(F1656)=MONTH(Q1656), YEAR(F1656)=YEAR(Q1656))</f>
        <v/>
      </c>
      <c r="O1656">
        <f>"L001-902303751"=S1656</f>
        <v/>
      </c>
      <c r="P1656">
        <f>G1656-U1656</f>
        <v/>
      </c>
      <c r="Q1656" s="35" t="n">
        <v>45200</v>
      </c>
      <c r="R1656" t="n">
        <v>82440</v>
      </c>
      <c r="S1656" t="inlineStr">
        <is>
          <t>K002-901800477</t>
        </is>
      </c>
      <c r="T1656" t="inlineStr">
        <is>
          <t>អាយធីអាយ អ៊ិនធើណេសិនណល ត្រេនស័្ពរថេសិន (ខេមបូឌា) ឯ.ក</t>
        </is>
      </c>
      <c r="U1656" t="n">
        <v>82440</v>
      </c>
      <c r="V1656" t="n">
        <v>0</v>
      </c>
    </row>
    <row r="1657">
      <c r="A1657" t="n">
        <v>1656</v>
      </c>
      <c r="B1657" t="inlineStr">
        <is>
          <t>Customs Clearance Fee</t>
        </is>
      </c>
      <c r="C1657" t="inlineStr">
        <is>
          <t>ត្រាយអ៊ែងហ្គល ឡូជីស្ទីក (ខេមបូឌា) ឯ.ក</t>
        </is>
      </c>
      <c r="D1657" t="inlineStr">
        <is>
          <t>K010-902101743</t>
        </is>
      </c>
      <c r="E1657" t="inlineStr">
        <is>
          <t>TAG-24-00746</t>
        </is>
      </c>
      <c r="F1657" t="inlineStr">
        <is>
          <t>22-10-2024</t>
        </is>
      </c>
      <c r="G1657" t="n">
        <v>8124</v>
      </c>
      <c r="I1657">
        <f>G1657</f>
        <v/>
      </c>
      <c r="K1657">
        <f>I1657-G1657</f>
        <v/>
      </c>
      <c r="M1657">
        <f>R1657=E1657</f>
        <v/>
      </c>
      <c r="N1657">
        <f>AND(MONTH(F1657)=MONTH(Q1657), YEAR(F1657)=YEAR(Q1657))</f>
        <v/>
      </c>
      <c r="O1657">
        <f>"L001-902303751"=S1657</f>
        <v/>
      </c>
      <c r="P1657">
        <f>G1657-U1657</f>
        <v/>
      </c>
      <c r="Q1657" s="35" t="n">
        <v>45200</v>
      </c>
      <c r="R1657" t="n">
        <v>82440</v>
      </c>
      <c r="S1657" t="inlineStr">
        <is>
          <t>K002-901800477</t>
        </is>
      </c>
      <c r="T1657" t="inlineStr">
        <is>
          <t>អាយធីអាយ អ៊ិនធើណេសិនណល ត្រេនស័្ពរថេសិន (ខេមបូឌា) ឯ.ក</t>
        </is>
      </c>
      <c r="U1657" t="n">
        <v>82440</v>
      </c>
      <c r="V1657" t="n">
        <v>0</v>
      </c>
    </row>
    <row r="1658">
      <c r="A1658" t="n">
        <v>1657</v>
      </c>
      <c r="B1658" t="inlineStr">
        <is>
          <t>Customs Clearance Fee</t>
        </is>
      </c>
      <c r="C1658" t="inlineStr">
        <is>
          <t>ត្រាយអ៊ែងហ្គល ឡូជីស្ទីក (ខេមបូឌា) ឯ.ក</t>
        </is>
      </c>
      <c r="D1658" t="inlineStr">
        <is>
          <t>K010-902101743</t>
        </is>
      </c>
      <c r="E1658" t="inlineStr">
        <is>
          <t>TAG-24-00745</t>
        </is>
      </c>
      <c r="F1658" t="inlineStr">
        <is>
          <t>22-10-2024</t>
        </is>
      </c>
      <c r="G1658" t="n">
        <v>8124</v>
      </c>
      <c r="I1658">
        <f>G1658</f>
        <v/>
      </c>
      <c r="K1658">
        <f>I1658-G1658</f>
        <v/>
      </c>
      <c r="M1658">
        <f>R1658=E1658</f>
        <v/>
      </c>
      <c r="N1658">
        <f>AND(MONTH(F1658)=MONTH(Q1658), YEAR(F1658)=YEAR(Q1658))</f>
        <v/>
      </c>
      <c r="O1658">
        <f>"L001-902303751"=S1658</f>
        <v/>
      </c>
      <c r="P1658">
        <f>G1658-U1658</f>
        <v/>
      </c>
      <c r="Q1658" s="35" t="n">
        <v>45200</v>
      </c>
      <c r="R1658" t="inlineStr"/>
      <c r="S1658" t="inlineStr">
        <is>
          <t>K002-901800477</t>
        </is>
      </c>
      <c r="T1658" t="inlineStr">
        <is>
          <t>អាយធីអាយ អ៊ិនធើណេសិនណល ត្រេនស័្ពរថេសិន (ខេមបូឌា) ឯ.ក</t>
        </is>
      </c>
      <c r="U1658" t="n">
        <v>0</v>
      </c>
      <c r="V1658" t="n">
        <v>0</v>
      </c>
    </row>
    <row r="1659">
      <c r="A1659" t="n">
        <v>1658</v>
      </c>
      <c r="B1659" t="inlineStr">
        <is>
          <t>Customs Clearance Fee</t>
        </is>
      </c>
      <c r="C1659" t="inlineStr">
        <is>
          <t>ត្រាយអ៊ែងហ្គល ឡូជីស្ទីក (ខេមបូឌា) ឯ.ក</t>
        </is>
      </c>
      <c r="D1659" t="inlineStr">
        <is>
          <t>K010-902101743</t>
        </is>
      </c>
      <c r="E1659" t="inlineStr">
        <is>
          <t>TAG-24-00744</t>
        </is>
      </c>
      <c r="F1659" t="inlineStr">
        <is>
          <t>22-10-2024</t>
        </is>
      </c>
      <c r="G1659" t="n">
        <v>8124</v>
      </c>
      <c r="I1659">
        <f>G1659</f>
        <v/>
      </c>
      <c r="K1659">
        <f>I1659-G1659</f>
        <v/>
      </c>
      <c r="M1659">
        <f>R1659=E1659</f>
        <v/>
      </c>
      <c r="N1659">
        <f>AND(MONTH(F1659)=MONTH(Q1659), YEAR(F1659)=YEAR(Q1659))</f>
        <v/>
      </c>
      <c r="O1659">
        <f>"L001-902303751"=S1659</f>
        <v/>
      </c>
      <c r="P1659">
        <f>G1659-U1659</f>
        <v/>
      </c>
      <c r="Q1659" s="35" t="n">
        <v>45579</v>
      </c>
      <c r="R1659" t="n">
        <v>111705</v>
      </c>
      <c r="S1659" t="inlineStr">
        <is>
          <t>L001-107032791</t>
        </is>
      </c>
      <c r="T1659" t="inlineStr">
        <is>
          <t>នីបផន អិចប្រេស (ខេមបូឌា) ខូ អិលធីឌី</t>
        </is>
      </c>
      <c r="U1659" t="n">
        <v>111705</v>
      </c>
      <c r="V1659" t="n">
        <v>0</v>
      </c>
    </row>
    <row r="1660">
      <c r="A1660" t="n">
        <v>1659</v>
      </c>
      <c r="B1660" t="inlineStr">
        <is>
          <t>Customs Clearance Fee and Trucking Fee</t>
        </is>
      </c>
      <c r="C1660" t="inlineStr">
        <is>
          <t>ត្រាយអ៊ែងហ្គល ឡូជីស្ទីក (ខេមបូឌា) ឯ.ក</t>
        </is>
      </c>
      <c r="D1660" t="inlineStr">
        <is>
          <t>K010-902101743</t>
        </is>
      </c>
      <c r="E1660" t="inlineStr">
        <is>
          <t>TAG-24-00743</t>
        </is>
      </c>
      <c r="F1660" t="inlineStr">
        <is>
          <t>22-10-2024</t>
        </is>
      </c>
      <c r="G1660" t="n">
        <v>28434</v>
      </c>
      <c r="I1660">
        <f>G1660</f>
        <v/>
      </c>
      <c r="K1660">
        <f>I1660-G1660</f>
        <v/>
      </c>
      <c r="M1660">
        <f>R1660=E1660</f>
        <v/>
      </c>
      <c r="N1660">
        <f>AND(MONTH(F1660)=MONTH(Q1660), YEAR(F1660)=YEAR(Q1660))</f>
        <v/>
      </c>
      <c r="O1660">
        <f>"L001-902303751"=S1660</f>
        <v/>
      </c>
      <c r="P1660">
        <f>G1660-U1660</f>
        <v/>
      </c>
      <c r="Q1660" s="35" t="n">
        <v>45572</v>
      </c>
      <c r="R1660" t="n">
        <v>111540</v>
      </c>
      <c r="S1660" t="inlineStr">
        <is>
          <t>K005-100150195</t>
        </is>
      </c>
      <c r="T1660" t="inlineStr">
        <is>
          <t>អេស អ វី ស៊ី ហ្វ្រេត សឺវីស (ខេមបូឌា) ខូ អិលធីឌី</t>
        </is>
      </c>
      <c r="U1660" t="n">
        <v>111540</v>
      </c>
      <c r="V1660" t="n">
        <v>0</v>
      </c>
    </row>
    <row r="1661">
      <c r="A1661" t="n">
        <v>1660</v>
      </c>
      <c r="B1661" t="inlineStr">
        <is>
          <t>Customs Clearance Fee and Trucking Fee</t>
        </is>
      </c>
      <c r="C1661" t="inlineStr">
        <is>
          <t>ត្រាយអ៊ែងហ្គល ឡូជីស្ទីក (ខេមបូឌា) ឯ.ក</t>
        </is>
      </c>
      <c r="D1661" t="inlineStr">
        <is>
          <t>K010-902101743</t>
        </is>
      </c>
      <c r="E1661" t="inlineStr">
        <is>
          <t>TAG-24-00742</t>
        </is>
      </c>
      <c r="F1661" t="inlineStr">
        <is>
          <t>22-10-2024</t>
        </is>
      </c>
      <c r="G1661" t="n">
        <v>28434</v>
      </c>
      <c r="I1661">
        <f>G1661</f>
        <v/>
      </c>
      <c r="K1661">
        <f>I1661-G1661</f>
        <v/>
      </c>
      <c r="M1661">
        <f>R1661=E1661</f>
        <v/>
      </c>
      <c r="N1661">
        <f>AND(MONTH(F1661)=MONTH(Q1661), YEAR(F1661)=YEAR(Q1661))</f>
        <v/>
      </c>
      <c r="O1661">
        <f>"L001-902303751"=S1661</f>
        <v/>
      </c>
      <c r="P1661">
        <f>G1661-U1661</f>
        <v/>
      </c>
      <c r="Q1661" s="35" t="n">
        <v>45593</v>
      </c>
      <c r="R1661" t="inlineStr"/>
      <c r="S1661" t="inlineStr">
        <is>
          <t>L001-107032791</t>
        </is>
      </c>
      <c r="T1661" t="inlineStr">
        <is>
          <t>នីបផន អិចប្រេស (ខេមបូឌា) ខូ អិលធីឌី</t>
        </is>
      </c>
      <c r="U1661" t="n">
        <v>0</v>
      </c>
      <c r="V1661" t="n">
        <v>0</v>
      </c>
    </row>
    <row r="1662">
      <c r="A1662" t="n">
        <v>1661</v>
      </c>
      <c r="B1662" t="inlineStr">
        <is>
          <t>Trucking, Customs Clearance, Extra Trucking and Truck Fuel Surcharge</t>
        </is>
      </c>
      <c r="C1662" t="inlineStr">
        <is>
          <t>អេស អ វី ស៊ី ហ្វ្រេត សឺវីស (ខេមបូឌា) ខូ អិលធីឌី</t>
        </is>
      </c>
      <c r="D1662" t="inlineStr">
        <is>
          <t>K005-100150195</t>
        </is>
      </c>
      <c r="E1662" t="inlineStr">
        <is>
          <t>SRVI2406696</t>
        </is>
      </c>
      <c r="F1662" t="inlineStr">
        <is>
          <t>22-10-2024</t>
        </is>
      </c>
      <c r="G1662" t="n">
        <v>176697</v>
      </c>
      <c r="I1662">
        <f>G1662</f>
        <v/>
      </c>
      <c r="K1662">
        <f>I1662-G1662</f>
        <v/>
      </c>
      <c r="M1662">
        <f>R1662=E1662</f>
        <v/>
      </c>
      <c r="N1662">
        <f>AND(MONTH(F1662)=MONTH(Q1662), YEAR(F1662)=YEAR(Q1662))</f>
        <v/>
      </c>
      <c r="O1662">
        <f>"L001-902303751"=S1662</f>
        <v/>
      </c>
      <c r="P1662">
        <f>G1662-U1662</f>
        <v/>
      </c>
      <c r="Q1662" s="35" t="n">
        <v>45586</v>
      </c>
      <c r="R1662" t="inlineStr"/>
      <c r="S1662" t="inlineStr">
        <is>
          <t>K005-901902888</t>
        </is>
      </c>
      <c r="T1662" t="inlineStr">
        <is>
          <t>អឹឡាយអិន ហ្វ័រវើឌីង (ខេមបូឌា) ឯ.ក</t>
        </is>
      </c>
      <c r="U1662" t="n">
        <v>0</v>
      </c>
      <c r="V1662" t="n">
        <v>0</v>
      </c>
    </row>
    <row r="1663">
      <c r="A1663" t="n">
        <v>1662</v>
      </c>
      <c r="B1663" t="inlineStr">
        <is>
          <t>Import Shipment Expense</t>
        </is>
      </c>
      <c r="C1663" t="inlineStr">
        <is>
          <t>ប៊ី.អាយ.អិម ឡូជីស្ទីក ឯ.ក</t>
        </is>
      </c>
      <c r="D1663" t="inlineStr">
        <is>
          <t>K005-901902912</t>
        </is>
      </c>
      <c r="E1663" t="inlineStr">
        <is>
          <t>BI24-568</t>
        </is>
      </c>
      <c r="F1663" t="inlineStr">
        <is>
          <t>21-10-2024</t>
        </is>
      </c>
      <c r="G1663" t="n">
        <v>51587</v>
      </c>
      <c r="I1663">
        <f>G1663</f>
        <v/>
      </c>
      <c r="K1663">
        <f>I1663-G1663</f>
        <v/>
      </c>
      <c r="M1663">
        <f>R1663=E1663</f>
        <v/>
      </c>
      <c r="N1663">
        <f>AND(MONTH(F1663)=MONTH(Q1663), YEAR(F1663)=YEAR(Q1663))</f>
        <v/>
      </c>
      <c r="O1663">
        <f>"L001-902303751"=S1663</f>
        <v/>
      </c>
      <c r="P1663">
        <f>G1663-U1663</f>
        <v/>
      </c>
      <c r="Q1663" s="35" t="n">
        <v>45572</v>
      </c>
      <c r="R1663" t="n">
        <v>111540</v>
      </c>
      <c r="S1663" t="inlineStr">
        <is>
          <t>L001-100045995</t>
        </is>
      </c>
      <c r="T1663" t="inlineStr">
        <is>
          <t>ឌីអេចអិល ឡូជីស្ទីក (ខេមបូឌា)</t>
        </is>
      </c>
      <c r="U1663" t="n">
        <v>111540</v>
      </c>
      <c r="V1663" t="n">
        <v>0</v>
      </c>
    </row>
    <row r="1664">
      <c r="A1664" t="n">
        <v>1663</v>
      </c>
      <c r="B1664" t="inlineStr">
        <is>
          <t>Gate Fee Charges-GC Truck-1-6 Tons</t>
        </is>
      </c>
      <c r="C1664" t="inlineStr">
        <is>
          <t>កំពង់ផែស្វយ័តភ្នំពេញ "ក.ស.ភ"</t>
        </is>
      </c>
      <c r="D1664" t="inlineStr">
        <is>
          <t>L001-100044999</t>
        </is>
      </c>
      <c r="E1664" t="inlineStr">
        <is>
          <t>INV20241078713</t>
        </is>
      </c>
      <c r="F1664" t="inlineStr">
        <is>
          <t>21-10-2024</t>
        </is>
      </c>
      <c r="G1664" t="n">
        <v>812</v>
      </c>
      <c r="I1664">
        <f>G1664</f>
        <v/>
      </c>
      <c r="K1664">
        <f>I1664-G1664</f>
        <v/>
      </c>
      <c r="M1664">
        <f>R1664=E1664</f>
        <v/>
      </c>
      <c r="N1664">
        <f>AND(MONTH(F1664)=MONTH(Q1664), YEAR(F1664)=YEAR(Q1664))</f>
        <v/>
      </c>
      <c r="O1664">
        <f>"L001-902303751"=S1664</f>
        <v/>
      </c>
      <c r="P1664">
        <f>G1664-U1664</f>
        <v/>
      </c>
      <c r="Q1664" s="35" t="n">
        <v>45572</v>
      </c>
      <c r="R1664" t="inlineStr"/>
      <c r="S1664" t="inlineStr">
        <is>
          <t>K005-100150195</t>
        </is>
      </c>
      <c r="T1664" t="inlineStr">
        <is>
          <t>អេស អ វី ស៊ី ហ្វ្រេត សឺវីស (ខេមបូឌា) ខូ អិលធីឌី</t>
        </is>
      </c>
      <c r="U1664" t="n">
        <v>0</v>
      </c>
      <c r="V1664" t="n">
        <v>0</v>
      </c>
    </row>
    <row r="1665">
      <c r="A1665" t="n">
        <v>1664</v>
      </c>
      <c r="B1665" t="inlineStr">
        <is>
          <t>Decoratiion</t>
        </is>
      </c>
      <c r="C1665" t="inlineStr">
        <is>
          <t>ដឹ សាយ អេឡិកត្រូមេឃែនីខល អេនជីនារីង ឯ.ក</t>
        </is>
      </c>
      <c r="D1665" t="inlineStr">
        <is>
          <t>K009-902303599</t>
        </is>
      </c>
      <c r="E1665" t="inlineStr">
        <is>
          <t>00022</t>
        </is>
      </c>
      <c r="F1665" t="inlineStr">
        <is>
          <t>22-10-2024</t>
        </is>
      </c>
      <c r="G1665" t="n">
        <v>2894747</v>
      </c>
      <c r="I1665">
        <f>G1665</f>
        <v/>
      </c>
      <c r="K1665">
        <f>I1665-G1665</f>
        <v/>
      </c>
      <c r="M1665">
        <f>R1665=E1665</f>
        <v/>
      </c>
      <c r="N1665">
        <f>AND(MONTH(F1665)=MONTH(Q1665), YEAR(F1665)=YEAR(Q1665))</f>
        <v/>
      </c>
      <c r="O1665">
        <f>"L001-902303751"=S1665</f>
        <v/>
      </c>
      <c r="P1665">
        <f>G1665-U1665</f>
        <v/>
      </c>
      <c r="Q1665" s="35" t="n">
        <v>45572</v>
      </c>
      <c r="R1665" t="n">
        <v>85582</v>
      </c>
      <c r="S1665" t="inlineStr">
        <is>
          <t>K005-901805913</t>
        </is>
      </c>
      <c r="T1665" t="inlineStr">
        <is>
          <t>ស្តារ ខង់ខដ (ខេមបូឌា) ឯ.ក</t>
        </is>
      </c>
      <c r="U1665" t="n">
        <v>85582</v>
      </c>
      <c r="V1665" t="n">
        <v>0</v>
      </c>
    </row>
    <row r="1666">
      <c r="A1666" t="n">
        <v>1665</v>
      </c>
      <c r="B1666" t="inlineStr">
        <is>
          <t>Export Adminstration Fee, Port Formality and Service Charge</t>
        </is>
      </c>
      <c r="C1666" t="inlineStr">
        <is>
          <t>ឆាយ ដា ឡូយីស្ទីក</t>
        </is>
      </c>
      <c r="D1666" t="inlineStr">
        <is>
          <t>L001-100063098</t>
        </is>
      </c>
      <c r="E1666" t="inlineStr">
        <is>
          <t>2410015753</t>
        </is>
      </c>
      <c r="F1666" t="inlineStr">
        <is>
          <t>22-10-2024</t>
        </is>
      </c>
      <c r="G1666" t="n">
        <v>76772</v>
      </c>
      <c r="I1666">
        <f>G1666</f>
        <v/>
      </c>
      <c r="K1666">
        <f>I1666-G1666</f>
        <v/>
      </c>
      <c r="M1666">
        <f>R1666=E1666</f>
        <v/>
      </c>
      <c r="N1666">
        <f>AND(MONTH(F1666)=MONTH(Q1666), YEAR(F1666)=YEAR(Q1666))</f>
        <v/>
      </c>
      <c r="O1666">
        <f>"L001-902303751"=S1666</f>
        <v/>
      </c>
      <c r="P1666">
        <f>G1666-U1666</f>
        <v/>
      </c>
      <c r="Q1666" s="35" t="n">
        <v>45572</v>
      </c>
      <c r="R1666" t="n">
        <v>1898614</v>
      </c>
      <c r="S1666" t="inlineStr">
        <is>
          <t>K004-105012505</t>
        </is>
      </c>
      <c r="T1666" t="inlineStr">
        <is>
          <t>អេស៊ាន ហ្វ្រេត (ខេមបូឌា)</t>
        </is>
      </c>
      <c r="U1666" t="n">
        <v>1898614</v>
      </c>
      <c r="V1666" t="n">
        <v>0</v>
      </c>
    </row>
    <row r="1667">
      <c r="A1667" t="n">
        <v>1666</v>
      </c>
      <c r="B1667" t="inlineStr">
        <is>
          <t>Cargo Terminal</t>
        </is>
      </c>
      <c r="C1667" t="inlineStr">
        <is>
          <t>សូស៊ីយេតេ កុងសេស្យូនែរ ដឺ ឡាអេរ៉ូព័រ</t>
        </is>
      </c>
      <c r="D1667" t="inlineStr">
        <is>
          <t>L001-100047300</t>
        </is>
      </c>
      <c r="E1667" t="inlineStr">
        <is>
          <t>2400085128</t>
        </is>
      </c>
      <c r="F1667" t="inlineStr">
        <is>
          <t>22-10-2024</t>
        </is>
      </c>
      <c r="G1667" t="n">
        <v>2829</v>
      </c>
      <c r="I1667">
        <f>G1667</f>
        <v/>
      </c>
      <c r="K1667">
        <f>I1667-G1667</f>
        <v/>
      </c>
      <c r="M1667">
        <f>R1667=E1667</f>
        <v/>
      </c>
      <c r="N1667">
        <f>AND(MONTH(F1667)=MONTH(Q1667), YEAR(F1667)=YEAR(Q1667))</f>
        <v/>
      </c>
      <c r="O1667">
        <f>"L001-902303751"=S1667</f>
        <v/>
      </c>
      <c r="P1667">
        <f>G1667-U1667</f>
        <v/>
      </c>
      <c r="Q1667" s="35" t="n">
        <v>45579</v>
      </c>
      <c r="R1667" t="n">
        <v>111705</v>
      </c>
      <c r="S1667" t="inlineStr">
        <is>
          <t>L001-107041723</t>
        </is>
      </c>
      <c r="T1667" t="inlineStr">
        <is>
          <t>ឌីប៊ី សេនឃើរ (ខេមបូឌា) លីមីធីត</t>
        </is>
      </c>
      <c r="U1667" t="n">
        <v>111705</v>
      </c>
      <c r="V1667" t="n">
        <v>0</v>
      </c>
    </row>
    <row r="1668">
      <c r="A1668" t="n">
        <v>1667</v>
      </c>
      <c r="B1668" t="inlineStr">
        <is>
          <t>Send Sample</t>
        </is>
      </c>
      <c r="C1668" t="inlineStr">
        <is>
          <t>ឌី អេច អិល អិចប្រេស (ខេមបូឌា)</t>
        </is>
      </c>
      <c r="D1668" t="inlineStr">
        <is>
          <t>L001-100045197</t>
        </is>
      </c>
      <c r="E1668" t="inlineStr">
        <is>
          <t>PNHIR00248239</t>
        </is>
      </c>
      <c r="F1668" t="inlineStr">
        <is>
          <t>21-10-2024</t>
        </is>
      </c>
      <c r="G1668" t="n">
        <v>8124</v>
      </c>
      <c r="I1668">
        <f>G1668</f>
        <v/>
      </c>
      <c r="K1668">
        <f>I1668-G1668</f>
        <v/>
      </c>
      <c r="M1668">
        <f>R1668=E1668</f>
        <v/>
      </c>
      <c r="N1668">
        <f>AND(MONTH(F1668)=MONTH(Q1668), YEAR(F1668)=YEAR(Q1668))</f>
        <v/>
      </c>
      <c r="O1668">
        <f>"L001-902303751"=S1668</f>
        <v/>
      </c>
      <c r="P1668">
        <f>G1668-U1668</f>
        <v/>
      </c>
      <c r="Q1668" s="35" t="n">
        <v>45579</v>
      </c>
      <c r="R1668" t="inlineStr"/>
      <c r="S1668" t="inlineStr">
        <is>
          <t>L001-107041723</t>
        </is>
      </c>
      <c r="T1668" t="inlineStr">
        <is>
          <t>ឌីប៊ី សេនឃើរ (ខេមបូឌា) លីមីធីត</t>
        </is>
      </c>
      <c r="U1668" t="n">
        <v>0</v>
      </c>
      <c r="V1668" t="n">
        <v>0</v>
      </c>
    </row>
    <row r="1669">
      <c r="A1669" t="n">
        <v>1668</v>
      </c>
      <c r="B1669" t="inlineStr">
        <is>
          <t>Customs Clearance Fee and Trucking Fee</t>
        </is>
      </c>
      <c r="C1669" t="inlineStr">
        <is>
          <t>ត្រាយអ៊ែងហ្គល ឡូជីស្ទីក (ខេមបូឌា) ឯ.ក</t>
        </is>
      </c>
      <c r="D1669" t="inlineStr">
        <is>
          <t>K010-902101743</t>
        </is>
      </c>
      <c r="E1669" t="inlineStr">
        <is>
          <t>TAG-24-00741</t>
        </is>
      </c>
      <c r="F1669" t="inlineStr">
        <is>
          <t>21-10-2024</t>
        </is>
      </c>
      <c r="G1669" t="n">
        <v>28434</v>
      </c>
      <c r="I1669">
        <f>G1669</f>
        <v/>
      </c>
      <c r="K1669">
        <f>I1669-G1669</f>
        <v/>
      </c>
      <c r="M1669">
        <f>R1669=E1669</f>
        <v/>
      </c>
      <c r="N1669">
        <f>AND(MONTH(F1669)=MONTH(Q1669), YEAR(F1669)=YEAR(Q1669))</f>
        <v/>
      </c>
      <c r="O1669">
        <f>"L001-902303751"=S1669</f>
        <v/>
      </c>
      <c r="P1669">
        <f>G1669-U1669</f>
        <v/>
      </c>
      <c r="Q1669" s="35" t="n">
        <v>45591</v>
      </c>
      <c r="R1669" t="inlineStr"/>
      <c r="S1669" t="inlineStr">
        <is>
          <t>L001-100045340</t>
        </is>
      </c>
      <c r="T1669" t="inlineStr">
        <is>
          <t xml:space="preserve">ស៊ីវ៉ា អ៊ែរ អ៊ែន អូសៀន (ខេមបូឌា) ឯ.ក </t>
        </is>
      </c>
      <c r="U1669" t="n">
        <v>0</v>
      </c>
      <c r="V1669" t="n">
        <v>0</v>
      </c>
    </row>
    <row r="1670">
      <c r="A1670" t="n">
        <v>1669</v>
      </c>
      <c r="B1670" t="inlineStr">
        <is>
          <t>Customs Clearance Fee and Trucking Fee</t>
        </is>
      </c>
      <c r="C1670" t="inlineStr">
        <is>
          <t>ត្រាយអ៊ែងហ្គល ឡូជីស្ទីក (ខេមបូឌា) ឯ.ក</t>
        </is>
      </c>
      <c r="D1670" t="inlineStr">
        <is>
          <t>K010-902101743</t>
        </is>
      </c>
      <c r="E1670" t="inlineStr">
        <is>
          <t>TAG-24-00740</t>
        </is>
      </c>
      <c r="F1670" t="inlineStr">
        <is>
          <t>21-10-2024</t>
        </is>
      </c>
      <c r="G1670" t="n">
        <v>28434</v>
      </c>
      <c r="I1670">
        <f>G1670</f>
        <v/>
      </c>
      <c r="K1670">
        <f>I1670-G1670</f>
        <v/>
      </c>
      <c r="M1670">
        <f>R1670=E1670</f>
        <v/>
      </c>
      <c r="N1670">
        <f>AND(MONTH(F1670)=MONTH(Q1670), YEAR(F1670)=YEAR(Q1670))</f>
        <v/>
      </c>
      <c r="O1670">
        <f>"L001-902303751"=S1670</f>
        <v/>
      </c>
      <c r="P1670">
        <f>G1670-U1670</f>
        <v/>
      </c>
      <c r="Q1670" s="35" t="n">
        <v>45593</v>
      </c>
      <c r="R1670" t="inlineStr"/>
      <c r="S1670" t="inlineStr">
        <is>
          <t>K005-901805913</t>
        </is>
      </c>
      <c r="T1670" t="inlineStr">
        <is>
          <t>ស្តារ ខង់ខដ (ខេមបូឌា) ឯ.ក</t>
        </is>
      </c>
      <c r="U1670" t="n">
        <v>0</v>
      </c>
      <c r="V1670" t="n">
        <v>0</v>
      </c>
    </row>
    <row r="1671">
      <c r="A1671" t="n">
        <v>1670</v>
      </c>
      <c r="B1671" t="inlineStr">
        <is>
          <t>Customs Clearance Fee and Trucking Fee</t>
        </is>
      </c>
      <c r="C1671" t="inlineStr">
        <is>
          <t>ត្រាយអ៊ែងហ្គល ឡូជីស្ទីក (ខេមបូឌា) ឯ.ក</t>
        </is>
      </c>
      <c r="D1671" t="inlineStr">
        <is>
          <t>K010-902101743</t>
        </is>
      </c>
      <c r="E1671" t="inlineStr">
        <is>
          <t>TAG-24-00739</t>
        </is>
      </c>
      <c r="F1671" t="inlineStr">
        <is>
          <t>21-10-2024</t>
        </is>
      </c>
      <c r="G1671" t="n">
        <v>64992</v>
      </c>
      <c r="I1671">
        <f>G1671</f>
        <v/>
      </c>
      <c r="K1671">
        <f>I1671-G1671</f>
        <v/>
      </c>
      <c r="M1671">
        <f>R1671=E1671</f>
        <v/>
      </c>
      <c r="N1671">
        <f>AND(MONTH(F1671)=MONTH(Q1671), YEAR(F1671)=YEAR(Q1671))</f>
        <v/>
      </c>
      <c r="O1671">
        <f>"L001-902303751"=S1671</f>
        <v/>
      </c>
      <c r="P1671">
        <f>G1671-U1671</f>
        <v/>
      </c>
      <c r="Q1671" s="35" t="n">
        <v>45593</v>
      </c>
      <c r="R1671" t="inlineStr"/>
      <c r="S1671" t="inlineStr">
        <is>
          <t>L001-107032791</t>
        </is>
      </c>
      <c r="T1671" t="inlineStr">
        <is>
          <t>នីបផន អិចប្រេស (ខេមបូឌា) ខូ អិលធីឌី</t>
        </is>
      </c>
      <c r="U1671" t="n">
        <v>0</v>
      </c>
      <c r="V1671" t="n">
        <v>0</v>
      </c>
    </row>
    <row r="1672">
      <c r="A1672" t="n">
        <v>1671</v>
      </c>
      <c r="B1672" t="inlineStr">
        <is>
          <t>Customs Clearance Fee and Trucking Fee</t>
        </is>
      </c>
      <c r="C1672" t="inlineStr">
        <is>
          <t>ត្រាយអ៊ែងហ្គល ឡូជីស្ទីក (ខេមបូឌា) ឯ.ក</t>
        </is>
      </c>
      <c r="D1672" t="inlineStr">
        <is>
          <t>K010-902101743</t>
        </is>
      </c>
      <c r="E1672" t="inlineStr">
        <is>
          <t>TAG-24-00738</t>
        </is>
      </c>
      <c r="F1672" t="inlineStr">
        <is>
          <t>21-10-2024</t>
        </is>
      </c>
      <c r="G1672" t="n">
        <v>58818</v>
      </c>
      <c r="I1672">
        <f>G1672</f>
        <v/>
      </c>
      <c r="K1672">
        <f>I1672-G1672</f>
        <v/>
      </c>
      <c r="M1672">
        <f>R1672=E1672</f>
        <v/>
      </c>
      <c r="N1672">
        <f>AND(MONTH(F1672)=MONTH(Q1672), YEAR(F1672)=YEAR(Q1672))</f>
        <v/>
      </c>
      <c r="O1672">
        <f>"L001-902303751"=S1672</f>
        <v/>
      </c>
      <c r="P1672">
        <f>G1672-U1672</f>
        <v/>
      </c>
      <c r="Q1672" s="35" t="n">
        <v>45586</v>
      </c>
      <c r="R1672" t="inlineStr"/>
      <c r="S1672" t="inlineStr">
        <is>
          <t>L001-107032791</t>
        </is>
      </c>
      <c r="T1672" t="inlineStr">
        <is>
          <t>នីបផន អិចប្រេស (ខេមបូឌា) ខូ អិលធីឌី</t>
        </is>
      </c>
      <c r="U1672" t="n">
        <v>0</v>
      </c>
      <c r="V1672" t="n">
        <v>0</v>
      </c>
    </row>
    <row r="1673">
      <c r="A1673" t="n">
        <v>1672</v>
      </c>
      <c r="B1673" t="inlineStr">
        <is>
          <t>Customs Clearance Fee and Trucking Fee</t>
        </is>
      </c>
      <c r="C1673" t="inlineStr">
        <is>
          <t>ត្រាយអ៊ែងហ្គល ឡូជីស្ទីក (ខេមបូឌា) ឯ.ក</t>
        </is>
      </c>
      <c r="D1673" t="inlineStr">
        <is>
          <t>K010-902101743</t>
        </is>
      </c>
      <c r="E1673" t="inlineStr">
        <is>
          <t>TAG-24-00735</t>
        </is>
      </c>
      <c r="F1673" t="inlineStr">
        <is>
          <t>21-10-2024</t>
        </is>
      </c>
      <c r="G1673" t="n">
        <v>28434</v>
      </c>
      <c r="I1673">
        <f>G1673</f>
        <v/>
      </c>
      <c r="K1673">
        <f>I1673-G1673</f>
        <v/>
      </c>
      <c r="M1673">
        <f>R1673=E1673</f>
        <v/>
      </c>
      <c r="N1673">
        <f>AND(MONTH(F1673)=MONTH(Q1673), YEAR(F1673)=YEAR(Q1673))</f>
        <v/>
      </c>
      <c r="O1673">
        <f>"L001-902303751"=S1673</f>
        <v/>
      </c>
      <c r="P1673">
        <f>G1673-U1673</f>
        <v/>
      </c>
      <c r="Q1673" s="35" t="n">
        <v>45579</v>
      </c>
      <c r="R1673" t="inlineStr"/>
      <c r="S1673" t="inlineStr">
        <is>
          <t>L001-107032791</t>
        </is>
      </c>
      <c r="T1673" t="inlineStr">
        <is>
          <t>នីបផន អិចប្រេស (ខេមបូឌា) ខូ អិលធីឌី</t>
        </is>
      </c>
      <c r="U1673" t="n">
        <v>0</v>
      </c>
      <c r="V1673" t="n">
        <v>0</v>
      </c>
    </row>
    <row r="1674">
      <c r="A1674" t="n">
        <v>1673</v>
      </c>
      <c r="B1674" t="inlineStr">
        <is>
          <t>Customs Clearance Fee and Trucking Fee</t>
        </is>
      </c>
      <c r="C1674" t="inlineStr">
        <is>
          <t>ត្រាយអ៊ែងហ្គល ឡូជីស្ទីក (ខេមបូឌា) ឯ.ក</t>
        </is>
      </c>
      <c r="D1674" t="inlineStr">
        <is>
          <t>K010-902101743</t>
        </is>
      </c>
      <c r="E1674" t="inlineStr">
        <is>
          <t>TAG-24-00734</t>
        </is>
      </c>
      <c r="F1674" t="inlineStr">
        <is>
          <t>21-10-2024</t>
        </is>
      </c>
      <c r="G1674" t="n">
        <v>28434</v>
      </c>
      <c r="I1674">
        <f>G1674</f>
        <v/>
      </c>
      <c r="K1674">
        <f>I1674-G1674</f>
        <v/>
      </c>
      <c r="M1674">
        <f>R1674=E1674</f>
        <v/>
      </c>
      <c r="N1674">
        <f>AND(MONTH(F1674)=MONTH(Q1674), YEAR(F1674)=YEAR(Q1674))</f>
        <v/>
      </c>
      <c r="O1674">
        <f>"L001-902303751"=S1674</f>
        <v/>
      </c>
      <c r="P1674">
        <f>G1674-U1674</f>
        <v/>
      </c>
      <c r="Q1674" s="35" t="n">
        <v>45579</v>
      </c>
      <c r="R1674" t="inlineStr"/>
      <c r="S1674" t="inlineStr">
        <is>
          <t>L001-100011888</t>
        </is>
      </c>
      <c r="T1674" t="inlineStr">
        <is>
          <t>ត្រេន ស្តារ ហ្រេ្វត</t>
        </is>
      </c>
      <c r="U1674" t="n">
        <v>0</v>
      </c>
      <c r="V1674" t="n">
        <v>0</v>
      </c>
    </row>
    <row r="1675">
      <c r="A1675" t="n">
        <v>1674</v>
      </c>
      <c r="B1675" t="inlineStr">
        <is>
          <t>Customs Clearance Fee and Trucking Fee</t>
        </is>
      </c>
      <c r="C1675" t="inlineStr">
        <is>
          <t>ត្រាយអ៊ែងហ្គល ឡូជីស្ទីក (ខេមបូឌា) ឯ.ក</t>
        </is>
      </c>
      <c r="D1675" t="inlineStr">
        <is>
          <t>K010-902101743</t>
        </is>
      </c>
      <c r="E1675" t="inlineStr">
        <is>
          <t>TAG-24-00733</t>
        </is>
      </c>
      <c r="F1675" t="inlineStr">
        <is>
          <t>21-10-2024</t>
        </is>
      </c>
      <c r="G1675" t="n">
        <v>28434</v>
      </c>
      <c r="I1675">
        <f>G1675</f>
        <v/>
      </c>
      <c r="K1675">
        <f>I1675-G1675</f>
        <v/>
      </c>
      <c r="M1675">
        <f>R1675=E1675</f>
        <v/>
      </c>
      <c r="N1675">
        <f>AND(MONTH(F1675)=MONTH(Q1675), YEAR(F1675)=YEAR(Q1675))</f>
        <v/>
      </c>
      <c r="O1675">
        <f>"L001-902303751"=S1675</f>
        <v/>
      </c>
      <c r="P1675">
        <f>G1675-U1675</f>
        <v/>
      </c>
      <c r="Q1675" s="35" t="n">
        <v>45590</v>
      </c>
      <c r="R1675" t="inlineStr"/>
      <c r="S1675" t="inlineStr">
        <is>
          <t>L001-103007369</t>
        </is>
      </c>
      <c r="T1675" t="inlineStr">
        <is>
          <t>អូរៀនថល ឡូជីស្ទីក &amp; ឌីស្ទ្រីប៊្យូសិន (ខេមបូឌា)</t>
        </is>
      </c>
      <c r="U1675" t="n">
        <v>0</v>
      </c>
      <c r="V1675" t="n">
        <v>0</v>
      </c>
    </row>
    <row r="1676">
      <c r="A1676" t="n">
        <v>1675</v>
      </c>
      <c r="B1676" t="inlineStr">
        <is>
          <t>Customs Clearance Fee and Trucking Fee</t>
        </is>
      </c>
      <c r="C1676" t="inlineStr">
        <is>
          <t>ត្រាយអ៊ែងហ្គល ឡូជីស្ទីក (ខេមបូឌា) ឯ.ក</t>
        </is>
      </c>
      <c r="D1676" t="inlineStr">
        <is>
          <t>K010-902101743</t>
        </is>
      </c>
      <c r="E1676" t="inlineStr">
        <is>
          <t>TAG-24-00732</t>
        </is>
      </c>
      <c r="F1676" t="inlineStr">
        <is>
          <t>21-10-2024</t>
        </is>
      </c>
      <c r="G1676" t="n">
        <v>28434</v>
      </c>
      <c r="I1676">
        <f>G1676</f>
        <v/>
      </c>
      <c r="K1676">
        <f>I1676-G1676</f>
        <v/>
      </c>
      <c r="M1676">
        <f>R1676=E1676</f>
        <v/>
      </c>
      <c r="N1676">
        <f>AND(MONTH(F1676)=MONTH(Q1676), YEAR(F1676)=YEAR(Q1676))</f>
        <v/>
      </c>
      <c r="O1676">
        <f>"L001-902303751"=S1676</f>
        <v/>
      </c>
      <c r="P1676">
        <f>G1676-U1676</f>
        <v/>
      </c>
      <c r="Q1676" s="35" t="n">
        <v>45589</v>
      </c>
      <c r="R1676" t="n">
        <v>83271</v>
      </c>
      <c r="S1676" t="inlineStr">
        <is>
          <t>L001-100045995</t>
        </is>
      </c>
      <c r="T1676" t="inlineStr">
        <is>
          <t>ឌីអេចអិល ឡូជីស្ទីក (ខេមបូឌា)</t>
        </is>
      </c>
      <c r="U1676" t="n">
        <v>83271</v>
      </c>
      <c r="V1676" t="n">
        <v>0</v>
      </c>
    </row>
    <row r="1677">
      <c r="A1677" t="n">
        <v>1676</v>
      </c>
      <c r="B1677" t="inlineStr">
        <is>
          <t>Import Shipment Expense</t>
        </is>
      </c>
      <c r="C1677" t="inlineStr">
        <is>
          <t>អេស៊ាន ហ្វ្រេត (ខេមបូឌា)</t>
        </is>
      </c>
      <c r="D1677" t="inlineStr">
        <is>
          <t>K004-105012505</t>
        </is>
      </c>
      <c r="E1677" t="inlineStr">
        <is>
          <t>PPTI24/2201</t>
        </is>
      </c>
      <c r="F1677" t="inlineStr">
        <is>
          <t>21-10-2024</t>
        </is>
      </c>
      <c r="G1677" t="n">
        <v>47119</v>
      </c>
      <c r="I1677">
        <f>G1677</f>
        <v/>
      </c>
      <c r="K1677">
        <f>I1677-G1677</f>
        <v/>
      </c>
      <c r="M1677">
        <f>R1677=E1677</f>
        <v/>
      </c>
      <c r="N1677">
        <f>AND(MONTH(F1677)=MONTH(Q1677), YEAR(F1677)=YEAR(Q1677))</f>
        <v/>
      </c>
      <c r="O1677">
        <f>"L001-902303751"=S1677</f>
        <v/>
      </c>
      <c r="P1677">
        <f>G1677-U1677</f>
        <v/>
      </c>
      <c r="Q1677" s="35" t="n">
        <v>45586</v>
      </c>
      <c r="R1677" t="n">
        <v>111705</v>
      </c>
      <c r="S1677" t="inlineStr">
        <is>
          <t>L001-107032791</t>
        </is>
      </c>
      <c r="T1677" t="inlineStr">
        <is>
          <t>នីបផន អិចប្រេស (ខេមបូឌា) ខូ អិលធីឌី</t>
        </is>
      </c>
      <c r="U1677" t="n">
        <v>111705</v>
      </c>
      <c r="V1677" t="n">
        <v>0</v>
      </c>
    </row>
    <row r="1678">
      <c r="A1678" t="n">
        <v>1677</v>
      </c>
      <c r="B1678" t="inlineStr">
        <is>
          <t>Cargo Terminal</t>
        </is>
      </c>
      <c r="C1678" t="inlineStr">
        <is>
          <t>សូស៊ីយេតេ កុងសេស្យូនែរ ដឺ ឡាអេរ៉ូព័រ</t>
        </is>
      </c>
      <c r="D1678" t="inlineStr">
        <is>
          <t>L001-100047300</t>
        </is>
      </c>
      <c r="E1678" t="inlineStr">
        <is>
          <t>2400086306</t>
        </is>
      </c>
      <c r="F1678" t="inlineStr">
        <is>
          <t>25-10-2024</t>
        </is>
      </c>
      <c r="G1678" t="n">
        <v>812</v>
      </c>
      <c r="I1678">
        <f>G1678</f>
        <v/>
      </c>
      <c r="K1678">
        <f>I1678-G1678</f>
        <v/>
      </c>
      <c r="M1678">
        <f>R1678=E1678</f>
        <v/>
      </c>
      <c r="N1678">
        <f>AND(MONTH(F1678)=MONTH(Q1678), YEAR(F1678)=YEAR(Q1678))</f>
        <v/>
      </c>
      <c r="O1678">
        <f>"L001-902303751"=S1678</f>
        <v/>
      </c>
      <c r="P1678">
        <f>G1678-U1678</f>
        <v/>
      </c>
      <c r="Q1678" s="35" t="n">
        <v>45586</v>
      </c>
      <c r="R1678" t="n">
        <v>114142</v>
      </c>
      <c r="S1678" t="inlineStr">
        <is>
          <t>L001-100045340</t>
        </is>
      </c>
      <c r="T1678" t="inlineStr">
        <is>
          <t xml:space="preserve">ស៊ីវ៉ា អ៊ែរ អ៊ែន អូសៀន (ខេមបូឌា) ឯ.ក </t>
        </is>
      </c>
      <c r="U1678" t="n">
        <v>114142</v>
      </c>
      <c r="V1678" t="n">
        <v>0</v>
      </c>
    </row>
    <row r="1679">
      <c r="A1679" t="n">
        <v>1678</v>
      </c>
      <c r="B1679" t="inlineStr">
        <is>
          <t>Export Custom Clearance</t>
        </is>
      </c>
      <c r="C1679" t="inlineStr">
        <is>
          <t>អ៊ីឃ្យូឡាញ វើលវ៉ាយដ៍ ឡូជីស្ទីក</t>
        </is>
      </c>
      <c r="D1679" t="inlineStr">
        <is>
          <t>K003-901635943</t>
        </is>
      </c>
      <c r="E1679" t="inlineStr">
        <is>
          <t>PPTI24/005244</t>
        </is>
      </c>
      <c r="F1679" t="inlineStr">
        <is>
          <t>24-10-2024</t>
        </is>
      </c>
      <c r="G1679" t="n">
        <v>64992</v>
      </c>
      <c r="I1679">
        <f>G1679</f>
        <v/>
      </c>
      <c r="K1679">
        <f>I1679-G1679</f>
        <v/>
      </c>
      <c r="M1679">
        <f>R1679=E1679</f>
        <v/>
      </c>
      <c r="N1679">
        <f>AND(MONTH(F1679)=MONTH(Q1679), YEAR(F1679)=YEAR(Q1679))</f>
        <v/>
      </c>
      <c r="O1679">
        <f>"L001-902303751"=S1679</f>
        <v/>
      </c>
      <c r="P1679">
        <f>G1679-U1679</f>
        <v/>
      </c>
      <c r="Q1679" s="35" t="n">
        <v>45586</v>
      </c>
      <c r="R1679" t="inlineStr"/>
      <c r="S1679" t="inlineStr">
        <is>
          <t>L001-107032791</t>
        </is>
      </c>
      <c r="T1679" t="inlineStr">
        <is>
          <t>នីបផន អិចប្រេស (ខេមបូឌា) ខូ អិលធីឌី</t>
        </is>
      </c>
      <c r="U1679" t="n">
        <v>0</v>
      </c>
      <c r="V1679" t="n">
        <v>0</v>
      </c>
    </row>
    <row r="1680">
      <c r="A1680" t="n">
        <v>1679</v>
      </c>
      <c r="B1680" t="inlineStr">
        <is>
          <t>Send Docs and Material</t>
        </is>
      </c>
      <c r="C1680" t="inlineStr">
        <is>
          <t>ឌី អេច អិល អិចប្រេស (ខេមបូឌា)</t>
        </is>
      </c>
      <c r="D1680" t="inlineStr">
        <is>
          <t>L001-100045197</t>
        </is>
      </c>
      <c r="E1680" t="inlineStr">
        <is>
          <t>PNHR000507644</t>
        </is>
      </c>
      <c r="F1680" t="inlineStr">
        <is>
          <t>24-10-2024</t>
        </is>
      </c>
      <c r="G1680" t="n">
        <v>58412</v>
      </c>
      <c r="I1680">
        <f>G1680</f>
        <v/>
      </c>
      <c r="K1680">
        <f>I1680-G1680</f>
        <v/>
      </c>
      <c r="M1680">
        <f>R1680=E1680</f>
        <v/>
      </c>
      <c r="N1680">
        <f>AND(MONTH(F1680)=MONTH(Q1680), YEAR(F1680)=YEAR(Q1680))</f>
        <v/>
      </c>
      <c r="O1680">
        <f>"L001-902303751"=S1680</f>
        <v/>
      </c>
      <c r="P1680">
        <f>G1680-U1680</f>
        <v/>
      </c>
      <c r="Q1680" s="35" t="n">
        <v>45574</v>
      </c>
      <c r="R1680" t="inlineStr"/>
      <c r="S1680" t="inlineStr">
        <is>
          <t>L001-107032791</t>
        </is>
      </c>
      <c r="T1680" t="inlineStr">
        <is>
          <t>នីបផន អិចប្រេស (ខេមបូឌា) ខូ អិលធីឌី</t>
        </is>
      </c>
      <c r="U1680" t="n">
        <v>0</v>
      </c>
      <c r="V1680" t="n">
        <v>0</v>
      </c>
    </row>
    <row r="1681">
      <c r="A1681" t="n">
        <v>1680</v>
      </c>
      <c r="B1681" t="inlineStr">
        <is>
          <t>Send Material</t>
        </is>
      </c>
      <c r="C1681" t="inlineStr">
        <is>
          <t>ឌី អេច អិល អិចប្រេស (ខេមបូឌា)</t>
        </is>
      </c>
      <c r="D1681" t="inlineStr">
        <is>
          <t>L001-100045197</t>
        </is>
      </c>
      <c r="E1681" t="inlineStr">
        <is>
          <t>PNHIR00249354</t>
        </is>
      </c>
      <c r="F1681" t="inlineStr">
        <is>
          <t>24-10-2024</t>
        </is>
      </c>
      <c r="G1681" t="n">
        <v>11053</v>
      </c>
      <c r="I1681">
        <f>G1681</f>
        <v/>
      </c>
      <c r="K1681">
        <f>I1681-G1681</f>
        <v/>
      </c>
      <c r="M1681">
        <f>R1681=E1681</f>
        <v/>
      </c>
      <c r="N1681">
        <f>AND(MONTH(F1681)=MONTH(Q1681), YEAR(F1681)=YEAR(Q1681))</f>
        <v/>
      </c>
      <c r="O1681">
        <f>"L001-902303751"=S1681</f>
        <v/>
      </c>
      <c r="P1681">
        <f>G1681-U1681</f>
        <v/>
      </c>
      <c r="Q1681" s="35" t="n">
        <v>45579</v>
      </c>
      <c r="R1681" t="inlineStr"/>
      <c r="S1681" t="inlineStr">
        <is>
          <t>L001-107032791</t>
        </is>
      </c>
      <c r="T1681" t="inlineStr">
        <is>
          <t>នីបផន អិចប្រេស (ខេមបូឌា) ខូ អិលធីឌី</t>
        </is>
      </c>
      <c r="U1681" t="n">
        <v>0</v>
      </c>
      <c r="V1681" t="n">
        <v>0</v>
      </c>
    </row>
    <row r="1682">
      <c r="A1682" t="n">
        <v>1681</v>
      </c>
      <c r="B1682" t="inlineStr">
        <is>
          <t>Send Material</t>
        </is>
      </c>
      <c r="C1682" t="inlineStr">
        <is>
          <t>ឌី អេច អិល អិចប្រេស (ខេមបូឌា)</t>
        </is>
      </c>
      <c r="D1682" t="inlineStr">
        <is>
          <t>L001-100045197</t>
        </is>
      </c>
      <c r="E1682" t="inlineStr">
        <is>
          <t>PNHIR00249353</t>
        </is>
      </c>
      <c r="F1682" t="inlineStr">
        <is>
          <t>24-10-2024</t>
        </is>
      </c>
      <c r="G1682" t="n">
        <v>10614</v>
      </c>
      <c r="I1682">
        <f>G1682</f>
        <v/>
      </c>
      <c r="K1682">
        <f>I1682-G1682</f>
        <v/>
      </c>
      <c r="M1682">
        <f>R1682=E1682</f>
        <v/>
      </c>
      <c r="N1682">
        <f>AND(MONTH(F1682)=MONTH(Q1682), YEAR(F1682)=YEAR(Q1682))</f>
        <v/>
      </c>
      <c r="O1682">
        <f>"L001-902303751"=S1682</f>
        <v/>
      </c>
      <c r="P1682">
        <f>G1682-U1682</f>
        <v/>
      </c>
      <c r="Q1682" s="35" t="n">
        <v>45586</v>
      </c>
      <c r="R1682" t="n">
        <v>114142</v>
      </c>
      <c r="S1682" t="inlineStr">
        <is>
          <t>L001-100045340</t>
        </is>
      </c>
      <c r="T1682" t="inlineStr">
        <is>
          <t xml:space="preserve">ស៊ីវ៉ា អ៊ែរ អ៊ែន អូសៀន (ខេមបូឌា) ឯ.ក </t>
        </is>
      </c>
      <c r="U1682" t="n">
        <v>114142</v>
      </c>
      <c r="V1682" t="n">
        <v>0</v>
      </c>
    </row>
    <row r="1683">
      <c r="A1683" t="n">
        <v>1682</v>
      </c>
      <c r="B1683" t="inlineStr">
        <is>
          <t>Import Shipment Expense</t>
        </is>
      </c>
      <c r="C1683" t="inlineStr">
        <is>
          <t>ផេនដា គ្លូប៊ល ឡូជីស្ទីក (ខេមបូឌា)</t>
        </is>
      </c>
      <c r="D1683" t="inlineStr">
        <is>
          <t>K005-901501155</t>
        </is>
      </c>
      <c r="E1683" t="inlineStr">
        <is>
          <t>PD240431</t>
        </is>
      </c>
      <c r="F1683" t="inlineStr">
        <is>
          <t>24-10-2024</t>
        </is>
      </c>
      <c r="G1683" t="n">
        <v>96498</v>
      </c>
      <c r="I1683">
        <f>G1683</f>
        <v/>
      </c>
      <c r="K1683">
        <f>I1683-G1683</f>
        <v/>
      </c>
      <c r="M1683">
        <f>R1683=E1683</f>
        <v/>
      </c>
      <c r="N1683">
        <f>AND(MONTH(F1683)=MONTH(Q1683), YEAR(F1683)=YEAR(Q1683))</f>
        <v/>
      </c>
      <c r="O1683">
        <f>"L001-902303751"=S1683</f>
        <v/>
      </c>
      <c r="P1683">
        <f>G1683-U1683</f>
        <v/>
      </c>
      <c r="Q1683" s="35" t="n">
        <v>45586</v>
      </c>
      <c r="R1683" t="n">
        <v>172635</v>
      </c>
      <c r="S1683" t="inlineStr">
        <is>
          <t>L001-100045995</t>
        </is>
      </c>
      <c r="T1683" t="inlineStr">
        <is>
          <t>ឌីអេចអិល ឡូជីស្ទីក (ខេមបូឌា)</t>
        </is>
      </c>
      <c r="U1683" t="n">
        <v>172635</v>
      </c>
      <c r="V1683" t="n">
        <v>0</v>
      </c>
    </row>
    <row r="1684">
      <c r="A1684" t="n">
        <v>1683</v>
      </c>
      <c r="B1684" t="inlineStr">
        <is>
          <t>Import Shipment Expense</t>
        </is>
      </c>
      <c r="C1684" t="inlineStr">
        <is>
          <t>ផេនដា គ្លូប៊ល ឡូជីស្ទីក (ខេមបូឌា)</t>
        </is>
      </c>
      <c r="D1684" t="inlineStr">
        <is>
          <t>K005-901501155</t>
        </is>
      </c>
      <c r="E1684" t="inlineStr">
        <is>
          <t>PD240430</t>
        </is>
      </c>
      <c r="F1684" t="inlineStr">
        <is>
          <t>24-10-2024</t>
        </is>
      </c>
      <c r="G1684" t="n">
        <v>161993</v>
      </c>
      <c r="I1684">
        <f>G1684</f>
        <v/>
      </c>
      <c r="K1684">
        <f>I1684-G1684</f>
        <v/>
      </c>
      <c r="M1684">
        <f>R1684=E1684</f>
        <v/>
      </c>
      <c r="N1684">
        <f>AND(MONTH(F1684)=MONTH(Q1684), YEAR(F1684)=YEAR(Q1684))</f>
        <v/>
      </c>
      <c r="O1684">
        <f>"L001-902303751"=S1684</f>
        <v/>
      </c>
      <c r="P1684">
        <f>G1684-U1684</f>
        <v/>
      </c>
      <c r="Q1684" s="35" t="n">
        <v>45586</v>
      </c>
      <c r="R1684" t="n">
        <v>201069</v>
      </c>
      <c r="S1684" t="inlineStr">
        <is>
          <t>L001-107032791</t>
        </is>
      </c>
      <c r="T1684" t="inlineStr">
        <is>
          <t>នីបផន អិចប្រេស (ខេមបូឌា) ខូ អិលធីឌី</t>
        </is>
      </c>
      <c r="U1684" t="n">
        <v>201069</v>
      </c>
      <c r="V1684" t="n">
        <v>0</v>
      </c>
    </row>
    <row r="1685">
      <c r="A1685" t="n">
        <v>1684</v>
      </c>
      <c r="B1685" t="inlineStr">
        <is>
          <t>Knitted Flatkni</t>
        </is>
      </c>
      <c r="C1685" t="inlineStr">
        <is>
          <t>សូស៊ីយេតេ កុងសេស្យូនែរ ដឺ ឡាអេរ៉ូព័រ</t>
        </is>
      </c>
      <c r="D1685" t="inlineStr">
        <is>
          <t>L001-100047300</t>
        </is>
      </c>
      <c r="E1685" t="inlineStr">
        <is>
          <t>2400085654</t>
        </is>
      </c>
      <c r="F1685" t="inlineStr">
        <is>
          <t>24-10-2024</t>
        </is>
      </c>
      <c r="G1685" t="n">
        <v>3346</v>
      </c>
      <c r="I1685">
        <f>G1685</f>
        <v/>
      </c>
      <c r="K1685">
        <f>I1685-G1685</f>
        <v/>
      </c>
      <c r="M1685">
        <f>R1685=E1685</f>
        <v/>
      </c>
      <c r="N1685">
        <f>AND(MONTH(F1685)=MONTH(Q1685), YEAR(F1685)=YEAR(Q1685))</f>
        <v/>
      </c>
      <c r="O1685">
        <f>"L001-902303751"=S1685</f>
        <v/>
      </c>
      <c r="P1685">
        <f>G1685-U1685</f>
        <v/>
      </c>
      <c r="Q1685" s="35" t="n">
        <v>45586</v>
      </c>
      <c r="R1685" t="n">
        <v>83271</v>
      </c>
      <c r="S1685" t="inlineStr">
        <is>
          <t>K005-901902888</t>
        </is>
      </c>
      <c r="T1685" t="inlineStr">
        <is>
          <t>អឹឡាយអិន ហ្វ័រវើឌីង (ខេមបូឌា) ឯ.ក</t>
        </is>
      </c>
      <c r="U1685" t="n">
        <v>83271</v>
      </c>
      <c r="V1685" t="n">
        <v>0</v>
      </c>
    </row>
    <row r="1686">
      <c r="A1686" t="n">
        <v>1685</v>
      </c>
      <c r="B1686" t="inlineStr">
        <is>
          <t>Document Origin, Handling Charges Origin, Airfreight, PLACI fee and HAWB Transmission Fee</t>
        </is>
      </c>
      <c r="C1686" t="inlineStr">
        <is>
          <t>ឌីប៊ី សេនឃើរ (ខេមបូឌា) លីមីធីត</t>
        </is>
      </c>
      <c r="D1686" t="inlineStr">
        <is>
          <t>L001-107041723</t>
        </is>
      </c>
      <c r="E1686" t="inlineStr">
        <is>
          <t>2400008519</t>
        </is>
      </c>
      <c r="F1686" t="inlineStr">
        <is>
          <t>24-10-2024</t>
        </is>
      </c>
      <c r="G1686" t="n">
        <v>49963</v>
      </c>
      <c r="I1686">
        <f>G1686</f>
        <v/>
      </c>
      <c r="K1686">
        <f>I1686-G1686</f>
        <v/>
      </c>
      <c r="M1686">
        <f>R1686=E1686</f>
        <v/>
      </c>
      <c r="N1686">
        <f>AND(MONTH(F1686)=MONTH(Q1686), YEAR(F1686)=YEAR(Q1686))</f>
        <v/>
      </c>
      <c r="O1686">
        <f>"L001-902303751"=S1686</f>
        <v/>
      </c>
      <c r="P1686">
        <f>G1686-U1686</f>
        <v/>
      </c>
      <c r="Q1686" s="35" t="n">
        <v>45579</v>
      </c>
      <c r="R1686" t="inlineStr"/>
      <c r="S1686" t="inlineStr">
        <is>
          <t>K005-901805913</t>
        </is>
      </c>
      <c r="T1686" t="inlineStr">
        <is>
          <t>ស្តារ ខង់ខដ (ខេមបូឌា) ឯ.ក</t>
        </is>
      </c>
      <c r="U1686" t="n">
        <v>0</v>
      </c>
      <c r="V1686" t="n">
        <v>0</v>
      </c>
    </row>
    <row r="1687">
      <c r="A1687" t="n">
        <v>1686</v>
      </c>
      <c r="B1687" t="inlineStr">
        <is>
          <t>Stationery</t>
        </is>
      </c>
      <c r="C1687" t="inlineStr">
        <is>
          <t>ស៊ី &amp; ជី ត្រេឌីង ឯ.ក</t>
        </is>
      </c>
      <c r="D1687" t="inlineStr">
        <is>
          <t>K010-902205065</t>
        </is>
      </c>
      <c r="E1687" t="inlineStr">
        <is>
          <t>2024-0084</t>
        </is>
      </c>
      <c r="F1687" t="inlineStr">
        <is>
          <t>25-10-2024</t>
        </is>
      </c>
      <c r="G1687" t="n">
        <v>45426</v>
      </c>
      <c r="I1687">
        <f>G1687</f>
        <v/>
      </c>
      <c r="K1687">
        <f>I1687-G1687</f>
        <v/>
      </c>
      <c r="M1687">
        <f>R1687=E1687</f>
        <v/>
      </c>
      <c r="N1687">
        <f>AND(MONTH(F1687)=MONTH(Q1687), YEAR(F1687)=YEAR(Q1687))</f>
        <v/>
      </c>
      <c r="O1687">
        <f>"L001-902303751"=S1687</f>
        <v/>
      </c>
      <c r="P1687">
        <f>G1687-U1687</f>
        <v/>
      </c>
      <c r="Q1687" s="35" t="n">
        <v>45579</v>
      </c>
      <c r="R1687" t="inlineStr"/>
      <c r="S1687" t="inlineStr">
        <is>
          <t>L001-107032791</t>
        </is>
      </c>
      <c r="T1687" t="inlineStr">
        <is>
          <t>នីបផន អិចប្រេស (ខេមបូឌា) ខូ អិលធីឌី</t>
        </is>
      </c>
      <c r="U1687" t="n">
        <v>0</v>
      </c>
      <c r="V1687" t="n">
        <v>0</v>
      </c>
    </row>
    <row r="1688">
      <c r="A1688" t="n">
        <v>1687</v>
      </c>
      <c r="B1688" t="inlineStr">
        <is>
          <t>Cargo Terminal</t>
        </is>
      </c>
      <c r="C1688" t="inlineStr">
        <is>
          <t>សូស៊ីយេតេ កុងសេស្យូនែរ ដឺ ឡាអេរ៉ូព័រ</t>
        </is>
      </c>
      <c r="D1688" t="inlineStr">
        <is>
          <t>L001-100047300</t>
        </is>
      </c>
      <c r="E1688" t="inlineStr">
        <is>
          <t>2400085984</t>
        </is>
      </c>
      <c r="F1688" t="inlineStr">
        <is>
          <t>25-10-2024</t>
        </is>
      </c>
      <c r="G1688" t="n">
        <v>3769</v>
      </c>
      <c r="I1688">
        <f>G1688</f>
        <v/>
      </c>
      <c r="K1688">
        <f>I1688-G1688</f>
        <v/>
      </c>
      <c r="M1688">
        <f>R1688=E1688</f>
        <v/>
      </c>
      <c r="N1688">
        <f>AND(MONTH(F1688)=MONTH(Q1688), YEAR(F1688)=YEAR(Q1688))</f>
        <v/>
      </c>
      <c r="O1688">
        <f>"L001-902303751"=S1688</f>
        <v/>
      </c>
      <c r="P1688">
        <f>G1688-U1688</f>
        <v/>
      </c>
      <c r="Q1688" s="35" t="n">
        <v>45572</v>
      </c>
      <c r="R1688" t="inlineStr"/>
      <c r="S1688" t="inlineStr">
        <is>
          <t>L001-100045995</t>
        </is>
      </c>
      <c r="T1688" t="inlineStr">
        <is>
          <t>ឌីអេចអិល ឡូជីស្ទីក (ខេមបូឌា)</t>
        </is>
      </c>
      <c r="U1688" t="n">
        <v>0</v>
      </c>
      <c r="V1688" t="n">
        <v>0</v>
      </c>
    </row>
    <row r="1689">
      <c r="A1689" t="n">
        <v>1688</v>
      </c>
      <c r="B1689" t="inlineStr">
        <is>
          <t>Cargo Terminal</t>
        </is>
      </c>
      <c r="C1689" t="inlineStr">
        <is>
          <t>សូស៊ីយេតេ កុងសេស្យូនែរ ដឺ ឡាអេរ៉ូព័រ</t>
        </is>
      </c>
      <c r="D1689" t="inlineStr">
        <is>
          <t>L001-100047300</t>
        </is>
      </c>
      <c r="E1689" t="inlineStr">
        <is>
          <t>2400085983</t>
        </is>
      </c>
      <c r="F1689" t="inlineStr">
        <is>
          <t>25-10-2024</t>
        </is>
      </c>
      <c r="G1689" t="n">
        <v>812</v>
      </c>
      <c r="I1689">
        <f>G1689</f>
        <v/>
      </c>
      <c r="K1689">
        <f>I1689-G1689</f>
        <v/>
      </c>
      <c r="M1689">
        <f>R1689=E1689</f>
        <v/>
      </c>
      <c r="N1689">
        <f>AND(MONTH(F1689)=MONTH(Q1689), YEAR(F1689)=YEAR(Q1689))</f>
        <v/>
      </c>
      <c r="O1689">
        <f>"L001-902303751"=S1689</f>
        <v/>
      </c>
      <c r="P1689">
        <f>G1689-U1689</f>
        <v/>
      </c>
      <c r="Q1689" s="35" t="n">
        <v>45572</v>
      </c>
      <c r="R1689" t="n">
        <v>2524049</v>
      </c>
      <c r="S1689" t="inlineStr">
        <is>
          <t>K004-105012505</t>
        </is>
      </c>
      <c r="T1689" t="inlineStr">
        <is>
          <t>អេស៊ាន ហ្វ្រេត (ខេមបូឌា)</t>
        </is>
      </c>
      <c r="U1689" t="n">
        <v>2524049</v>
      </c>
      <c r="V1689" t="n">
        <v>0</v>
      </c>
    </row>
    <row r="1690">
      <c r="A1690" t="n">
        <v>1689</v>
      </c>
      <c r="B1690" t="inlineStr">
        <is>
          <t>Documentation Origin, Handling Charges Origin, PLACI fee and HAWB Transmission Fee</t>
        </is>
      </c>
      <c r="C1690" t="inlineStr">
        <is>
          <t>ឌីប៊ី សេនឃើរ (ខេមបូឌា) លីមីធីត</t>
        </is>
      </c>
      <c r="D1690" t="inlineStr">
        <is>
          <t>L001-107041723</t>
        </is>
      </c>
      <c r="E1690" t="inlineStr">
        <is>
          <t>2400008530</t>
        </is>
      </c>
      <c r="F1690" t="inlineStr">
        <is>
          <t>25-10-2024</t>
        </is>
      </c>
      <c r="G1690" t="n">
        <v>49950</v>
      </c>
      <c r="I1690">
        <f>G1690</f>
        <v/>
      </c>
      <c r="K1690">
        <f>I1690-G1690</f>
        <v/>
      </c>
      <c r="M1690">
        <f>R1690=E1690</f>
        <v/>
      </c>
      <c r="N1690">
        <f>AND(MONTH(F1690)=MONTH(Q1690), YEAR(F1690)=YEAR(Q1690))</f>
        <v/>
      </c>
      <c r="O1690">
        <f>"L001-902303751"=S1690</f>
        <v/>
      </c>
      <c r="P1690">
        <f>G1690-U1690</f>
        <v/>
      </c>
      <c r="Q1690" s="35" t="n">
        <v>45586</v>
      </c>
      <c r="R1690" t="inlineStr"/>
      <c r="S1690" t="inlineStr">
        <is>
          <t>K002-901635875</t>
        </is>
      </c>
      <c r="T1690" t="inlineStr">
        <is>
          <t>ដាត គ្លូប៊ល ឡូជីស្ទីក (ខេមបូឌា)</t>
        </is>
      </c>
      <c r="U1690" t="n">
        <v>0</v>
      </c>
      <c r="V1690" t="n">
        <v>0</v>
      </c>
    </row>
    <row r="1691">
      <c r="A1691" t="n">
        <v>1690</v>
      </c>
      <c r="B1691" t="inlineStr">
        <is>
          <t>Document Origin, Handling Charges Origin, Airfreight, PLACI fee and HAWB Transmission Fee</t>
        </is>
      </c>
      <c r="C1691" t="inlineStr">
        <is>
          <t>ឌីប៊ី សេនឃើរ (ខេមបូឌា) លីមីធីត</t>
        </is>
      </c>
      <c r="D1691" t="inlineStr">
        <is>
          <t>L001-107041723</t>
        </is>
      </c>
      <c r="E1691" t="inlineStr">
        <is>
          <t>2400008529</t>
        </is>
      </c>
      <c r="F1691" t="inlineStr">
        <is>
          <t>25-10-2024</t>
        </is>
      </c>
      <c r="G1691" t="n">
        <v>49950</v>
      </c>
      <c r="I1691">
        <f>G1691</f>
        <v/>
      </c>
      <c r="K1691">
        <f>I1691-G1691</f>
        <v/>
      </c>
      <c r="M1691">
        <f>R1691=E1691</f>
        <v/>
      </c>
      <c r="N1691">
        <f>AND(MONTH(F1691)=MONTH(Q1691), YEAR(F1691)=YEAR(Q1691))</f>
        <v/>
      </c>
      <c r="O1691">
        <f>"L001-902303751"=S1691</f>
        <v/>
      </c>
      <c r="P1691">
        <f>G1691-U1691</f>
        <v/>
      </c>
      <c r="Q1691" s="35" t="n">
        <v>45586</v>
      </c>
      <c r="R1691" t="inlineStr"/>
      <c r="S1691" t="inlineStr">
        <is>
          <t>L001-100045340</t>
        </is>
      </c>
      <c r="T1691" t="inlineStr">
        <is>
          <t xml:space="preserve">ស៊ីវ៉ា អ៊ែរ អ៊ែន អូសៀន (ខេមបូឌា) ឯ.ក </t>
        </is>
      </c>
      <c r="U1691" t="n">
        <v>0</v>
      </c>
      <c r="V1691" t="n">
        <v>0</v>
      </c>
    </row>
    <row r="1692">
      <c r="A1692" t="n">
        <v>1691</v>
      </c>
      <c r="B1692" t="inlineStr">
        <is>
          <t>Charge from Warehouse/cy to trucks</t>
        </is>
      </c>
      <c r="C1692" t="inlineStr">
        <is>
          <t>កំពង់ផែស្វយ័តក្រុងព្រះសីហនុ</t>
        </is>
      </c>
      <c r="D1692" t="inlineStr">
        <is>
          <t>L001-100044638</t>
        </is>
      </c>
      <c r="E1692" t="inlineStr">
        <is>
          <t>220795</t>
        </is>
      </c>
      <c r="F1692" t="inlineStr">
        <is>
          <t>25-10-2024</t>
        </is>
      </c>
      <c r="G1692" t="n">
        <v>620</v>
      </c>
      <c r="I1692">
        <f>G1692</f>
        <v/>
      </c>
      <c r="K1692">
        <f>I1692-G1692</f>
        <v/>
      </c>
      <c r="M1692">
        <f>R1692=E1692</f>
        <v/>
      </c>
      <c r="N1692">
        <f>AND(MONTH(F1692)=MONTH(Q1692), YEAR(F1692)=YEAR(Q1692))</f>
        <v/>
      </c>
      <c r="O1692">
        <f>"L001-902303751"=S1692</f>
        <v/>
      </c>
      <c r="P1692">
        <f>G1692-U1692</f>
        <v/>
      </c>
      <c r="Q1692" s="35" t="n">
        <v>45579</v>
      </c>
      <c r="R1692" t="inlineStr"/>
      <c r="S1692" t="inlineStr">
        <is>
          <t>L001-107032791</t>
        </is>
      </c>
      <c r="T1692" t="inlineStr">
        <is>
          <t>នីបផន អិចប្រេស (ខេមបូឌា) ខូ អិលធីឌី</t>
        </is>
      </c>
      <c r="U1692" t="n">
        <v>0</v>
      </c>
      <c r="V1692" t="n">
        <v>0</v>
      </c>
    </row>
    <row r="1693">
      <c r="A1693" t="n">
        <v>1692</v>
      </c>
      <c r="B1693" t="inlineStr">
        <is>
          <t>Stationery</t>
        </is>
      </c>
      <c r="C1693" t="inlineStr">
        <is>
          <t>ស៊ី &amp; ជី ត្រេឌីង ឯ.ក</t>
        </is>
      </c>
      <c r="D1693" t="inlineStr">
        <is>
          <t>K010-902205065</t>
        </is>
      </c>
      <c r="E1693" t="inlineStr">
        <is>
          <t>2024-0085</t>
        </is>
      </c>
      <c r="F1693" t="inlineStr">
        <is>
          <t>25-10-2024</t>
        </is>
      </c>
      <c r="G1693" t="n">
        <v>1105831</v>
      </c>
      <c r="I1693">
        <f>G1693</f>
        <v/>
      </c>
      <c r="K1693">
        <f>I1693-G1693</f>
        <v/>
      </c>
      <c r="M1693">
        <f>R1693=E1693</f>
        <v/>
      </c>
      <c r="N1693">
        <f>AND(MONTH(F1693)=MONTH(Q1693), YEAR(F1693)=YEAR(Q1693))</f>
        <v/>
      </c>
      <c r="O1693">
        <f>"L001-902303751"=S1693</f>
        <v/>
      </c>
      <c r="P1693">
        <f>G1693-U1693</f>
        <v/>
      </c>
      <c r="Q1693" s="35" t="n">
        <v>45579</v>
      </c>
      <c r="R1693" t="n">
        <v>111705</v>
      </c>
      <c r="S1693" t="inlineStr">
        <is>
          <t>L001-107032791</t>
        </is>
      </c>
      <c r="T1693" t="inlineStr">
        <is>
          <t>នីបផន អិចប្រេស (ខេមបូឌា) ខូ អិលធីឌី</t>
        </is>
      </c>
      <c r="U1693" t="n">
        <v>111705</v>
      </c>
      <c r="V1693" t="n">
        <v>0</v>
      </c>
    </row>
    <row r="1694">
      <c r="A1694" t="n">
        <v>1693</v>
      </c>
      <c r="B1694" t="inlineStr">
        <is>
          <t>Monthly Tax Service for September 2024</t>
        </is>
      </c>
      <c r="C1694" t="inlineStr">
        <is>
          <t>ខេឌី ខនសាល់ធេន ឯ.ក</t>
        </is>
      </c>
      <c r="D1694" t="inlineStr">
        <is>
          <t>K005-901704277</t>
        </is>
      </c>
      <c r="E1694" t="inlineStr">
        <is>
          <t>20240001328</t>
        </is>
      </c>
      <c r="F1694" t="inlineStr">
        <is>
          <t>25-10-2024</t>
        </is>
      </c>
      <c r="G1694" t="n">
        <v>101525</v>
      </c>
      <c r="I1694">
        <f>G1694</f>
        <v/>
      </c>
      <c r="K1694">
        <f>I1694-G1694</f>
        <v/>
      </c>
      <c r="M1694">
        <f>R1694=E1694</f>
        <v/>
      </c>
      <c r="N1694">
        <f>AND(MONTH(F1694)=MONTH(Q1694), YEAR(F1694)=YEAR(Q1694))</f>
        <v/>
      </c>
      <c r="O1694">
        <f>"L001-902303751"=S1694</f>
        <v/>
      </c>
      <c r="P1694">
        <f>G1694-U1694</f>
        <v/>
      </c>
      <c r="Q1694" s="35" t="n">
        <v>45591</v>
      </c>
      <c r="R1694" t="n">
        <v>126297</v>
      </c>
      <c r="S1694" t="inlineStr">
        <is>
          <t>L001-100045340</t>
        </is>
      </c>
      <c r="T1694" t="inlineStr">
        <is>
          <t xml:space="preserve">ស៊ីវ៉ា អ៊ែរ អ៊ែន អូសៀន (ខេមបូឌា) ឯ.ក </t>
        </is>
      </c>
      <c r="U1694" t="n">
        <v>126297</v>
      </c>
      <c r="V1694" t="n">
        <v>0</v>
      </c>
    </row>
    <row r="1695">
      <c r="A1695" t="n">
        <v>1694</v>
      </c>
      <c r="B1695" t="inlineStr">
        <is>
          <t>CFS Handling, Carrier BL, Document Assembly, Terminal Handling, Handling Fee, VGM Weighting Fee-CFS and Fuel Surcharge</t>
        </is>
      </c>
      <c r="C1695" t="inlineStr">
        <is>
          <t>អ៊ិចស្ពែឌីធ័រ ខេមបូឌា អិលធីឌី</t>
        </is>
      </c>
      <c r="D1695" t="inlineStr">
        <is>
          <t>L001-100045898</t>
        </is>
      </c>
      <c r="E1695" t="inlineStr">
        <is>
          <t>TI-0294143</t>
        </is>
      </c>
      <c r="F1695" t="inlineStr">
        <is>
          <t>24-10-2024</t>
        </is>
      </c>
      <c r="G1695" t="n">
        <v>103341</v>
      </c>
      <c r="I1695">
        <f>G1695</f>
        <v/>
      </c>
      <c r="K1695">
        <f>I1695-G1695</f>
        <v/>
      </c>
      <c r="M1695">
        <f>R1695=E1695</f>
        <v/>
      </c>
      <c r="N1695">
        <f>AND(MONTH(F1695)=MONTH(Q1695), YEAR(F1695)=YEAR(Q1695))</f>
        <v/>
      </c>
      <c r="O1695">
        <f>"L001-902303751"=S1695</f>
        <v/>
      </c>
      <c r="P1695">
        <f>G1695-U1695</f>
        <v/>
      </c>
      <c r="Q1695" s="35" t="n">
        <v>45593</v>
      </c>
      <c r="R1695" t="n">
        <v>111678</v>
      </c>
      <c r="S1695" t="inlineStr">
        <is>
          <t>L001-107032791</t>
        </is>
      </c>
      <c r="T1695" t="inlineStr">
        <is>
          <t>នីបផន អិចប្រេស (ខេមបូឌា) ខូ អិលធីឌី</t>
        </is>
      </c>
      <c r="U1695" t="n">
        <v>111678</v>
      </c>
      <c r="V1695" t="n">
        <v>0</v>
      </c>
    </row>
    <row r="1696">
      <c r="A1696" t="n">
        <v>1695</v>
      </c>
      <c r="B1696" t="inlineStr">
        <is>
          <t>PVC Thin Film</t>
        </is>
      </c>
      <c r="C1696" t="inlineStr">
        <is>
          <t>ដឹ សាយ អេឡិកត្រូមេឃែនីខល អេនជីនារីង ឯ.ក</t>
        </is>
      </c>
      <c r="D1696" t="inlineStr">
        <is>
          <t>K009-902303599</t>
        </is>
      </c>
      <c r="E1696" t="inlineStr">
        <is>
          <t>00024</t>
        </is>
      </c>
      <c r="F1696" t="inlineStr">
        <is>
          <t>25-10-2024</t>
        </is>
      </c>
      <c r="G1696" t="n">
        <v>89342</v>
      </c>
      <c r="I1696">
        <f>G1696</f>
        <v/>
      </c>
      <c r="K1696">
        <f>I1696-G1696</f>
        <v/>
      </c>
      <c r="M1696">
        <f>R1696=E1696</f>
        <v/>
      </c>
      <c r="N1696">
        <f>AND(MONTH(F1696)=MONTH(Q1696), YEAR(F1696)=YEAR(Q1696))</f>
        <v/>
      </c>
      <c r="O1696">
        <f>"L001-902303751"=S1696</f>
        <v/>
      </c>
      <c r="P1696">
        <f>G1696-U1696</f>
        <v/>
      </c>
      <c r="Q1696" s="35" t="n">
        <v>45586</v>
      </c>
      <c r="R1696" t="inlineStr"/>
      <c r="S1696" t="inlineStr">
        <is>
          <t>L001-107032791</t>
        </is>
      </c>
      <c r="T1696" t="inlineStr">
        <is>
          <t>នីបផន អិចប្រេស (ខេមបូឌា) ខូ អិលធីឌី</t>
        </is>
      </c>
      <c r="U1696" t="n">
        <v>0</v>
      </c>
      <c r="V1696" t="n">
        <v>0</v>
      </c>
    </row>
    <row r="1697">
      <c r="A1697" t="n">
        <v>1696</v>
      </c>
      <c r="B1697" t="inlineStr">
        <is>
          <t>Hardware</t>
        </is>
      </c>
      <c r="C1697" t="inlineStr">
        <is>
          <t>ភ្នំពេញ ថប វើលដ៍ ខនស្ត្រាក់សិន &amp; អេនជីនារីង ឯ.ក</t>
        </is>
      </c>
      <c r="D1697" t="inlineStr">
        <is>
          <t>K005-901638261</t>
        </is>
      </c>
      <c r="E1697" t="inlineStr">
        <is>
          <t>000028</t>
        </is>
      </c>
      <c r="F1697" t="inlineStr">
        <is>
          <t>25-10-2024</t>
        </is>
      </c>
      <c r="G1697" t="n">
        <v>1199564</v>
      </c>
      <c r="I1697">
        <f>G1697</f>
        <v/>
      </c>
      <c r="K1697">
        <f>I1697-G1697</f>
        <v/>
      </c>
      <c r="M1697">
        <f>R1697=E1697</f>
        <v/>
      </c>
      <c r="N1697">
        <f>AND(MONTH(F1697)=MONTH(Q1697), YEAR(F1697)=YEAR(Q1697))</f>
        <v/>
      </c>
      <c r="O1697">
        <f>"L001-902303751"=S1697</f>
        <v/>
      </c>
      <c r="P1697">
        <f>G1697-U1697</f>
        <v/>
      </c>
      <c r="Q1697" s="35" t="n">
        <v>45586</v>
      </c>
      <c r="R1697" t="n">
        <v>111705</v>
      </c>
      <c r="S1697" t="inlineStr">
        <is>
          <t>L001-107041723</t>
        </is>
      </c>
      <c r="T1697" t="inlineStr">
        <is>
          <t>ឌីប៊ី សេនឃើរ (ខេមបូឌា) លីមីធីត</t>
        </is>
      </c>
      <c r="U1697" t="n">
        <v>111705</v>
      </c>
      <c r="V1697" t="n">
        <v>0</v>
      </c>
    </row>
    <row r="1698">
      <c r="A1698" t="n">
        <v>1697</v>
      </c>
      <c r="B1698" t="inlineStr">
        <is>
          <t>OM Forwarding Fee, Terminal Handling, Carrier BL, Document Assembly, Handling Fee, VGM Admin Fee, Container Seal and Manifest Fee</t>
        </is>
      </c>
      <c r="C1698" t="inlineStr">
        <is>
          <t>អ៊ិចស្ពែឌីធ័រ ខេមបូឌា អិលធីឌី</t>
        </is>
      </c>
      <c r="D1698" t="inlineStr">
        <is>
          <t>L001-100045898</t>
        </is>
      </c>
      <c r="E1698" t="inlineStr">
        <is>
          <t>TI-0294145</t>
        </is>
      </c>
      <c r="F1698" t="inlineStr">
        <is>
          <t>24-10-2024</t>
        </is>
      </c>
      <c r="G1698" t="n">
        <v>191320</v>
      </c>
      <c r="I1698">
        <f>G1698</f>
        <v/>
      </c>
      <c r="K1698">
        <f>I1698-G1698</f>
        <v/>
      </c>
      <c r="M1698">
        <f>R1698=E1698</f>
        <v/>
      </c>
      <c r="N1698">
        <f>AND(MONTH(F1698)=MONTH(Q1698), YEAR(F1698)=YEAR(Q1698))</f>
        <v/>
      </c>
      <c r="O1698">
        <f>"L001-902303751"=S1698</f>
        <v/>
      </c>
      <c r="P1698">
        <f>G1698-U1698</f>
        <v/>
      </c>
      <c r="Q1698" s="35" t="n">
        <v>45586</v>
      </c>
      <c r="R1698" t="inlineStr"/>
      <c r="S1698" t="inlineStr">
        <is>
          <t>L001-107032791</t>
        </is>
      </c>
      <c r="T1698" t="inlineStr">
        <is>
          <t>នីបផន អិចប្រេស (ខេមបូឌា) ខូ អិលធីឌី</t>
        </is>
      </c>
      <c r="U1698" t="n">
        <v>0</v>
      </c>
      <c r="V1698" t="n">
        <v>0</v>
      </c>
    </row>
    <row r="1699">
      <c r="A1699" t="n">
        <v>1698</v>
      </c>
      <c r="B1699" t="inlineStr">
        <is>
          <t>CFS Handling, Carrier BL, Document Assembly, Terminal Handling, Handling Fee, VGM Processing Fee and Nanifest fee</t>
        </is>
      </c>
      <c r="C1699" t="inlineStr">
        <is>
          <t>អ៊ិចស្ពែឌីធ័រ ខេមបូឌា អិលធីឌី</t>
        </is>
      </c>
      <c r="D1699" t="inlineStr">
        <is>
          <t>L001-100045898</t>
        </is>
      </c>
      <c r="E1699" t="inlineStr">
        <is>
          <t>TI-0294144</t>
        </is>
      </c>
      <c r="F1699" t="inlineStr">
        <is>
          <t>24-10-2024</t>
        </is>
      </c>
      <c r="G1699" t="n">
        <v>83677</v>
      </c>
      <c r="I1699">
        <f>G1699</f>
        <v/>
      </c>
      <c r="K1699">
        <f>I1699-G1699</f>
        <v/>
      </c>
      <c r="M1699">
        <f>R1699=E1699</f>
        <v/>
      </c>
      <c r="N1699">
        <f>AND(MONTH(F1699)=MONTH(Q1699), YEAR(F1699)=YEAR(Q1699))</f>
        <v/>
      </c>
      <c r="O1699">
        <f>"L001-902303751"=S1699</f>
        <v/>
      </c>
      <c r="P1699">
        <f>G1699-U1699</f>
        <v/>
      </c>
      <c r="Q1699" s="35" t="n">
        <v>45572</v>
      </c>
      <c r="R1699" t="n">
        <v>83148</v>
      </c>
      <c r="S1699" t="inlineStr">
        <is>
          <t>L001-100045995</t>
        </is>
      </c>
      <c r="T1699" t="inlineStr">
        <is>
          <t>ឌីអេចអិល ឡូជីស្ទីក (ខេមបូឌា)</t>
        </is>
      </c>
      <c r="U1699" t="n">
        <v>83148</v>
      </c>
      <c r="V1699" t="n">
        <v>0</v>
      </c>
    </row>
    <row r="1700">
      <c r="A1700" t="n">
        <v>1699</v>
      </c>
      <c r="B1700" t="inlineStr">
        <is>
          <t>HAWB Freight, OM Forwarding Fee, H/C and AWB Fee</t>
        </is>
      </c>
      <c r="C1700" t="inlineStr">
        <is>
          <t>អ៊ិចស្ពែឌីធ័រ ខេមបូឌា អិលធីឌី</t>
        </is>
      </c>
      <c r="D1700" t="inlineStr">
        <is>
          <t>L001-100045898</t>
        </is>
      </c>
      <c r="E1700" t="inlineStr">
        <is>
          <t>TI-0294081</t>
        </is>
      </c>
      <c r="F1700" t="inlineStr">
        <is>
          <t>23-10-2024</t>
        </is>
      </c>
      <c r="G1700" t="n">
        <v>46713</v>
      </c>
      <c r="I1700">
        <f>G1700</f>
        <v/>
      </c>
      <c r="K1700">
        <f>I1700-G1700</f>
        <v/>
      </c>
      <c r="M1700">
        <f>R1700=E1700</f>
        <v/>
      </c>
      <c r="N1700">
        <f>AND(MONTH(F1700)=MONTH(Q1700), YEAR(F1700)=YEAR(Q1700))</f>
        <v/>
      </c>
      <c r="O1700">
        <f>"L001-902303751"=S1700</f>
        <v/>
      </c>
      <c r="P1700">
        <f>G1700-U1700</f>
        <v/>
      </c>
      <c r="Q1700" s="35" t="n">
        <v>45572</v>
      </c>
      <c r="R1700" t="inlineStr"/>
      <c r="S1700" t="inlineStr">
        <is>
          <t>L001-100045995</t>
        </is>
      </c>
      <c r="T1700" t="inlineStr">
        <is>
          <t>ឌីអេចអិល ឡូជីស្ទីក (ខេមបូឌា)</t>
        </is>
      </c>
      <c r="U1700" t="n">
        <v>0</v>
      </c>
      <c r="V1700" t="n">
        <v>0</v>
      </c>
    </row>
    <row r="1701">
      <c r="A1701" t="n">
        <v>1700</v>
      </c>
      <c r="B1701" t="inlineStr">
        <is>
          <t>Export Adminstration Fee and Custom Processing Fee</t>
        </is>
      </c>
      <c r="C1701" t="inlineStr">
        <is>
          <t>ជី លីង អិចប្រេស ឡូជីស្ទីក (ខេមបូឌា) លីមីធីត</t>
        </is>
      </c>
      <c r="D1701" t="inlineStr">
        <is>
          <t>L001-100044956</t>
        </is>
      </c>
      <c r="E1701" t="inlineStr">
        <is>
          <t>24159066</t>
        </is>
      </c>
      <c r="F1701" t="inlineStr">
        <is>
          <t>23-10-2024</t>
        </is>
      </c>
      <c r="G1701" t="n">
        <v>64992</v>
      </c>
      <c r="I1701">
        <f>G1701</f>
        <v/>
      </c>
      <c r="K1701">
        <f>I1701-G1701</f>
        <v/>
      </c>
      <c r="M1701">
        <f>R1701=E1701</f>
        <v/>
      </c>
      <c r="N1701">
        <f>AND(MONTH(F1701)=MONTH(Q1701), YEAR(F1701)=YEAR(Q1701))</f>
        <v/>
      </c>
      <c r="O1701">
        <f>"L001-902303751"=S1701</f>
        <v/>
      </c>
      <c r="P1701">
        <f>G1701-U1701</f>
        <v/>
      </c>
      <c r="Q1701" s="35" t="n">
        <v>45572</v>
      </c>
      <c r="R1701" t="inlineStr"/>
      <c r="S1701" t="inlineStr">
        <is>
          <t>K005-901805913</t>
        </is>
      </c>
      <c r="T1701" t="inlineStr">
        <is>
          <t>ស្តារ ខង់ខដ (ខេមបូឌា) ឯ.ក</t>
        </is>
      </c>
      <c r="U1701" t="n">
        <v>0</v>
      </c>
      <c r="V1701" t="n">
        <v>0</v>
      </c>
    </row>
    <row r="1702">
      <c r="A1702" t="n">
        <v>1701</v>
      </c>
      <c r="B1702" t="inlineStr">
        <is>
          <t>Fabric</t>
        </is>
      </c>
      <c r="C1702" t="inlineStr">
        <is>
          <t>សូស៊ីយេតេ កុងសេស្យូនែរ ដឺ ឡាអេរ៉ូព័រ</t>
        </is>
      </c>
      <c r="D1702" t="inlineStr">
        <is>
          <t>L001-100047300</t>
        </is>
      </c>
      <c r="E1702" t="inlineStr">
        <is>
          <t>2400085553</t>
        </is>
      </c>
      <c r="F1702" t="inlineStr">
        <is>
          <t>23-10-2024</t>
        </is>
      </c>
      <c r="G1702" t="n">
        <v>22585</v>
      </c>
      <c r="I1702">
        <f>G1702</f>
        <v/>
      </c>
      <c r="K1702">
        <f>I1702-G1702</f>
        <v/>
      </c>
      <c r="M1702">
        <f>R1702=E1702</f>
        <v/>
      </c>
      <c r="N1702">
        <f>AND(MONTH(F1702)=MONTH(Q1702), YEAR(F1702)=YEAR(Q1702))</f>
        <v/>
      </c>
      <c r="O1702">
        <f>"L001-902303751"=S1702</f>
        <v/>
      </c>
      <c r="P1702">
        <f>G1702-U1702</f>
        <v/>
      </c>
      <c r="Q1702" s="35" t="n">
        <v>45579</v>
      </c>
      <c r="R1702" t="n">
        <v>83271</v>
      </c>
      <c r="S1702" t="inlineStr">
        <is>
          <t>L001-107032791</t>
        </is>
      </c>
      <c r="T1702" t="inlineStr">
        <is>
          <t>នីបផន អិចប្រេស (ខេមបូឌា) ខូ អិលធីឌី</t>
        </is>
      </c>
      <c r="U1702" t="n">
        <v>83271</v>
      </c>
      <c r="V1702" t="n">
        <v>0</v>
      </c>
    </row>
    <row r="1703">
      <c r="A1703" t="n">
        <v>1702</v>
      </c>
      <c r="B1703" t="inlineStr">
        <is>
          <t>Cargo Terminal</t>
        </is>
      </c>
      <c r="C1703" t="inlineStr">
        <is>
          <t>សូស៊ីយេតេ កុងសេស្យូនែរ ដឺ ឡាអេរ៉ូព័រ</t>
        </is>
      </c>
      <c r="D1703" t="inlineStr">
        <is>
          <t>L001-100047300</t>
        </is>
      </c>
      <c r="E1703" t="inlineStr">
        <is>
          <t>2400085552</t>
        </is>
      </c>
      <c r="F1703" t="inlineStr">
        <is>
          <t>23-10-2024</t>
        </is>
      </c>
      <c r="G1703" t="n">
        <v>1171</v>
      </c>
      <c r="I1703">
        <f>G1703</f>
        <v/>
      </c>
      <c r="K1703">
        <f>I1703-G1703</f>
        <v/>
      </c>
      <c r="M1703">
        <f>R1703=E1703</f>
        <v/>
      </c>
      <c r="N1703">
        <f>AND(MONTH(F1703)=MONTH(Q1703), YEAR(F1703)=YEAR(Q1703))</f>
        <v/>
      </c>
      <c r="O1703">
        <f>"L001-902303751"=S1703</f>
        <v/>
      </c>
      <c r="P1703">
        <f>G1703-U1703</f>
        <v/>
      </c>
      <c r="Q1703" s="35" t="n">
        <v>45590</v>
      </c>
      <c r="R1703" t="n">
        <v>92591</v>
      </c>
      <c r="S1703" t="inlineStr">
        <is>
          <t>L001-103007369</t>
        </is>
      </c>
      <c r="T1703" t="inlineStr">
        <is>
          <t>អូរៀនថល ឡូជីស្ទីក &amp; ឌីស្ទ្រីប៊្យូសិន (ខេមបូឌា)</t>
        </is>
      </c>
      <c r="U1703" t="n">
        <v>92591</v>
      </c>
      <c r="V1703" t="n">
        <v>0</v>
      </c>
    </row>
    <row r="1704">
      <c r="A1704" t="n">
        <v>1703</v>
      </c>
      <c r="B1704" t="inlineStr">
        <is>
          <t>Cargo Terminal</t>
        </is>
      </c>
      <c r="C1704" t="inlineStr">
        <is>
          <t>សូស៊ីយេតេ កុងសេស្យូនែរ ដឺ ឡាអេរ៉ូព័រ</t>
        </is>
      </c>
      <c r="D1704" t="inlineStr">
        <is>
          <t>L001-100047300</t>
        </is>
      </c>
      <c r="E1704" t="inlineStr">
        <is>
          <t>2400085550</t>
        </is>
      </c>
      <c r="F1704" t="inlineStr">
        <is>
          <t>23-10-2024</t>
        </is>
      </c>
      <c r="G1704" t="n">
        <v>6758</v>
      </c>
      <c r="I1704">
        <f>G1704</f>
        <v/>
      </c>
      <c r="K1704">
        <f>I1704-G1704</f>
        <v/>
      </c>
      <c r="M1704">
        <f>R1704=E1704</f>
        <v/>
      </c>
      <c r="N1704">
        <f>AND(MONTH(F1704)=MONTH(Q1704), YEAR(F1704)=YEAR(Q1704))</f>
        <v/>
      </c>
      <c r="O1704">
        <f>"L001-902303751"=S1704</f>
        <v/>
      </c>
      <c r="P1704">
        <f>G1704-U1704</f>
        <v/>
      </c>
      <c r="Q1704" s="35" t="n">
        <v>45590</v>
      </c>
      <c r="R1704" t="n">
        <v>1274748</v>
      </c>
      <c r="S1704" t="inlineStr">
        <is>
          <t>K004-105012505</t>
        </is>
      </c>
      <c r="T1704" t="inlineStr">
        <is>
          <t>អេស៊ាន ហ្វ្រេត (ខេមបូឌា)</t>
        </is>
      </c>
      <c r="U1704" t="n">
        <v>1274748</v>
      </c>
      <c r="V1704" t="n">
        <v>0</v>
      </c>
    </row>
    <row r="1705">
      <c r="A1705" t="n">
        <v>1704</v>
      </c>
      <c r="B1705" t="inlineStr">
        <is>
          <t>Charge from Warehouse/cy to trucks</t>
        </is>
      </c>
      <c r="C1705" t="inlineStr">
        <is>
          <t>កំពង់ផែស្វយ័តក្រុងព្រះសីហនុ</t>
        </is>
      </c>
      <c r="D1705" t="inlineStr">
        <is>
          <t>L001-100044638</t>
        </is>
      </c>
      <c r="E1705" t="inlineStr">
        <is>
          <t>219030</t>
        </is>
      </c>
      <c r="F1705" t="inlineStr">
        <is>
          <t>23-10-2024</t>
        </is>
      </c>
      <c r="G1705" t="n">
        <v>620</v>
      </c>
      <c r="I1705">
        <f>G1705</f>
        <v/>
      </c>
      <c r="K1705">
        <f>I1705-G1705</f>
        <v/>
      </c>
      <c r="M1705">
        <f>R1705=E1705</f>
        <v/>
      </c>
      <c r="N1705">
        <f>AND(MONTH(F1705)=MONTH(Q1705), YEAR(F1705)=YEAR(Q1705))</f>
        <v/>
      </c>
      <c r="O1705">
        <f>"L001-902303751"=S1705</f>
        <v/>
      </c>
      <c r="P1705">
        <f>G1705-U1705</f>
        <v/>
      </c>
      <c r="Q1705" s="35" t="n">
        <v>45586</v>
      </c>
      <c r="R1705" t="inlineStr"/>
      <c r="S1705" t="inlineStr">
        <is>
          <t>K005-901805913</t>
        </is>
      </c>
      <c r="T1705" t="inlineStr">
        <is>
          <t>ស្តារ ខង់ខដ (ខេមបូឌា) ឯ.ក</t>
        </is>
      </c>
      <c r="U1705" t="n">
        <v>0</v>
      </c>
      <c r="V1705" t="n">
        <v>0</v>
      </c>
    </row>
    <row r="1706">
      <c r="A1706" t="n">
        <v>1705</v>
      </c>
      <c r="B1706" t="inlineStr">
        <is>
          <t>Customs Clearance Fee</t>
        </is>
      </c>
      <c r="C1706" t="inlineStr">
        <is>
          <t>ត្រាយអ៊ែងហ្គល ឡូជីស្ទីក (ខេមបូឌា) ឯ.ក</t>
        </is>
      </c>
      <c r="D1706" t="inlineStr">
        <is>
          <t>K010-902101743</t>
        </is>
      </c>
      <c r="E1706" t="inlineStr">
        <is>
          <t>TAG-24-00772</t>
        </is>
      </c>
      <c r="F1706" t="inlineStr">
        <is>
          <t>23-10-2024</t>
        </is>
      </c>
      <c r="G1706" t="n">
        <v>8124</v>
      </c>
      <c r="I1706">
        <f>G1706</f>
        <v/>
      </c>
      <c r="K1706">
        <f>I1706-G1706</f>
        <v/>
      </c>
      <c r="M1706">
        <f>R1706=E1706</f>
        <v/>
      </c>
      <c r="N1706">
        <f>AND(MONTH(F1706)=MONTH(Q1706), YEAR(F1706)=YEAR(Q1706))</f>
        <v/>
      </c>
      <c r="O1706">
        <f>"L001-902303751"=S1706</f>
        <v/>
      </c>
      <c r="P1706">
        <f>G1706-U1706</f>
        <v/>
      </c>
      <c r="Q1706" s="35" t="n">
        <v>45579</v>
      </c>
      <c r="R1706" t="n">
        <v>172635</v>
      </c>
      <c r="S1706" t="inlineStr">
        <is>
          <t>L001-107032791</t>
        </is>
      </c>
      <c r="T1706" t="inlineStr">
        <is>
          <t>នីបផន អិចប្រេស (ខេមបូឌា) ខូ អិលធីឌី</t>
        </is>
      </c>
      <c r="U1706" t="n">
        <v>172635</v>
      </c>
      <c r="V1706" t="n">
        <v>0</v>
      </c>
    </row>
    <row r="1707">
      <c r="A1707" t="n">
        <v>1706</v>
      </c>
      <c r="B1707" t="inlineStr">
        <is>
          <t>Customs Clearance Fee</t>
        </is>
      </c>
      <c r="C1707" t="inlineStr">
        <is>
          <t>ត្រាយអ៊ែងហ្គល ឡូជីស្ទីក (ខេមបូឌា) ឯ.ក</t>
        </is>
      </c>
      <c r="D1707" t="inlineStr">
        <is>
          <t>K010-902101743</t>
        </is>
      </c>
      <c r="E1707" t="inlineStr">
        <is>
          <t>TAG-24-00758</t>
        </is>
      </c>
      <c r="F1707" t="inlineStr">
        <is>
          <t>23-10-2024</t>
        </is>
      </c>
      <c r="G1707" t="n">
        <v>8124</v>
      </c>
      <c r="I1707">
        <f>G1707</f>
        <v/>
      </c>
      <c r="K1707">
        <f>I1707-G1707</f>
        <v/>
      </c>
      <c r="M1707">
        <f>R1707=E1707</f>
        <v/>
      </c>
      <c r="N1707">
        <f>AND(MONTH(F1707)=MONTH(Q1707), YEAR(F1707)=YEAR(Q1707))</f>
        <v/>
      </c>
      <c r="O1707">
        <f>"L001-902303751"=S1707</f>
        <v/>
      </c>
      <c r="P1707">
        <f>G1707-U1707</f>
        <v/>
      </c>
      <c r="Q1707" s="35" t="n">
        <v>45574</v>
      </c>
      <c r="R1707" t="inlineStr"/>
      <c r="S1707" t="inlineStr">
        <is>
          <t>L001-107032791</t>
        </is>
      </c>
      <c r="T1707" t="inlineStr">
        <is>
          <t>នីបផន អិចប្រេស (ខេមបូឌា) ខូ អិលធីឌី</t>
        </is>
      </c>
      <c r="U1707" t="n">
        <v>0</v>
      </c>
      <c r="V1707" t="n">
        <v>0</v>
      </c>
    </row>
    <row r="1708">
      <c r="A1708" t="n">
        <v>1707</v>
      </c>
      <c r="B1708" t="inlineStr">
        <is>
          <t>Customs Clearance Fee and Trucking Fee</t>
        </is>
      </c>
      <c r="C1708" t="inlineStr">
        <is>
          <t>ត្រាយអ៊ែងហ្គល ឡូជីស្ទីក (ខេមបូឌា) ឯ.ក</t>
        </is>
      </c>
      <c r="D1708" t="inlineStr">
        <is>
          <t>K010-902101743</t>
        </is>
      </c>
      <c r="E1708" t="inlineStr">
        <is>
          <t>TAG-24-00771</t>
        </is>
      </c>
      <c r="F1708" t="inlineStr">
        <is>
          <t>23-10-2024</t>
        </is>
      </c>
      <c r="G1708" t="n">
        <v>8124</v>
      </c>
      <c r="I1708">
        <f>G1708</f>
        <v/>
      </c>
      <c r="K1708">
        <f>I1708-G1708</f>
        <v/>
      </c>
      <c r="M1708">
        <f>R1708=E1708</f>
        <v/>
      </c>
      <c r="N1708">
        <f>AND(MONTH(F1708)=MONTH(Q1708), YEAR(F1708)=YEAR(Q1708))</f>
        <v/>
      </c>
      <c r="O1708">
        <f>"L001-902303751"=S1708</f>
        <v/>
      </c>
      <c r="P1708">
        <f>G1708-U1708</f>
        <v/>
      </c>
      <c r="Q1708" s="35" t="n">
        <v>45586</v>
      </c>
      <c r="R1708" t="n">
        <v>83271</v>
      </c>
      <c r="S1708" t="inlineStr">
        <is>
          <t>L001-107032791</t>
        </is>
      </c>
      <c r="T1708" t="inlineStr">
        <is>
          <t>នីបផន អិចប្រេស (ខេមបូឌា) ខូ អិលធីឌី</t>
        </is>
      </c>
      <c r="U1708" t="n">
        <v>83271</v>
      </c>
      <c r="V1708" t="n">
        <v>0</v>
      </c>
    </row>
    <row r="1709">
      <c r="A1709" t="n">
        <v>1708</v>
      </c>
      <c r="B1709" t="inlineStr">
        <is>
          <t>Customs Clearance Fee</t>
        </is>
      </c>
      <c r="C1709" t="inlineStr">
        <is>
          <t>ត្រាយអ៊ែងហ្គល ឡូជីស្ទីក (ខេមបូឌា) ឯ.ក</t>
        </is>
      </c>
      <c r="D1709" t="inlineStr">
        <is>
          <t>K010-902101743</t>
        </is>
      </c>
      <c r="E1709" t="inlineStr">
        <is>
          <t>TAG-24-00770</t>
        </is>
      </c>
      <c r="F1709" t="inlineStr">
        <is>
          <t>23-10-2024</t>
        </is>
      </c>
      <c r="G1709" t="n">
        <v>8124</v>
      </c>
      <c r="I1709">
        <f>G1709</f>
        <v/>
      </c>
      <c r="K1709">
        <f>I1709-G1709</f>
        <v/>
      </c>
      <c r="M1709">
        <f>R1709=E1709</f>
        <v/>
      </c>
      <c r="N1709">
        <f>AND(MONTH(F1709)=MONTH(Q1709), YEAR(F1709)=YEAR(Q1709))</f>
        <v/>
      </c>
      <c r="O1709">
        <f>"L001-902303751"=S1709</f>
        <v/>
      </c>
      <c r="P1709">
        <f>G1709-U1709</f>
        <v/>
      </c>
      <c r="Q1709" s="35" t="n">
        <v>45579</v>
      </c>
      <c r="R1709" t="n">
        <v>83271</v>
      </c>
      <c r="S1709" t="inlineStr">
        <is>
          <t>L001-100045995</t>
        </is>
      </c>
      <c r="T1709" t="inlineStr">
        <is>
          <t>ឌីអេចអិល ឡូជីស្ទីក (ខេមបូឌា)</t>
        </is>
      </c>
      <c r="U1709" t="n">
        <v>83271</v>
      </c>
      <c r="V1709" t="n">
        <v>0</v>
      </c>
    </row>
    <row r="1710">
      <c r="A1710" t="n">
        <v>1709</v>
      </c>
      <c r="B1710" t="inlineStr">
        <is>
          <t>Customs Clearance Fee</t>
        </is>
      </c>
      <c r="C1710" t="inlineStr">
        <is>
          <t>ត្រាយអ៊ែងហ្គល ឡូជីស្ទីក (ខេមបូឌា) ឯ.ក</t>
        </is>
      </c>
      <c r="D1710" t="inlineStr">
        <is>
          <t>K010-902101743</t>
        </is>
      </c>
      <c r="E1710" t="inlineStr">
        <is>
          <t>TAG-24-00769</t>
        </is>
      </c>
      <c r="F1710" t="inlineStr">
        <is>
          <t>23-10-2024</t>
        </is>
      </c>
      <c r="G1710" t="n">
        <v>8124</v>
      </c>
      <c r="I1710">
        <f>G1710</f>
        <v/>
      </c>
      <c r="K1710">
        <f>I1710-G1710</f>
        <v/>
      </c>
      <c r="M1710">
        <f>R1710=E1710</f>
        <v/>
      </c>
      <c r="N1710">
        <f>AND(MONTH(F1710)=MONTH(Q1710), YEAR(F1710)=YEAR(Q1710))</f>
        <v/>
      </c>
      <c r="O1710">
        <f>"L001-902303751"=S1710</f>
        <v/>
      </c>
      <c r="P1710">
        <f>G1710-U1710</f>
        <v/>
      </c>
      <c r="Q1710" s="35" t="n">
        <v>45579</v>
      </c>
      <c r="R1710" t="n">
        <v>85708</v>
      </c>
      <c r="S1710" t="inlineStr">
        <is>
          <t>L001-100045340</t>
        </is>
      </c>
      <c r="T1710" t="inlineStr">
        <is>
          <t xml:space="preserve">ស៊ីវ៉ា អ៊ែរ អ៊ែន អូសៀន (ខេមបូឌា) ឯ.ក </t>
        </is>
      </c>
      <c r="U1710" t="n">
        <v>85708</v>
      </c>
      <c r="V1710" t="n">
        <v>0</v>
      </c>
    </row>
    <row r="1711">
      <c r="A1711" t="n">
        <v>1710</v>
      </c>
      <c r="B1711" t="inlineStr">
        <is>
          <t>Customs Clearance Fee</t>
        </is>
      </c>
      <c r="C1711" t="inlineStr">
        <is>
          <t>ត្រាយអ៊ែងហ្គល ឡូជីស្ទីក (ខេមបូឌា) ឯ.ក</t>
        </is>
      </c>
      <c r="D1711" t="inlineStr">
        <is>
          <t>K010-902101743</t>
        </is>
      </c>
      <c r="E1711" t="inlineStr">
        <is>
          <t>TAG-24-00768</t>
        </is>
      </c>
      <c r="F1711" t="inlineStr">
        <is>
          <t>23-10-2024</t>
        </is>
      </c>
      <c r="G1711" t="n">
        <v>8124</v>
      </c>
      <c r="I1711">
        <f>G1711</f>
        <v/>
      </c>
      <c r="K1711">
        <f>I1711-G1711</f>
        <v/>
      </c>
      <c r="M1711">
        <f>R1711=E1711</f>
        <v/>
      </c>
      <c r="N1711">
        <f>AND(MONTH(F1711)=MONTH(Q1711), YEAR(F1711)=YEAR(Q1711))</f>
        <v/>
      </c>
      <c r="O1711">
        <f>"L001-902303751"=S1711</f>
        <v/>
      </c>
      <c r="P1711">
        <f>G1711-U1711</f>
        <v/>
      </c>
      <c r="Q1711" s="35" t="n">
        <v>45574</v>
      </c>
      <c r="R1711" t="n">
        <v>83333</v>
      </c>
      <c r="S1711" t="inlineStr">
        <is>
          <t>L001-107032791</t>
        </is>
      </c>
      <c r="T1711" t="inlineStr">
        <is>
          <t>នីបផន អិចប្រេស (ខេមបូឌា) ខូ អិលធីឌី</t>
        </is>
      </c>
      <c r="U1711" t="n">
        <v>83333</v>
      </c>
      <c r="V1711" t="n">
        <v>0</v>
      </c>
    </row>
    <row r="1712">
      <c r="A1712" t="n">
        <v>1711</v>
      </c>
      <c r="B1712" t="inlineStr">
        <is>
          <t>Customs Clearance Fee and Trucking Fee</t>
        </is>
      </c>
      <c r="C1712" t="inlineStr">
        <is>
          <t>ត្រាយអ៊ែងហ្គល ឡូជីស្ទីក (ខេមបូឌា) ឯ.ក</t>
        </is>
      </c>
      <c r="D1712" t="inlineStr">
        <is>
          <t>K010-902101743</t>
        </is>
      </c>
      <c r="E1712" t="inlineStr">
        <is>
          <t>TAG-24-00767</t>
        </is>
      </c>
      <c r="F1712" t="inlineStr">
        <is>
          <t>23-10-2024</t>
        </is>
      </c>
      <c r="G1712" t="n">
        <v>8124</v>
      </c>
      <c r="I1712">
        <f>G1712</f>
        <v/>
      </c>
      <c r="K1712">
        <f>I1712-G1712</f>
        <v/>
      </c>
      <c r="M1712">
        <f>R1712=E1712</f>
        <v/>
      </c>
      <c r="N1712">
        <f>AND(MONTH(F1712)=MONTH(Q1712), YEAR(F1712)=YEAR(Q1712))</f>
        <v/>
      </c>
      <c r="O1712">
        <f>"L001-902303751"=S1712</f>
        <v/>
      </c>
      <c r="P1712">
        <f>G1712-U1712</f>
        <v/>
      </c>
      <c r="Q1712" s="35" t="n">
        <v>45579</v>
      </c>
      <c r="R1712" t="n">
        <v>172635</v>
      </c>
      <c r="S1712" t="inlineStr">
        <is>
          <t>L001-107032791</t>
        </is>
      </c>
      <c r="T1712" t="inlineStr">
        <is>
          <t>នីបផន អិចប្រេស (ខេមបូឌា) ខូ អិលធីឌី</t>
        </is>
      </c>
      <c r="U1712" t="n">
        <v>172635</v>
      </c>
      <c r="V1712" t="n">
        <v>0</v>
      </c>
    </row>
    <row r="1713">
      <c r="A1713" t="n">
        <v>1712</v>
      </c>
      <c r="B1713" t="inlineStr">
        <is>
          <t>Customs Clearance Fee</t>
        </is>
      </c>
      <c r="C1713" t="inlineStr">
        <is>
          <t>ត្រាយអ៊ែងហ្គល ឡូជីស្ទីក (ខេមបូឌា) ឯ.ក</t>
        </is>
      </c>
      <c r="D1713" t="inlineStr">
        <is>
          <t>K010-902101743</t>
        </is>
      </c>
      <c r="E1713" t="inlineStr">
        <is>
          <t>TAG-24-00766</t>
        </is>
      </c>
      <c r="F1713" t="inlineStr">
        <is>
          <t>23-10-2024</t>
        </is>
      </c>
      <c r="G1713" t="n">
        <v>8124</v>
      </c>
      <c r="I1713">
        <f>G1713</f>
        <v/>
      </c>
      <c r="K1713">
        <f>I1713-G1713</f>
        <v/>
      </c>
      <c r="M1713">
        <f>R1713=E1713</f>
        <v/>
      </c>
      <c r="N1713">
        <f>AND(MONTH(F1713)=MONTH(Q1713), YEAR(F1713)=YEAR(Q1713))</f>
        <v/>
      </c>
      <c r="O1713">
        <f>"L001-902303751"=S1713</f>
        <v/>
      </c>
      <c r="P1713">
        <f>G1713-U1713</f>
        <v/>
      </c>
      <c r="Q1713" s="35" t="n">
        <v>45579</v>
      </c>
      <c r="R1713" t="inlineStr"/>
      <c r="S1713" t="inlineStr">
        <is>
          <t>L001-107041723</t>
        </is>
      </c>
      <c r="T1713" t="inlineStr">
        <is>
          <t>ឌីប៊ី សេនឃើរ (ខេមបូឌា) លីមីធីត</t>
        </is>
      </c>
      <c r="U1713" t="n">
        <v>0</v>
      </c>
      <c r="V1713" t="n">
        <v>0</v>
      </c>
    </row>
    <row r="1714">
      <c r="A1714" t="n">
        <v>1713</v>
      </c>
      <c r="B1714" t="inlineStr">
        <is>
          <t>Customs Clearance Fee</t>
        </is>
      </c>
      <c r="C1714" t="inlineStr">
        <is>
          <t>ត្រាយអ៊ែងហ្គល ឡូជីស្ទីក (ខេមបូឌា) ឯ.ក</t>
        </is>
      </c>
      <c r="D1714" t="inlineStr">
        <is>
          <t>K010-902101743</t>
        </is>
      </c>
      <c r="E1714" t="inlineStr">
        <is>
          <t>TAG-24-00761</t>
        </is>
      </c>
      <c r="F1714" t="inlineStr">
        <is>
          <t>23-10-2024</t>
        </is>
      </c>
      <c r="G1714" t="n">
        <v>8124</v>
      </c>
      <c r="I1714">
        <f>G1714</f>
        <v/>
      </c>
      <c r="K1714">
        <f>I1714-G1714</f>
        <v/>
      </c>
      <c r="M1714">
        <f>R1714=E1714</f>
        <v/>
      </c>
      <c r="N1714">
        <f>AND(MONTH(F1714)=MONTH(Q1714), YEAR(F1714)=YEAR(Q1714))</f>
        <v/>
      </c>
      <c r="O1714">
        <f>"L001-902303751"=S1714</f>
        <v/>
      </c>
      <c r="P1714">
        <f>G1714-U1714</f>
        <v/>
      </c>
      <c r="Q1714" s="35" t="n">
        <v>45586</v>
      </c>
      <c r="R1714" t="inlineStr"/>
      <c r="S1714" t="inlineStr">
        <is>
          <t>L001-107041723</t>
        </is>
      </c>
      <c r="T1714" t="inlineStr">
        <is>
          <t>ឌីប៊ី សេនឃើរ (ខេមបូឌា) លីមីធីត</t>
        </is>
      </c>
      <c r="U1714" t="n">
        <v>0</v>
      </c>
      <c r="V1714" t="n">
        <v>0</v>
      </c>
    </row>
    <row r="1715">
      <c r="A1715" t="n">
        <v>1714</v>
      </c>
      <c r="B1715" t="inlineStr">
        <is>
          <t>Customs Clearance Fee</t>
        </is>
      </c>
      <c r="C1715" t="inlineStr">
        <is>
          <t>ត្រាយអ៊ែងហ្គល ឡូជីស្ទីក (ខេមបូឌា) ឯ.ក</t>
        </is>
      </c>
      <c r="D1715" t="inlineStr">
        <is>
          <t>K010-902101743</t>
        </is>
      </c>
      <c r="E1715" t="inlineStr">
        <is>
          <t>TAG-24-00760</t>
        </is>
      </c>
      <c r="F1715" t="inlineStr">
        <is>
          <t>23-10-2024</t>
        </is>
      </c>
      <c r="G1715" t="n">
        <v>8124</v>
      </c>
      <c r="I1715">
        <f>G1715</f>
        <v/>
      </c>
      <c r="K1715">
        <f>I1715-G1715</f>
        <v/>
      </c>
      <c r="M1715">
        <f>R1715=E1715</f>
        <v/>
      </c>
      <c r="N1715">
        <f>AND(MONTH(F1715)=MONTH(Q1715), YEAR(F1715)=YEAR(Q1715))</f>
        <v/>
      </c>
      <c r="O1715">
        <f>"L001-902303751"=S1715</f>
        <v/>
      </c>
      <c r="P1715">
        <f>G1715-U1715</f>
        <v/>
      </c>
      <c r="Q1715" s="35" t="n">
        <v>45579</v>
      </c>
      <c r="R1715" t="inlineStr"/>
      <c r="S1715" t="inlineStr">
        <is>
          <t>L001-107032791</t>
        </is>
      </c>
      <c r="T1715" t="inlineStr">
        <is>
          <t>នីបផន អិចប្រេស (ខេមបូឌា) ខូ អិលធីឌី</t>
        </is>
      </c>
      <c r="U1715" t="n">
        <v>0</v>
      </c>
      <c r="V1715" t="n">
        <v>0</v>
      </c>
    </row>
    <row r="1716">
      <c r="A1716" t="n">
        <v>1715</v>
      </c>
      <c r="B1716" t="inlineStr">
        <is>
          <t>Customs Clearance Fee</t>
        </is>
      </c>
      <c r="C1716" t="inlineStr">
        <is>
          <t>ត្រាយអ៊ែងហ្គល ឡូជីស្ទីក (ខេមបូឌា) ឯ.ក</t>
        </is>
      </c>
      <c r="D1716" t="inlineStr">
        <is>
          <t>K010-902101743</t>
        </is>
      </c>
      <c r="E1716" t="inlineStr">
        <is>
          <t>TAG-24-00759</t>
        </is>
      </c>
      <c r="F1716" t="inlineStr">
        <is>
          <t>23-10-2024</t>
        </is>
      </c>
      <c r="G1716" t="n">
        <v>8124</v>
      </c>
      <c r="I1716">
        <f>G1716</f>
        <v/>
      </c>
      <c r="K1716">
        <f>I1716-G1716</f>
        <v/>
      </c>
      <c r="M1716">
        <f>R1716=E1716</f>
        <v/>
      </c>
      <c r="N1716">
        <f>AND(MONTH(F1716)=MONTH(Q1716), YEAR(F1716)=YEAR(Q1716))</f>
        <v/>
      </c>
      <c r="O1716">
        <f>"L001-902303751"=S1716</f>
        <v/>
      </c>
      <c r="P1716">
        <f>G1716-U1716</f>
        <v/>
      </c>
      <c r="Q1716" s="35" t="n">
        <v>45579</v>
      </c>
      <c r="R1716" t="n">
        <v>111705</v>
      </c>
      <c r="S1716" t="inlineStr">
        <is>
          <t>L001-107032791</t>
        </is>
      </c>
      <c r="T1716" t="inlineStr">
        <is>
          <t>នីបផន អិចប្រេស (ខេមបូឌា) ខូ អិលធីឌី</t>
        </is>
      </c>
      <c r="U1716" t="n">
        <v>111705</v>
      </c>
      <c r="V1716" t="n">
        <v>0</v>
      </c>
    </row>
    <row r="1717">
      <c r="A1717" t="n">
        <v>1716</v>
      </c>
      <c r="B1717" t="inlineStr">
        <is>
          <t>Customs Clearance Fee</t>
        </is>
      </c>
      <c r="C1717" t="inlineStr">
        <is>
          <t>ត្រាយអ៊ែងហ្គល ឡូជីស្ទីក (ខេមបូឌា) ឯ.ក</t>
        </is>
      </c>
      <c r="D1717" t="inlineStr">
        <is>
          <t>K010-902101743</t>
        </is>
      </c>
      <c r="E1717" t="inlineStr">
        <is>
          <t>TAG-24-00757</t>
        </is>
      </c>
      <c r="F1717" t="inlineStr">
        <is>
          <t>23-10-2024</t>
        </is>
      </c>
      <c r="G1717" t="n">
        <v>8124</v>
      </c>
      <c r="I1717">
        <f>G1717</f>
        <v/>
      </c>
      <c r="K1717">
        <f>I1717-G1717</f>
        <v/>
      </c>
      <c r="M1717">
        <f>R1717=E1717</f>
        <v/>
      </c>
      <c r="N1717">
        <f>AND(MONTH(F1717)=MONTH(Q1717), YEAR(F1717)=YEAR(Q1717))</f>
        <v/>
      </c>
      <c r="O1717">
        <f>"L001-902303751"=S1717</f>
        <v/>
      </c>
      <c r="P1717">
        <f>G1717-U1717</f>
        <v/>
      </c>
      <c r="Q1717" s="35" t="n">
        <v>45579</v>
      </c>
      <c r="R1717" t="inlineStr"/>
      <c r="S1717" t="inlineStr">
        <is>
          <t>K005-100150195</t>
        </is>
      </c>
      <c r="T1717" t="inlineStr">
        <is>
          <t>អេស អ វី ស៊ី ហ្វ្រេត សឺវីស (ខេមបូឌា) ខូ អិលធីឌី</t>
        </is>
      </c>
      <c r="U1717" t="n">
        <v>0</v>
      </c>
      <c r="V1717" t="n">
        <v>0</v>
      </c>
    </row>
    <row r="1718">
      <c r="A1718" t="n">
        <v>1717</v>
      </c>
      <c r="B1718" t="inlineStr">
        <is>
          <t>Gate Fee Charges-GC Truck-1-6 Tons</t>
        </is>
      </c>
      <c r="C1718" t="inlineStr">
        <is>
          <t>កំពង់ផែស្វយ័តភ្នំពេញ "ក.ស.ភ"</t>
        </is>
      </c>
      <c r="D1718" t="inlineStr">
        <is>
          <t>L001-100044999</t>
        </is>
      </c>
      <c r="E1718" t="inlineStr">
        <is>
          <t>INV20241079616</t>
        </is>
      </c>
      <c r="F1718" t="inlineStr">
        <is>
          <t>23-10-2024</t>
        </is>
      </c>
      <c r="G1718" t="n">
        <v>812</v>
      </c>
      <c r="I1718">
        <f>G1718</f>
        <v/>
      </c>
      <c r="K1718">
        <f>I1718-G1718</f>
        <v/>
      </c>
      <c r="M1718">
        <f>R1718=E1718</f>
        <v/>
      </c>
      <c r="N1718">
        <f>AND(MONTH(F1718)=MONTH(Q1718), YEAR(F1718)=YEAR(Q1718))</f>
        <v/>
      </c>
      <c r="O1718">
        <f>"L001-902303751"=S1718</f>
        <v/>
      </c>
      <c r="P1718">
        <f>G1718-U1718</f>
        <v/>
      </c>
      <c r="Q1718" s="35" t="n">
        <v>45589</v>
      </c>
      <c r="R1718" t="inlineStr"/>
      <c r="S1718" t="inlineStr">
        <is>
          <t>L001-100045995</t>
        </is>
      </c>
      <c r="T1718" t="inlineStr">
        <is>
          <t>ឌីអេចអិល ឡូជីស្ទីក (ខេមបូឌា)</t>
        </is>
      </c>
      <c r="U1718" t="n">
        <v>0</v>
      </c>
      <c r="V1718" t="n">
        <v>0</v>
      </c>
    </row>
    <row r="1719">
      <c r="A1719" t="n">
        <v>1718</v>
      </c>
      <c r="B1719" t="inlineStr">
        <is>
          <t>Customs Clearance Fee</t>
        </is>
      </c>
      <c r="C1719" t="inlineStr">
        <is>
          <t>ត្រាយអ៊ែងហ្គល ឡូជីស្ទីក (ខេមបូឌា) ឯ.ក</t>
        </is>
      </c>
      <c r="D1719" t="inlineStr">
        <is>
          <t>K010-902101743</t>
        </is>
      </c>
      <c r="E1719" t="inlineStr">
        <is>
          <t>TAG-24-00756</t>
        </is>
      </c>
      <c r="F1719" t="inlineStr">
        <is>
          <t>23-10-2024</t>
        </is>
      </c>
      <c r="G1719" t="n">
        <v>8124</v>
      </c>
      <c r="I1719">
        <f>G1719</f>
        <v/>
      </c>
      <c r="K1719">
        <f>I1719-G1719</f>
        <v/>
      </c>
      <c r="M1719">
        <f>R1719=E1719</f>
        <v/>
      </c>
      <c r="N1719">
        <f>AND(MONTH(F1719)=MONTH(Q1719), YEAR(F1719)=YEAR(Q1719))</f>
        <v/>
      </c>
      <c r="O1719">
        <f>"L001-902303751"=S1719</f>
        <v/>
      </c>
      <c r="P1719">
        <f>G1719-U1719</f>
        <v/>
      </c>
      <c r="Q1719" s="35" t="n">
        <v>45586</v>
      </c>
      <c r="R1719" t="inlineStr"/>
      <c r="S1719" t="inlineStr">
        <is>
          <t>L001-107032791</t>
        </is>
      </c>
      <c r="T1719" t="inlineStr">
        <is>
          <t>នីបផន អិចប្រេស (ខេមបូឌា) ខូ អិលធីឌី</t>
        </is>
      </c>
      <c r="U1719" t="n">
        <v>0</v>
      </c>
      <c r="V1719" t="n">
        <v>0</v>
      </c>
    </row>
    <row r="1720">
      <c r="A1720" t="n">
        <v>1719</v>
      </c>
      <c r="B1720" t="inlineStr">
        <is>
          <t>Send Docs</t>
        </is>
      </c>
      <c r="C1720" t="inlineStr">
        <is>
          <t>ឌី អេច អិល អិចប្រេស (ខេមបូឌា)</t>
        </is>
      </c>
      <c r="D1720" t="inlineStr">
        <is>
          <t>L001-100045197</t>
        </is>
      </c>
      <c r="E1720" t="inlineStr">
        <is>
          <t>PNHIR00249307</t>
        </is>
      </c>
      <c r="F1720" t="inlineStr">
        <is>
          <t>23-10-2024</t>
        </is>
      </c>
      <c r="G1720" t="n">
        <v>6093</v>
      </c>
      <c r="I1720">
        <f>G1720</f>
        <v/>
      </c>
      <c r="K1720">
        <f>I1720-G1720</f>
        <v/>
      </c>
      <c r="M1720">
        <f>R1720=E1720</f>
        <v/>
      </c>
      <c r="N1720">
        <f>AND(MONTH(F1720)=MONTH(Q1720), YEAR(F1720)=YEAR(Q1720))</f>
        <v/>
      </c>
      <c r="O1720">
        <f>"L001-902303751"=S1720</f>
        <v/>
      </c>
      <c r="P1720">
        <f>G1720-U1720</f>
        <v/>
      </c>
      <c r="Q1720" s="35" t="n">
        <v>45586</v>
      </c>
      <c r="R1720" t="n">
        <v>3780503</v>
      </c>
      <c r="S1720" t="inlineStr">
        <is>
          <t>K004-105012505</t>
        </is>
      </c>
      <c r="T1720" t="inlineStr">
        <is>
          <t>អេស៊ាន ហ្វ្រេត (ខេមបូឌា)</t>
        </is>
      </c>
      <c r="U1720" t="n">
        <v>3780503</v>
      </c>
      <c r="V1720" t="n">
        <v>0</v>
      </c>
    </row>
    <row r="1721">
      <c r="A1721" t="n">
        <v>1720</v>
      </c>
      <c r="B1721" t="inlineStr">
        <is>
          <t>Steel Wire and Color Steel laminboard</t>
        </is>
      </c>
      <c r="C1721" t="inlineStr">
        <is>
          <t>ជាន សេនដា អ៊ិន ត្រេដ ឯ.ក</t>
        </is>
      </c>
      <c r="D1721" t="inlineStr">
        <is>
          <t>K010-902401901</t>
        </is>
      </c>
      <c r="E1721" t="inlineStr">
        <is>
          <t>JSD24-0002</t>
        </is>
      </c>
      <c r="F1721" t="inlineStr">
        <is>
          <t>23-10-2024</t>
        </is>
      </c>
      <c r="G1721" t="n">
        <v>8181701</v>
      </c>
      <c r="I1721">
        <f>G1721</f>
        <v/>
      </c>
      <c r="K1721">
        <f>I1721-G1721</f>
        <v/>
      </c>
      <c r="M1721">
        <f>R1721=E1721</f>
        <v/>
      </c>
      <c r="N1721">
        <f>AND(MONTH(F1721)=MONTH(Q1721), YEAR(F1721)=YEAR(Q1721))</f>
        <v/>
      </c>
      <c r="O1721">
        <f>"L001-902303751"=S1721</f>
        <v/>
      </c>
      <c r="P1721">
        <f>G1721-U1721</f>
        <v/>
      </c>
      <c r="Q1721" s="35" t="n">
        <v>45579</v>
      </c>
      <c r="R1721" t="n">
        <v>379797</v>
      </c>
      <c r="S1721" t="inlineStr">
        <is>
          <t>K005-100150195</t>
        </is>
      </c>
      <c r="T1721" t="inlineStr">
        <is>
          <t>អេស អ វី ស៊ី ហ្វ្រេត សឺវីស (ខេមបូឌា) ខូ អិលធីឌី</t>
        </is>
      </c>
      <c r="U1721" t="n">
        <v>379797</v>
      </c>
      <c r="V1721" t="n">
        <v>0</v>
      </c>
    </row>
    <row r="1722">
      <c r="A1722" t="n">
        <v>1721</v>
      </c>
      <c r="B1722" t="inlineStr">
        <is>
          <t>Service Fee</t>
        </is>
      </c>
      <c r="C1722" t="inlineStr">
        <is>
          <t>ប្យួរ៉ូ វេរីតាស (ខេមបូឌា) លីមីធីត</t>
        </is>
      </c>
      <c r="D1722" t="inlineStr">
        <is>
          <t>L001-107024462</t>
        </is>
      </c>
      <c r="E1722" t="inlineStr">
        <is>
          <t>59019188</t>
        </is>
      </c>
      <c r="F1722" t="inlineStr">
        <is>
          <t>21-11-2024</t>
        </is>
      </c>
      <c r="G1722" t="n">
        <v>229333</v>
      </c>
      <c r="I1722">
        <f>G1722</f>
        <v/>
      </c>
      <c r="K1722">
        <f>I1722-G1722</f>
        <v/>
      </c>
      <c r="M1722">
        <f>R1722=E1722</f>
        <v/>
      </c>
      <c r="N1722">
        <f>AND(MONTH(F1722)=MONTH(Q1722), YEAR(F1722)=YEAR(Q1722))</f>
        <v/>
      </c>
      <c r="O1722">
        <f>"L001-902303751"=S1722</f>
        <v/>
      </c>
      <c r="P1722">
        <f>G1722-U1722</f>
        <v/>
      </c>
      <c r="Q1722" s="35" t="n">
        <v>45591</v>
      </c>
      <c r="R1722" t="n">
        <v>54824</v>
      </c>
      <c r="S1722" t="inlineStr">
        <is>
          <t>L001-100045340</t>
        </is>
      </c>
      <c r="T1722" t="inlineStr">
        <is>
          <t xml:space="preserve">ស៊ីវ៉ា អ៊ែរ អ៊ែន អូសៀន (ខេមបូឌា) ឯ.ក </t>
        </is>
      </c>
      <c r="U1722" t="n">
        <v>54824</v>
      </c>
      <c r="V1722" t="n">
        <v>0</v>
      </c>
    </row>
    <row r="1723">
      <c r="A1723" t="n">
        <v>1722</v>
      </c>
      <c r="B1723" t="inlineStr">
        <is>
          <t>CFS Handling, Carrier BL, Document Assembly, Terminal Handling, Handling Fee and VGM Processing Fee</t>
        </is>
      </c>
      <c r="C1723" t="inlineStr">
        <is>
          <t>អ៊ិចស្ពែឌីធ័រ ខេមបូឌា អិលធីឌី</t>
        </is>
      </c>
      <c r="D1723" t="inlineStr">
        <is>
          <t>L001-100045898</t>
        </is>
      </c>
      <c r="E1723" t="inlineStr">
        <is>
          <t>TI-0297299</t>
        </is>
      </c>
      <c r="F1723" t="inlineStr">
        <is>
          <t>19-11-2024</t>
        </is>
      </c>
      <c r="G1723" t="n">
        <v>83203</v>
      </c>
      <c r="I1723">
        <f>G1723</f>
        <v/>
      </c>
      <c r="K1723">
        <f>I1723-G1723</f>
        <v/>
      </c>
      <c r="M1723">
        <f>R1723=E1723</f>
        <v/>
      </c>
      <c r="N1723">
        <f>AND(MONTH(F1723)=MONTH(Q1723), YEAR(F1723)=YEAR(Q1723))</f>
        <v/>
      </c>
      <c r="O1723">
        <f>"L001-902303751"=S1723</f>
        <v/>
      </c>
      <c r="P1723">
        <f>G1723-U1723</f>
        <v/>
      </c>
      <c r="Q1723" s="35" t="n">
        <v>45593</v>
      </c>
      <c r="R1723" t="n">
        <v>85687</v>
      </c>
      <c r="S1723" t="inlineStr">
        <is>
          <t>K005-901805913</t>
        </is>
      </c>
      <c r="T1723" t="inlineStr">
        <is>
          <t>ស្តារ ខង់ខដ (ខេមបូឌា) ឯ.ក</t>
        </is>
      </c>
      <c r="U1723" t="n">
        <v>85687</v>
      </c>
      <c r="V1723" t="n">
        <v>0</v>
      </c>
    </row>
    <row r="1724">
      <c r="A1724" t="n">
        <v>1723</v>
      </c>
      <c r="B1724" t="inlineStr">
        <is>
          <t>Documentation Origin, Handling Charges Origin, PLACI fee and HAWB Transmission Fee</t>
        </is>
      </c>
      <c r="C1724" t="inlineStr">
        <is>
          <t>ឌីប៊ី សេនឃើរ (ខេមបូឌា) លីមីធីត</t>
        </is>
      </c>
      <c r="D1724" t="inlineStr">
        <is>
          <t>L001-107041723</t>
        </is>
      </c>
      <c r="E1724" t="inlineStr">
        <is>
          <t>2400009086</t>
        </is>
      </c>
      <c r="F1724" t="inlineStr">
        <is>
          <t>13-11-2024</t>
        </is>
      </c>
      <c r="G1724" t="n">
        <v>49790</v>
      </c>
      <c r="I1724">
        <f>G1724</f>
        <v/>
      </c>
      <c r="K1724">
        <f>I1724-G1724</f>
        <v/>
      </c>
      <c r="M1724">
        <f>R1724=E1724</f>
        <v/>
      </c>
      <c r="N1724">
        <f>AND(MONTH(F1724)=MONTH(Q1724), YEAR(F1724)=YEAR(Q1724))</f>
        <v/>
      </c>
      <c r="O1724">
        <f>"L001-902303751"=S1724</f>
        <v/>
      </c>
      <c r="P1724">
        <f>G1724-U1724</f>
        <v/>
      </c>
      <c r="Q1724" s="35" t="n">
        <v>45586</v>
      </c>
      <c r="R1724" t="n">
        <v>83271</v>
      </c>
      <c r="S1724" t="inlineStr">
        <is>
          <t>K002-901635875</t>
        </is>
      </c>
      <c r="T1724" t="inlineStr">
        <is>
          <t>ដាត គ្លូប៊ល ឡូជីស្ទីក (ខេមបូឌា)</t>
        </is>
      </c>
      <c r="U1724" t="n">
        <v>83271</v>
      </c>
      <c r="V1724" t="n">
        <v>0</v>
      </c>
    </row>
    <row r="1725">
      <c r="A1725" t="n">
        <v>1724</v>
      </c>
      <c r="B1725" t="inlineStr">
        <is>
          <t>Export Administration Fee, Port Formalily and Service Charge</t>
        </is>
      </c>
      <c r="C1725" t="inlineStr">
        <is>
          <t>ឆាយ ដា ឡូយីស្ទីក</t>
        </is>
      </c>
      <c r="D1725" t="inlineStr">
        <is>
          <t>L001-100063098</t>
        </is>
      </c>
      <c r="E1725" t="inlineStr">
        <is>
          <t>2411016757</t>
        </is>
      </c>
      <c r="F1725" t="inlineStr">
        <is>
          <t>11-11-2024</t>
        </is>
      </c>
      <c r="G1725" t="n">
        <v>76715</v>
      </c>
      <c r="I1725">
        <f>G1725</f>
        <v/>
      </c>
      <c r="K1725">
        <f>I1725-G1725</f>
        <v/>
      </c>
      <c r="M1725">
        <f>R1725=E1725</f>
        <v/>
      </c>
      <c r="N1725">
        <f>AND(MONTH(F1725)=MONTH(Q1725), YEAR(F1725)=YEAR(Q1725))</f>
        <v/>
      </c>
      <c r="O1725">
        <f>"L001-902303751"=S1725</f>
        <v/>
      </c>
      <c r="P1725">
        <f>G1725-U1725</f>
        <v/>
      </c>
      <c r="Q1725" s="35" t="n">
        <v>45586</v>
      </c>
      <c r="R1725" t="n">
        <v>111705</v>
      </c>
      <c r="S1725" t="inlineStr">
        <is>
          <t>L001-107032791</t>
        </is>
      </c>
      <c r="T1725" t="inlineStr">
        <is>
          <t>នីបផន អិចប្រេស (ខេមបូឌា) ខូ អិលធីឌី</t>
        </is>
      </c>
      <c r="U1725" t="n">
        <v>111705</v>
      </c>
      <c r="V1725" t="n">
        <v>0</v>
      </c>
    </row>
    <row r="1726">
      <c r="A1726" t="n">
        <v>1725</v>
      </c>
      <c r="B1726" t="inlineStr">
        <is>
          <t>CFS Handling, Carrier BL, Document Assembly, Terminal Handling, Handling Fee, VGM Weighting and Fuel Surcharge</t>
        </is>
      </c>
      <c r="C1726" t="inlineStr">
        <is>
          <t>អ៊ិចស្ពែឌីធ័រ ខេមបូឌា អិលធីឌី</t>
        </is>
      </c>
      <c r="D1726" t="inlineStr">
        <is>
          <t>L001-100045898</t>
        </is>
      </c>
      <c r="E1726" t="inlineStr">
        <is>
          <t>TI-0297300</t>
        </is>
      </c>
      <c r="F1726" t="inlineStr">
        <is>
          <t>19-11-2024</t>
        </is>
      </c>
      <c r="G1726" t="n">
        <v>150254</v>
      </c>
      <c r="I1726">
        <f>G1726</f>
        <v/>
      </c>
      <c r="K1726">
        <f>I1726-G1726</f>
        <v/>
      </c>
      <c r="M1726">
        <f>R1726=E1726</f>
        <v/>
      </c>
      <c r="N1726">
        <f>AND(MONTH(F1726)=MONTH(Q1726), YEAR(F1726)=YEAR(Q1726))</f>
        <v/>
      </c>
      <c r="O1726">
        <f>"L001-902303751"=S1726</f>
        <v/>
      </c>
      <c r="P1726">
        <f>G1726-U1726</f>
        <v/>
      </c>
      <c r="Q1726" s="35" t="n">
        <v>45579</v>
      </c>
      <c r="R1726" t="n">
        <v>83271</v>
      </c>
      <c r="S1726" t="inlineStr">
        <is>
          <t>L001-107032791</t>
        </is>
      </c>
      <c r="T1726" t="inlineStr">
        <is>
          <t>នីបផន អិចប្រេស (ខេមបូឌា) ខូ អិលធីឌី</t>
        </is>
      </c>
      <c r="U1726" t="n">
        <v>83271</v>
      </c>
      <c r="V1726" t="n">
        <v>0</v>
      </c>
    </row>
    <row r="1727">
      <c r="A1727" t="n">
        <v>1726</v>
      </c>
      <c r="B1727" t="inlineStr">
        <is>
          <t>CFS Handling, Carrier BL, Document Assembly, Terminal Handling, Handling Fee and VGM Processing Fee</t>
        </is>
      </c>
      <c r="C1727" t="inlineStr">
        <is>
          <t>អ៊ិចស្ពែឌីធ័រ ខេមបូឌា អិលធីឌី</t>
        </is>
      </c>
      <c r="D1727" t="inlineStr">
        <is>
          <t>L001-100045898</t>
        </is>
      </c>
      <c r="E1727" t="inlineStr">
        <is>
          <t>TI-0297296</t>
        </is>
      </c>
      <c r="F1727" t="inlineStr">
        <is>
          <t>19-11-2024</t>
        </is>
      </c>
      <c r="G1727" t="n">
        <v>91281</v>
      </c>
      <c r="I1727">
        <f>G1727</f>
        <v/>
      </c>
      <c r="K1727">
        <f>I1727-G1727</f>
        <v/>
      </c>
      <c r="M1727">
        <f>R1727=E1727</f>
        <v/>
      </c>
      <c r="N1727">
        <f>AND(MONTH(F1727)=MONTH(Q1727), YEAR(F1727)=YEAR(Q1727))</f>
        <v/>
      </c>
      <c r="O1727">
        <f>"L001-902303751"=S1727</f>
        <v/>
      </c>
      <c r="P1727">
        <f>G1727-U1727</f>
        <v/>
      </c>
      <c r="Q1727" s="35" t="n">
        <v>45579</v>
      </c>
      <c r="R1727" t="inlineStr"/>
      <c r="S1727" t="inlineStr">
        <is>
          <t>L001-100045340</t>
        </is>
      </c>
      <c r="T1727" t="inlineStr">
        <is>
          <t xml:space="preserve">ស៊ីវ៉ា អ៊ែរ អ៊ែន អូសៀន (ខេមបូឌា) ឯ.ក </t>
        </is>
      </c>
      <c r="U1727" t="n">
        <v>0</v>
      </c>
      <c r="V1727" t="n">
        <v>0</v>
      </c>
    </row>
    <row r="1728">
      <c r="A1728" t="n">
        <v>1727</v>
      </c>
      <c r="B1728" t="inlineStr">
        <is>
          <t>CFS Handling, Carrier BL, Document Assembly, Terminal Handling, Handling Fee, VGM Weighting and Fuel Surcharge</t>
        </is>
      </c>
      <c r="C1728" t="inlineStr">
        <is>
          <t>អ៊ិចស្ពែឌីធ័រ ខេមបូឌា អិលធីឌី</t>
        </is>
      </c>
      <c r="D1728" t="inlineStr">
        <is>
          <t>L001-100045898</t>
        </is>
      </c>
      <c r="E1728" t="inlineStr">
        <is>
          <t>TI-0297297</t>
        </is>
      </c>
      <c r="F1728" t="inlineStr">
        <is>
          <t>19-11-2024</t>
        </is>
      </c>
      <c r="G1728" t="n">
        <v>102260</v>
      </c>
      <c r="I1728">
        <f>G1728</f>
        <v/>
      </c>
      <c r="K1728">
        <f>I1728-G1728</f>
        <v/>
      </c>
      <c r="M1728">
        <f>R1728=E1728</f>
        <v/>
      </c>
      <c r="N1728">
        <f>AND(MONTH(F1728)=MONTH(Q1728), YEAR(F1728)=YEAR(Q1728))</f>
        <v/>
      </c>
      <c r="O1728">
        <f>"L001-902303751"=S1728</f>
        <v/>
      </c>
      <c r="P1728">
        <f>G1728-U1728</f>
        <v/>
      </c>
      <c r="Q1728" s="35" t="n">
        <v>45583</v>
      </c>
      <c r="R1728" t="n">
        <v>1901422</v>
      </c>
      <c r="S1728" t="inlineStr">
        <is>
          <t>K004-105012505</t>
        </is>
      </c>
      <c r="T1728" t="inlineStr">
        <is>
          <t>អេស៊ាន ហ្វ្រេត (ខេមបូឌា)</t>
        </is>
      </c>
      <c r="U1728" t="n">
        <v>1901422</v>
      </c>
      <c r="V1728" t="n">
        <v>0</v>
      </c>
    </row>
    <row r="1729">
      <c r="A1729" t="n">
        <v>1728</v>
      </c>
      <c r="B1729" t="inlineStr">
        <is>
          <t>ORG. ADMINISTRATIVE HANDLING AND ORG. WAYBILL/BILL OF LADING</t>
        </is>
      </c>
      <c r="C1729" t="inlineStr">
        <is>
          <t>ឌីអេចអិល ឡូជីស្ទីក (ខេមបូឌា)</t>
        </is>
      </c>
      <c r="D1729" t="inlineStr">
        <is>
          <t>L001-100045995</t>
        </is>
      </c>
      <c r="E1729" t="inlineStr">
        <is>
          <t>INV2409387</t>
        </is>
      </c>
      <c r="F1729" t="inlineStr">
        <is>
          <t>02-11-2024</t>
        </is>
      </c>
      <c r="G1729" t="n">
        <v>36576</v>
      </c>
      <c r="I1729">
        <f>G1729</f>
        <v/>
      </c>
      <c r="K1729">
        <f>I1729-G1729</f>
        <v/>
      </c>
      <c r="M1729">
        <f>R1729=E1729</f>
        <v/>
      </c>
      <c r="N1729">
        <f>AND(MONTH(F1729)=MONTH(Q1729), YEAR(F1729)=YEAR(Q1729))</f>
        <v/>
      </c>
      <c r="O1729">
        <f>"L001-902303751"=S1729</f>
        <v/>
      </c>
      <c r="P1729">
        <f>G1729-U1729</f>
        <v/>
      </c>
      <c r="Q1729" s="35" t="n">
        <v>45583</v>
      </c>
      <c r="R1729" t="n">
        <v>3571717</v>
      </c>
      <c r="S1729" t="inlineStr">
        <is>
          <t>K004-105012505</t>
        </is>
      </c>
      <c r="T1729" t="inlineStr">
        <is>
          <t>អេស៊ាន ហ្វ្រេត (ខេមបូឌា)</t>
        </is>
      </c>
      <c r="U1729" t="n">
        <v>3571717</v>
      </c>
      <c r="V1729" t="n">
        <v>0</v>
      </c>
    </row>
    <row r="1730">
      <c r="A1730" t="n">
        <v>1729</v>
      </c>
      <c r="B1730" t="inlineStr">
        <is>
          <t>Send Doc</t>
        </is>
      </c>
      <c r="C1730" t="inlineStr">
        <is>
          <t>ឌី អេច អិល អិចប្រេស (ខេមបូឌា)</t>
        </is>
      </c>
      <c r="D1730" t="inlineStr">
        <is>
          <t>L001-100045197</t>
        </is>
      </c>
      <c r="E1730" t="inlineStr">
        <is>
          <t>PNHIR00252642</t>
        </is>
      </c>
      <c r="F1730" t="inlineStr">
        <is>
          <t>08-11-2024</t>
        </is>
      </c>
      <c r="G1730" t="n">
        <v>18279</v>
      </c>
      <c r="I1730">
        <f>G1730</f>
        <v/>
      </c>
      <c r="K1730">
        <f>I1730-G1730</f>
        <v/>
      </c>
      <c r="M1730">
        <f>R1730=E1730</f>
        <v/>
      </c>
      <c r="N1730">
        <f>AND(MONTH(F1730)=MONTH(Q1730), YEAR(F1730)=YEAR(Q1730))</f>
        <v/>
      </c>
      <c r="O1730">
        <f>"L001-902303751"=S1730</f>
        <v/>
      </c>
      <c r="P1730">
        <f>G1730-U1730</f>
        <v/>
      </c>
      <c r="Q1730" s="35" t="n">
        <v>45579</v>
      </c>
      <c r="R1730" t="n">
        <v>83271</v>
      </c>
      <c r="S1730" t="inlineStr">
        <is>
          <t>L001-100011888</t>
        </is>
      </c>
      <c r="T1730" t="inlineStr">
        <is>
          <t>ត្រេន ស្តារ ហ្រេ្វត</t>
        </is>
      </c>
      <c r="U1730" t="n">
        <v>83271</v>
      </c>
      <c r="V1730" t="n">
        <v>0</v>
      </c>
    </row>
    <row r="1731">
      <c r="A1731" t="n">
        <v>1730</v>
      </c>
      <c r="B1731" t="inlineStr">
        <is>
          <t>Send Doc</t>
        </is>
      </c>
      <c r="C1731" t="inlineStr">
        <is>
          <t>ឌី អេច អិល អិចប្រេស (ខេមបូឌា)</t>
        </is>
      </c>
      <c r="D1731" t="inlineStr">
        <is>
          <t>L001-100045197</t>
        </is>
      </c>
      <c r="E1731" t="inlineStr">
        <is>
          <t>PNHIR00253406</t>
        </is>
      </c>
      <c r="F1731" t="inlineStr">
        <is>
          <t>12-11-2024</t>
        </is>
      </c>
      <c r="G1731" t="n">
        <v>18239</v>
      </c>
      <c r="I1731">
        <f>G1731</f>
        <v/>
      </c>
      <c r="K1731">
        <f>I1731-G1731</f>
        <v/>
      </c>
      <c r="M1731">
        <f>R1731=E1731</f>
        <v/>
      </c>
      <c r="N1731">
        <f>AND(MONTH(F1731)=MONTH(Q1731), YEAR(F1731)=YEAR(Q1731))</f>
        <v/>
      </c>
      <c r="O1731">
        <f>"L001-902303751"=S1731</f>
        <v/>
      </c>
      <c r="P1731">
        <f>G1731-U1731</f>
        <v/>
      </c>
      <c r="Q1731" s="35" t="n">
        <v>45586</v>
      </c>
      <c r="R1731" t="n">
        <v>83271</v>
      </c>
      <c r="S1731" t="inlineStr">
        <is>
          <t>L001-107032791</t>
        </is>
      </c>
      <c r="T1731" t="inlineStr">
        <is>
          <t>នីបផន អិចប្រេស (ខេមបូឌា) ខូ អិលធីឌី</t>
        </is>
      </c>
      <c r="U1731" t="n">
        <v>83271</v>
      </c>
      <c r="V1731" t="n">
        <v>0</v>
      </c>
    </row>
    <row r="1732">
      <c r="A1732" t="n">
        <v>1731</v>
      </c>
      <c r="B1732" t="inlineStr">
        <is>
          <t>Send Doc</t>
        </is>
      </c>
      <c r="C1732" t="inlineStr">
        <is>
          <t>ឌី អេច អិល អិចប្រេស (ខេមបូឌា)</t>
        </is>
      </c>
      <c r="D1732" t="inlineStr">
        <is>
          <t>L001-100045197</t>
        </is>
      </c>
      <c r="E1732" t="inlineStr">
        <is>
          <t>PNHIR00253542</t>
        </is>
      </c>
      <c r="F1732" t="inlineStr">
        <is>
          <t>13-11-2024</t>
        </is>
      </c>
      <c r="G1732" t="n">
        <v>12144</v>
      </c>
      <c r="I1732">
        <f>G1732</f>
        <v/>
      </c>
      <c r="K1732">
        <f>I1732-G1732</f>
        <v/>
      </c>
      <c r="M1732">
        <f>R1732=E1732</f>
        <v/>
      </c>
      <c r="N1732">
        <f>AND(MONTH(F1732)=MONTH(Q1732), YEAR(F1732)=YEAR(Q1732))</f>
        <v/>
      </c>
      <c r="O1732">
        <f>"L001-902303751"=S1732</f>
        <v/>
      </c>
      <c r="P1732">
        <f>G1732-U1732</f>
        <v/>
      </c>
      <c r="Q1732" s="35" t="n">
        <v>45586</v>
      </c>
      <c r="R1732" t="n">
        <v>201069</v>
      </c>
      <c r="S1732" t="inlineStr">
        <is>
          <t>L001-107032791</t>
        </is>
      </c>
      <c r="T1732" t="inlineStr">
        <is>
          <t>នីបផន អិចប្រេស (ខេមបូឌា) ខូ អិលធីឌី</t>
        </is>
      </c>
      <c r="U1732" t="n">
        <v>201069</v>
      </c>
      <c r="V1732" t="n">
        <v>0</v>
      </c>
    </row>
    <row r="1733">
      <c r="A1733" t="n">
        <v>1732</v>
      </c>
      <c r="B1733" t="inlineStr">
        <is>
          <t>Repair Machine</t>
        </is>
      </c>
      <c r="C1733" t="inlineStr">
        <is>
          <t>ស៊ីន ជី រួយ (ខេមបូឌា) សូវីង ម៉ាស៊ីន ឯ.ក</t>
        </is>
      </c>
      <c r="D1733" t="inlineStr">
        <is>
          <t>K010-901804499</t>
        </is>
      </c>
      <c r="E1733" t="inlineStr">
        <is>
          <t>24286</t>
        </is>
      </c>
      <c r="F1733" t="inlineStr">
        <is>
          <t>01-11-2024</t>
        </is>
      </c>
      <c r="G1733" t="n">
        <v>48768</v>
      </c>
      <c r="I1733">
        <f>G1733</f>
        <v/>
      </c>
      <c r="K1733">
        <f>I1733-G1733</f>
        <v/>
      </c>
      <c r="M1733">
        <f>R1733=E1733</f>
        <v/>
      </c>
      <c r="N1733">
        <f>AND(MONTH(F1733)=MONTH(Q1733), YEAR(F1733)=YEAR(Q1733))</f>
        <v/>
      </c>
      <c r="O1733">
        <f>"L001-902303751"=S1733</f>
        <v/>
      </c>
      <c r="P1733">
        <f>G1733-U1733</f>
        <v/>
      </c>
      <c r="Q1733" s="35" t="n">
        <v>45579</v>
      </c>
      <c r="R1733" t="inlineStr"/>
      <c r="S1733" t="inlineStr">
        <is>
          <t>L001-107032791</t>
        </is>
      </c>
      <c r="T1733" t="inlineStr">
        <is>
          <t>នីបផន អិចប្រេស (ខេមបូឌា) ខូ អិលធីឌី</t>
        </is>
      </c>
      <c r="U1733" t="n">
        <v>0</v>
      </c>
      <c r="V1733" t="n">
        <v>0</v>
      </c>
    </row>
    <row r="1734">
      <c r="A1734" t="n">
        <v>1733</v>
      </c>
      <c r="B1734" t="inlineStr">
        <is>
          <t>PVC Template</t>
        </is>
      </c>
      <c r="C1734" t="inlineStr">
        <is>
          <t>ស៊ីន ជី រួយ (ខេមបូឌា) សូវីង ម៉ាស៊ីន ឯ.ក</t>
        </is>
      </c>
      <c r="D1734" t="inlineStr">
        <is>
          <t>K010-901804499</t>
        </is>
      </c>
      <c r="E1734" t="inlineStr">
        <is>
          <t>24283</t>
        </is>
      </c>
      <c r="F1734" t="inlineStr">
        <is>
          <t>01-11-2024</t>
        </is>
      </c>
      <c r="G1734" t="n">
        <v>1869440</v>
      </c>
      <c r="I1734">
        <f>G1734</f>
        <v/>
      </c>
      <c r="K1734">
        <f>I1734-G1734</f>
        <v/>
      </c>
      <c r="M1734">
        <f>R1734=E1734</f>
        <v/>
      </c>
      <c r="N1734">
        <f>AND(MONTH(F1734)=MONTH(Q1734), YEAR(F1734)=YEAR(Q1734))</f>
        <v/>
      </c>
      <c r="O1734">
        <f>"L001-902303751"=S1734</f>
        <v/>
      </c>
      <c r="P1734">
        <f>G1734-U1734</f>
        <v/>
      </c>
      <c r="Q1734" s="35" t="n">
        <v>45579</v>
      </c>
      <c r="R1734" t="inlineStr"/>
      <c r="S1734" t="inlineStr">
        <is>
          <t>L001-107032791</t>
        </is>
      </c>
      <c r="T1734" t="inlineStr">
        <is>
          <t>នីបផន អិចប្រេស (ខេមបូឌា) ខូ អិលធីឌី</t>
        </is>
      </c>
      <c r="U1734" t="n">
        <v>0</v>
      </c>
      <c r="V1734" t="n">
        <v>0</v>
      </c>
    </row>
    <row r="1735">
      <c r="A1735" t="n">
        <v>1734</v>
      </c>
      <c r="B1735" t="inlineStr">
        <is>
          <t>50% Final payment for custom-made boiler stainless steel dust collector and chimney</t>
        </is>
      </c>
      <c r="C1735" t="inlineStr">
        <is>
          <t>វ៉ានលី ប៊យឡឺ អាយរ៉ុននីង អេឃ្វីបម៉ិន ឯ.ក</t>
        </is>
      </c>
      <c r="D1735" t="inlineStr">
        <is>
          <t>K010-902202437</t>
        </is>
      </c>
      <c r="E1735" t="inlineStr">
        <is>
          <t>W2024-0042</t>
        </is>
      </c>
      <c r="F1735" t="inlineStr">
        <is>
          <t>18-11-2024</t>
        </is>
      </c>
      <c r="G1735" t="n">
        <v>1040558</v>
      </c>
      <c r="I1735">
        <f>G1735</f>
        <v/>
      </c>
      <c r="K1735">
        <f>I1735-G1735</f>
        <v/>
      </c>
      <c r="M1735">
        <f>R1735=E1735</f>
        <v/>
      </c>
      <c r="N1735">
        <f>AND(MONTH(F1735)=MONTH(Q1735), YEAR(F1735)=YEAR(Q1735))</f>
        <v/>
      </c>
      <c r="O1735">
        <f>"L001-902303751"=S1735</f>
        <v/>
      </c>
      <c r="P1735">
        <f>G1735-U1735</f>
        <v/>
      </c>
      <c r="Q1735" s="35" t="n">
        <v>45593</v>
      </c>
      <c r="R1735" t="inlineStr"/>
      <c r="S1735" t="inlineStr">
        <is>
          <t>L001-107032791</t>
        </is>
      </c>
      <c r="T1735" t="inlineStr">
        <is>
          <t>នីបផន អិចប្រេស (ខេមបូឌា) ខូ អិលធីឌី</t>
        </is>
      </c>
      <c r="U1735" t="n">
        <v>0</v>
      </c>
      <c r="V1735" t="n">
        <v>0</v>
      </c>
    </row>
    <row r="1736">
      <c r="A1736" t="n">
        <v>1735</v>
      </c>
      <c r="B1736" t="inlineStr">
        <is>
          <t>Monthly Charge of Photo Copier Rental from 06/10/2024-06/11/2024</t>
        </is>
      </c>
      <c r="C1736" t="inlineStr">
        <is>
          <t>វី.អាយ.អេស ខភៀ ឯ.ក</t>
        </is>
      </c>
      <c r="D1736" t="inlineStr">
        <is>
          <t>K007-901705195</t>
        </is>
      </c>
      <c r="E1736" t="inlineStr">
        <is>
          <t>RNT241126</t>
        </is>
      </c>
      <c r="F1736" t="inlineStr">
        <is>
          <t>06-11-2024</t>
        </is>
      </c>
      <c r="G1736" t="n">
        <v>28448</v>
      </c>
      <c r="I1736">
        <f>G1736</f>
        <v/>
      </c>
      <c r="K1736">
        <f>I1736-G1736</f>
        <v/>
      </c>
      <c r="M1736">
        <f>R1736=E1736</f>
        <v/>
      </c>
      <c r="N1736">
        <f>AND(MONTH(F1736)=MONTH(Q1736), YEAR(F1736)=YEAR(Q1736))</f>
        <v/>
      </c>
      <c r="O1736">
        <f>"L001-902303751"=S1736</f>
        <v/>
      </c>
      <c r="P1736">
        <f>G1736-U1736</f>
        <v/>
      </c>
      <c r="Q1736" s="35" t="n">
        <v>45586</v>
      </c>
      <c r="R1736" t="inlineStr"/>
      <c r="S1736" t="inlineStr">
        <is>
          <t>L001-100045340</t>
        </is>
      </c>
      <c r="T1736" t="inlineStr">
        <is>
          <t xml:space="preserve">ស៊ីវ៉ា អ៊ែរ អ៊ែន អូសៀន (ខេមបូឌា) ឯ.ក </t>
        </is>
      </c>
      <c r="U1736" t="n">
        <v>0</v>
      </c>
      <c r="V1736" t="n">
        <v>0</v>
      </c>
    </row>
    <row r="1737">
      <c r="A1737" t="n">
        <v>1736</v>
      </c>
      <c r="B1737" t="inlineStr">
        <is>
          <t>​Export Administration Fee and Custom Processing Fee</t>
        </is>
      </c>
      <c r="C1737" t="inlineStr">
        <is>
          <t>ជី លីង អិចប្រេស ឡូជីស្ទីក (ខេមបូឌា) លីមីធីត</t>
        </is>
      </c>
      <c r="D1737" t="inlineStr">
        <is>
          <t>L001-100044956</t>
        </is>
      </c>
      <c r="E1737" t="inlineStr">
        <is>
          <t>24159744</t>
        </is>
      </c>
      <c r="F1737" t="inlineStr">
        <is>
          <t>21-11-2024</t>
        </is>
      </c>
      <c r="G1737" t="n">
        <v>64544</v>
      </c>
      <c r="I1737">
        <f>G1737</f>
        <v/>
      </c>
      <c r="K1737">
        <f>I1737-G1737</f>
        <v/>
      </c>
      <c r="M1737">
        <f>R1737=E1737</f>
        <v/>
      </c>
      <c r="N1737">
        <f>AND(MONTH(F1737)=MONTH(Q1737), YEAR(F1737)=YEAR(Q1737))</f>
        <v/>
      </c>
      <c r="O1737">
        <f>"L001-902303751"=S1737</f>
        <v/>
      </c>
      <c r="P1737">
        <f>G1737-U1737</f>
        <v/>
      </c>
      <c r="Q1737" s="35" t="n">
        <v>45579</v>
      </c>
      <c r="R1737" t="inlineStr"/>
      <c r="S1737" t="inlineStr">
        <is>
          <t>L001-100045995</t>
        </is>
      </c>
      <c r="T1737" t="inlineStr">
        <is>
          <t>ឌីអេចអិល ឡូជីស្ទីក (ខេមបូឌា)</t>
        </is>
      </c>
      <c r="U1737" t="n">
        <v>0</v>
      </c>
      <c r="V1737" t="n">
        <v>0</v>
      </c>
    </row>
    <row r="1738">
      <c r="A1738" t="n">
        <v>1737</v>
      </c>
      <c r="B1738" t="inlineStr">
        <is>
          <t>Send Docs</t>
        </is>
      </c>
      <c r="C1738" t="inlineStr">
        <is>
          <t>ឌី អេច អិល អិចប្រេស (ខេមបូឌា)</t>
        </is>
      </c>
      <c r="D1738" t="inlineStr">
        <is>
          <t>L001-100045197</t>
        </is>
      </c>
      <c r="E1738" t="inlineStr">
        <is>
          <t>PNHR000511305</t>
        </is>
      </c>
      <c r="F1738" t="inlineStr">
        <is>
          <t>30-11-2024</t>
        </is>
      </c>
      <c r="G1738" t="n">
        <v>34182</v>
      </c>
      <c r="I1738">
        <f>G1738</f>
        <v/>
      </c>
      <c r="K1738">
        <f>I1738-G1738</f>
        <v/>
      </c>
      <c r="M1738">
        <f>R1738=E1738</f>
        <v/>
      </c>
      <c r="N1738">
        <f>AND(MONTH(F1738)=MONTH(Q1738), YEAR(F1738)=YEAR(Q1738))</f>
        <v/>
      </c>
      <c r="O1738">
        <f>"L001-902303751"=S1738</f>
        <v/>
      </c>
      <c r="P1738">
        <f>G1738-U1738</f>
        <v/>
      </c>
      <c r="Q1738" s="35" t="n">
        <v>45574</v>
      </c>
      <c r="R1738" t="n">
        <v>83333</v>
      </c>
      <c r="S1738" t="inlineStr">
        <is>
          <t>L001-107032791</t>
        </is>
      </c>
      <c r="T1738" t="inlineStr">
        <is>
          <t>នីបផន អិចប្រេស (ខេមបូឌា) ខូ អិលធីឌី</t>
        </is>
      </c>
      <c r="U1738" t="n">
        <v>83333</v>
      </c>
      <c r="V1738" t="n">
        <v>0</v>
      </c>
    </row>
    <row r="1739">
      <c r="A1739" t="n">
        <v>1738</v>
      </c>
      <c r="B1739" t="inlineStr">
        <is>
          <t>Send Docs</t>
        </is>
      </c>
      <c r="C1739" t="inlineStr">
        <is>
          <t>ឌី អេច អិល អិចប្រេស (ខេមបូឌា)</t>
        </is>
      </c>
      <c r="D1739" t="inlineStr">
        <is>
          <t>L001-100045197</t>
        </is>
      </c>
      <c r="E1739" t="inlineStr">
        <is>
          <t>PNHIR00257826</t>
        </is>
      </c>
      <c r="F1739" t="inlineStr">
        <is>
          <t>30-11-2024</t>
        </is>
      </c>
      <c r="G1739" t="n">
        <v>16112</v>
      </c>
      <c r="I1739">
        <f>G1739</f>
        <v/>
      </c>
      <c r="K1739">
        <f>I1739-G1739</f>
        <v/>
      </c>
      <c r="M1739">
        <f>R1739=E1739</f>
        <v/>
      </c>
      <c r="N1739">
        <f>AND(MONTH(F1739)=MONTH(Q1739), YEAR(F1739)=YEAR(Q1739))</f>
        <v/>
      </c>
      <c r="O1739">
        <f>"L001-902303751"=S1739</f>
        <v/>
      </c>
      <c r="P1739">
        <f>G1739-U1739</f>
        <v/>
      </c>
      <c r="Q1739" s="35" t="n">
        <v>45579</v>
      </c>
      <c r="R1739" t="n">
        <v>111705</v>
      </c>
      <c r="S1739" t="inlineStr">
        <is>
          <t>L001-107041723</t>
        </is>
      </c>
      <c r="T1739" t="inlineStr">
        <is>
          <t>ឌីប៊ី សេនឃើរ (ខេមបូឌា) លីមីធីត</t>
        </is>
      </c>
      <c r="U1739" t="n">
        <v>111705</v>
      </c>
      <c r="V1739" t="n">
        <v>0</v>
      </c>
    </row>
    <row r="1740">
      <c r="A1740" t="n">
        <v>1739</v>
      </c>
      <c r="B1740" t="inlineStr">
        <is>
          <t>Send Docs</t>
        </is>
      </c>
      <c r="C1740" t="inlineStr">
        <is>
          <t>ឌី អេច អិល អិចប្រេស (ខេមបូឌា)</t>
        </is>
      </c>
      <c r="D1740" t="inlineStr">
        <is>
          <t>L001-100045197</t>
        </is>
      </c>
      <c r="E1740" t="inlineStr">
        <is>
          <t>PNHIR00257138</t>
        </is>
      </c>
      <c r="F1740" t="inlineStr">
        <is>
          <t>29-11-2024</t>
        </is>
      </c>
      <c r="G1740" t="n">
        <v>16112</v>
      </c>
      <c r="I1740">
        <f>G1740</f>
        <v/>
      </c>
      <c r="K1740">
        <f>I1740-G1740</f>
        <v/>
      </c>
      <c r="M1740">
        <f>R1740=E1740</f>
        <v/>
      </c>
      <c r="N1740">
        <f>AND(MONTH(F1740)=MONTH(Q1740), YEAR(F1740)=YEAR(Q1740))</f>
        <v/>
      </c>
      <c r="O1740">
        <f>"L001-902303751"=S1740</f>
        <v/>
      </c>
      <c r="P1740">
        <f>G1740-U1740</f>
        <v/>
      </c>
      <c r="Q1740" s="35" t="n">
        <v>45593</v>
      </c>
      <c r="R1740" t="n">
        <v>83251</v>
      </c>
      <c r="S1740" t="inlineStr">
        <is>
          <t>L001-107032791</t>
        </is>
      </c>
      <c r="T1740" t="inlineStr">
        <is>
          <t>នីបផន អិចប្រេស (ខេមបូឌា) ខូ អិលធីឌី</t>
        </is>
      </c>
      <c r="U1740" t="n">
        <v>83251</v>
      </c>
      <c r="V1740" t="n">
        <v>0</v>
      </c>
    </row>
    <row r="1741">
      <c r="A1741" t="n">
        <v>1740</v>
      </c>
      <c r="B1741" t="inlineStr">
        <is>
          <t>Send Docs</t>
        </is>
      </c>
      <c r="C1741" t="inlineStr">
        <is>
          <t>ឌី អេច អិល អិចប្រេស (ខេមបូឌា)</t>
        </is>
      </c>
      <c r="D1741" t="inlineStr">
        <is>
          <t>L001-100045197</t>
        </is>
      </c>
      <c r="E1741" t="inlineStr">
        <is>
          <t>PNHR000510834</t>
        </is>
      </c>
      <c r="F1741" t="inlineStr">
        <is>
          <t>28-11-2024</t>
        </is>
      </c>
      <c r="G1741" t="n">
        <v>75571</v>
      </c>
      <c r="I1741">
        <f>G1741</f>
        <v/>
      </c>
      <c r="K1741">
        <f>I1741-G1741</f>
        <v/>
      </c>
      <c r="M1741">
        <f>R1741=E1741</f>
        <v/>
      </c>
      <c r="N1741">
        <f>AND(MONTH(F1741)=MONTH(Q1741), YEAR(F1741)=YEAR(Q1741))</f>
        <v/>
      </c>
      <c r="O1741">
        <f>"L001-902303751"=S1741</f>
        <v/>
      </c>
      <c r="P1741">
        <f>G1741-U1741</f>
        <v/>
      </c>
      <c r="Q1741" s="35" t="n">
        <v>45586</v>
      </c>
      <c r="R1741" t="inlineStr"/>
      <c r="S1741" t="inlineStr">
        <is>
          <t>L001-107032791</t>
        </is>
      </c>
      <c r="T1741" t="inlineStr">
        <is>
          <t>នីបផន អិចប្រេស (ខេមបូឌា) ខូ អិលធីឌី</t>
        </is>
      </c>
      <c r="U1741" t="n">
        <v>0</v>
      </c>
      <c r="V1741" t="n">
        <v>0</v>
      </c>
    </row>
    <row r="1742">
      <c r="A1742" t="n">
        <v>1741</v>
      </c>
      <c r="B1742" t="inlineStr">
        <is>
          <t>Send Docs</t>
        </is>
      </c>
      <c r="C1742" t="inlineStr">
        <is>
          <t>ឌី អេច អិល អិចប្រេស (ខេមបូឌា)</t>
        </is>
      </c>
      <c r="D1742" t="inlineStr">
        <is>
          <t>L001-100045197</t>
        </is>
      </c>
      <c r="E1742" t="inlineStr">
        <is>
          <t>PNHIR00256964</t>
        </is>
      </c>
      <c r="F1742" t="inlineStr">
        <is>
          <t>28-11-2024</t>
        </is>
      </c>
      <c r="G1742" t="n">
        <v>8060</v>
      </c>
      <c r="I1742">
        <f>G1742</f>
        <v/>
      </c>
      <c r="K1742">
        <f>I1742-G1742</f>
        <v/>
      </c>
      <c r="M1742">
        <f>R1742=E1742</f>
        <v/>
      </c>
      <c r="N1742">
        <f>AND(MONTH(F1742)=MONTH(Q1742), YEAR(F1742)=YEAR(Q1742))</f>
        <v/>
      </c>
      <c r="O1742">
        <f>"L001-902303751"=S1742</f>
        <v/>
      </c>
      <c r="P1742">
        <f>G1742-U1742</f>
        <v/>
      </c>
      <c r="Q1742" s="35" t="n">
        <v>45586</v>
      </c>
      <c r="R1742" t="inlineStr"/>
      <c r="S1742" t="inlineStr">
        <is>
          <t>L001-100045995</t>
        </is>
      </c>
      <c r="T1742" t="inlineStr">
        <is>
          <t>ឌីអេចអិល ឡូជីស្ទីក (ខេមបូឌា)</t>
        </is>
      </c>
      <c r="U1742" t="n">
        <v>0</v>
      </c>
      <c r="V1742" t="n">
        <v>0</v>
      </c>
    </row>
    <row r="1743">
      <c r="A1743" t="n">
        <v>1742</v>
      </c>
      <c r="B1743" t="inlineStr">
        <is>
          <t>Send Docs</t>
        </is>
      </c>
      <c r="C1743" t="inlineStr">
        <is>
          <t>ឌី អេច អិល អិចប្រេស (ខេមបូឌា)</t>
        </is>
      </c>
      <c r="D1743" t="inlineStr">
        <is>
          <t>L001-100045197</t>
        </is>
      </c>
      <c r="E1743" t="inlineStr">
        <is>
          <t>PNHIR00256963</t>
        </is>
      </c>
      <c r="F1743" t="inlineStr">
        <is>
          <t>28-11-2024</t>
        </is>
      </c>
      <c r="G1743" t="n">
        <v>68671</v>
      </c>
      <c r="I1743">
        <f>G1743</f>
        <v/>
      </c>
      <c r="K1743">
        <f>I1743-G1743</f>
        <v/>
      </c>
      <c r="M1743">
        <f>R1743=E1743</f>
        <v/>
      </c>
      <c r="N1743">
        <f>AND(MONTH(F1743)=MONTH(Q1743), YEAR(F1743)=YEAR(Q1743))</f>
        <v/>
      </c>
      <c r="O1743">
        <f>"L001-902303751"=S1743</f>
        <v/>
      </c>
      <c r="P1743">
        <f>G1743-U1743</f>
        <v/>
      </c>
      <c r="Q1743" s="35" t="n">
        <v>45586</v>
      </c>
      <c r="R1743" t="n">
        <v>114142</v>
      </c>
      <c r="S1743" t="inlineStr">
        <is>
          <t>K005-901805913</t>
        </is>
      </c>
      <c r="T1743" t="inlineStr">
        <is>
          <t>ស្តារ ខង់ខដ (ខេមបូឌា) ឯ.ក</t>
        </is>
      </c>
      <c r="U1743" t="n">
        <v>114142</v>
      </c>
      <c r="V1743" t="n">
        <v>0</v>
      </c>
    </row>
    <row r="1744">
      <c r="A1744" t="n">
        <v>1743</v>
      </c>
      <c r="B1744" t="inlineStr">
        <is>
          <t>Send Docs</t>
        </is>
      </c>
      <c r="C1744" t="inlineStr">
        <is>
          <t>ឌី អេច អិល អិចប្រេស (ខេមបូឌា)</t>
        </is>
      </c>
      <c r="D1744" t="inlineStr">
        <is>
          <t>L001-100045197</t>
        </is>
      </c>
      <c r="E1744" t="inlineStr">
        <is>
          <t>PNHIR00256409</t>
        </is>
      </c>
      <c r="F1744" t="inlineStr">
        <is>
          <t>27-11-2024</t>
        </is>
      </c>
      <c r="G1744" t="n">
        <v>8048</v>
      </c>
      <c r="I1744">
        <f>G1744</f>
        <v/>
      </c>
      <c r="K1744">
        <f>I1744-G1744</f>
        <v/>
      </c>
      <c r="M1744">
        <f>R1744=E1744</f>
        <v/>
      </c>
      <c r="N1744">
        <f>AND(MONTH(F1744)=MONTH(Q1744), YEAR(F1744)=YEAR(Q1744))</f>
        <v/>
      </c>
      <c r="O1744">
        <f>"L001-902303751"=S1744</f>
        <v/>
      </c>
      <c r="P1744">
        <f>G1744-U1744</f>
        <v/>
      </c>
      <c r="Q1744" s="35" t="n">
        <v>45579</v>
      </c>
      <c r="R1744" t="n">
        <v>114142</v>
      </c>
      <c r="S1744" t="inlineStr">
        <is>
          <t>K005-901805913</t>
        </is>
      </c>
      <c r="T1744" t="inlineStr">
        <is>
          <t>ស្តារ ខង់ខដ (ខេមបូឌា) ឯ.ក</t>
        </is>
      </c>
      <c r="U1744" t="n">
        <v>114142</v>
      </c>
      <c r="V1744" t="n">
        <v>0</v>
      </c>
    </row>
    <row r="1745">
      <c r="A1745" t="n">
        <v>1744</v>
      </c>
      <c r="B1745" t="inlineStr">
        <is>
          <t>Send Docs</t>
        </is>
      </c>
      <c r="C1745" t="inlineStr">
        <is>
          <t>ឌី អេច អិល អិចប្រេស (ខេមបូឌា)</t>
        </is>
      </c>
      <c r="D1745" t="inlineStr">
        <is>
          <t>L001-100045197</t>
        </is>
      </c>
      <c r="E1745" t="inlineStr">
        <is>
          <t>PNHIR00255523</t>
        </is>
      </c>
      <c r="F1745" t="inlineStr">
        <is>
          <t>22-11-2024</t>
        </is>
      </c>
      <c r="G1745" t="n">
        <v>8052</v>
      </c>
      <c r="I1745">
        <f>G1745</f>
        <v/>
      </c>
      <c r="K1745">
        <f>I1745-G1745</f>
        <v/>
      </c>
      <c r="M1745">
        <f>R1745=E1745</f>
        <v/>
      </c>
      <c r="N1745">
        <f>AND(MONTH(F1745)=MONTH(Q1745), YEAR(F1745)=YEAR(Q1745))</f>
        <v/>
      </c>
      <c r="O1745">
        <f>"L001-902303751"=S1745</f>
        <v/>
      </c>
      <c r="P1745">
        <f>G1745-U1745</f>
        <v/>
      </c>
      <c r="Q1745" s="35" t="n">
        <v>45236</v>
      </c>
      <c r="R1745" t="inlineStr"/>
      <c r="S1745" t="inlineStr">
        <is>
          <t>K005-901902888</t>
        </is>
      </c>
      <c r="T1745" t="inlineStr">
        <is>
          <t>អឹឡាយអិន ហ្វ័រវើឌីង (ខេមបូឌា) ឯ.ក</t>
        </is>
      </c>
      <c r="U1745" t="n">
        <v>0</v>
      </c>
      <c r="V1745" t="n">
        <v>0</v>
      </c>
    </row>
    <row r="1746">
      <c r="A1746" t="n">
        <v>1745</v>
      </c>
      <c r="B1746" t="inlineStr">
        <is>
          <t>Send Docs</t>
        </is>
      </c>
      <c r="C1746" t="inlineStr">
        <is>
          <t>ឌី អេច អិល អិចប្រេស (ខេមបូឌា)</t>
        </is>
      </c>
      <c r="D1746" t="inlineStr">
        <is>
          <t>L001-100045197</t>
        </is>
      </c>
      <c r="E1746" t="inlineStr">
        <is>
          <t>PNHR000510220</t>
        </is>
      </c>
      <c r="F1746" t="inlineStr">
        <is>
          <t>21-11-2024</t>
        </is>
      </c>
      <c r="G1746" t="n">
        <v>51865</v>
      </c>
      <c r="I1746">
        <f>G1746</f>
        <v/>
      </c>
      <c r="K1746">
        <f>I1746-G1746</f>
        <v/>
      </c>
      <c r="M1746">
        <f>R1746=E1746</f>
        <v/>
      </c>
      <c r="N1746">
        <f>AND(MONTH(F1746)=MONTH(Q1746), YEAR(F1746)=YEAR(Q1746))</f>
        <v/>
      </c>
      <c r="O1746">
        <f>"L001-902303751"=S1746</f>
        <v/>
      </c>
      <c r="P1746">
        <f>G1746-U1746</f>
        <v/>
      </c>
      <c r="Q1746" s="35" t="n">
        <v>45236</v>
      </c>
      <c r="R1746" t="n">
        <v>178459</v>
      </c>
      <c r="S1746" t="inlineStr">
        <is>
          <t>L001-100044956</t>
        </is>
      </c>
      <c r="T1746" t="inlineStr">
        <is>
          <t>ជី លីង អិចប្រេស ឡូជីស្ទីក (ខេមបូឌា) លីមីធីត</t>
        </is>
      </c>
      <c r="U1746" t="n">
        <v>178459</v>
      </c>
      <c r="V1746" t="n">
        <v>0</v>
      </c>
    </row>
    <row r="1747">
      <c r="A1747" t="n">
        <v>1746</v>
      </c>
      <c r="B1747" t="inlineStr">
        <is>
          <t>Send Docs</t>
        </is>
      </c>
      <c r="C1747" t="inlineStr">
        <is>
          <t>ឌី អេច អិល អិចប្រេស (ខេមបូឌា)</t>
        </is>
      </c>
      <c r="D1747" t="inlineStr">
        <is>
          <t>L001-100045197</t>
        </is>
      </c>
      <c r="E1747" t="inlineStr">
        <is>
          <t>PNHIR00254482</t>
        </is>
      </c>
      <c r="F1747" t="inlineStr">
        <is>
          <t>21-11-2024</t>
        </is>
      </c>
      <c r="G1747" t="n">
        <v>8068</v>
      </c>
      <c r="I1747">
        <f>G1747</f>
        <v/>
      </c>
      <c r="K1747">
        <f>I1747-G1747</f>
        <v/>
      </c>
      <c r="M1747">
        <f>R1747=E1747</f>
        <v/>
      </c>
      <c r="N1747">
        <f>AND(MONTH(F1747)=MONTH(Q1747), YEAR(F1747)=YEAR(Q1747))</f>
        <v/>
      </c>
      <c r="O1747">
        <f>"L001-902303751"=S1747</f>
        <v/>
      </c>
      <c r="P1747">
        <f>G1747-U1747</f>
        <v/>
      </c>
      <c r="Q1747" s="35" t="n">
        <v>45244</v>
      </c>
      <c r="R1747" t="inlineStr"/>
      <c r="S1747" t="inlineStr">
        <is>
          <t>K002-901800477</t>
        </is>
      </c>
      <c r="T1747" t="inlineStr">
        <is>
          <t>អាយធីអាយ អ៊ិនធើណេសិនណល ត្រេនស័្ពរថេសិន (ខេមបូឌា) ឯ.ក</t>
        </is>
      </c>
      <c r="U1747" t="n">
        <v>0</v>
      </c>
      <c r="V1747" t="n">
        <v>0</v>
      </c>
    </row>
    <row r="1748">
      <c r="A1748" t="n">
        <v>1747</v>
      </c>
      <c r="B1748" t="inlineStr">
        <is>
          <t>Send Docs</t>
        </is>
      </c>
      <c r="C1748" t="inlineStr">
        <is>
          <t>ឌី អេច អិល អិចប្រេស (ខេមបូឌា)</t>
        </is>
      </c>
      <c r="D1748" t="inlineStr">
        <is>
          <t>L001-100045197</t>
        </is>
      </c>
      <c r="E1748" t="inlineStr">
        <is>
          <t>PNHIR00254481</t>
        </is>
      </c>
      <c r="F1748" t="inlineStr">
        <is>
          <t>21-11-2024</t>
        </is>
      </c>
      <c r="G1748" t="n">
        <v>65468</v>
      </c>
      <c r="I1748">
        <f>G1748</f>
        <v/>
      </c>
      <c r="K1748">
        <f>I1748-G1748</f>
        <v/>
      </c>
      <c r="M1748">
        <f>R1748=E1748</f>
        <v/>
      </c>
      <c r="N1748">
        <f>AND(MONTH(F1748)=MONTH(Q1748), YEAR(F1748)=YEAR(Q1748))</f>
        <v/>
      </c>
      <c r="O1748">
        <f>"L001-902303751"=S1748</f>
        <v/>
      </c>
      <c r="P1748">
        <f>G1748-U1748</f>
        <v/>
      </c>
      <c r="Q1748" s="35" t="n">
        <v>45255</v>
      </c>
      <c r="R1748" t="n">
        <v>82300</v>
      </c>
      <c r="S1748" t="inlineStr">
        <is>
          <t>L001-100182259</t>
        </is>
      </c>
      <c r="T1748" t="inlineStr">
        <is>
          <t>សាខាក្រុមហ៊ុន ប៊ី ឡូជីស្ទីក ខបភើរេសិន (ខេមបូឌា)</t>
        </is>
      </c>
      <c r="U1748" t="n">
        <v>82300</v>
      </c>
      <c r="V1748" t="n">
        <v>0</v>
      </c>
    </row>
    <row r="1749">
      <c r="A1749" t="n">
        <v>1748</v>
      </c>
      <c r="B1749" t="inlineStr">
        <is>
          <t>Send Docs</t>
        </is>
      </c>
      <c r="C1749" t="inlineStr">
        <is>
          <t>ឌី អេច អិល អិចប្រេស (ខេមបូឌា)</t>
        </is>
      </c>
      <c r="D1749" t="inlineStr">
        <is>
          <t>L001-100045197</t>
        </is>
      </c>
      <c r="E1749" t="inlineStr">
        <is>
          <t>PNHIR00254480</t>
        </is>
      </c>
      <c r="F1749" t="inlineStr">
        <is>
          <t>21-11-2024</t>
        </is>
      </c>
      <c r="G1749" t="n">
        <v>17112</v>
      </c>
      <c r="I1749">
        <f>G1749</f>
        <v/>
      </c>
      <c r="K1749">
        <f>I1749-G1749</f>
        <v/>
      </c>
      <c r="M1749">
        <f>R1749=E1749</f>
        <v/>
      </c>
      <c r="N1749">
        <f>AND(MONTH(F1749)=MONTH(Q1749), YEAR(F1749)=YEAR(Q1749))</f>
        <v/>
      </c>
      <c r="O1749">
        <f>"L001-902303751"=S1749</f>
        <v/>
      </c>
      <c r="P1749">
        <f>G1749-U1749</f>
        <v/>
      </c>
      <c r="Q1749" s="35" t="n">
        <v>45243</v>
      </c>
      <c r="R1749" t="inlineStr"/>
      <c r="S1749" t="inlineStr">
        <is>
          <t>L001-100074669</t>
        </is>
      </c>
      <c r="T1749" t="inlineStr">
        <is>
          <t>ខេអិលអិន ហ្វ្រេត (ខេមបូឌា) ឯ.ក</t>
        </is>
      </c>
      <c r="U1749" t="n">
        <v>0</v>
      </c>
      <c r="V1749" t="n">
        <v>0</v>
      </c>
    </row>
    <row r="1750">
      <c r="A1750" t="n">
        <v>1749</v>
      </c>
      <c r="B1750" t="inlineStr">
        <is>
          <t>Send Testing Sample</t>
        </is>
      </c>
      <c r="C1750" t="inlineStr">
        <is>
          <t>ឌី អេច អិល អិចប្រេស (ខេមបូឌា)</t>
        </is>
      </c>
      <c r="D1750" t="inlineStr">
        <is>
          <t>L001-100045197</t>
        </is>
      </c>
      <c r="E1750" t="inlineStr">
        <is>
          <t>PNHIR00254327</t>
        </is>
      </c>
      <c r="F1750" t="inlineStr">
        <is>
          <t>18-11-2024</t>
        </is>
      </c>
      <c r="G1750" t="n">
        <v>38317</v>
      </c>
      <c r="I1750">
        <f>G1750</f>
        <v/>
      </c>
      <c r="K1750">
        <f>I1750-G1750</f>
        <v/>
      </c>
      <c r="M1750">
        <f>R1750=E1750</f>
        <v/>
      </c>
      <c r="N1750">
        <f>AND(MONTH(F1750)=MONTH(Q1750), YEAR(F1750)=YEAR(Q1750))</f>
        <v/>
      </c>
      <c r="O1750">
        <f>"L001-902303751"=S1750</f>
        <v/>
      </c>
      <c r="P1750">
        <f>G1750-U1750</f>
        <v/>
      </c>
      <c r="Q1750" s="35" t="n">
        <v>45236</v>
      </c>
      <c r="R1750" t="n">
        <v>82620</v>
      </c>
      <c r="S1750" t="inlineStr">
        <is>
          <t>K005-901902888</t>
        </is>
      </c>
      <c r="T1750" t="inlineStr">
        <is>
          <t>អឹឡាយអិន ហ្វ័រវើឌីង (ខេមបូឌា) ឯ.ក</t>
        </is>
      </c>
      <c r="U1750" t="n">
        <v>82620</v>
      </c>
      <c r="V1750" t="n">
        <v>0</v>
      </c>
    </row>
    <row r="1751">
      <c r="A1751" t="n">
        <v>1750</v>
      </c>
      <c r="B1751" t="inlineStr">
        <is>
          <t>Send Docs</t>
        </is>
      </c>
      <c r="C1751" t="inlineStr">
        <is>
          <t>ឌី អេច អិល អិចប្រេស (ខេមបូឌា)</t>
        </is>
      </c>
      <c r="D1751" t="inlineStr">
        <is>
          <t>L001-100045197</t>
        </is>
      </c>
      <c r="E1751" t="inlineStr">
        <is>
          <t>PNHR000509649</t>
        </is>
      </c>
      <c r="F1751" t="inlineStr">
        <is>
          <t>14-11-2024</t>
        </is>
      </c>
      <c r="G1751" t="n">
        <v>108130</v>
      </c>
      <c r="I1751">
        <f>G1751</f>
        <v/>
      </c>
      <c r="K1751">
        <f>I1751-G1751</f>
        <v/>
      </c>
      <c r="M1751">
        <f>R1751=E1751</f>
        <v/>
      </c>
      <c r="N1751">
        <f>AND(MONTH(F1751)=MONTH(Q1751), YEAR(F1751)=YEAR(Q1751))</f>
        <v/>
      </c>
      <c r="O1751">
        <f>"L001-902303751"=S1751</f>
        <v/>
      </c>
      <c r="P1751">
        <f>G1751-U1751</f>
        <v/>
      </c>
      <c r="Q1751" s="35" t="n">
        <v>45236</v>
      </c>
      <c r="R1751" t="inlineStr"/>
      <c r="S1751" t="inlineStr">
        <is>
          <t>L001-107032791</t>
        </is>
      </c>
      <c r="T1751" t="inlineStr">
        <is>
          <t>នីបផន អិចប្រេស (ខេមបូឌា) ខូ អិលធីឌី</t>
        </is>
      </c>
      <c r="U1751" t="n">
        <v>0</v>
      </c>
      <c r="V1751" t="n">
        <v>0</v>
      </c>
    </row>
    <row r="1752">
      <c r="A1752" t="n">
        <v>1751</v>
      </c>
      <c r="B1752" t="inlineStr">
        <is>
          <t>Send Sample</t>
        </is>
      </c>
      <c r="C1752" t="inlineStr">
        <is>
          <t>ឌី អេច អិល អិចប្រេស (ខេមបូឌា)</t>
        </is>
      </c>
      <c r="D1752" t="inlineStr">
        <is>
          <t>L001-100045197</t>
        </is>
      </c>
      <c r="E1752" t="inlineStr">
        <is>
          <t>PNHIR00253965</t>
        </is>
      </c>
      <c r="F1752" t="inlineStr">
        <is>
          <t>14-11-2024</t>
        </is>
      </c>
      <c r="G1752" t="n">
        <v>111223</v>
      </c>
      <c r="I1752">
        <f>G1752</f>
        <v/>
      </c>
      <c r="K1752">
        <f>I1752-G1752</f>
        <v/>
      </c>
      <c r="M1752">
        <f>R1752=E1752</f>
        <v/>
      </c>
      <c r="N1752">
        <f>AND(MONTH(F1752)=MONTH(Q1752), YEAR(F1752)=YEAR(Q1752))</f>
        <v/>
      </c>
      <c r="O1752">
        <f>"L001-902303751"=S1752</f>
        <v/>
      </c>
      <c r="P1752">
        <f>G1752-U1752</f>
        <v/>
      </c>
      <c r="Q1752" s="35" t="n">
        <v>45236</v>
      </c>
      <c r="R1752" t="inlineStr"/>
      <c r="S1752" t="inlineStr">
        <is>
          <t>L001-107041723</t>
        </is>
      </c>
      <c r="T1752" t="inlineStr">
        <is>
          <t>ឌីប៊ី សេនឃើរ (ខេមបូឌា) លីមីធីត</t>
        </is>
      </c>
      <c r="U1752" t="n">
        <v>0</v>
      </c>
      <c r="V1752" t="n">
        <v>0</v>
      </c>
    </row>
    <row r="1753">
      <c r="A1753" t="n">
        <v>1752</v>
      </c>
      <c r="B1753" t="inlineStr">
        <is>
          <t>Send Docs</t>
        </is>
      </c>
      <c r="C1753" t="inlineStr">
        <is>
          <t>ឌី អេច អិល អិចប្រេស (ខេមបូឌា)</t>
        </is>
      </c>
      <c r="D1753" t="inlineStr">
        <is>
          <t>L001-100045197</t>
        </is>
      </c>
      <c r="E1753" t="inlineStr">
        <is>
          <t>PNHR000508948</t>
        </is>
      </c>
      <c r="F1753" t="inlineStr">
        <is>
          <t>07-11-2024</t>
        </is>
      </c>
      <c r="G1753" t="n">
        <v>38529</v>
      </c>
      <c r="I1753">
        <f>G1753</f>
        <v/>
      </c>
      <c r="K1753">
        <f>I1753-G1753</f>
        <v/>
      </c>
      <c r="M1753">
        <f>R1753=E1753</f>
        <v/>
      </c>
      <c r="N1753">
        <f>AND(MONTH(F1753)=MONTH(Q1753), YEAR(F1753)=YEAR(Q1753))</f>
        <v/>
      </c>
      <c r="O1753">
        <f>"L001-902303751"=S1753</f>
        <v/>
      </c>
      <c r="P1753">
        <f>G1753-U1753</f>
        <v/>
      </c>
      <c r="Q1753" s="35" t="n">
        <v>45255</v>
      </c>
      <c r="R1753" t="inlineStr"/>
      <c r="S1753" t="inlineStr">
        <is>
          <t>L001-100182259</t>
        </is>
      </c>
      <c r="T1753" t="inlineStr">
        <is>
          <t>សាខាក្រុមហ៊ុន ប៊ី ឡូជីស្ទីក ខបភើរេសិន (ខេមបូឌា)</t>
        </is>
      </c>
      <c r="U1753" t="n">
        <v>0</v>
      </c>
      <c r="V1753" t="n">
        <v>0</v>
      </c>
    </row>
    <row r="1754">
      <c r="A1754" t="n">
        <v>1753</v>
      </c>
      <c r="B1754" t="inlineStr">
        <is>
          <t>Send Sample</t>
        </is>
      </c>
      <c r="C1754" t="inlineStr">
        <is>
          <t>ឌី អេច អិល អិចប្រេស (ខេមបូឌា)</t>
        </is>
      </c>
      <c r="D1754" t="inlineStr">
        <is>
          <t>L001-100045197</t>
        </is>
      </c>
      <c r="E1754" t="inlineStr">
        <is>
          <t>PNHIR00251701</t>
        </is>
      </c>
      <c r="F1754" t="inlineStr">
        <is>
          <t>07-11-2024</t>
        </is>
      </c>
      <c r="G1754" t="n">
        <v>2568</v>
      </c>
      <c r="I1754">
        <f>G1754</f>
        <v/>
      </c>
      <c r="K1754">
        <f>I1754-G1754</f>
        <v/>
      </c>
      <c r="M1754">
        <f>R1754=E1754</f>
        <v/>
      </c>
      <c r="N1754">
        <f>AND(MONTH(F1754)=MONTH(Q1754), YEAR(F1754)=YEAR(Q1754))</f>
        <v/>
      </c>
      <c r="O1754">
        <f>"L001-902303751"=S1754</f>
        <v/>
      </c>
      <c r="P1754">
        <f>G1754-U1754</f>
        <v/>
      </c>
      <c r="Q1754" s="35" t="n">
        <v>45250</v>
      </c>
      <c r="R1754" t="inlineStr"/>
      <c r="S1754" t="inlineStr">
        <is>
          <t>L001-107032791</t>
        </is>
      </c>
      <c r="T1754" t="inlineStr">
        <is>
          <t>នីបផន អិចប្រេស (ខេមបូឌា) ខូ អិលធីឌី</t>
        </is>
      </c>
      <c r="U1754" t="n">
        <v>0</v>
      </c>
      <c r="V1754" t="n">
        <v>0</v>
      </c>
    </row>
    <row r="1755">
      <c r="A1755" t="n">
        <v>1754</v>
      </c>
      <c r="B1755" t="inlineStr">
        <is>
          <t>Handling Charge, Documentation Fee, Manifest Filling and Air Freight</t>
        </is>
      </c>
      <c r="C1755" t="inlineStr">
        <is>
          <t>នីបផន អិចប្រេស (ខេមបូឌា) ខូ អិលធីឌី</t>
        </is>
      </c>
      <c r="D1755" t="inlineStr">
        <is>
          <t>L001-107032791</t>
        </is>
      </c>
      <c r="E1755" t="inlineStr">
        <is>
          <t>A8T-15570</t>
        </is>
      </c>
      <c r="F1755" t="inlineStr">
        <is>
          <t>22-11-2024</t>
        </is>
      </c>
      <c r="G1755" t="n">
        <v>46299</v>
      </c>
      <c r="I1755">
        <f>G1755</f>
        <v/>
      </c>
      <c r="K1755">
        <f>I1755-G1755</f>
        <v/>
      </c>
      <c r="M1755">
        <f>R1755=E1755</f>
        <v/>
      </c>
      <c r="N1755">
        <f>AND(MONTH(F1755)=MONTH(Q1755), YEAR(F1755)=YEAR(Q1755))</f>
        <v/>
      </c>
      <c r="O1755">
        <f>"L001-902303751"=S1755</f>
        <v/>
      </c>
      <c r="P1755">
        <f>G1755-U1755</f>
        <v/>
      </c>
      <c r="Q1755" s="35" t="n">
        <v>45250</v>
      </c>
      <c r="R1755" t="n">
        <v>82400</v>
      </c>
      <c r="S1755" t="inlineStr">
        <is>
          <t>L001-107041723</t>
        </is>
      </c>
      <c r="T1755" t="inlineStr">
        <is>
          <t>ឌីប៊ី សេនឃើរ (ខេមបូឌា) លីមីធីត</t>
        </is>
      </c>
      <c r="U1755" t="n">
        <v>82400</v>
      </c>
      <c r="V1755" t="n">
        <v>0</v>
      </c>
    </row>
    <row r="1756">
      <c r="A1756" t="n">
        <v>1755</v>
      </c>
      <c r="B1756" t="inlineStr">
        <is>
          <t>Handling Charge, Documentation Fee, Manifest Filling and Air Freight</t>
        </is>
      </c>
      <c r="C1756" t="inlineStr">
        <is>
          <t>នីបផន អិចប្រេស (ខេមបូឌា) ខូ អិលធីឌី</t>
        </is>
      </c>
      <c r="D1756" t="inlineStr">
        <is>
          <t>L001-107032791</t>
        </is>
      </c>
      <c r="E1756" t="inlineStr">
        <is>
          <t>A8T-15536</t>
        </is>
      </c>
      <c r="F1756" t="inlineStr">
        <is>
          <t>15-11-2024</t>
        </is>
      </c>
      <c r="G1756" t="n">
        <v>46552</v>
      </c>
      <c r="I1756">
        <f>G1756</f>
        <v/>
      </c>
      <c r="K1756">
        <f>I1756-G1756</f>
        <v/>
      </c>
      <c r="M1756">
        <f>R1756=E1756</f>
        <v/>
      </c>
      <c r="N1756">
        <f>AND(MONTH(F1756)=MONTH(Q1756), YEAR(F1756)=YEAR(Q1756))</f>
        <v/>
      </c>
      <c r="O1756">
        <f>"L001-902303751"=S1756</f>
        <v/>
      </c>
      <c r="P1756">
        <f>G1756-U1756</f>
        <v/>
      </c>
      <c r="Q1756" s="35" t="n">
        <v>45253</v>
      </c>
      <c r="R1756" t="inlineStr"/>
      <c r="S1756" t="inlineStr">
        <is>
          <t>L001-100045995</t>
        </is>
      </c>
      <c r="T1756" t="inlineStr">
        <is>
          <t>ឌីអេចអិល ឡូជីស្ទីក (ខេមបូឌា)</t>
        </is>
      </c>
      <c r="U1756" t="n">
        <v>0</v>
      </c>
      <c r="V1756" t="n">
        <v>0</v>
      </c>
    </row>
    <row r="1757">
      <c r="A1757" t="n">
        <v>1756</v>
      </c>
      <c r="B1757" t="inlineStr">
        <is>
          <t>Handling Charge, Documentation Fee, Manifest Filling and Air Freight</t>
        </is>
      </c>
      <c r="C1757" t="inlineStr">
        <is>
          <t>នីបផន អិចប្រេស (ខេមបូឌា) ខូ អិលធីឌី</t>
        </is>
      </c>
      <c r="D1757" t="inlineStr">
        <is>
          <t>L001-107032791</t>
        </is>
      </c>
      <c r="E1757" t="inlineStr">
        <is>
          <t>A8T-15537</t>
        </is>
      </c>
      <c r="F1757" t="inlineStr">
        <is>
          <t>16-11-2024</t>
        </is>
      </c>
      <c r="G1757" t="n">
        <v>46552</v>
      </c>
      <c r="I1757">
        <f>G1757</f>
        <v/>
      </c>
      <c r="K1757">
        <f>I1757-G1757</f>
        <v/>
      </c>
      <c r="M1757">
        <f>R1757=E1757</f>
        <v/>
      </c>
      <c r="N1757">
        <f>AND(MONTH(F1757)=MONTH(Q1757), YEAR(F1757)=YEAR(Q1757))</f>
        <v/>
      </c>
      <c r="O1757">
        <f>"L001-902303751"=S1757</f>
        <v/>
      </c>
      <c r="P1757">
        <f>G1757-U1757</f>
        <v/>
      </c>
      <c r="Q1757" s="35" t="n">
        <v>45231</v>
      </c>
      <c r="R1757" t="n">
        <v>82660</v>
      </c>
      <c r="S1757" t="inlineStr">
        <is>
          <t>L001-100063098</t>
        </is>
      </c>
      <c r="T1757" t="inlineStr">
        <is>
          <t>ឆាយ ដា ឡូយីស្ទីក</t>
        </is>
      </c>
      <c r="U1757" t="n">
        <v>82660</v>
      </c>
      <c r="V1757" t="n">
        <v>0</v>
      </c>
    </row>
    <row r="1758">
      <c r="A1758" t="n">
        <v>1757</v>
      </c>
      <c r="B1758" t="inlineStr">
        <is>
          <t>Documentation Origin, Handling Charges Origin, Airfreight, PLACI Fee and HAWB Transmission Fee</t>
        </is>
      </c>
      <c r="C1758" t="inlineStr">
        <is>
          <t>ឌីប៊ី សេនឃើរ (ខេមបូឌា) លីមីធីត</t>
        </is>
      </c>
      <c r="D1758" t="inlineStr">
        <is>
          <t>L001-107041723</t>
        </is>
      </c>
      <c r="E1758" t="inlineStr">
        <is>
          <t>2400009088</t>
        </is>
      </c>
      <c r="F1758" t="inlineStr">
        <is>
          <t>13-11-2024</t>
        </is>
      </c>
      <c r="G1758" t="n">
        <v>49790</v>
      </c>
      <c r="I1758">
        <f>G1758</f>
        <v/>
      </c>
      <c r="K1758">
        <f>I1758-G1758</f>
        <v/>
      </c>
      <c r="M1758">
        <f>R1758=E1758</f>
        <v/>
      </c>
      <c r="N1758">
        <f>AND(MONTH(F1758)=MONTH(Q1758), YEAR(F1758)=YEAR(Q1758))</f>
        <v/>
      </c>
      <c r="O1758">
        <f>"L001-902303751"=S1758</f>
        <v/>
      </c>
      <c r="P1758">
        <f>G1758-U1758</f>
        <v/>
      </c>
      <c r="Q1758" s="35" t="n">
        <v>45231</v>
      </c>
      <c r="R1758" t="n">
        <v>82660</v>
      </c>
      <c r="S1758" t="inlineStr">
        <is>
          <t>K002-901800477</t>
        </is>
      </c>
      <c r="T1758" t="inlineStr">
        <is>
          <t>អាយធីអាយ អ៊ិនធើណេសិនណល ត្រេនស័្ពរថេសិន (ខេមបូឌា) ឯ.ក</t>
        </is>
      </c>
      <c r="U1758" t="n">
        <v>82660</v>
      </c>
      <c r="V1758" t="n">
        <v>0</v>
      </c>
    </row>
    <row r="1759">
      <c r="A1759" t="n">
        <v>1758</v>
      </c>
      <c r="B1759" t="inlineStr">
        <is>
          <t>CFS Handling, Carrier BL, Document Assembly, Terminal Handling, VGM Processing Fee and Mainfest Fee</t>
        </is>
      </c>
      <c r="C1759" t="inlineStr">
        <is>
          <t>អ៊ិចស្ពែឌីធ័រ ខេមបូឌា អិលធីឌី</t>
        </is>
      </c>
      <c r="D1759" t="inlineStr">
        <is>
          <t>L001-100045898</t>
        </is>
      </c>
      <c r="E1759" t="inlineStr">
        <is>
          <t>TI-0295947</t>
        </is>
      </c>
      <c r="F1759" t="inlineStr">
        <is>
          <t>06-11-2024</t>
        </is>
      </c>
      <c r="G1759" t="n">
        <v>98268</v>
      </c>
      <c r="I1759">
        <f>G1759</f>
        <v/>
      </c>
      <c r="K1759">
        <f>I1759-G1759</f>
        <v/>
      </c>
      <c r="M1759">
        <f>R1759=E1759</f>
        <v/>
      </c>
      <c r="N1759">
        <f>AND(MONTH(F1759)=MONTH(Q1759), YEAR(F1759)=YEAR(Q1759))</f>
        <v/>
      </c>
      <c r="O1759">
        <f>"L001-902303751"=S1759</f>
        <v/>
      </c>
      <c r="P1759">
        <f>G1759-U1759</f>
        <v/>
      </c>
      <c r="Q1759" s="35" t="n">
        <v>45231</v>
      </c>
      <c r="R1759" t="inlineStr"/>
      <c r="S1759" t="inlineStr">
        <is>
          <t>K002-901800477</t>
        </is>
      </c>
      <c r="T1759" t="inlineStr">
        <is>
          <t>អាយធីអាយ អ៊ិនធើណេសិនណល ត្រេនស័្ពរថេសិន (ខេមបូឌា) ឯ.ក</t>
        </is>
      </c>
      <c r="U1759" t="n">
        <v>0</v>
      </c>
      <c r="V1759" t="n">
        <v>0</v>
      </c>
    </row>
    <row r="1760">
      <c r="A1760" t="n">
        <v>1759</v>
      </c>
      <c r="B1760" t="inlineStr">
        <is>
          <t>Handling Charge, Documentation Fee, Manifest Filling and Air Freight</t>
        </is>
      </c>
      <c r="C1760" t="inlineStr">
        <is>
          <t>នីបផន អិចប្រេស (ខេមបូឌា) ខូ អិលធីឌី</t>
        </is>
      </c>
      <c r="D1760" t="inlineStr">
        <is>
          <t>L001-107032791</t>
        </is>
      </c>
      <c r="E1760" t="inlineStr">
        <is>
          <t>A8T-15569</t>
        </is>
      </c>
      <c r="F1760" t="inlineStr">
        <is>
          <t>22-11-2024</t>
        </is>
      </c>
      <c r="G1760" t="n">
        <v>46299</v>
      </c>
      <c r="I1760">
        <f>G1760</f>
        <v/>
      </c>
      <c r="K1760">
        <f>I1760-G1760</f>
        <v/>
      </c>
      <c r="M1760">
        <f>R1760=E1760</f>
        <v/>
      </c>
      <c r="N1760">
        <f>AND(MONTH(F1760)=MONTH(Q1760), YEAR(F1760)=YEAR(Q1760))</f>
        <v/>
      </c>
      <c r="O1760">
        <f>"L001-902303751"=S1760</f>
        <v/>
      </c>
      <c r="P1760">
        <f>G1760-U1760</f>
        <v/>
      </c>
      <c r="Q1760" s="35" t="n">
        <v>45236</v>
      </c>
      <c r="R1760" t="inlineStr"/>
      <c r="S1760" t="inlineStr">
        <is>
          <t>L001-100074669</t>
        </is>
      </c>
      <c r="T1760" t="inlineStr">
        <is>
          <t>ខេអិលអិន ហ្វ្រេត (ខេមបូឌា) ឯ.ក</t>
        </is>
      </c>
      <c r="U1760" t="n">
        <v>0</v>
      </c>
      <c r="V1760" t="n">
        <v>0</v>
      </c>
    </row>
    <row r="1761">
      <c r="A1761" t="n">
        <v>1760</v>
      </c>
      <c r="B1761" t="inlineStr">
        <is>
          <t>Export Administration Fee and Custom Processing Fee</t>
        </is>
      </c>
      <c r="C1761" t="inlineStr">
        <is>
          <t>ជី លីង អិចប្រេស ឡូជីស្ទីក (ខេមបូឌា) លីមីធីត</t>
        </is>
      </c>
      <c r="D1761" t="inlineStr">
        <is>
          <t>L001-100044956</t>
        </is>
      </c>
      <c r="E1761" t="inlineStr">
        <is>
          <t>24159910</t>
        </is>
      </c>
      <c r="F1761" t="inlineStr">
        <is>
          <t>26-11-2024</t>
        </is>
      </c>
      <c r="G1761" t="n">
        <v>64224</v>
      </c>
      <c r="I1761">
        <f>G1761</f>
        <v/>
      </c>
      <c r="K1761">
        <f>I1761-G1761</f>
        <v/>
      </c>
      <c r="M1761">
        <f>R1761=E1761</f>
        <v/>
      </c>
      <c r="N1761">
        <f>AND(MONTH(F1761)=MONTH(Q1761), YEAR(F1761)=YEAR(Q1761))</f>
        <v/>
      </c>
      <c r="O1761">
        <f>"L001-902303751"=S1761</f>
        <v/>
      </c>
      <c r="P1761">
        <f>G1761-U1761</f>
        <v/>
      </c>
      <c r="Q1761" s="35" t="n">
        <v>45236</v>
      </c>
      <c r="R1761" t="inlineStr"/>
      <c r="S1761" t="inlineStr">
        <is>
          <t>L001-107032791</t>
        </is>
      </c>
      <c r="T1761" t="inlineStr">
        <is>
          <t>នីបផន អិចប្រេស (ខេមបូឌា) ខូ អិលធីឌី</t>
        </is>
      </c>
      <c r="U1761" t="n">
        <v>0</v>
      </c>
      <c r="V1761" t="n">
        <v>0</v>
      </c>
    </row>
    <row r="1762">
      <c r="A1762" t="n">
        <v>1761</v>
      </c>
      <c r="B1762" t="inlineStr">
        <is>
          <t>CFS Charges, THC Charges, Bill of loading Fee, Manifest Fee and FCR Fee</t>
        </is>
      </c>
      <c r="C1762" t="inlineStr">
        <is>
          <t>អ៊ិចស្ពែឌីធ័រ ខេមបូឌា អិលធីឌី</t>
        </is>
      </c>
      <c r="D1762" t="inlineStr">
        <is>
          <t>L001-100045898</t>
        </is>
      </c>
      <c r="E1762" t="inlineStr">
        <is>
          <t>TI-0298366</t>
        </is>
      </c>
      <c r="F1762" t="inlineStr">
        <is>
          <t>27-11-2024</t>
        </is>
      </c>
      <c r="G1762" t="n">
        <v>55934</v>
      </c>
      <c r="I1762">
        <f>G1762</f>
        <v/>
      </c>
      <c r="K1762">
        <f>I1762-G1762</f>
        <v/>
      </c>
      <c r="M1762">
        <f>R1762=E1762</f>
        <v/>
      </c>
      <c r="N1762">
        <f>AND(MONTH(F1762)=MONTH(Q1762), YEAR(F1762)=YEAR(Q1762))</f>
        <v/>
      </c>
      <c r="O1762">
        <f>"L001-902303751"=S1762</f>
        <v/>
      </c>
      <c r="P1762">
        <f>G1762-U1762</f>
        <v/>
      </c>
      <c r="Q1762" s="35" t="n">
        <v>45250</v>
      </c>
      <c r="R1762" t="inlineStr"/>
      <c r="S1762" t="inlineStr">
        <is>
          <t>K003-901635943</t>
        </is>
      </c>
      <c r="T1762" t="inlineStr">
        <is>
          <t>អ៊ីឃ្យូឡាញ វើលវ៉ាយដ៍ ឡូជីស្ទីក</t>
        </is>
      </c>
      <c r="U1762" t="n">
        <v>0</v>
      </c>
      <c r="V1762" t="n">
        <v>0</v>
      </c>
    </row>
    <row r="1763">
      <c r="A1763" t="n">
        <v>1762</v>
      </c>
      <c r="B1763" t="inlineStr">
        <is>
          <t>Send sample</t>
        </is>
      </c>
      <c r="C1763" t="inlineStr">
        <is>
          <t>ឌី អេច អិល អិចប្រេស (ខេមបូឌា)</t>
        </is>
      </c>
      <c r="D1763" t="inlineStr">
        <is>
          <t>L001-100045197</t>
        </is>
      </c>
      <c r="E1763" t="inlineStr">
        <is>
          <t>PNHIR00251662</t>
        </is>
      </c>
      <c r="F1763" t="inlineStr">
        <is>
          <t>04-11-2024</t>
        </is>
      </c>
      <c r="G1763" t="n">
        <v>32520</v>
      </c>
      <c r="I1763">
        <f>G1763</f>
        <v/>
      </c>
      <c r="K1763">
        <f>I1763-G1763</f>
        <v/>
      </c>
      <c r="M1763">
        <f>R1763=E1763</f>
        <v/>
      </c>
      <c r="N1763">
        <f>AND(MONTH(F1763)=MONTH(Q1763), YEAR(F1763)=YEAR(Q1763))</f>
        <v/>
      </c>
      <c r="O1763">
        <f>"L001-902303751"=S1763</f>
        <v/>
      </c>
      <c r="P1763">
        <f>G1763-U1763</f>
        <v/>
      </c>
      <c r="Q1763" s="35" t="n">
        <v>45255</v>
      </c>
      <c r="R1763" t="inlineStr"/>
      <c r="S1763" t="inlineStr">
        <is>
          <t>K003-901635943</t>
        </is>
      </c>
      <c r="T1763" t="inlineStr">
        <is>
          <t>អ៊ីឃ្យូឡាញ វើលវ៉ាយដ៍ ឡូជីស្ទីក</t>
        </is>
      </c>
      <c r="U1763" t="n">
        <v>0</v>
      </c>
      <c r="V1763" t="n">
        <v>0</v>
      </c>
    </row>
    <row r="1764">
      <c r="A1764" t="n">
        <v>1763</v>
      </c>
      <c r="B1764" t="inlineStr">
        <is>
          <t>CFS Charge, C/C Handling Fee, Documentation Fee, Handling /Agency Fee, THC, Trucking Charge, Customs Processing Fee, Overtime Documents, Way Bill Fee, Fuel Surcharge and Overtime Cargo</t>
        </is>
      </c>
      <c r="C1764" t="inlineStr">
        <is>
          <t>នីបផន អិចប្រេស (ខេមបូឌា) ខូ អិលធីឌី</t>
        </is>
      </c>
      <c r="D1764" t="inlineStr">
        <is>
          <t>L001-107032791</t>
        </is>
      </c>
      <c r="E1764" t="inlineStr">
        <is>
          <t>O8T-D7640</t>
        </is>
      </c>
      <c r="F1764" t="inlineStr">
        <is>
          <t>03-11-2024</t>
        </is>
      </c>
      <c r="G1764" t="n">
        <v>277693</v>
      </c>
      <c r="I1764">
        <f>G1764</f>
        <v/>
      </c>
      <c r="K1764">
        <f>I1764-G1764</f>
        <v/>
      </c>
      <c r="M1764">
        <f>R1764=E1764</f>
        <v/>
      </c>
      <c r="N1764">
        <f>AND(MONTH(F1764)=MONTH(Q1764), YEAR(F1764)=YEAR(Q1764))</f>
        <v/>
      </c>
      <c r="O1764">
        <f>"L001-902303751"=S1764</f>
        <v/>
      </c>
      <c r="P1764">
        <f>G1764-U1764</f>
        <v/>
      </c>
      <c r="Q1764" s="35" t="n">
        <v>45250</v>
      </c>
      <c r="R1764" t="inlineStr"/>
      <c r="S1764" t="inlineStr">
        <is>
          <t>K005-901805913</t>
        </is>
      </c>
      <c r="T1764" t="inlineStr">
        <is>
          <t>ស្តារ ខង់ខដ (ខេមបូឌា) ឯ.ក</t>
        </is>
      </c>
      <c r="U1764" t="n">
        <v>0</v>
      </c>
      <c r="V1764" t="n">
        <v>0</v>
      </c>
    </row>
    <row r="1765">
      <c r="A1765" t="n">
        <v>1764</v>
      </c>
      <c r="B1765" t="inlineStr">
        <is>
          <t>CFS Charge, C/C Handling Fee, Documentation Fee, Handling /Agency Fee, THC, Trucking Charge, Customs Processing Fee, Overtime Documents, Way Bill Fee, Fuel Surcharge and Overtime Cargo</t>
        </is>
      </c>
      <c r="C1765" t="inlineStr">
        <is>
          <t>នីបផន អិចប្រេស (ខេមបូឌា) ខូ អិលធីឌី</t>
        </is>
      </c>
      <c r="D1765" t="inlineStr">
        <is>
          <t>L001-107032791</t>
        </is>
      </c>
      <c r="E1765" t="inlineStr">
        <is>
          <t>O8T-D7647</t>
        </is>
      </c>
      <c r="F1765" t="inlineStr">
        <is>
          <t>10-11-2024</t>
        </is>
      </c>
      <c r="G1765" t="n">
        <v>288605</v>
      </c>
      <c r="I1765">
        <f>G1765</f>
        <v/>
      </c>
      <c r="K1765">
        <f>I1765-G1765</f>
        <v/>
      </c>
      <c r="M1765">
        <f>R1765=E1765</f>
        <v/>
      </c>
      <c r="N1765">
        <f>AND(MONTH(F1765)=MONTH(Q1765), YEAR(F1765)=YEAR(Q1765))</f>
        <v/>
      </c>
      <c r="O1765">
        <f>"L001-902303751"=S1765</f>
        <v/>
      </c>
      <c r="P1765">
        <f>G1765-U1765</f>
        <v/>
      </c>
      <c r="Q1765" s="35" t="n">
        <v>45243</v>
      </c>
      <c r="R1765" t="inlineStr"/>
      <c r="S1765" t="inlineStr">
        <is>
          <t>L001-107032791</t>
        </is>
      </c>
      <c r="T1765" t="inlineStr">
        <is>
          <t>នីបផន អិចប្រេស (ខេមបូឌា) ខូ អិលធីឌី</t>
        </is>
      </c>
      <c r="U1765" t="n">
        <v>0</v>
      </c>
      <c r="V1765" t="n">
        <v>0</v>
      </c>
    </row>
    <row r="1766">
      <c r="A1766" t="n">
        <v>1765</v>
      </c>
      <c r="B1766" t="inlineStr">
        <is>
          <t>Export Adminstration Fee, Custom Processing Fee and Overtime Charges</t>
        </is>
      </c>
      <c r="C1766" t="inlineStr">
        <is>
          <t>ជី លីង អិចប្រេស ឡូជីស្ទីក (ខេមបូឌា) លីមីធីត</t>
        </is>
      </c>
      <c r="D1766" t="inlineStr">
        <is>
          <t>L001-100044956</t>
        </is>
      </c>
      <c r="E1766" t="inlineStr">
        <is>
          <t>24159578</t>
        </is>
      </c>
      <c r="F1766" t="inlineStr">
        <is>
          <t>13-11-2024</t>
        </is>
      </c>
      <c r="G1766" t="n">
        <v>190256</v>
      </c>
      <c r="I1766">
        <f>G1766</f>
        <v/>
      </c>
      <c r="K1766">
        <f>I1766-G1766</f>
        <v/>
      </c>
      <c r="M1766">
        <f>R1766=E1766</f>
        <v/>
      </c>
      <c r="N1766">
        <f>AND(MONTH(F1766)=MONTH(Q1766), YEAR(F1766)=YEAR(Q1766))</f>
        <v/>
      </c>
      <c r="O1766">
        <f>"L001-902303751"=S1766</f>
        <v/>
      </c>
      <c r="P1766">
        <f>G1766-U1766</f>
        <v/>
      </c>
      <c r="Q1766" s="35" t="n">
        <v>45233</v>
      </c>
      <c r="R1766" t="inlineStr"/>
      <c r="S1766" t="inlineStr">
        <is>
          <t>K003-901635943</t>
        </is>
      </c>
      <c r="T1766" t="inlineStr">
        <is>
          <t>អ៊ីឃ្យូឡាញ វើលវ៉ាយដ៍ ឡូជីស្ទីក</t>
        </is>
      </c>
      <c r="U1766" t="n">
        <v>0</v>
      </c>
      <c r="V1766" t="n">
        <v>0</v>
      </c>
    </row>
    <row r="1767">
      <c r="A1767" t="n">
        <v>1766</v>
      </c>
      <c r="B1767" t="inlineStr">
        <is>
          <t>Om Forwarding Fee, Terminal Handing, Carrier BL, Document Assembly, Handling Fee, VGM Admin Fee, Container Seal and Manifest Fee</t>
        </is>
      </c>
      <c r="C1767" t="inlineStr">
        <is>
          <t>អ៊ិចស្ពែឌីធ័រ ខេមបូឌា អិលធីឌី</t>
        </is>
      </c>
      <c r="D1767" t="inlineStr">
        <is>
          <t>L001-100045898</t>
        </is>
      </c>
      <c r="E1767" t="inlineStr">
        <is>
          <t>TI-0296312</t>
        </is>
      </c>
      <c r="F1767" t="inlineStr">
        <is>
          <t>12-11-2024</t>
        </is>
      </c>
      <c r="G1767" t="n">
        <v>207108</v>
      </c>
      <c r="I1767">
        <f>G1767</f>
        <v/>
      </c>
      <c r="K1767">
        <f>I1767-G1767</f>
        <v/>
      </c>
      <c r="M1767">
        <f>R1767=E1767</f>
        <v/>
      </c>
      <c r="N1767">
        <f>AND(MONTH(F1767)=MONTH(Q1767), YEAR(F1767)=YEAR(Q1767))</f>
        <v/>
      </c>
      <c r="O1767">
        <f>"L001-902303751"=S1767</f>
        <v/>
      </c>
      <c r="P1767">
        <f>G1767-U1767</f>
        <v/>
      </c>
      <c r="Q1767" s="35" t="n">
        <v>45233</v>
      </c>
      <c r="R1767" t="inlineStr"/>
      <c r="S1767" t="inlineStr">
        <is>
          <t>L001-902000739</t>
        </is>
      </c>
      <c r="T1767" t="inlineStr">
        <is>
          <t>អាន រ៉ុង ហ្ស៊ី យី ឯ.ក</t>
        </is>
      </c>
      <c r="U1767" t="n">
        <v>0</v>
      </c>
      <c r="V1767" t="n">
        <v>0</v>
      </c>
    </row>
    <row r="1768">
      <c r="A1768" t="n">
        <v>1767</v>
      </c>
      <c r="B1768" t="inlineStr">
        <is>
          <t>CFS Handling, Carrier BL, Document Assembly,Terminal Handling, Handling Fee, VGM Processing Fee and Manifest Fee</t>
        </is>
      </c>
      <c r="C1768" t="inlineStr">
        <is>
          <t>អ៊ិចស្ពែឌីធ័រ ខេមបូឌា អិលធីឌី</t>
        </is>
      </c>
      <c r="D1768" t="inlineStr">
        <is>
          <t>L001-100045898</t>
        </is>
      </c>
      <c r="E1768" t="inlineStr">
        <is>
          <t>TI-0296313</t>
        </is>
      </c>
      <c r="F1768" t="inlineStr">
        <is>
          <t>12-11-2024</t>
        </is>
      </c>
      <c r="G1768" t="n">
        <v>123373</v>
      </c>
      <c r="I1768">
        <f>G1768</f>
        <v/>
      </c>
      <c r="K1768">
        <f>I1768-G1768</f>
        <v/>
      </c>
      <c r="M1768">
        <f>R1768=E1768</f>
        <v/>
      </c>
      <c r="N1768">
        <f>AND(MONTH(F1768)=MONTH(Q1768), YEAR(F1768)=YEAR(Q1768))</f>
        <v/>
      </c>
      <c r="O1768">
        <f>"L001-902303751"=S1768</f>
        <v/>
      </c>
      <c r="P1768">
        <f>G1768-U1768</f>
        <v/>
      </c>
      <c r="Q1768" s="35" t="n">
        <v>45244</v>
      </c>
      <c r="R1768" t="inlineStr"/>
      <c r="S1768" t="inlineStr">
        <is>
          <t>L001-103007369</t>
        </is>
      </c>
      <c r="T1768" t="inlineStr">
        <is>
          <t>អូរៀនថល ឡូជីស្ទីក &amp; ឌីស្ទ្រីប៊្យូសិន (ខេមបូឌា)</t>
        </is>
      </c>
      <c r="U1768" t="n">
        <v>0</v>
      </c>
      <c r="V1768" t="n">
        <v>0</v>
      </c>
    </row>
    <row r="1769">
      <c r="A1769" t="n">
        <v>1768</v>
      </c>
      <c r="B1769" t="inlineStr">
        <is>
          <t>Send Doc</t>
        </is>
      </c>
      <c r="C1769" t="inlineStr">
        <is>
          <t>ឌី អេច អិល អិចប្រេស (ខេមបូឌា)</t>
        </is>
      </c>
      <c r="D1769" t="inlineStr">
        <is>
          <t>L001-100045197</t>
        </is>
      </c>
      <c r="E1769" t="inlineStr">
        <is>
          <t>PNHIR00253140</t>
        </is>
      </c>
      <c r="F1769" t="inlineStr">
        <is>
          <t>11-11-2024</t>
        </is>
      </c>
      <c r="G1769" t="n">
        <v>24354</v>
      </c>
      <c r="I1769">
        <f>G1769</f>
        <v/>
      </c>
      <c r="K1769">
        <f>I1769-G1769</f>
        <v/>
      </c>
      <c r="M1769">
        <f>R1769=E1769</f>
        <v/>
      </c>
      <c r="N1769">
        <f>AND(MONTH(F1769)=MONTH(Q1769), YEAR(F1769)=YEAR(Q1769))</f>
        <v/>
      </c>
      <c r="O1769">
        <f>"L001-902303751"=S1769</f>
        <v/>
      </c>
      <c r="P1769">
        <f>G1769-U1769</f>
        <v/>
      </c>
      <c r="Q1769" s="35" t="n">
        <v>45244</v>
      </c>
      <c r="R1769" t="inlineStr"/>
      <c r="S1769" t="inlineStr">
        <is>
          <t>K002-901800477</t>
        </is>
      </c>
      <c r="T1769" t="inlineStr">
        <is>
          <t>អាយធីអាយ អ៊ិនធើណេសិនណល ត្រេនស័្ពរថេសិន (ខេមបូឌា) ឯ.ក</t>
        </is>
      </c>
      <c r="U1769" t="n">
        <v>0</v>
      </c>
      <c r="V1769" t="n">
        <v>0</v>
      </c>
    </row>
    <row r="1770">
      <c r="A1770" t="n">
        <v>1769</v>
      </c>
      <c r="B1770" t="inlineStr">
        <is>
          <t>Send Doc</t>
        </is>
      </c>
      <c r="C1770" t="inlineStr">
        <is>
          <t>ឌី អេច អិល អិចប្រេស (ខេមបូឌា)</t>
        </is>
      </c>
      <c r="D1770" t="inlineStr">
        <is>
          <t>L001-100045197</t>
        </is>
      </c>
      <c r="E1770" t="inlineStr">
        <is>
          <t>PNHIR00254310</t>
        </is>
      </c>
      <c r="F1770" t="inlineStr">
        <is>
          <t>15-11-2024</t>
        </is>
      </c>
      <c r="G1770" t="n">
        <v>16192</v>
      </c>
      <c r="I1770">
        <f>G1770</f>
        <v/>
      </c>
      <c r="K1770">
        <f>I1770-G1770</f>
        <v/>
      </c>
      <c r="M1770">
        <f>R1770=E1770</f>
        <v/>
      </c>
      <c r="N1770">
        <f>AND(MONTH(F1770)=MONTH(Q1770), YEAR(F1770)=YEAR(Q1770))</f>
        <v/>
      </c>
      <c r="O1770">
        <f>"L001-902303751"=S1770</f>
        <v/>
      </c>
      <c r="P1770">
        <f>G1770-U1770</f>
        <v/>
      </c>
      <c r="Q1770" s="35" t="n">
        <v>45244</v>
      </c>
      <c r="R1770" t="inlineStr"/>
      <c r="S1770" t="inlineStr">
        <is>
          <t>L001-100011888</t>
        </is>
      </c>
      <c r="T1770" t="inlineStr">
        <is>
          <t>ត្រេន ស្តារ ហ្រេ្វត</t>
        </is>
      </c>
      <c r="U1770" t="n">
        <v>0</v>
      </c>
      <c r="V1770" t="n">
        <v>0</v>
      </c>
    </row>
    <row r="1771">
      <c r="A1771" t="n">
        <v>1770</v>
      </c>
      <c r="B1771" t="inlineStr">
        <is>
          <t>Send Materials</t>
        </is>
      </c>
      <c r="C1771" t="inlineStr">
        <is>
          <t>ឌី អេច អិល អិចប្រេស (ខេមបូឌា)</t>
        </is>
      </c>
      <c r="D1771" t="inlineStr">
        <is>
          <t>L001-100045197</t>
        </is>
      </c>
      <c r="E1771" t="inlineStr">
        <is>
          <t>PNHIR00253966</t>
        </is>
      </c>
      <c r="F1771" t="inlineStr">
        <is>
          <t>14-11-2024</t>
        </is>
      </c>
      <c r="G1771" t="n">
        <v>8096</v>
      </c>
      <c r="I1771">
        <f>G1771</f>
        <v/>
      </c>
      <c r="K1771">
        <f>I1771-G1771</f>
        <v/>
      </c>
      <c r="M1771">
        <f>R1771=E1771</f>
        <v/>
      </c>
      <c r="N1771">
        <f>AND(MONTH(F1771)=MONTH(Q1771), YEAR(F1771)=YEAR(Q1771))</f>
        <v/>
      </c>
      <c r="O1771">
        <f>"L001-902303751"=S1771</f>
        <v/>
      </c>
      <c r="P1771">
        <f>G1771-U1771</f>
        <v/>
      </c>
      <c r="Q1771" s="35" t="n">
        <v>45244</v>
      </c>
      <c r="R1771" t="n">
        <v>110970</v>
      </c>
      <c r="S1771" t="inlineStr">
        <is>
          <t>K002-901800477</t>
        </is>
      </c>
      <c r="T1771" t="inlineStr">
        <is>
          <t>អាយធីអាយ អ៊ិនធើណេសិនណល ត្រេនស័្ពរថេសិន (ខេមបូឌា) ឯ.ក</t>
        </is>
      </c>
      <c r="U1771" t="n">
        <v>110970</v>
      </c>
      <c r="V1771" t="n">
        <v>0</v>
      </c>
    </row>
    <row r="1772">
      <c r="A1772" t="n">
        <v>1771</v>
      </c>
      <c r="B1772" t="inlineStr">
        <is>
          <t>THC Charge, CFS Fee, Scanner Fee, CIC Fee, D/O Fee, Doc Fee, Agency Fee, Handling Fee and Ocean Freight</t>
        </is>
      </c>
      <c r="C1772" t="inlineStr">
        <is>
          <t>ហ្វ្រេត ខនសិប (ខេមបូឌា)</t>
        </is>
      </c>
      <c r="D1772" t="inlineStr">
        <is>
          <t>K009-901502482</t>
        </is>
      </c>
      <c r="E1772" t="inlineStr">
        <is>
          <t>241144</t>
        </is>
      </c>
      <c r="F1772" t="inlineStr">
        <is>
          <t>11-11-2024</t>
        </is>
      </c>
      <c r="G1772" t="n">
        <v>83210</v>
      </c>
      <c r="I1772">
        <f>G1772</f>
        <v/>
      </c>
      <c r="K1772">
        <f>I1772-G1772</f>
        <v/>
      </c>
      <c r="M1772">
        <f>R1772=E1772</f>
        <v/>
      </c>
      <c r="N1772">
        <f>AND(MONTH(F1772)=MONTH(Q1772), YEAR(F1772)=YEAR(Q1772))</f>
        <v/>
      </c>
      <c r="O1772">
        <f>"L001-902303751"=S1772</f>
        <v/>
      </c>
      <c r="P1772">
        <f>G1772-U1772</f>
        <v/>
      </c>
      <c r="Q1772" s="35" t="n">
        <v>45244</v>
      </c>
      <c r="R1772" t="inlineStr"/>
      <c r="S1772" t="inlineStr">
        <is>
          <t>K002-901800477</t>
        </is>
      </c>
      <c r="T1772" t="inlineStr">
        <is>
          <t>អាយធីអាយ អ៊ិនធើណេសិនណល ត្រេនស័្ពរថេសិន (ខេមបូឌា) ឯ.ក</t>
        </is>
      </c>
      <c r="U1772" t="n">
        <v>0</v>
      </c>
      <c r="V1772" t="n">
        <v>0</v>
      </c>
    </row>
    <row r="1773">
      <c r="A1773" t="n">
        <v>1772</v>
      </c>
      <c r="B1773" t="inlineStr">
        <is>
          <t>OM Forwarding Fee, Terminal Handling, Carrier BL, Document Assembly, Handling Fee, VGM Admin Fee, Container Seal, Telex Release and Manifest Fee</t>
        </is>
      </c>
      <c r="C1773" t="inlineStr">
        <is>
          <t>អ៊ិចស្ពែឌីធ័រ ខេមបូឌា អិលធីឌី</t>
        </is>
      </c>
      <c r="D1773" t="inlineStr">
        <is>
          <t>L001-100045898</t>
        </is>
      </c>
      <c r="E1773" t="inlineStr">
        <is>
          <t>TI-0298436</t>
        </is>
      </c>
      <c r="F1773" t="inlineStr">
        <is>
          <t>27-11-2024</t>
        </is>
      </c>
      <c r="G1773" t="n">
        <v>201602</v>
      </c>
      <c r="I1773">
        <f>G1773</f>
        <v/>
      </c>
      <c r="K1773">
        <f>I1773-G1773</f>
        <v/>
      </c>
      <c r="M1773">
        <f>R1773=E1773</f>
        <v/>
      </c>
      <c r="N1773">
        <f>AND(MONTH(F1773)=MONTH(Q1773), YEAR(F1773)=YEAR(Q1773))</f>
        <v/>
      </c>
      <c r="O1773">
        <f>"L001-902303751"=S1773</f>
        <v/>
      </c>
      <c r="P1773">
        <f>G1773-U1773</f>
        <v/>
      </c>
      <c r="Q1773" s="35" t="n">
        <v>45259</v>
      </c>
      <c r="R1773" t="inlineStr"/>
      <c r="S1773" t="inlineStr">
        <is>
          <t>K003-901635943</t>
        </is>
      </c>
      <c r="T1773" t="inlineStr">
        <is>
          <t>អ៊ីឃ្យូឡាញ វើលវ៉ាយដ៍ ឡូជីស្ទីក</t>
        </is>
      </c>
      <c r="U1773" t="n">
        <v>0</v>
      </c>
      <c r="V1773" t="n">
        <v>0</v>
      </c>
    </row>
    <row r="1774">
      <c r="A1774" t="n">
        <v>1773</v>
      </c>
      <c r="B1774" t="inlineStr">
        <is>
          <t>THC Charge, CFS Fee, Scanner Fee, CIC Fee, D/O Fee, Doc Fee, Agency Fee, Handling Fee and Ocean Freight</t>
        </is>
      </c>
      <c r="C1774" t="inlineStr">
        <is>
          <t>ហ្វ្រេត ខនសិប (ខេមបូឌា)</t>
        </is>
      </c>
      <c r="D1774" t="inlineStr">
        <is>
          <t>K009-901502482</t>
        </is>
      </c>
      <c r="E1774" t="inlineStr">
        <is>
          <t>241126</t>
        </is>
      </c>
      <c r="F1774" t="inlineStr">
        <is>
          <t>04-11-2024</t>
        </is>
      </c>
      <c r="G1774" t="n">
        <v>107723</v>
      </c>
      <c r="I1774">
        <f>G1774</f>
        <v/>
      </c>
      <c r="K1774">
        <f>I1774-G1774</f>
        <v/>
      </c>
      <c r="M1774">
        <f>R1774=E1774</f>
        <v/>
      </c>
      <c r="N1774">
        <f>AND(MONTH(F1774)=MONTH(Q1774), YEAR(F1774)=YEAR(Q1774))</f>
        <v/>
      </c>
      <c r="O1774">
        <f>"L001-902303751"=S1774</f>
        <v/>
      </c>
      <c r="P1774">
        <f>G1774-U1774</f>
        <v/>
      </c>
      <c r="Q1774" s="35" t="n">
        <v>45250</v>
      </c>
      <c r="R1774" t="n">
        <v>111240</v>
      </c>
      <c r="S1774" t="inlineStr">
        <is>
          <t>L001-107032791</t>
        </is>
      </c>
      <c r="T1774" t="inlineStr">
        <is>
          <t>នីបផន អិចប្រេស (ខេមបូឌា) ខូ អិលធីឌី</t>
        </is>
      </c>
      <c r="U1774" t="n">
        <v>111240</v>
      </c>
      <c r="V1774" t="n">
        <v>0</v>
      </c>
    </row>
    <row r="1775">
      <c r="A1775" t="n">
        <v>1774</v>
      </c>
      <c r="B1775" t="inlineStr">
        <is>
          <t>THC Charge, CFS Fee, Scanner Fee, CIC Fee, D/O Fee, Doc Fee, Agency Fee, Handling Fee and Ocean Freight</t>
        </is>
      </c>
      <c r="C1775" t="inlineStr">
        <is>
          <t>ហ្វ្រេត ខនសិប (ខេមបូឌា)</t>
        </is>
      </c>
      <c r="D1775" t="inlineStr">
        <is>
          <t>K009-901502482</t>
        </is>
      </c>
      <c r="E1775" t="inlineStr">
        <is>
          <t>241127</t>
        </is>
      </c>
      <c r="F1775" t="inlineStr">
        <is>
          <t>04-11-2024</t>
        </is>
      </c>
      <c r="G1775" t="n">
        <v>109511</v>
      </c>
      <c r="I1775">
        <f>G1775</f>
        <v/>
      </c>
      <c r="K1775">
        <f>I1775-G1775</f>
        <v/>
      </c>
      <c r="M1775">
        <f>R1775=E1775</f>
        <v/>
      </c>
      <c r="N1775">
        <f>AND(MONTH(F1775)=MONTH(Q1775), YEAR(F1775)=YEAR(Q1775))</f>
        <v/>
      </c>
      <c r="O1775">
        <f>"L001-902303751"=S1775</f>
        <v/>
      </c>
      <c r="P1775">
        <f>G1775-U1775</f>
        <v/>
      </c>
      <c r="Q1775" s="35" t="n">
        <v>45253</v>
      </c>
      <c r="R1775" t="n">
        <v>229561</v>
      </c>
      <c r="S1775" t="inlineStr">
        <is>
          <t>L001-103007369</t>
        </is>
      </c>
      <c r="T1775" t="inlineStr">
        <is>
          <t>អូរៀនថល ឡូជីស្ទីក &amp; ឌីស្ទ្រីប៊្យូសិន (ខេមបូឌា)</t>
        </is>
      </c>
      <c r="U1775" t="n">
        <v>229561</v>
      </c>
      <c r="V1775" t="n">
        <v>0</v>
      </c>
    </row>
    <row r="1776">
      <c r="A1776" t="n">
        <v>1775</v>
      </c>
      <c r="B1776" t="inlineStr">
        <is>
          <t>Handling Charge, Documentation Fee, Manifest Filling and Air Freight</t>
        </is>
      </c>
      <c r="C1776" t="inlineStr">
        <is>
          <t>នីបផន អិចប្រេស (ខេមបូឌា) ខូ អិលធីឌី</t>
        </is>
      </c>
      <c r="D1776" t="inlineStr">
        <is>
          <t>L001-107032791</t>
        </is>
      </c>
      <c r="E1776" t="inlineStr">
        <is>
          <t>A8T-15651</t>
        </is>
      </c>
      <c r="F1776" t="inlineStr">
        <is>
          <t>28-11-2024</t>
        </is>
      </c>
      <c r="G1776" t="n">
        <v>46345</v>
      </c>
      <c r="I1776">
        <f>G1776</f>
        <v/>
      </c>
      <c r="K1776">
        <f>I1776-G1776</f>
        <v/>
      </c>
      <c r="M1776">
        <f>R1776=E1776</f>
        <v/>
      </c>
      <c r="N1776">
        <f>AND(MONTH(F1776)=MONTH(Q1776), YEAR(F1776)=YEAR(Q1776))</f>
        <v/>
      </c>
      <c r="O1776">
        <f>"L001-902303751"=S1776</f>
        <v/>
      </c>
      <c r="P1776">
        <f>G1776-U1776</f>
        <v/>
      </c>
      <c r="Q1776" s="35" t="n">
        <v>45253</v>
      </c>
      <c r="R1776" t="inlineStr"/>
      <c r="S1776" t="inlineStr">
        <is>
          <t>L001-103007369</t>
        </is>
      </c>
      <c r="T1776" t="inlineStr">
        <is>
          <t>អូរៀនថល ឡូជីស្ទីក &amp; ឌីស្ទ្រីប៊្យូសិន (ខេមបូឌា)</t>
        </is>
      </c>
      <c r="U1776" t="n">
        <v>0</v>
      </c>
      <c r="V1776" t="n">
        <v>0</v>
      </c>
    </row>
    <row r="1777">
      <c r="A1777" t="n">
        <v>1776</v>
      </c>
      <c r="B1777" t="inlineStr">
        <is>
          <t>Handling Charge, Documentation Fee, Manifest Filling and Air Freight</t>
        </is>
      </c>
      <c r="C1777" t="inlineStr">
        <is>
          <t>នីបផន អិចប្រេស (ខេមបូឌា) ខូ អិលធីឌី</t>
        </is>
      </c>
      <c r="D1777" t="inlineStr">
        <is>
          <t>L001-107032791</t>
        </is>
      </c>
      <c r="E1777" t="inlineStr">
        <is>
          <t>A8T-15650</t>
        </is>
      </c>
      <c r="F1777" t="inlineStr">
        <is>
          <t>28-11-2024</t>
        </is>
      </c>
      <c r="G1777" t="n">
        <v>46345</v>
      </c>
      <c r="I1777">
        <f>G1777</f>
        <v/>
      </c>
      <c r="K1777">
        <f>I1777-G1777</f>
        <v/>
      </c>
      <c r="M1777">
        <f>R1777=E1777</f>
        <v/>
      </c>
      <c r="N1777">
        <f>AND(MONTH(F1777)=MONTH(Q1777), YEAR(F1777)=YEAR(Q1777))</f>
        <v/>
      </c>
      <c r="O1777">
        <f>"L001-902303751"=S1777</f>
        <v/>
      </c>
      <c r="P1777">
        <f>G1777-U1777</f>
        <v/>
      </c>
      <c r="Q1777" s="35" t="n">
        <v>45244</v>
      </c>
      <c r="R1777" t="inlineStr"/>
      <c r="S1777" t="inlineStr">
        <is>
          <t>L001-100045898</t>
        </is>
      </c>
      <c r="T1777" t="inlineStr">
        <is>
          <t>អ៊ិចស្ពែឌីធ័រ ខេមបូឌា អិលធីឌី</t>
        </is>
      </c>
      <c r="U1777" t="n">
        <v>0</v>
      </c>
      <c r="V1777" t="n">
        <v>0</v>
      </c>
    </row>
    <row r="1778">
      <c r="A1778" t="n">
        <v>1777</v>
      </c>
      <c r="B1778" t="inlineStr">
        <is>
          <t>CFS Handling, Carrier BL, Document Assembly, Terminal Handling, Handling Fee, VGM Processing Fee, Fuel Surcharge, Telex Release and Manifest Fee</t>
        </is>
      </c>
      <c r="C1778" t="inlineStr">
        <is>
          <t>អ៊ិចស្ពែឌីធ័រ ខេមបូឌា អិលធីឌី</t>
        </is>
      </c>
      <c r="D1778" t="inlineStr">
        <is>
          <t>L001-100045898</t>
        </is>
      </c>
      <c r="E1778" t="inlineStr">
        <is>
          <t>TI-0298459</t>
        </is>
      </c>
      <c r="F1778" t="inlineStr">
        <is>
          <t>27-11-2024</t>
        </is>
      </c>
      <c r="G1778" t="n">
        <v>171463</v>
      </c>
      <c r="I1778">
        <f>G1778</f>
        <v/>
      </c>
      <c r="K1778">
        <f>I1778-G1778</f>
        <v/>
      </c>
      <c r="M1778">
        <f>R1778=E1778</f>
        <v/>
      </c>
      <c r="N1778">
        <f>AND(MONTH(F1778)=MONTH(Q1778), YEAR(F1778)=YEAR(Q1778))</f>
        <v/>
      </c>
      <c r="O1778">
        <f>"L001-902303751"=S1778</f>
        <v/>
      </c>
      <c r="P1778">
        <f>G1778-U1778</f>
        <v/>
      </c>
      <c r="Q1778" s="35" t="n">
        <v>45231</v>
      </c>
      <c r="R1778" t="inlineStr"/>
      <c r="S1778" t="inlineStr">
        <is>
          <t>L001-100063098</t>
        </is>
      </c>
      <c r="T1778" t="inlineStr">
        <is>
          <t>ឆាយ ដា ឡូយីស្ទីក</t>
        </is>
      </c>
      <c r="U1778" t="n">
        <v>0</v>
      </c>
      <c r="V1778" t="n">
        <v>0</v>
      </c>
    </row>
    <row r="1779">
      <c r="A1779" t="n">
        <v>1778</v>
      </c>
      <c r="B1779" t="inlineStr">
        <is>
          <t>CFS Handling, Carrier BL, Document Assembly, Terminal Handling, VGM Processing Fee and Manifest Fee</t>
        </is>
      </c>
      <c r="C1779" t="inlineStr">
        <is>
          <t>អ៊ិចស្ពែឌីធ័រ ខេមបូឌា អិលធីឌី</t>
        </is>
      </c>
      <c r="D1779" t="inlineStr">
        <is>
          <t>L001-100045898</t>
        </is>
      </c>
      <c r="E1779" t="inlineStr">
        <is>
          <t>TI-0298431</t>
        </is>
      </c>
      <c r="F1779" t="inlineStr">
        <is>
          <t>27-11-2024</t>
        </is>
      </c>
      <c r="G1779" t="n">
        <v>90942</v>
      </c>
      <c r="I1779">
        <f>G1779</f>
        <v/>
      </c>
      <c r="K1779">
        <f>I1779-G1779</f>
        <v/>
      </c>
      <c r="M1779">
        <f>R1779=E1779</f>
        <v/>
      </c>
      <c r="N1779">
        <f>AND(MONTH(F1779)=MONTH(Q1779), YEAR(F1779)=YEAR(Q1779))</f>
        <v/>
      </c>
      <c r="O1779">
        <f>"L001-902303751"=S1779</f>
        <v/>
      </c>
      <c r="P1779">
        <f>G1779-U1779</f>
        <v/>
      </c>
      <c r="Q1779" s="35" t="n">
        <v>45231</v>
      </c>
      <c r="R1779" t="inlineStr"/>
      <c r="S1779" t="inlineStr">
        <is>
          <t>L001-100063098</t>
        </is>
      </c>
      <c r="T1779" t="inlineStr">
        <is>
          <t>ឆាយ ដា ឡូយីស្ទីក</t>
        </is>
      </c>
      <c r="U1779" t="n">
        <v>0</v>
      </c>
      <c r="V1779" t="n">
        <v>0</v>
      </c>
    </row>
    <row r="1780">
      <c r="A1780" t="n">
        <v>1779</v>
      </c>
      <c r="B1780" t="inlineStr">
        <is>
          <t>CFS Handling, Carrier BL, Document Assembly, Terminal Handling, VGM Processing Fee and Manifest Fee</t>
        </is>
      </c>
      <c r="C1780" t="inlineStr">
        <is>
          <t>អ៊ិចស្ពែឌីធ័រ ខេមបូឌា អិលធីឌី</t>
        </is>
      </c>
      <c r="D1780" t="inlineStr">
        <is>
          <t>L001-100045898</t>
        </is>
      </c>
      <c r="E1780" t="inlineStr">
        <is>
          <t>TI-0298432</t>
        </is>
      </c>
      <c r="F1780" t="inlineStr">
        <is>
          <t>27-11-2024</t>
        </is>
      </c>
      <c r="G1780" t="n">
        <v>82894</v>
      </c>
      <c r="I1780">
        <f>G1780</f>
        <v/>
      </c>
      <c r="K1780">
        <f>I1780-G1780</f>
        <v/>
      </c>
      <c r="M1780">
        <f>R1780=E1780</f>
        <v/>
      </c>
      <c r="N1780">
        <f>AND(MONTH(F1780)=MONTH(Q1780), YEAR(F1780)=YEAR(Q1780))</f>
        <v/>
      </c>
      <c r="O1780">
        <f>"L001-902303751"=S1780</f>
        <v/>
      </c>
      <c r="P1780">
        <f>G1780-U1780</f>
        <v/>
      </c>
      <c r="Q1780" s="35" t="n">
        <v>45244</v>
      </c>
      <c r="R1780" t="inlineStr"/>
      <c r="S1780" t="inlineStr">
        <is>
          <t>L001-107032791</t>
        </is>
      </c>
      <c r="T1780" t="inlineStr">
        <is>
          <t>នីបផន អិចប្រេស (ខេមបូឌា) ខូ អិលធីឌី</t>
        </is>
      </c>
      <c r="U1780" t="n">
        <v>0</v>
      </c>
      <c r="V1780" t="n">
        <v>0</v>
      </c>
    </row>
    <row r="1781">
      <c r="A1781" t="n">
        <v>1780</v>
      </c>
      <c r="B1781" t="inlineStr">
        <is>
          <t>Monthly Charge of Photo Copier Rental from 06/10/2024-06/11/2024</t>
        </is>
      </c>
      <c r="C1781" t="inlineStr">
        <is>
          <t>វី.អាយ.អេស ខភៀ ឯ.ក</t>
        </is>
      </c>
      <c r="D1781" t="inlineStr">
        <is>
          <t>K007-901705195</t>
        </is>
      </c>
      <c r="E1781" t="inlineStr">
        <is>
          <t>RNT241125</t>
        </is>
      </c>
      <c r="F1781" t="inlineStr">
        <is>
          <t>06-11-2024</t>
        </is>
      </c>
      <c r="G1781" t="n">
        <v>56896</v>
      </c>
      <c r="I1781">
        <f>G1781</f>
        <v/>
      </c>
      <c r="K1781">
        <f>I1781-G1781</f>
        <v/>
      </c>
      <c r="M1781">
        <f>R1781=E1781</f>
        <v/>
      </c>
      <c r="N1781">
        <f>AND(MONTH(F1781)=MONTH(Q1781), YEAR(F1781)=YEAR(Q1781))</f>
        <v/>
      </c>
      <c r="O1781">
        <f>"L001-902303751"=S1781</f>
        <v/>
      </c>
      <c r="P1781">
        <f>G1781-U1781</f>
        <v/>
      </c>
      <c r="Q1781" s="35" t="n">
        <v>45244</v>
      </c>
      <c r="R1781" t="n">
        <v>924750</v>
      </c>
      <c r="S1781" t="inlineStr">
        <is>
          <t>K002-901800477</t>
        </is>
      </c>
      <c r="T1781" t="inlineStr">
        <is>
          <t>អាយធីអាយ អ៊ិនធើណេសិនណល ត្រេនស័្ពរថេសិន (ខេមបូឌា) ឯ.ក</t>
        </is>
      </c>
      <c r="U1781" t="n">
        <v>924750</v>
      </c>
      <c r="V1781" t="n">
        <v>0</v>
      </c>
    </row>
    <row r="1782">
      <c r="A1782" t="n">
        <v>1781</v>
      </c>
      <c r="B1782" t="inlineStr">
        <is>
          <t>Monthly Charge of Photo Copier Rental from 06/10/2024-06/11/2024</t>
        </is>
      </c>
      <c r="C1782" t="inlineStr">
        <is>
          <t>វី.អាយ.អេស ខភៀ ឯ.ក</t>
        </is>
      </c>
      <c r="D1782" t="inlineStr">
        <is>
          <t>K007-901705195</t>
        </is>
      </c>
      <c r="E1782" t="inlineStr">
        <is>
          <t>RNT241124</t>
        </is>
      </c>
      <c r="F1782" t="inlineStr">
        <is>
          <t>06-11-2024</t>
        </is>
      </c>
      <c r="G1782" t="n">
        <v>28448</v>
      </c>
      <c r="I1782">
        <f>G1782</f>
        <v/>
      </c>
      <c r="K1782">
        <f>I1782-G1782</f>
        <v/>
      </c>
      <c r="M1782">
        <f>R1782=E1782</f>
        <v/>
      </c>
      <c r="N1782">
        <f>AND(MONTH(F1782)=MONTH(Q1782), YEAR(F1782)=YEAR(Q1782))</f>
        <v/>
      </c>
      <c r="O1782">
        <f>"L001-902303751"=S1782</f>
        <v/>
      </c>
      <c r="P1782">
        <f>G1782-U1782</f>
        <v/>
      </c>
      <c r="Q1782" s="35" t="n">
        <v>45255</v>
      </c>
      <c r="R1782" t="n">
        <v>102875</v>
      </c>
      <c r="S1782" t="inlineStr">
        <is>
          <t>K003-901635943</t>
        </is>
      </c>
      <c r="T1782" t="inlineStr">
        <is>
          <t>អ៊ីឃ្យូឡាញ វើលវ៉ាយដ៍ ឡូជីស្ទីក</t>
        </is>
      </c>
      <c r="U1782" t="n">
        <v>102875</v>
      </c>
      <c r="V1782" t="n">
        <v>0</v>
      </c>
    </row>
    <row r="1783">
      <c r="A1783" t="n">
        <v>1782</v>
      </c>
      <c r="B1783" t="inlineStr">
        <is>
          <t>Monthly Charge of Photo Copier Rental from 06/10/2024-06/11/2024</t>
        </is>
      </c>
      <c r="C1783" t="inlineStr">
        <is>
          <t>វី.អាយ.អេស ខភៀ ឯ.ក</t>
        </is>
      </c>
      <c r="D1783" t="inlineStr">
        <is>
          <t>K007-901705195</t>
        </is>
      </c>
      <c r="E1783" t="inlineStr">
        <is>
          <t>RNT241123</t>
        </is>
      </c>
      <c r="F1783" t="inlineStr">
        <is>
          <t>06-11-2024</t>
        </is>
      </c>
      <c r="G1783" t="n">
        <v>26416</v>
      </c>
      <c r="I1783">
        <f>G1783</f>
        <v/>
      </c>
      <c r="K1783">
        <f>I1783-G1783</f>
        <v/>
      </c>
      <c r="M1783">
        <f>R1783=E1783</f>
        <v/>
      </c>
      <c r="N1783">
        <f>AND(MONTH(F1783)=MONTH(Q1783), YEAR(F1783)=YEAR(Q1783))</f>
        <v/>
      </c>
      <c r="O1783">
        <f>"L001-902303751"=S1783</f>
        <v/>
      </c>
      <c r="P1783">
        <f>G1783-U1783</f>
        <v/>
      </c>
      <c r="Q1783" s="35" t="n">
        <v>45259</v>
      </c>
      <c r="R1783" t="n">
        <v>111105</v>
      </c>
      <c r="S1783" t="inlineStr">
        <is>
          <t>L001-107000385</t>
        </is>
      </c>
      <c r="T1783" t="inlineStr">
        <is>
          <t>អិចស្ពោលាំងកា ហ្រ្វេត (ខេមបូឌា) លីមីធីត</t>
        </is>
      </c>
      <c r="U1783" t="n">
        <v>111105</v>
      </c>
      <c r="V1783" t="n">
        <v>0</v>
      </c>
    </row>
    <row r="1784">
      <c r="A1784" t="n">
        <v>1783</v>
      </c>
      <c r="B1784" t="inlineStr">
        <is>
          <t>THC Fee, LCL Fee, Scanner Fee, Document Fee, Agency Fee, DO Fee and CIC</t>
        </is>
      </c>
      <c r="C1784" t="inlineStr">
        <is>
          <t>ខ្វនធើម ឡូជីស្ទីក (ខេមបូឌា) ឯ.ក</t>
        </is>
      </c>
      <c r="D1784" t="inlineStr">
        <is>
          <t>K002-901900921</t>
        </is>
      </c>
      <c r="E1784" t="inlineStr">
        <is>
          <t>QT241639</t>
        </is>
      </c>
      <c r="F1784" t="inlineStr">
        <is>
          <t>13-11-2024</t>
        </is>
      </c>
      <c r="G1784" t="n">
        <v>135648</v>
      </c>
      <c r="I1784">
        <f>G1784</f>
        <v/>
      </c>
      <c r="K1784">
        <f>I1784-G1784</f>
        <v/>
      </c>
      <c r="M1784">
        <f>R1784=E1784</f>
        <v/>
      </c>
      <c r="N1784">
        <f>AND(MONTH(F1784)=MONTH(Q1784), YEAR(F1784)=YEAR(Q1784))</f>
        <v/>
      </c>
      <c r="O1784">
        <f>"L001-902303751"=S1784</f>
        <v/>
      </c>
      <c r="P1784">
        <f>G1784-U1784</f>
        <v/>
      </c>
      <c r="Q1784" s="35" t="n">
        <v>45259</v>
      </c>
      <c r="R1784" t="n">
        <v>113574</v>
      </c>
      <c r="S1784" t="inlineStr">
        <is>
          <t>K003-901635943</t>
        </is>
      </c>
      <c r="T1784" t="inlineStr">
        <is>
          <t>អ៊ីឃ្យូឡាញ វើលវ៉ាយដ៍ ឡូជីស្ទីក</t>
        </is>
      </c>
      <c r="U1784" t="n">
        <v>113574</v>
      </c>
      <c r="V1784" t="n">
        <v>0</v>
      </c>
    </row>
    <row r="1785">
      <c r="A1785" t="n">
        <v>1784</v>
      </c>
      <c r="B1785" t="inlineStr">
        <is>
          <t>Customs Clearance Fee and Trucking Fee</t>
        </is>
      </c>
      <c r="C1785" t="inlineStr">
        <is>
          <t>ត្រាយអ៊ែងហ្គល ឡូជីស្ទីក (ខេមបូឌា) ឯ.ក</t>
        </is>
      </c>
      <c r="D1785" t="inlineStr">
        <is>
          <t>K010-902101743</t>
        </is>
      </c>
      <c r="E1785" t="inlineStr">
        <is>
          <t>TAG-24-00883</t>
        </is>
      </c>
      <c r="F1785" t="inlineStr">
        <is>
          <t>28-11-2024</t>
        </is>
      </c>
      <c r="G1785" t="n">
        <v>46103</v>
      </c>
      <c r="I1785">
        <f>G1785</f>
        <v/>
      </c>
      <c r="K1785">
        <f>I1785-G1785</f>
        <v/>
      </c>
      <c r="M1785">
        <f>R1785=E1785</f>
        <v/>
      </c>
      <c r="N1785">
        <f>AND(MONTH(F1785)=MONTH(Q1785), YEAR(F1785)=YEAR(Q1785))</f>
        <v/>
      </c>
      <c r="O1785">
        <f>"L001-902303751"=S1785</f>
        <v/>
      </c>
      <c r="P1785">
        <f>G1785-U1785</f>
        <v/>
      </c>
      <c r="Q1785" s="35" t="n">
        <v>45253</v>
      </c>
      <c r="R1785" t="n">
        <v>82280</v>
      </c>
      <c r="S1785" t="inlineStr">
        <is>
          <t>L001-100045995</t>
        </is>
      </c>
      <c r="T1785" t="inlineStr">
        <is>
          <t>ឌីអេចអិល ឡូជីស្ទីក (ខេមបូឌា)</t>
        </is>
      </c>
      <c r="U1785" t="n">
        <v>82280</v>
      </c>
      <c r="V1785" t="n">
        <v>0</v>
      </c>
    </row>
    <row r="1786">
      <c r="A1786" t="n">
        <v>1785</v>
      </c>
      <c r="B1786" t="inlineStr">
        <is>
          <t>Terminal Handling Charge, EMF, 3 Party Trucking, Container Imbalance Charge, D/O Fee, Document Fee and Handling Charge</t>
        </is>
      </c>
      <c r="C1786" t="inlineStr">
        <is>
          <t>ខេអិលអិន ហ្វ្រេត (ខេមបូឌា) ឯ.ក</t>
        </is>
      </c>
      <c r="D1786" t="inlineStr">
        <is>
          <t>L001-100074669</t>
        </is>
      </c>
      <c r="E1786" t="inlineStr">
        <is>
          <t>IVO18306</t>
        </is>
      </c>
      <c r="F1786" t="inlineStr">
        <is>
          <t>21-11-2024</t>
        </is>
      </c>
      <c r="G1786" t="n">
        <v>122740</v>
      </c>
      <c r="I1786">
        <f>G1786</f>
        <v/>
      </c>
      <c r="K1786">
        <f>I1786-G1786</f>
        <v/>
      </c>
      <c r="M1786">
        <f>R1786=E1786</f>
        <v/>
      </c>
      <c r="N1786">
        <f>AND(MONTH(F1786)=MONTH(Q1786), YEAR(F1786)=YEAR(Q1786))</f>
        <v/>
      </c>
      <c r="O1786">
        <f>"L001-902303751"=S1786</f>
        <v/>
      </c>
      <c r="P1786">
        <f>G1786-U1786</f>
        <v/>
      </c>
      <c r="Q1786" s="35" t="n">
        <v>45244</v>
      </c>
      <c r="R1786" t="inlineStr"/>
      <c r="S1786" t="inlineStr">
        <is>
          <t>L001-902000739</t>
        </is>
      </c>
      <c r="T1786" t="inlineStr">
        <is>
          <t>អាន រ៉ុង ហ្ស៊ី យី ឯ.ក</t>
        </is>
      </c>
      <c r="U1786" t="n">
        <v>0</v>
      </c>
      <c r="V1786" t="n">
        <v>0</v>
      </c>
    </row>
    <row r="1787">
      <c r="A1787" t="n">
        <v>1786</v>
      </c>
      <c r="B1787" t="inlineStr">
        <is>
          <t>Customs Clearance Fee and Trucking Fee</t>
        </is>
      </c>
      <c r="C1787" t="inlineStr">
        <is>
          <t>ត្រាយអ៊ែងហ្គល ឡូជីស្ទីក (ខេមបូឌា) ឯ.ក</t>
        </is>
      </c>
      <c r="D1787" t="inlineStr">
        <is>
          <t>K010-902101743</t>
        </is>
      </c>
      <c r="E1787" t="inlineStr">
        <is>
          <t>TAG-24-00859</t>
        </is>
      </c>
      <c r="F1787" t="inlineStr">
        <is>
          <t>18-11-2024</t>
        </is>
      </c>
      <c r="G1787" t="n">
        <v>109107</v>
      </c>
      <c r="I1787">
        <f>G1787</f>
        <v/>
      </c>
      <c r="K1787">
        <f>I1787-G1787</f>
        <v/>
      </c>
      <c r="M1787">
        <f>R1787=E1787</f>
        <v/>
      </c>
      <c r="N1787">
        <f>AND(MONTH(F1787)=MONTH(Q1787), YEAR(F1787)=YEAR(Q1787))</f>
        <v/>
      </c>
      <c r="O1787">
        <f>"L001-902303751"=S1787</f>
        <v/>
      </c>
      <c r="P1787">
        <f>G1787-U1787</f>
        <v/>
      </c>
      <c r="Q1787" s="35" t="n">
        <v>45231</v>
      </c>
      <c r="R1787" t="n">
        <v>384369</v>
      </c>
      <c r="S1787" t="inlineStr">
        <is>
          <t>L001-103007369</t>
        </is>
      </c>
      <c r="T1787" t="inlineStr">
        <is>
          <t>អូរៀនថល ឡូជីស្ទីក &amp; ឌីស្ទ្រីប៊្យូសិន (ខេមបូឌា)</t>
        </is>
      </c>
      <c r="U1787" t="n">
        <v>384369</v>
      </c>
      <c r="V1787" t="n">
        <v>0</v>
      </c>
    </row>
    <row r="1788">
      <c r="A1788" t="n">
        <v>1787</v>
      </c>
      <c r="B1788" t="inlineStr">
        <is>
          <t>Document Handover Fee and Handling Charge</t>
        </is>
      </c>
      <c r="C1788" t="inlineStr">
        <is>
          <t>យូសេន ឡូជីស្ទីក (ខេមបូឌា) ខូ អិលធីឌី</t>
        </is>
      </c>
      <c r="D1788" t="inlineStr">
        <is>
          <t>L001-104015799</t>
        </is>
      </c>
      <c r="E1788" t="inlineStr">
        <is>
          <t>PNHTI0072296</t>
        </is>
      </c>
      <c r="F1788" t="inlineStr">
        <is>
          <t>10-11-2024</t>
        </is>
      </c>
      <c r="G1788" t="n">
        <v>32496</v>
      </c>
      <c r="I1788">
        <f>G1788</f>
        <v/>
      </c>
      <c r="K1788">
        <f>I1788-G1788</f>
        <v/>
      </c>
      <c r="M1788">
        <f>R1788=E1788</f>
        <v/>
      </c>
      <c r="N1788">
        <f>AND(MONTH(F1788)=MONTH(Q1788), YEAR(F1788)=YEAR(Q1788))</f>
        <v/>
      </c>
      <c r="O1788">
        <f>"L001-902303751"=S1788</f>
        <v/>
      </c>
      <c r="P1788">
        <f>G1788-U1788</f>
        <v/>
      </c>
      <c r="Q1788" s="35" t="n">
        <v>45231</v>
      </c>
      <c r="R1788" t="n">
        <v>384369</v>
      </c>
      <c r="S1788" t="inlineStr">
        <is>
          <t>L001-901500191</t>
        </is>
      </c>
      <c r="T1788" t="inlineStr">
        <is>
          <t>អ.អិន.វ៉ាយ ត្រេនស្ព័ត</t>
        </is>
      </c>
      <c r="U1788" t="n">
        <v>384369</v>
      </c>
      <c r="V1788" t="n">
        <v>0</v>
      </c>
    </row>
    <row r="1789">
      <c r="A1789" t="n">
        <v>1788</v>
      </c>
      <c r="B1789" t="inlineStr">
        <is>
          <t>Cargo Terminal</t>
        </is>
      </c>
      <c r="C1789" t="inlineStr">
        <is>
          <t>សូស៊ីយេតេ កុងសេស្យូនែរ ដឺ ឡាអេរ៉ូព័រ</t>
        </is>
      </c>
      <c r="D1789" t="inlineStr">
        <is>
          <t>L001-100047300</t>
        </is>
      </c>
      <c r="E1789" t="inlineStr">
        <is>
          <t>2400091987</t>
        </is>
      </c>
      <c r="F1789" t="inlineStr">
        <is>
          <t>12-11-2024</t>
        </is>
      </c>
      <c r="G1789" t="n">
        <v>5221</v>
      </c>
      <c r="I1789">
        <f>G1789</f>
        <v/>
      </c>
      <c r="K1789">
        <f>I1789-G1789</f>
        <v/>
      </c>
      <c r="M1789">
        <f>R1789=E1789</f>
        <v/>
      </c>
      <c r="N1789">
        <f>AND(MONTH(F1789)=MONTH(Q1789), YEAR(F1789)=YEAR(Q1789))</f>
        <v/>
      </c>
      <c r="O1789">
        <f>"L001-902303751"=S1789</f>
        <v/>
      </c>
      <c r="P1789">
        <f>G1789-U1789</f>
        <v/>
      </c>
      <c r="Q1789" s="35" t="n">
        <v>45231</v>
      </c>
      <c r="R1789" t="n">
        <v>202517</v>
      </c>
      <c r="S1789" t="inlineStr">
        <is>
          <t>L001-100044956</t>
        </is>
      </c>
      <c r="T1789" t="inlineStr">
        <is>
          <t>ជី លីង អិចប្រេស ឡូជីស្ទីក (ខេមបូឌា) លីមីធីត</t>
        </is>
      </c>
      <c r="U1789" t="n">
        <v>202517</v>
      </c>
      <c r="V1789" t="n">
        <v>0</v>
      </c>
    </row>
    <row r="1790">
      <c r="A1790" t="n">
        <v>1789</v>
      </c>
      <c r="B1790" t="inlineStr">
        <is>
          <t>Customs Clearance Fee and Trucking Fee</t>
        </is>
      </c>
      <c r="C1790" t="inlineStr">
        <is>
          <t>ត្រាយអ៊ែងហ្គល ឡូជីស្ទីក (ខេមបូឌា) ឯ.ក</t>
        </is>
      </c>
      <c r="D1790" t="inlineStr">
        <is>
          <t>K010-902101743</t>
        </is>
      </c>
      <c r="E1790" t="inlineStr">
        <is>
          <t>TAG-24-00882</t>
        </is>
      </c>
      <c r="F1790" t="inlineStr">
        <is>
          <t>28-11-2024</t>
        </is>
      </c>
      <c r="G1790" t="n">
        <v>28210</v>
      </c>
      <c r="I1790">
        <f>G1790</f>
        <v/>
      </c>
      <c r="K1790">
        <f>I1790-G1790</f>
        <v/>
      </c>
      <c r="M1790">
        <f>R1790=E1790</f>
        <v/>
      </c>
      <c r="N1790">
        <f>AND(MONTH(F1790)=MONTH(Q1790), YEAR(F1790)=YEAR(Q1790))</f>
        <v/>
      </c>
      <c r="O1790">
        <f>"L001-902303751"=S1790</f>
        <v/>
      </c>
      <c r="P1790">
        <f>G1790-U1790</f>
        <v/>
      </c>
      <c r="Q1790" s="35" t="n">
        <v>45231</v>
      </c>
      <c r="R1790" t="n">
        <v>82660</v>
      </c>
      <c r="S1790" t="inlineStr">
        <is>
          <t>K002-901800477</t>
        </is>
      </c>
      <c r="T1790" t="inlineStr">
        <is>
          <t>អាយធីអាយ អ៊ិនធើណេសិនណល ត្រេនស័្ពរថេសិន (ខេមបូឌា) ឯ.ក</t>
        </is>
      </c>
      <c r="U1790" t="n">
        <v>82660</v>
      </c>
      <c r="V1790" t="n">
        <v>0</v>
      </c>
    </row>
    <row r="1791">
      <c r="A1791" t="n">
        <v>1790</v>
      </c>
      <c r="B1791" t="inlineStr">
        <is>
          <t>Demurrage and Storage</t>
        </is>
      </c>
      <c r="C1791" t="inlineStr">
        <is>
          <t>ហ្វ្រេតាស (ខេមបូឌា) ឯ.ក</t>
        </is>
      </c>
      <c r="D1791" t="inlineStr">
        <is>
          <t>K007-901638107</t>
        </is>
      </c>
      <c r="E1791" t="inlineStr">
        <is>
          <t>Y24-148</t>
        </is>
      </c>
      <c r="F1791" t="inlineStr">
        <is>
          <t>18-11-2024</t>
        </is>
      </c>
      <c r="G1791" t="n">
        <v>44047</v>
      </c>
      <c r="I1791">
        <f>G1791</f>
        <v/>
      </c>
      <c r="K1791">
        <f>I1791-G1791</f>
        <v/>
      </c>
      <c r="M1791">
        <f>R1791=E1791</f>
        <v/>
      </c>
      <c r="N1791">
        <f>AND(MONTH(F1791)=MONTH(Q1791), YEAR(F1791)=YEAR(Q1791))</f>
        <v/>
      </c>
      <c r="O1791">
        <f>"L001-902303751"=S1791</f>
        <v/>
      </c>
      <c r="P1791">
        <f>G1791-U1791</f>
        <v/>
      </c>
      <c r="Q1791" s="35" t="n">
        <v>45233</v>
      </c>
      <c r="R1791" t="n">
        <v>82620</v>
      </c>
      <c r="S1791" t="inlineStr">
        <is>
          <t>L001-107032791</t>
        </is>
      </c>
      <c r="T1791" t="inlineStr">
        <is>
          <t>នីបផន អិចប្រេស (ខេមបូឌា) ខូ អិលធីឌី</t>
        </is>
      </c>
      <c r="U1791" t="n">
        <v>82620</v>
      </c>
      <c r="V1791" t="n">
        <v>0</v>
      </c>
    </row>
    <row r="1792">
      <c r="A1792" t="n">
        <v>1791</v>
      </c>
      <c r="B1792" t="inlineStr">
        <is>
          <t>THC, CFS, Scan Fee, CIC-Imbalance, Agency Fee, Document Fee, D.O Fee, LSS, Handling Fee, Importer Security Filing, Fuel Surcharge and Inbound Manifest Filing</t>
        </is>
      </c>
      <c r="C1792" t="inlineStr">
        <is>
          <t>ហ្វ្រេតាស (ខេមបូឌា) ឯ.ក</t>
        </is>
      </c>
      <c r="D1792" t="inlineStr">
        <is>
          <t>K007-901638107</t>
        </is>
      </c>
      <c r="E1792" t="inlineStr">
        <is>
          <t>Y24-147</t>
        </is>
      </c>
      <c r="F1792" t="inlineStr">
        <is>
          <t>11-11-2024</t>
        </is>
      </c>
      <c r="G1792" t="n">
        <v>210057</v>
      </c>
      <c r="I1792">
        <f>G1792</f>
        <v/>
      </c>
      <c r="K1792">
        <f>I1792-G1792</f>
        <v/>
      </c>
      <c r="M1792">
        <f>R1792=E1792</f>
        <v/>
      </c>
      <c r="N1792">
        <f>AND(MONTH(F1792)=MONTH(Q1792), YEAR(F1792)=YEAR(Q1792))</f>
        <v/>
      </c>
      <c r="O1792">
        <f>"L001-902303751"=S1792</f>
        <v/>
      </c>
      <c r="P1792">
        <f>G1792-U1792</f>
        <v/>
      </c>
      <c r="Q1792" s="35" t="n">
        <v>45231</v>
      </c>
      <c r="R1792" t="n">
        <v>111591</v>
      </c>
      <c r="S1792" t="inlineStr">
        <is>
          <t>K002-901800477</t>
        </is>
      </c>
      <c r="T1792" t="inlineStr">
        <is>
          <t>អាយធីអាយ អ៊ិនធើណេសិនណល ត្រេនស័្ពរថេសិន (ខេមបូឌា) ឯ.ក</t>
        </is>
      </c>
      <c r="U1792" t="n">
        <v>111591</v>
      </c>
      <c r="V1792" t="n">
        <v>0</v>
      </c>
    </row>
    <row r="1793">
      <c r="A1793" t="n">
        <v>1792</v>
      </c>
      <c r="B1793" t="inlineStr">
        <is>
          <t>Customs Clearance Fee and Trucking Fee</t>
        </is>
      </c>
      <c r="C1793" t="inlineStr">
        <is>
          <t>ត្រាយអ៊ែងហ្គល ឡូជីស្ទីក (ខេមបូឌា) ឯ.ក</t>
        </is>
      </c>
      <c r="D1793" t="inlineStr">
        <is>
          <t>K010-902101743</t>
        </is>
      </c>
      <c r="E1793" t="inlineStr">
        <is>
          <t>TAG-24-00885</t>
        </is>
      </c>
      <c r="F1793" t="inlineStr">
        <is>
          <t>28-11-2024</t>
        </is>
      </c>
      <c r="G1793" t="n">
        <v>34497</v>
      </c>
      <c r="I1793">
        <f>G1793</f>
        <v/>
      </c>
      <c r="K1793">
        <f>I1793-G1793</f>
        <v/>
      </c>
      <c r="M1793">
        <f>R1793=E1793</f>
        <v/>
      </c>
      <c r="N1793">
        <f>AND(MONTH(F1793)=MONTH(Q1793), YEAR(F1793)=YEAR(Q1793))</f>
        <v/>
      </c>
      <c r="O1793">
        <f>"L001-902303751"=S1793</f>
        <v/>
      </c>
      <c r="P1793">
        <f>G1793-U1793</f>
        <v/>
      </c>
      <c r="Q1793" s="35" t="n">
        <v>45231</v>
      </c>
      <c r="R1793" t="n">
        <v>111591</v>
      </c>
      <c r="S1793" t="inlineStr">
        <is>
          <t>K005-901501155</t>
        </is>
      </c>
      <c r="T1793" t="inlineStr">
        <is>
          <t>ផេនដា គ្លូប៊ល ឡូជីស្ទីក (ខេមបូឌា)</t>
        </is>
      </c>
      <c r="U1793" t="n">
        <v>111591</v>
      </c>
      <c r="V1793" t="n">
        <v>0</v>
      </c>
    </row>
    <row r="1794">
      <c r="A1794" t="n">
        <v>1793</v>
      </c>
      <c r="B1794" t="inlineStr">
        <is>
          <t>DOC Fee and Agency Fee</t>
        </is>
      </c>
      <c r="C1794" t="inlineStr">
        <is>
          <t>អ៊ែតវ៉ានស៍ គ្លរី ឡូជីស្ទីក (ខេមបូឌា) (អេ ជី អិល)</t>
        </is>
      </c>
      <c r="D1794" t="inlineStr">
        <is>
          <t>K005-100059945</t>
        </is>
      </c>
      <c r="E1794" t="inlineStr">
        <is>
          <t>AGL2401732</t>
        </is>
      </c>
      <c r="F1794" t="inlineStr">
        <is>
          <t>07-11-2024</t>
        </is>
      </c>
      <c r="G1794" t="n">
        <v>44693</v>
      </c>
      <c r="I1794">
        <f>G1794</f>
        <v/>
      </c>
      <c r="K1794">
        <f>I1794-G1794</f>
        <v/>
      </c>
      <c r="M1794">
        <f>R1794=E1794</f>
        <v/>
      </c>
      <c r="N1794">
        <f>AND(MONTH(F1794)=MONTH(Q1794), YEAR(F1794)=YEAR(Q1794))</f>
        <v/>
      </c>
      <c r="O1794">
        <f>"L001-902303751"=S1794</f>
        <v/>
      </c>
      <c r="P1794">
        <f>G1794-U1794</f>
        <v/>
      </c>
      <c r="Q1794" s="35" t="n">
        <v>45236</v>
      </c>
      <c r="R1794" t="n">
        <v>82620</v>
      </c>
      <c r="S1794" t="inlineStr">
        <is>
          <t>L001-107032791</t>
        </is>
      </c>
      <c r="T1794" t="inlineStr">
        <is>
          <t>នីបផន អិចប្រេស (ខេមបូឌា) ខូ អិលធីឌី</t>
        </is>
      </c>
      <c r="U1794" t="n">
        <v>82620</v>
      </c>
      <c r="V1794" t="n">
        <v>0</v>
      </c>
    </row>
    <row r="1795">
      <c r="A1795" t="n">
        <v>1794</v>
      </c>
      <c r="B1795" t="inlineStr">
        <is>
          <t>Cargo Terminal</t>
        </is>
      </c>
      <c r="C1795" t="inlineStr">
        <is>
          <t>សូស៊ីយេតេ កុងសេស្យូនែរ ដឺ ឡាអេរ៉ូព័រ</t>
        </is>
      </c>
      <c r="D1795" t="inlineStr">
        <is>
          <t>L001-100047300</t>
        </is>
      </c>
      <c r="E1795" t="inlineStr">
        <is>
          <t>2400090645</t>
        </is>
      </c>
      <c r="F1795" t="inlineStr">
        <is>
          <t>08-11-2024</t>
        </is>
      </c>
      <c r="G1795" t="n">
        <v>4158</v>
      </c>
      <c r="I1795">
        <f>G1795</f>
        <v/>
      </c>
      <c r="K1795">
        <f>I1795-G1795</f>
        <v/>
      </c>
      <c r="M1795">
        <f>R1795=E1795</f>
        <v/>
      </c>
      <c r="N1795">
        <f>AND(MONTH(F1795)=MONTH(Q1795), YEAR(F1795)=YEAR(Q1795))</f>
        <v/>
      </c>
      <c r="O1795">
        <f>"L001-902303751"=S1795</f>
        <v/>
      </c>
      <c r="P1795">
        <f>G1795-U1795</f>
        <v/>
      </c>
      <c r="Q1795" s="35" t="n">
        <v>45236</v>
      </c>
      <c r="R1795" t="n">
        <v>300737</v>
      </c>
      <c r="S1795" t="inlineStr">
        <is>
          <t>L001-100074669</t>
        </is>
      </c>
      <c r="T1795" t="inlineStr">
        <is>
          <t>ខេអិលអិន ហ្វ្រេត (ខេមបូឌា) ឯ.ក</t>
        </is>
      </c>
      <c r="U1795" t="n">
        <v>300737</v>
      </c>
      <c r="V1795" t="n">
        <v>0</v>
      </c>
    </row>
    <row r="1796">
      <c r="A1796" t="n">
        <v>1795</v>
      </c>
      <c r="B1796" t="inlineStr">
        <is>
          <t>Customs Clearance Fee and Trucking Fee</t>
        </is>
      </c>
      <c r="C1796" t="inlineStr">
        <is>
          <t>ត្រាយអ៊ែងហ្គល ឡូជីស្ទីក (ខេមបូឌា) ឯ.ក</t>
        </is>
      </c>
      <c r="D1796" t="inlineStr">
        <is>
          <t>K010-902101743</t>
        </is>
      </c>
      <c r="E1796" t="inlineStr">
        <is>
          <t>TAG-24-00848</t>
        </is>
      </c>
      <c r="F1796" t="inlineStr">
        <is>
          <t>18-11-2024</t>
        </is>
      </c>
      <c r="G1796" t="n">
        <v>28287</v>
      </c>
      <c r="I1796">
        <f>G1796</f>
        <v/>
      </c>
      <c r="K1796">
        <f>I1796-G1796</f>
        <v/>
      </c>
      <c r="M1796">
        <f>R1796=E1796</f>
        <v/>
      </c>
      <c r="N1796">
        <f>AND(MONTH(F1796)=MONTH(Q1796), YEAR(F1796)=YEAR(Q1796))</f>
        <v/>
      </c>
      <c r="O1796">
        <f>"L001-902303751"=S1796</f>
        <v/>
      </c>
      <c r="P1796">
        <f>G1796-U1796</f>
        <v/>
      </c>
      <c r="Q1796" s="35" t="n">
        <v>45244</v>
      </c>
      <c r="R1796" t="inlineStr"/>
      <c r="S1796" t="inlineStr">
        <is>
          <t>K002-901800477</t>
        </is>
      </c>
      <c r="T1796" t="inlineStr">
        <is>
          <t>អាយធីអាយ អ៊ិនធើណេសិនណល ត្រេនស័្ពរថេសិន (ខេមបូឌា) ឯ.ក</t>
        </is>
      </c>
      <c r="U1796" t="n">
        <v>0</v>
      </c>
      <c r="V1796" t="n">
        <v>0</v>
      </c>
    </row>
    <row r="1797">
      <c r="A1797" t="n">
        <v>1796</v>
      </c>
      <c r="B1797" t="inlineStr">
        <is>
          <t>Cargo Terminal</t>
        </is>
      </c>
      <c r="C1797" t="inlineStr">
        <is>
          <t>សូស៊ីយេតេ កុងសេស្យូនែរ ដឺ ឡាអេរ៉ូព័រ</t>
        </is>
      </c>
      <c r="D1797" t="inlineStr">
        <is>
          <t>L001-100047300</t>
        </is>
      </c>
      <c r="E1797" t="inlineStr">
        <is>
          <t>2400090584</t>
        </is>
      </c>
      <c r="F1797" t="inlineStr">
        <is>
          <t>08-11-2024</t>
        </is>
      </c>
      <c r="G1797" t="n">
        <v>3623</v>
      </c>
      <c r="I1797">
        <f>G1797</f>
        <v/>
      </c>
      <c r="K1797">
        <f>I1797-G1797</f>
        <v/>
      </c>
      <c r="M1797">
        <f>R1797=E1797</f>
        <v/>
      </c>
      <c r="N1797">
        <f>AND(MONTH(F1797)=MONTH(Q1797), YEAR(F1797)=YEAR(Q1797))</f>
        <v/>
      </c>
      <c r="O1797">
        <f>"L001-902303751"=S1797</f>
        <v/>
      </c>
      <c r="P1797">
        <f>G1797-U1797</f>
        <v/>
      </c>
      <c r="Q1797" s="35" t="n">
        <v>45259</v>
      </c>
      <c r="R1797" t="inlineStr"/>
      <c r="S1797" t="inlineStr">
        <is>
          <t>L001-100074669</t>
        </is>
      </c>
      <c r="T1797" t="inlineStr">
        <is>
          <t>ខេអិលអិន ហ្វ្រេត (ខេមបូឌា) ឯ.ក</t>
        </is>
      </c>
      <c r="U1797" t="n">
        <v>0</v>
      </c>
      <c r="V1797" t="n">
        <v>0</v>
      </c>
    </row>
    <row r="1798">
      <c r="A1798" t="n">
        <v>1797</v>
      </c>
      <c r="B1798" t="inlineStr">
        <is>
          <t>Customs Clearance Fee and Trucking Fee</t>
        </is>
      </c>
      <c r="C1798" t="inlineStr">
        <is>
          <t>ត្រាយអ៊ែងហ្គល ឡូជីស្ទីក (ខេមបូឌា) ឯ.ក</t>
        </is>
      </c>
      <c r="D1798" t="inlineStr">
        <is>
          <t>K010-902101743</t>
        </is>
      </c>
      <c r="E1798" t="inlineStr">
        <is>
          <t>TAG-24-00849</t>
        </is>
      </c>
      <c r="F1798" t="inlineStr">
        <is>
          <t>18-11-2024</t>
        </is>
      </c>
      <c r="G1798" t="n">
        <v>28287</v>
      </c>
      <c r="I1798">
        <f>G1798</f>
        <v/>
      </c>
      <c r="K1798">
        <f>I1798-G1798</f>
        <v/>
      </c>
      <c r="M1798">
        <f>R1798=E1798</f>
        <v/>
      </c>
      <c r="N1798">
        <f>AND(MONTH(F1798)=MONTH(Q1798), YEAR(F1798)=YEAR(Q1798))</f>
        <v/>
      </c>
      <c r="O1798">
        <f>"L001-902303751"=S1798</f>
        <v/>
      </c>
      <c r="P1798">
        <f>G1798-U1798</f>
        <v/>
      </c>
      <c r="Q1798" s="35" t="n">
        <v>45250</v>
      </c>
      <c r="R1798" t="n">
        <v>206824</v>
      </c>
      <c r="S1798" t="inlineStr">
        <is>
          <t>L001-100074669</t>
        </is>
      </c>
      <c r="T1798" t="inlineStr">
        <is>
          <t>ខេអិលអិន ហ្វ្រេត (ខេមបូឌា) ឯ.ក</t>
        </is>
      </c>
      <c r="U1798" t="n">
        <v>206824</v>
      </c>
      <c r="V1798" t="n">
        <v>0</v>
      </c>
    </row>
    <row r="1799">
      <c r="A1799" t="n">
        <v>1798</v>
      </c>
      <c r="B1799" t="inlineStr">
        <is>
          <t>Terminal Handling Charge, Container Freight Station, Scanning Fee, Delivery order Fee, Document Fee, Agency Fee, Co-Loader Fee and Container Imbalance Charge</t>
        </is>
      </c>
      <c r="C1799" t="inlineStr">
        <is>
          <t>ផេនដា គ្លូប៊ល ឡូជីស្ទីក (ខេមបូឌា)</t>
        </is>
      </c>
      <c r="D1799" t="inlineStr">
        <is>
          <t>K005-901501155</t>
        </is>
      </c>
      <c r="E1799" t="inlineStr">
        <is>
          <t>PD240461</t>
        </is>
      </c>
      <c r="F1799" t="inlineStr">
        <is>
          <t>18-11-2024</t>
        </is>
      </c>
      <c r="G1799" t="n">
        <v>88498</v>
      </c>
      <c r="I1799">
        <f>G1799</f>
        <v/>
      </c>
      <c r="K1799">
        <f>I1799-G1799</f>
        <v/>
      </c>
      <c r="M1799">
        <f>R1799=E1799</f>
        <v/>
      </c>
      <c r="N1799">
        <f>AND(MONTH(F1799)=MONTH(Q1799), YEAR(F1799)=YEAR(Q1799))</f>
        <v/>
      </c>
      <c r="O1799">
        <f>"L001-902303751"=S1799</f>
        <v/>
      </c>
      <c r="P1799">
        <f>G1799-U1799</f>
        <v/>
      </c>
      <c r="Q1799" s="35" t="n">
        <v>45244</v>
      </c>
      <c r="R1799" t="n">
        <v>201390</v>
      </c>
      <c r="S1799" t="inlineStr">
        <is>
          <t>K002-901800477</t>
        </is>
      </c>
      <c r="T1799" t="inlineStr">
        <is>
          <t>អាយធីអាយ អ៊ិនធើណេសិនណល ត្រេនស័្ពរថេសិន (ខេមបូឌា) ឯ.ក</t>
        </is>
      </c>
      <c r="U1799" t="n">
        <v>201390</v>
      </c>
      <c r="V1799" t="n">
        <v>0</v>
      </c>
    </row>
    <row r="1800">
      <c r="A1800" t="n">
        <v>1799</v>
      </c>
      <c r="B1800" t="inlineStr">
        <is>
          <t>Charge from Warehouse/cy to trucks and Storage Charges</t>
        </is>
      </c>
      <c r="C1800" t="inlineStr">
        <is>
          <t>កំពង់ផែស្វយ័តក្រុងព្រះសីហនុ</t>
        </is>
      </c>
      <c r="D1800" t="inlineStr">
        <is>
          <t>L001-100044638</t>
        </is>
      </c>
      <c r="E1800" t="inlineStr">
        <is>
          <t>242641</t>
        </is>
      </c>
      <c r="F1800" t="inlineStr">
        <is>
          <t>22-11-2024</t>
        </is>
      </c>
      <c r="G1800" t="n">
        <v>736</v>
      </c>
      <c r="I1800">
        <f>G1800</f>
        <v/>
      </c>
      <c r="K1800">
        <f>I1800-G1800</f>
        <v/>
      </c>
      <c r="M1800">
        <f>R1800=E1800</f>
        <v/>
      </c>
      <c r="N1800">
        <f>AND(MONTH(F1800)=MONTH(Q1800), YEAR(F1800)=YEAR(Q1800))</f>
        <v/>
      </c>
      <c r="O1800">
        <f>"L001-902303751"=S1800</f>
        <v/>
      </c>
      <c r="P1800">
        <f>G1800-U1800</f>
        <v/>
      </c>
      <c r="Q1800" s="35" t="n">
        <v>45231</v>
      </c>
      <c r="R1800" t="n">
        <v>111591</v>
      </c>
      <c r="S1800" t="inlineStr">
        <is>
          <t>L001-902000739</t>
        </is>
      </c>
      <c r="T1800" t="inlineStr">
        <is>
          <t>អាន រ៉ុង ហ្ស៊ី យី ឯ.ក</t>
        </is>
      </c>
      <c r="U1800" t="n">
        <v>111591</v>
      </c>
      <c r="V1800" t="n">
        <v>0</v>
      </c>
    </row>
    <row r="1801">
      <c r="A1801" t="n">
        <v>1800</v>
      </c>
      <c r="B1801" t="inlineStr">
        <is>
          <t>Customs Clearance Fee and Trucking Fee</t>
        </is>
      </c>
      <c r="C1801" t="inlineStr">
        <is>
          <t>ត្រាយអ៊ែងហ្គល ឡូជីស្ទីក (ខេមបូឌា) ឯ.ក</t>
        </is>
      </c>
      <c r="D1801" t="inlineStr">
        <is>
          <t>K010-902101743</t>
        </is>
      </c>
      <c r="E1801" t="inlineStr">
        <is>
          <t>TAG-24-00890</t>
        </is>
      </c>
      <c r="F1801" t="inlineStr">
        <is>
          <t>28-11-2024</t>
        </is>
      </c>
      <c r="G1801" t="n">
        <v>32240</v>
      </c>
      <c r="I1801">
        <f>G1801</f>
        <v/>
      </c>
      <c r="K1801">
        <f>I1801-G1801</f>
        <v/>
      </c>
      <c r="M1801">
        <f>R1801=E1801</f>
        <v/>
      </c>
      <c r="N1801">
        <f>AND(MONTH(F1801)=MONTH(Q1801), YEAR(F1801)=YEAR(Q1801))</f>
        <v/>
      </c>
      <c r="O1801">
        <f>"L001-902303751"=S1801</f>
        <v/>
      </c>
      <c r="P1801">
        <f>G1801-U1801</f>
        <v/>
      </c>
      <c r="Q1801" s="35" t="n">
        <v>45231</v>
      </c>
      <c r="R1801" t="inlineStr"/>
      <c r="S1801" t="inlineStr">
        <is>
          <t>K002-901800477</t>
        </is>
      </c>
      <c r="T1801" t="inlineStr">
        <is>
          <t>អាយធីអាយ អ៊ិនធើណេសិនណល ត្រេនស័្ពរថេសិន (ខេមបូឌា) ឯ.ក</t>
        </is>
      </c>
      <c r="U1801" t="n">
        <v>0</v>
      </c>
      <c r="V1801" t="n">
        <v>0</v>
      </c>
    </row>
    <row r="1802">
      <c r="A1802" t="n">
        <v>1801</v>
      </c>
      <c r="B1802" t="inlineStr">
        <is>
          <t>Doc Fee and Handling Fee</t>
        </is>
      </c>
      <c r="C1802" t="inlineStr">
        <is>
          <t>អិមអាយ ឡូជីកស៍ (ខេមបូឌា)</t>
        </is>
      </c>
      <c r="D1802" t="inlineStr">
        <is>
          <t>K009-107021862</t>
        </is>
      </c>
      <c r="E1802" t="inlineStr">
        <is>
          <t>MII202411-002</t>
        </is>
      </c>
      <c r="F1802" t="inlineStr">
        <is>
          <t>04-11-2024</t>
        </is>
      </c>
      <c r="G1802" t="n">
        <v>24390</v>
      </c>
      <c r="I1802">
        <f>G1802</f>
        <v/>
      </c>
      <c r="K1802">
        <f>I1802-G1802</f>
        <v/>
      </c>
      <c r="M1802">
        <f>R1802=E1802</f>
        <v/>
      </c>
      <c r="N1802">
        <f>AND(MONTH(F1802)=MONTH(Q1802), YEAR(F1802)=YEAR(Q1802))</f>
        <v/>
      </c>
      <c r="O1802">
        <f>"L001-902303751"=S1802</f>
        <v/>
      </c>
      <c r="P1802">
        <f>G1802-U1802</f>
        <v/>
      </c>
      <c r="Q1802" s="35" t="n">
        <v>45231</v>
      </c>
      <c r="R1802" t="inlineStr"/>
      <c r="S1802" t="inlineStr">
        <is>
          <t>K002-901800477</t>
        </is>
      </c>
      <c r="T1802" t="inlineStr">
        <is>
          <t>អាយធីអាយ អ៊ិនធើណេសិនណល ត្រេនស័្ពរថេសិន (ខេមបូឌា) ឯ.ក</t>
        </is>
      </c>
      <c r="U1802" t="n">
        <v>0</v>
      </c>
      <c r="V1802" t="n">
        <v>0</v>
      </c>
    </row>
    <row r="1803">
      <c r="A1803" t="n">
        <v>1802</v>
      </c>
      <c r="B1803" t="inlineStr">
        <is>
          <t>Cargo Terminal</t>
        </is>
      </c>
      <c r="C1803" t="inlineStr">
        <is>
          <t>សូស៊ីយេតេ កុងសេស្យូនែរ ដឺ ឡាអេរ៉ូព័រ</t>
        </is>
      </c>
      <c r="D1803" t="inlineStr">
        <is>
          <t>L001-100047300</t>
        </is>
      </c>
      <c r="E1803" t="inlineStr">
        <is>
          <t>2400089511</t>
        </is>
      </c>
      <c r="F1803" t="inlineStr">
        <is>
          <t>05-11-2024</t>
        </is>
      </c>
      <c r="G1803" t="n">
        <v>2698</v>
      </c>
      <c r="I1803">
        <f>G1803</f>
        <v/>
      </c>
      <c r="K1803">
        <f>I1803-G1803</f>
        <v/>
      </c>
      <c r="M1803">
        <f>R1803=E1803</f>
        <v/>
      </c>
      <c r="N1803">
        <f>AND(MONTH(F1803)=MONTH(Q1803), YEAR(F1803)=YEAR(Q1803))</f>
        <v/>
      </c>
      <c r="O1803">
        <f>"L001-902303751"=S1803</f>
        <v/>
      </c>
      <c r="P1803">
        <f>G1803-U1803</f>
        <v/>
      </c>
      <c r="Q1803" s="35" t="n">
        <v>45233</v>
      </c>
      <c r="R1803" t="n">
        <v>111537</v>
      </c>
      <c r="S1803" t="inlineStr">
        <is>
          <t>L001-902000739</t>
        </is>
      </c>
      <c r="T1803" t="inlineStr">
        <is>
          <t>អាន រ៉ុង ហ្ស៊ី យី ឯ.ក</t>
        </is>
      </c>
      <c r="U1803" t="n">
        <v>111537</v>
      </c>
      <c r="V1803" t="n">
        <v>0</v>
      </c>
    </row>
    <row r="1804">
      <c r="A1804" t="n">
        <v>1803</v>
      </c>
      <c r="B1804" t="inlineStr">
        <is>
          <t>Gate Fee Charges-GC Truck-1-6 Tons</t>
        </is>
      </c>
      <c r="C1804" t="inlineStr">
        <is>
          <t>កំពង់ផែស្វយ័តភ្នំពេញ "ក.ស.ភ"</t>
        </is>
      </c>
      <c r="D1804" t="inlineStr">
        <is>
          <t>L001-100044999</t>
        </is>
      </c>
      <c r="E1804" t="inlineStr">
        <is>
          <t>INV20241185094</t>
        </is>
      </c>
      <c r="F1804" t="inlineStr">
        <is>
          <t>13-11-2024</t>
        </is>
      </c>
      <c r="G1804" t="n">
        <v>810</v>
      </c>
      <c r="I1804">
        <f>G1804</f>
        <v/>
      </c>
      <c r="K1804">
        <f>I1804-G1804</f>
        <v/>
      </c>
      <c r="M1804">
        <f>R1804=E1804</f>
        <v/>
      </c>
      <c r="N1804">
        <f>AND(MONTH(F1804)=MONTH(Q1804), YEAR(F1804)=YEAR(Q1804))</f>
        <v/>
      </c>
      <c r="O1804">
        <f>"L001-902303751"=S1804</f>
        <v/>
      </c>
      <c r="P1804">
        <f>G1804-U1804</f>
        <v/>
      </c>
      <c r="Q1804" s="35" t="n">
        <v>45244</v>
      </c>
      <c r="R1804" t="inlineStr"/>
      <c r="S1804" t="inlineStr">
        <is>
          <t>L001-100044956</t>
        </is>
      </c>
      <c r="T1804" t="inlineStr">
        <is>
          <t>ជី លីង អិចប្រេស ឡូជីស្ទីក (ខេមបូឌា) លីមីធីត</t>
        </is>
      </c>
      <c r="U1804" t="n">
        <v>0</v>
      </c>
      <c r="V1804" t="n">
        <v>0</v>
      </c>
    </row>
    <row r="1805">
      <c r="A1805" t="n">
        <v>1804</v>
      </c>
      <c r="B1805" t="inlineStr">
        <is>
          <t>Demurrage and Storage</t>
        </is>
      </c>
      <c r="C1805" t="inlineStr">
        <is>
          <t>ខ្វនធើម ឡូជីស្ទីក (ខេមបូឌា) ឯ.ក</t>
        </is>
      </c>
      <c r="D1805" t="inlineStr">
        <is>
          <t>K002-901900921</t>
        </is>
      </c>
      <c r="E1805" t="inlineStr">
        <is>
          <t>QT241646</t>
        </is>
      </c>
      <c r="F1805" t="inlineStr">
        <is>
          <t>18-11-2024</t>
        </is>
      </c>
      <c r="G1805" t="n">
        <v>32328</v>
      </c>
      <c r="I1805">
        <f>G1805</f>
        <v/>
      </c>
      <c r="K1805">
        <f>I1805-G1805</f>
        <v/>
      </c>
      <c r="M1805">
        <f>R1805=E1805</f>
        <v/>
      </c>
      <c r="N1805">
        <f>AND(MONTH(F1805)=MONTH(Q1805), YEAR(F1805)=YEAR(Q1805))</f>
        <v/>
      </c>
      <c r="O1805">
        <f>"L001-902303751"=S1805</f>
        <v/>
      </c>
      <c r="P1805">
        <f>G1805-U1805</f>
        <v/>
      </c>
      <c r="Q1805" s="35" t="n">
        <v>45244</v>
      </c>
      <c r="R1805" t="n">
        <v>82200</v>
      </c>
      <c r="S1805" t="inlineStr">
        <is>
          <t>L001-103007369</t>
        </is>
      </c>
      <c r="T1805" t="inlineStr">
        <is>
          <t>អូរៀនថល ឡូជីស្ទីក &amp; ឌីស្ទ្រីប៊្យូសិន (ខេមបូឌា)</t>
        </is>
      </c>
      <c r="U1805" t="n">
        <v>82200</v>
      </c>
      <c r="V1805" t="n">
        <v>0</v>
      </c>
    </row>
    <row r="1806">
      <c r="A1806" t="n">
        <v>1805</v>
      </c>
      <c r="B1806" t="inlineStr">
        <is>
          <t>Documentation Fee and Handling Charges</t>
        </is>
      </c>
      <c r="C1806" t="inlineStr">
        <is>
          <t>អេជីអិកស៍ ឡូជីស្ទីក (ខេមបូឌា) ខូ អិលធីឌី</t>
        </is>
      </c>
      <c r="D1806" t="inlineStr">
        <is>
          <t>K002-901504703</t>
        </is>
      </c>
      <c r="E1806" t="inlineStr">
        <is>
          <t>TINV-24-0455</t>
        </is>
      </c>
      <c r="F1806" t="inlineStr">
        <is>
          <t>27-11-2024</t>
        </is>
      </c>
      <c r="G1806" t="n">
        <v>38228</v>
      </c>
      <c r="I1806">
        <f>G1806</f>
        <v/>
      </c>
      <c r="K1806">
        <f>I1806-G1806</f>
        <v/>
      </c>
      <c r="M1806">
        <f>R1806=E1806</f>
        <v/>
      </c>
      <c r="N1806">
        <f>AND(MONTH(F1806)=MONTH(Q1806), YEAR(F1806)=YEAR(Q1806))</f>
        <v/>
      </c>
      <c r="O1806">
        <f>"L001-902303751"=S1806</f>
        <v/>
      </c>
      <c r="P1806">
        <f>G1806-U1806</f>
        <v/>
      </c>
      <c r="Q1806" s="35" t="n">
        <v>45259</v>
      </c>
      <c r="R1806" t="n">
        <v>299572</v>
      </c>
      <c r="S1806" t="inlineStr">
        <is>
          <t>L001-100074669</t>
        </is>
      </c>
      <c r="T1806" t="inlineStr">
        <is>
          <t>ខេអិលអិន ហ្វ្រេត (ខេមបូឌា) ឯ.ក</t>
        </is>
      </c>
      <c r="U1806" t="n">
        <v>299572</v>
      </c>
      <c r="V1806" t="n">
        <v>0</v>
      </c>
    </row>
    <row r="1807">
      <c r="A1807" t="n">
        <v>1806</v>
      </c>
      <c r="B1807" t="inlineStr">
        <is>
          <t>Customs Clearance Fee and Trucking Fee</t>
        </is>
      </c>
      <c r="C1807" t="inlineStr">
        <is>
          <t>ត្រាយអ៊ែងហ្គល ឡូជីស្ទីក (ខេមបូឌា) ឯ.ក</t>
        </is>
      </c>
      <c r="D1807" t="inlineStr">
        <is>
          <t>K010-902101743</t>
        </is>
      </c>
      <c r="E1807" t="inlineStr">
        <is>
          <t>TAG-24-00886</t>
        </is>
      </c>
      <c r="F1807" t="inlineStr">
        <is>
          <t>28-11-2024</t>
        </is>
      </c>
      <c r="G1807" t="n">
        <v>28210</v>
      </c>
      <c r="I1807">
        <f>G1807</f>
        <v/>
      </c>
      <c r="K1807">
        <f>I1807-G1807</f>
        <v/>
      </c>
      <c r="M1807">
        <f>R1807=E1807</f>
        <v/>
      </c>
      <c r="N1807">
        <f>AND(MONTH(F1807)=MONTH(Q1807), YEAR(F1807)=YEAR(Q1807))</f>
        <v/>
      </c>
      <c r="O1807">
        <f>"L001-902303751"=S1807</f>
        <v/>
      </c>
      <c r="P1807">
        <f>G1807-U1807</f>
        <v/>
      </c>
      <c r="Q1807" s="35" t="n">
        <v>45250</v>
      </c>
      <c r="R1807" t="inlineStr"/>
      <c r="S1807" t="inlineStr">
        <is>
          <t>L001-100074669</t>
        </is>
      </c>
      <c r="T1807" t="inlineStr">
        <is>
          <t>ខេអិលអិន ហ្វ្រេត (ខេមបូឌា) ឯ.ក</t>
        </is>
      </c>
      <c r="U1807" t="n">
        <v>0</v>
      </c>
      <c r="V1807" t="n">
        <v>0</v>
      </c>
    </row>
    <row r="1808">
      <c r="A1808" t="n">
        <v>1807</v>
      </c>
      <c r="B1808" t="inlineStr">
        <is>
          <t>Customs Clearance Fee and Trucking Fee</t>
        </is>
      </c>
      <c r="C1808" t="inlineStr">
        <is>
          <t>ត្រាយអ៊ែងហ្គល ឡូជីស្ទីក (ខេមបូឌា) ឯ.ក</t>
        </is>
      </c>
      <c r="D1808" t="inlineStr">
        <is>
          <t>K010-902101743</t>
        </is>
      </c>
      <c r="E1808" t="inlineStr">
        <is>
          <t>TAG-24-00904</t>
        </is>
      </c>
      <c r="F1808" t="inlineStr">
        <is>
          <t>29-11-2024</t>
        </is>
      </c>
      <c r="G1808" t="n">
        <v>28196</v>
      </c>
      <c r="I1808">
        <f>G1808</f>
        <v/>
      </c>
      <c r="K1808">
        <f>I1808-G1808</f>
        <v/>
      </c>
      <c r="M1808">
        <f>R1808=E1808</f>
        <v/>
      </c>
      <c r="N1808">
        <f>AND(MONTH(F1808)=MONTH(Q1808), YEAR(F1808)=YEAR(Q1808))</f>
        <v/>
      </c>
      <c r="O1808">
        <f>"L001-902303751"=S1808</f>
        <v/>
      </c>
      <c r="P1808">
        <f>G1808-U1808</f>
        <v/>
      </c>
      <c r="Q1808" s="35" t="n">
        <v>45231</v>
      </c>
      <c r="R1808" t="inlineStr"/>
      <c r="S1808" t="inlineStr">
        <is>
          <t>L001-902000739</t>
        </is>
      </c>
      <c r="T1808" t="inlineStr">
        <is>
          <t>អាន រ៉ុង ហ្ស៊ី យី ឯ.ក</t>
        </is>
      </c>
      <c r="U1808" t="n">
        <v>0</v>
      </c>
      <c r="V1808" t="n">
        <v>0</v>
      </c>
    </row>
    <row r="1809">
      <c r="A1809" t="n">
        <v>1808</v>
      </c>
      <c r="B1809" t="inlineStr">
        <is>
          <t>THC, DOC Fee and Container Imbalance</t>
        </is>
      </c>
      <c r="C1809" t="inlineStr">
        <is>
          <t>សាខាក្រុមហ៊ុន ជីម៉ាឌីប ស៊ីបភីង ខមភេនី លីមីធីត</t>
        </is>
      </c>
      <c r="D1809" t="inlineStr">
        <is>
          <t>L001-901704777</t>
        </is>
      </c>
      <c r="E1809" t="inlineStr">
        <is>
          <t>24-04372</t>
        </is>
      </c>
      <c r="F1809" t="inlineStr">
        <is>
          <t>25-11-2024</t>
        </is>
      </c>
      <c r="G1809" t="n">
        <v>94329</v>
      </c>
      <c r="I1809">
        <f>G1809</f>
        <v/>
      </c>
      <c r="K1809">
        <f>I1809-G1809</f>
        <v/>
      </c>
      <c r="M1809">
        <f>R1809=E1809</f>
        <v/>
      </c>
      <c r="N1809">
        <f>AND(MONTH(F1809)=MONTH(Q1809), YEAR(F1809)=YEAR(Q1809))</f>
        <v/>
      </c>
      <c r="O1809">
        <f>"L001-902303751"=S1809</f>
        <v/>
      </c>
      <c r="P1809">
        <f>G1809-U1809</f>
        <v/>
      </c>
      <c r="Q1809" s="35" t="n">
        <v>45231</v>
      </c>
      <c r="R1809" t="n">
        <v>1293629</v>
      </c>
      <c r="S1809" t="inlineStr">
        <is>
          <t>K002-901800477</t>
        </is>
      </c>
      <c r="T1809" t="inlineStr">
        <is>
          <t>អាយធីអាយ អ៊ិនធើណេសិនណល ត្រេនស័្ពរថេសិន (ខេមបូឌា) ឯ.ក</t>
        </is>
      </c>
      <c r="U1809" t="n">
        <v>1293629</v>
      </c>
      <c r="V1809" t="n">
        <v>0</v>
      </c>
    </row>
    <row r="1810">
      <c r="A1810" t="n">
        <v>1809</v>
      </c>
      <c r="B1810" t="inlineStr">
        <is>
          <t>Lift-On Charge and Gate Fee Charge 20" Full</t>
        </is>
      </c>
      <c r="C1810" t="inlineStr">
        <is>
          <t>កំពង់ផែស្វយ័តភ្នំពេញ "ក.ស.ភ"</t>
        </is>
      </c>
      <c r="D1810" t="inlineStr">
        <is>
          <t>L001-100044999</t>
        </is>
      </c>
      <c r="E1810" t="inlineStr">
        <is>
          <t>INV20241188575</t>
        </is>
      </c>
      <c r="F1810" t="inlineStr">
        <is>
          <t>27-11-2024</t>
        </is>
      </c>
      <c r="G1810" t="n">
        <v>18510</v>
      </c>
      <c r="I1810">
        <f>G1810</f>
        <v/>
      </c>
      <c r="K1810">
        <f>I1810-G1810</f>
        <v/>
      </c>
      <c r="M1810">
        <f>R1810=E1810</f>
        <v/>
      </c>
      <c r="N1810">
        <f>AND(MONTH(F1810)=MONTH(Q1810), YEAR(F1810)=YEAR(Q1810))</f>
        <v/>
      </c>
      <c r="O1810">
        <f>"L001-902303751"=S1810</f>
        <v/>
      </c>
      <c r="P1810">
        <f>G1810-U1810</f>
        <v/>
      </c>
      <c r="Q1810" s="35" t="n">
        <v>45244</v>
      </c>
      <c r="R1810" t="n">
        <v>82200</v>
      </c>
      <c r="S1810" t="inlineStr">
        <is>
          <t>K002-901800477</t>
        </is>
      </c>
      <c r="T1810" t="inlineStr">
        <is>
          <t>អាយធីអាយ អ៊ិនធើណេសិនណល ត្រេនស័្ពរថេសិន (ខេមបូឌា) ឯ.ក</t>
        </is>
      </c>
      <c r="U1810" t="n">
        <v>82200</v>
      </c>
      <c r="V1810" t="n">
        <v>0</v>
      </c>
    </row>
    <row r="1811">
      <c r="A1811" t="n">
        <v>1810</v>
      </c>
      <c r="B1811" t="inlineStr">
        <is>
          <t>Customs Clearance Fee and Trucking Fee</t>
        </is>
      </c>
      <c r="C1811" t="inlineStr">
        <is>
          <t>ត្រាយអ៊ែងហ្គល ឡូជីស្ទីក (ខេមបូឌា) ឯ.ក</t>
        </is>
      </c>
      <c r="D1811" t="inlineStr">
        <is>
          <t>K010-902101743</t>
        </is>
      </c>
      <c r="E1811" t="inlineStr">
        <is>
          <t>TAG-24-00896</t>
        </is>
      </c>
      <c r="F1811" t="inlineStr">
        <is>
          <t>29-11-2024</t>
        </is>
      </c>
      <c r="G1811" t="n">
        <v>64448</v>
      </c>
      <c r="I1811">
        <f>G1811</f>
        <v/>
      </c>
      <c r="K1811">
        <f>I1811-G1811</f>
        <v/>
      </c>
      <c r="M1811">
        <f>R1811=E1811</f>
        <v/>
      </c>
      <c r="N1811">
        <f>AND(MONTH(F1811)=MONTH(Q1811), YEAR(F1811)=YEAR(Q1811))</f>
        <v/>
      </c>
      <c r="O1811">
        <f>"L001-902303751"=S1811</f>
        <v/>
      </c>
      <c r="P1811">
        <f>G1811-U1811</f>
        <v/>
      </c>
      <c r="Q1811" s="35" t="n">
        <v>45244</v>
      </c>
      <c r="R1811" t="n">
        <v>415110</v>
      </c>
      <c r="S1811" t="inlineStr">
        <is>
          <t>L001-100044956</t>
        </is>
      </c>
      <c r="T1811" t="inlineStr">
        <is>
          <t>ជី លីង អិចប្រេស ឡូជីស្ទីក (ខេមបូឌា) លីមីធីត</t>
        </is>
      </c>
      <c r="U1811" t="n">
        <v>415110</v>
      </c>
      <c r="V1811" t="n">
        <v>0</v>
      </c>
    </row>
    <row r="1812">
      <c r="A1812" t="n">
        <v>1811</v>
      </c>
      <c r="B1812" t="inlineStr">
        <is>
          <t>Terminal Handling Charge, EMF, 3 Party Trucking, Container Imbalance Charge, D/O Fee, Document Fee and Handling Charge</t>
        </is>
      </c>
      <c r="C1812" t="inlineStr">
        <is>
          <t>ខេអិលអិន ហ្វ្រេត (ខេមបូឌា) ឯ.ក</t>
        </is>
      </c>
      <c r="D1812" t="inlineStr">
        <is>
          <t>L001-100074669</t>
        </is>
      </c>
      <c r="E1812" t="inlineStr">
        <is>
          <t>IVO18391</t>
        </is>
      </c>
      <c r="F1812" t="inlineStr">
        <is>
          <t>25-11-2024</t>
        </is>
      </c>
      <c r="G1812" t="n">
        <v>123485</v>
      </c>
      <c r="I1812">
        <f>G1812</f>
        <v/>
      </c>
      <c r="K1812">
        <f>I1812-G1812</f>
        <v/>
      </c>
      <c r="M1812">
        <f>R1812=E1812</f>
        <v/>
      </c>
      <c r="N1812">
        <f>AND(MONTH(F1812)=MONTH(Q1812), YEAR(F1812)=YEAR(Q1812))</f>
        <v/>
      </c>
      <c r="O1812">
        <f>"L001-902303751"=S1812</f>
        <v/>
      </c>
      <c r="P1812">
        <f>G1812-U1812</f>
        <v/>
      </c>
      <c r="Q1812" s="35" t="n">
        <v>45259</v>
      </c>
      <c r="R1812" t="inlineStr"/>
      <c r="S1812" t="inlineStr">
        <is>
          <t>K005-100059945</t>
        </is>
      </c>
      <c r="T1812" t="inlineStr">
        <is>
          <t>អ៊ែតវ៉ានស៍ គ្លរី ឡូជីស្ទីក (ខេមបូឌា) (អេ ជី អិល)</t>
        </is>
      </c>
      <c r="U1812" t="n">
        <v>0</v>
      </c>
      <c r="V1812" t="n">
        <v>0</v>
      </c>
    </row>
    <row r="1813">
      <c r="A1813" t="n">
        <v>1812</v>
      </c>
      <c r="B1813" t="inlineStr">
        <is>
          <t>Customs Clearance Fee and Trucking Fee</t>
        </is>
      </c>
      <c r="C1813" t="inlineStr">
        <is>
          <t>ត្រាយអ៊ែងហ្គល ឡូជីស្ទីក (ខេមបូឌា) ឯ.ក</t>
        </is>
      </c>
      <c r="D1813" t="inlineStr">
        <is>
          <t>K010-902101743</t>
        </is>
      </c>
      <c r="E1813" t="inlineStr">
        <is>
          <t>TAG-24-00894</t>
        </is>
      </c>
      <c r="F1813" t="inlineStr">
        <is>
          <t>28-11-2024</t>
        </is>
      </c>
      <c r="G1813" t="n">
        <v>108810</v>
      </c>
      <c r="I1813">
        <f>G1813</f>
        <v/>
      </c>
      <c r="K1813">
        <f>I1813-G1813</f>
        <v/>
      </c>
      <c r="M1813">
        <f>R1813=E1813</f>
        <v/>
      </c>
      <c r="N1813">
        <f>AND(MONTH(F1813)=MONTH(Q1813), YEAR(F1813)=YEAR(Q1813))</f>
        <v/>
      </c>
      <c r="O1813">
        <f>"L001-902303751"=S1813</f>
        <v/>
      </c>
      <c r="P1813">
        <f>G1813-U1813</f>
        <v/>
      </c>
      <c r="Q1813" s="35" t="n">
        <v>45250</v>
      </c>
      <c r="R1813" t="inlineStr"/>
      <c r="S1813" t="inlineStr">
        <is>
          <t>L001-107041723</t>
        </is>
      </c>
      <c r="T1813" t="inlineStr">
        <is>
          <t>ឌីប៊ី សេនឃើរ (ខេមបូឌា) លីមីធីត</t>
        </is>
      </c>
      <c r="U1813" t="n">
        <v>0</v>
      </c>
      <c r="V1813" t="n">
        <v>0</v>
      </c>
    </row>
    <row r="1814">
      <c r="A1814" t="n">
        <v>1813</v>
      </c>
      <c r="B1814" t="inlineStr">
        <is>
          <t>THC Fee, LCL Fee, Scanner Fee, Document Fee, Agency Fee, DO Fee and CIC</t>
        </is>
      </c>
      <c r="C1814" t="inlineStr">
        <is>
          <t>ខ្វនធើម ឡូជីស្ទីក (ខេមបូឌា) ឯ.ក</t>
        </is>
      </c>
      <c r="D1814" t="inlineStr">
        <is>
          <t>K002-901900921</t>
        </is>
      </c>
      <c r="E1814" t="inlineStr">
        <is>
          <t>QT241689</t>
        </is>
      </c>
      <c r="F1814" t="inlineStr">
        <is>
          <t>21-11-2024</t>
        </is>
      </c>
      <c r="G1814" t="n">
        <v>76969</v>
      </c>
      <c r="I1814">
        <f>G1814</f>
        <v/>
      </c>
      <c r="K1814">
        <f>I1814-G1814</f>
        <v/>
      </c>
      <c r="M1814">
        <f>R1814=E1814</f>
        <v/>
      </c>
      <c r="N1814">
        <f>AND(MONTH(F1814)=MONTH(Q1814), YEAR(F1814)=YEAR(Q1814))</f>
        <v/>
      </c>
      <c r="O1814">
        <f>"L001-902303751"=S1814</f>
        <v/>
      </c>
      <c r="P1814">
        <f>G1814-U1814</f>
        <v/>
      </c>
      <c r="Q1814" s="35" t="n">
        <v>45250</v>
      </c>
      <c r="R1814" t="inlineStr"/>
      <c r="S1814" t="inlineStr">
        <is>
          <t>K005-100059945</t>
        </is>
      </c>
      <c r="T1814" t="inlineStr">
        <is>
          <t>អ៊ែតវ៉ានស៍ គ្លរី ឡូជីស្ទីក (ខេមបូឌា) (អេ ជី អិល)</t>
        </is>
      </c>
      <c r="U1814" t="n">
        <v>0</v>
      </c>
      <c r="V1814" t="n">
        <v>0</v>
      </c>
    </row>
    <row r="1815">
      <c r="A1815" t="n">
        <v>1814</v>
      </c>
      <c r="B1815" t="inlineStr">
        <is>
          <t>Customs Clearance Fee and Trucking Fee</t>
        </is>
      </c>
      <c r="C1815" t="inlineStr">
        <is>
          <t>ត្រាយអ៊ែងហ្គល ឡូជីស្ទីក (ខេមបូឌា) ឯ.ក</t>
        </is>
      </c>
      <c r="D1815" t="inlineStr">
        <is>
          <t>K010-902101743</t>
        </is>
      </c>
      <c r="E1815" t="inlineStr">
        <is>
          <t>TAG-24-00888</t>
        </is>
      </c>
      <c r="F1815" t="inlineStr">
        <is>
          <t>28-11-2024</t>
        </is>
      </c>
      <c r="G1815" t="n">
        <v>28210</v>
      </c>
      <c r="I1815">
        <f>G1815</f>
        <v/>
      </c>
      <c r="K1815">
        <f>I1815-G1815</f>
        <v/>
      </c>
      <c r="M1815">
        <f>R1815=E1815</f>
        <v/>
      </c>
      <c r="N1815">
        <f>AND(MONTH(F1815)=MONTH(Q1815), YEAR(F1815)=YEAR(Q1815))</f>
        <v/>
      </c>
      <c r="O1815">
        <f>"L001-902303751"=S1815</f>
        <v/>
      </c>
      <c r="P1815">
        <f>G1815-U1815</f>
        <v/>
      </c>
      <c r="Q1815" s="35" t="n">
        <v>45231</v>
      </c>
      <c r="R1815" t="n">
        <v>111591</v>
      </c>
      <c r="S1815" t="inlineStr">
        <is>
          <t>L001-100063098</t>
        </is>
      </c>
      <c r="T1815" t="inlineStr">
        <is>
          <t>ឆាយ ដា ឡូយីស្ទីក</t>
        </is>
      </c>
      <c r="U1815" t="n">
        <v>111591</v>
      </c>
      <c r="V1815" t="n">
        <v>0</v>
      </c>
    </row>
    <row r="1816">
      <c r="A1816" t="n">
        <v>1815</v>
      </c>
      <c r="B1816" t="inlineStr">
        <is>
          <t>Customs Clearance Fee</t>
        </is>
      </c>
      <c r="C1816" t="inlineStr">
        <is>
          <t>ត្រាយអ៊ែងហ្គល ឡូជីស្ទីក (ខេមបូឌា) ឯ.ក</t>
        </is>
      </c>
      <c r="D1816" t="inlineStr">
        <is>
          <t>K010-902101743</t>
        </is>
      </c>
      <c r="E1816" t="inlineStr">
        <is>
          <t>TAG-24-00866</t>
        </is>
      </c>
      <c r="F1816" t="inlineStr">
        <is>
          <t>22-11-2024</t>
        </is>
      </c>
      <c r="G1816" t="n">
        <v>8052</v>
      </c>
      <c r="I1816">
        <f>G1816</f>
        <v/>
      </c>
      <c r="K1816">
        <f>I1816-G1816</f>
        <v/>
      </c>
      <c r="M1816">
        <f>R1816=E1816</f>
        <v/>
      </c>
      <c r="N1816">
        <f>AND(MONTH(F1816)=MONTH(Q1816), YEAR(F1816)=YEAR(Q1816))</f>
        <v/>
      </c>
      <c r="O1816">
        <f>"L001-902303751"=S1816</f>
        <v/>
      </c>
      <c r="P1816">
        <f>G1816-U1816</f>
        <v/>
      </c>
      <c r="Q1816" s="35" t="n">
        <v>45231</v>
      </c>
      <c r="R1816" t="n">
        <v>111591</v>
      </c>
      <c r="S1816" t="inlineStr">
        <is>
          <t>K002-901800477</t>
        </is>
      </c>
      <c r="T1816" t="inlineStr">
        <is>
          <t>អាយធីអាយ អ៊ិនធើណេសិនណល ត្រេនស័្ពរថេសិន (ខេមបូឌា) ឯ.ក</t>
        </is>
      </c>
      <c r="U1816" t="n">
        <v>111591</v>
      </c>
      <c r="V1816" t="n">
        <v>0</v>
      </c>
    </row>
    <row r="1817">
      <c r="A1817" t="n">
        <v>1816</v>
      </c>
      <c r="B1817" t="inlineStr">
        <is>
          <t>Customs Clearance Fee</t>
        </is>
      </c>
      <c r="C1817" t="inlineStr">
        <is>
          <t>ត្រាយអ៊ែងហ្គល ឡូជីស្ទីក (ខេមបូឌា) ឯ.ក</t>
        </is>
      </c>
      <c r="D1817" t="inlineStr">
        <is>
          <t>K010-902101743</t>
        </is>
      </c>
      <c r="E1817" t="inlineStr">
        <is>
          <t>TAG-24-00864</t>
        </is>
      </c>
      <c r="F1817" t="inlineStr">
        <is>
          <t>22-11-2024</t>
        </is>
      </c>
      <c r="G1817" t="n">
        <v>8052</v>
      </c>
      <c r="I1817">
        <f>G1817</f>
        <v/>
      </c>
      <c r="K1817">
        <f>I1817-G1817</f>
        <v/>
      </c>
      <c r="M1817">
        <f>R1817=E1817</f>
        <v/>
      </c>
      <c r="N1817">
        <f>AND(MONTH(F1817)=MONTH(Q1817), YEAR(F1817)=YEAR(Q1817))</f>
        <v/>
      </c>
      <c r="O1817">
        <f>"L001-902303751"=S1817</f>
        <v/>
      </c>
      <c r="P1817">
        <f>G1817-U1817</f>
        <v/>
      </c>
      <c r="Q1817" s="35" t="n">
        <v>45236</v>
      </c>
      <c r="R1817" t="n">
        <v>82620</v>
      </c>
      <c r="S1817" t="inlineStr">
        <is>
          <t>K005-100059945</t>
        </is>
      </c>
      <c r="T1817" t="inlineStr">
        <is>
          <t>អ៊ែតវ៉ានស៍ គ្លរី ឡូជីស្ទីក (ខេមបូឌា) (អេ ជី អិល)</t>
        </is>
      </c>
      <c r="U1817" t="n">
        <v>82620</v>
      </c>
      <c r="V1817" t="n">
        <v>0</v>
      </c>
    </row>
    <row r="1818">
      <c r="A1818" t="n">
        <v>1817</v>
      </c>
      <c r="B1818" t="inlineStr">
        <is>
          <t>THC, DOC, Admin Fee, EMG, CIC, Import manifest and Lo/Lo</t>
        </is>
      </c>
      <c r="C1818" t="inlineStr">
        <is>
          <t>ហ្វ្រេតាស (ខេមបូឌា) ឯ.ក</t>
        </is>
      </c>
      <c r="D1818" t="inlineStr">
        <is>
          <t>K007-901638107</t>
        </is>
      </c>
      <c r="E1818" t="inlineStr">
        <is>
          <t>Y24-151</t>
        </is>
      </c>
      <c r="F1818" t="inlineStr">
        <is>
          <t>18-11-2024</t>
        </is>
      </c>
      <c r="G1818" t="n">
        <v>189927</v>
      </c>
      <c r="I1818">
        <f>G1818</f>
        <v/>
      </c>
      <c r="K1818">
        <f>I1818-G1818</f>
        <v/>
      </c>
      <c r="M1818">
        <f>R1818=E1818</f>
        <v/>
      </c>
      <c r="N1818">
        <f>AND(MONTH(F1818)=MONTH(Q1818), YEAR(F1818)=YEAR(Q1818))</f>
        <v/>
      </c>
      <c r="O1818">
        <f>"L001-902303751"=S1818</f>
        <v/>
      </c>
      <c r="P1818">
        <f>G1818-U1818</f>
        <v/>
      </c>
      <c r="Q1818" s="35" t="n">
        <v>45236</v>
      </c>
      <c r="R1818" t="inlineStr"/>
      <c r="S1818" t="inlineStr">
        <is>
          <t>K003-901635943</t>
        </is>
      </c>
      <c r="T1818" t="inlineStr">
        <is>
          <t>អ៊ីឃ្យូឡាញ វើលវ៉ាយដ៍ ឡូជីស្ទីក</t>
        </is>
      </c>
      <c r="U1818" t="n">
        <v>0</v>
      </c>
      <c r="V1818" t="n">
        <v>0</v>
      </c>
    </row>
    <row r="1819">
      <c r="A1819" t="n">
        <v>1818</v>
      </c>
      <c r="B1819" t="inlineStr">
        <is>
          <t>Lift-On Charge and Gate Fee Charge 20" Full</t>
        </is>
      </c>
      <c r="C1819" t="inlineStr">
        <is>
          <t>កំពង់ផែស្វយ័តភ្នំពេញ "ក.ស.ភ"</t>
        </is>
      </c>
      <c r="D1819" t="inlineStr">
        <is>
          <t>L001-100044999</t>
        </is>
      </c>
      <c r="E1819" t="inlineStr">
        <is>
          <t>INV20241186725</t>
        </is>
      </c>
      <c r="F1819" t="inlineStr">
        <is>
          <t>21-11-2024</t>
        </is>
      </c>
      <c r="G1819" t="n">
        <v>18556</v>
      </c>
      <c r="I1819">
        <f>G1819</f>
        <v/>
      </c>
      <c r="K1819">
        <f>I1819-G1819</f>
        <v/>
      </c>
      <c r="M1819">
        <f>R1819=E1819</f>
        <v/>
      </c>
      <c r="N1819">
        <f>AND(MONTH(F1819)=MONTH(Q1819), YEAR(F1819)=YEAR(Q1819))</f>
        <v/>
      </c>
      <c r="O1819">
        <f>"L001-902303751"=S1819</f>
        <v/>
      </c>
      <c r="P1819">
        <f>G1819-U1819</f>
        <v/>
      </c>
      <c r="Q1819" s="35" t="n">
        <v>45250</v>
      </c>
      <c r="R1819" t="n">
        <v>82400</v>
      </c>
      <c r="S1819" t="inlineStr">
        <is>
          <t>K003-901635943</t>
        </is>
      </c>
      <c r="T1819" t="inlineStr">
        <is>
          <t>អ៊ីឃ្យូឡាញ វើលវ៉ាយដ៍ ឡូជីស្ទីក</t>
        </is>
      </c>
      <c r="U1819" t="n">
        <v>82400</v>
      </c>
      <c r="V1819" t="n">
        <v>0</v>
      </c>
    </row>
    <row r="1820">
      <c r="A1820" t="n">
        <v>1819</v>
      </c>
      <c r="B1820" t="inlineStr">
        <is>
          <t>Customs Clearance Fee and Trucking Fee</t>
        </is>
      </c>
      <c r="C1820" t="inlineStr">
        <is>
          <t>ត្រាយអ៊ែងហ្គល ឡូជីស្ទីក (ខេមបូឌា) ឯ.ក</t>
        </is>
      </c>
      <c r="D1820" t="inlineStr">
        <is>
          <t>K010-902101743</t>
        </is>
      </c>
      <c r="E1820" t="inlineStr">
        <is>
          <t>TAG-24-00889</t>
        </is>
      </c>
      <c r="F1820" t="inlineStr">
        <is>
          <t>28-11-2024</t>
        </is>
      </c>
      <c r="G1820" t="n">
        <v>64480</v>
      </c>
      <c r="I1820">
        <f>G1820</f>
        <v/>
      </c>
      <c r="K1820">
        <f>I1820-G1820</f>
        <v/>
      </c>
      <c r="M1820">
        <f>R1820=E1820</f>
        <v/>
      </c>
      <c r="N1820">
        <f>AND(MONTH(F1820)=MONTH(Q1820), YEAR(F1820)=YEAR(Q1820))</f>
        <v/>
      </c>
      <c r="O1820">
        <f>"L001-902303751"=S1820</f>
        <v/>
      </c>
      <c r="P1820">
        <f>G1820-U1820</f>
        <v/>
      </c>
      <c r="Q1820" s="35" t="n">
        <v>45244</v>
      </c>
      <c r="R1820" t="n">
        <v>110970</v>
      </c>
      <c r="S1820" t="inlineStr">
        <is>
          <t>K002-901800477</t>
        </is>
      </c>
      <c r="T1820" t="inlineStr">
        <is>
          <t>អាយធីអាយ អ៊ិនធើណេសិនណល ត្រេនស័្ពរថេសិន (ខេមបូឌា) ឯ.ក</t>
        </is>
      </c>
      <c r="U1820" t="n">
        <v>110970</v>
      </c>
      <c r="V1820" t="n">
        <v>0</v>
      </c>
    </row>
    <row r="1821">
      <c r="A1821" t="n">
        <v>1820</v>
      </c>
      <c r="B1821" t="inlineStr">
        <is>
          <t>Customs Clearance Fee</t>
        </is>
      </c>
      <c r="C1821" t="inlineStr">
        <is>
          <t>ត្រាយអ៊ែងហ្គល ឡូជីស្ទីក (ខេមបូឌា) ឯ.ក</t>
        </is>
      </c>
      <c r="D1821" t="inlineStr">
        <is>
          <t>K010-902101743</t>
        </is>
      </c>
      <c r="E1821" t="inlineStr">
        <is>
          <t>TAG-24-00843</t>
        </is>
      </c>
      <c r="F1821" t="inlineStr">
        <is>
          <t>18-11-2024</t>
        </is>
      </c>
      <c r="G1821" t="n">
        <v>8082</v>
      </c>
      <c r="I1821">
        <f>G1821</f>
        <v/>
      </c>
      <c r="K1821">
        <f>I1821-G1821</f>
        <v/>
      </c>
      <c r="M1821">
        <f>R1821=E1821</f>
        <v/>
      </c>
      <c r="N1821">
        <f>AND(MONTH(F1821)=MONTH(Q1821), YEAR(F1821)=YEAR(Q1821))</f>
        <v/>
      </c>
      <c r="O1821">
        <f>"L001-902303751"=S1821</f>
        <v/>
      </c>
      <c r="P1821">
        <f>G1821-U1821</f>
        <v/>
      </c>
      <c r="Q1821" s="35" t="n">
        <v>45244</v>
      </c>
      <c r="R1821" t="inlineStr"/>
      <c r="S1821" t="inlineStr">
        <is>
          <t>K002-901800477</t>
        </is>
      </c>
      <c r="T1821" t="inlineStr">
        <is>
          <t>អាយធីអាយ អ៊ិនធើណេសិនណល ត្រេនស័្ពរថេសិន (ខេមបូឌា) ឯ.ក</t>
        </is>
      </c>
      <c r="U1821" t="n">
        <v>0</v>
      </c>
      <c r="V1821" t="n">
        <v>0</v>
      </c>
    </row>
    <row r="1822">
      <c r="A1822" t="n">
        <v>1821</v>
      </c>
      <c r="B1822" t="inlineStr">
        <is>
          <t>THC, DOC Fee and Container Imbalance</t>
        </is>
      </c>
      <c r="C1822" t="inlineStr">
        <is>
          <t>សាខាក្រុមហ៊ុន ជីម៉ាឌីប ស៊ីបភីង ខមភេនី លីមីធីត</t>
        </is>
      </c>
      <c r="D1822" t="inlineStr">
        <is>
          <t>L001-901704777</t>
        </is>
      </c>
      <c r="E1822" t="inlineStr">
        <is>
          <t>24-04119</t>
        </is>
      </c>
      <c r="F1822" t="inlineStr">
        <is>
          <t>11-11-2024</t>
        </is>
      </c>
      <c r="G1822" t="n">
        <v>95387</v>
      </c>
      <c r="I1822">
        <f>G1822</f>
        <v/>
      </c>
      <c r="K1822">
        <f>I1822-G1822</f>
        <v/>
      </c>
      <c r="M1822">
        <f>R1822=E1822</f>
        <v/>
      </c>
      <c r="N1822">
        <f>AND(MONTH(F1822)=MONTH(Q1822), YEAR(F1822)=YEAR(Q1822))</f>
        <v/>
      </c>
      <c r="O1822">
        <f>"L001-902303751"=S1822</f>
        <v/>
      </c>
      <c r="P1822">
        <f>G1822-U1822</f>
        <v/>
      </c>
      <c r="Q1822" s="35" t="n">
        <v>45244</v>
      </c>
      <c r="R1822" t="n">
        <v>82200</v>
      </c>
      <c r="S1822" t="inlineStr">
        <is>
          <t>L001-103007369</t>
        </is>
      </c>
      <c r="T1822" t="inlineStr">
        <is>
          <t>អូរៀនថល ឡូជីស្ទីក &amp; ឌីស្ទ្រីប៊្យូសិន (ខេមបូឌា)</t>
        </is>
      </c>
      <c r="U1822" t="n">
        <v>82200</v>
      </c>
      <c r="V1822" t="n">
        <v>0</v>
      </c>
    </row>
    <row r="1823">
      <c r="A1823" t="n">
        <v>1822</v>
      </c>
      <c r="B1823" t="inlineStr">
        <is>
          <t>Gate Fee Charges-GC Truck-1-6 Tons</t>
        </is>
      </c>
      <c r="C1823" t="inlineStr">
        <is>
          <t>កំពង់ផែស្វយ័តភ្នំពេញ "ក.ស.ភ"</t>
        </is>
      </c>
      <c r="D1823" t="inlineStr">
        <is>
          <t>L001-100044999</t>
        </is>
      </c>
      <c r="E1823" t="inlineStr">
        <is>
          <t>INV20241185929</t>
        </is>
      </c>
      <c r="F1823" t="inlineStr">
        <is>
          <t>18-11-2024</t>
        </is>
      </c>
      <c r="G1823" t="n">
        <v>1212</v>
      </c>
      <c r="I1823">
        <f>G1823</f>
        <v/>
      </c>
      <c r="K1823">
        <f>I1823-G1823</f>
        <v/>
      </c>
      <c r="M1823">
        <f>R1823=E1823</f>
        <v/>
      </c>
      <c r="N1823">
        <f>AND(MONTH(F1823)=MONTH(Q1823), YEAR(F1823)=YEAR(Q1823))</f>
        <v/>
      </c>
      <c r="O1823">
        <f>"L001-902303751"=S1823</f>
        <v/>
      </c>
      <c r="P1823">
        <f>G1823-U1823</f>
        <v/>
      </c>
      <c r="Q1823" s="35" t="n">
        <v>45244</v>
      </c>
      <c r="R1823" t="inlineStr"/>
      <c r="S1823" t="inlineStr">
        <is>
          <t>L001-103007369</t>
        </is>
      </c>
      <c r="T1823" t="inlineStr">
        <is>
          <t>អូរៀនថល ឡូជីស្ទីក &amp; ឌីស្ទ្រីប៊្យូសិន (ខេមបូឌា)</t>
        </is>
      </c>
      <c r="U1823" t="n">
        <v>0</v>
      </c>
      <c r="V1823" t="n">
        <v>0</v>
      </c>
    </row>
    <row r="1824">
      <c r="A1824" t="n">
        <v>1823</v>
      </c>
      <c r="B1824" t="inlineStr">
        <is>
          <t>Lift-On Charge and Gate Fee Charge 20" Full</t>
        </is>
      </c>
      <c r="C1824" t="inlineStr">
        <is>
          <t>កំពង់ផែស្វយ័តភ្នំពេញ "ក.ស.ភ"</t>
        </is>
      </c>
      <c r="D1824" t="inlineStr">
        <is>
          <t>L001-100044999</t>
        </is>
      </c>
      <c r="E1824" t="inlineStr">
        <is>
          <t>INV20241185198</t>
        </is>
      </c>
      <c r="F1824" t="inlineStr">
        <is>
          <t>13-11-2024</t>
        </is>
      </c>
      <c r="G1824" t="n">
        <v>18621</v>
      </c>
      <c r="I1824">
        <f>G1824</f>
        <v/>
      </c>
      <c r="K1824">
        <f>I1824-G1824</f>
        <v/>
      </c>
      <c r="M1824">
        <f>R1824=E1824</f>
        <v/>
      </c>
      <c r="N1824">
        <f>AND(MONTH(F1824)=MONTH(Q1824), YEAR(F1824)=YEAR(Q1824))</f>
        <v/>
      </c>
      <c r="O1824">
        <f>"L001-902303751"=S1824</f>
        <v/>
      </c>
      <c r="P1824">
        <f>G1824-U1824</f>
        <v/>
      </c>
      <c r="Q1824" s="35" t="n">
        <v>45250</v>
      </c>
      <c r="R1824" t="n">
        <v>111240</v>
      </c>
      <c r="S1824" t="inlineStr">
        <is>
          <t>K005-100059945</t>
        </is>
      </c>
      <c r="T1824" t="inlineStr">
        <is>
          <t>អ៊ែតវ៉ានស៍ គ្លរី ឡូជីស្ទីក (ខេមបូឌា) (អេ ជី អិល)</t>
        </is>
      </c>
      <c r="U1824" t="n">
        <v>111240</v>
      </c>
      <c r="V1824" t="n">
        <v>0</v>
      </c>
    </row>
    <row r="1825">
      <c r="A1825" t="n">
        <v>1824</v>
      </c>
      <c r="B1825" t="inlineStr">
        <is>
          <t>Customs Clearance Fee and Trucking Fee</t>
        </is>
      </c>
      <c r="C1825" t="inlineStr">
        <is>
          <t>ត្រាយអ៊ែងហ្គល ឡូជីស្ទីក (ខេមបូឌា) ឯ.ក</t>
        </is>
      </c>
      <c r="D1825" t="inlineStr">
        <is>
          <t>K010-902101743</t>
        </is>
      </c>
      <c r="E1825" t="inlineStr">
        <is>
          <t>TAG-24-00884</t>
        </is>
      </c>
      <c r="F1825" t="inlineStr">
        <is>
          <t>28-11-2024</t>
        </is>
      </c>
      <c r="G1825" t="n">
        <v>64480</v>
      </c>
      <c r="I1825">
        <f>G1825</f>
        <v/>
      </c>
      <c r="K1825">
        <f>I1825-G1825</f>
        <v/>
      </c>
      <c r="M1825">
        <f>R1825=E1825</f>
        <v/>
      </c>
      <c r="N1825">
        <f>AND(MONTH(F1825)=MONTH(Q1825), YEAR(F1825)=YEAR(Q1825))</f>
        <v/>
      </c>
      <c r="O1825">
        <f>"L001-902303751"=S1825</f>
        <v/>
      </c>
      <c r="P1825">
        <f>G1825-U1825</f>
        <v/>
      </c>
      <c r="Q1825" s="35" t="n">
        <v>45244</v>
      </c>
      <c r="R1825" t="inlineStr"/>
      <c r="S1825" t="inlineStr">
        <is>
          <t>K002-901800477</t>
        </is>
      </c>
      <c r="T1825" t="inlineStr">
        <is>
          <t>អាយធីអាយ អ៊ិនធើណេសិនណល ត្រេនស័្ពរថេសិន (ខេមបូឌា) ឯ.ក</t>
        </is>
      </c>
      <c r="U1825" t="n">
        <v>0</v>
      </c>
      <c r="V1825" t="n">
        <v>0</v>
      </c>
    </row>
    <row r="1826">
      <c r="A1826" t="n">
        <v>1825</v>
      </c>
      <c r="B1826" t="inlineStr">
        <is>
          <t>Storage Charge</t>
        </is>
      </c>
      <c r="C1826" t="inlineStr">
        <is>
          <t>ហ្វ្រេត ខនសិប (ខេមបូឌា)</t>
        </is>
      </c>
      <c r="D1826" t="inlineStr">
        <is>
          <t>K009-901502482</t>
        </is>
      </c>
      <c r="E1826" t="inlineStr">
        <is>
          <t>241172</t>
        </is>
      </c>
      <c r="F1826" t="inlineStr">
        <is>
          <t>19-11-2024</t>
        </is>
      </c>
      <c r="G1826" t="n">
        <v>32312</v>
      </c>
      <c r="I1826">
        <f>G1826</f>
        <v/>
      </c>
      <c r="K1826">
        <f>I1826-G1826</f>
        <v/>
      </c>
      <c r="M1826">
        <f>R1826=E1826</f>
        <v/>
      </c>
      <c r="N1826">
        <f>AND(MONTH(F1826)=MONTH(Q1826), YEAR(F1826)=YEAR(Q1826))</f>
        <v/>
      </c>
      <c r="O1826">
        <f>"L001-902303751"=S1826</f>
        <v/>
      </c>
      <c r="P1826">
        <f>G1826-U1826</f>
        <v/>
      </c>
      <c r="Q1826" s="35" t="n">
        <v>45231</v>
      </c>
      <c r="R1826" t="inlineStr"/>
      <c r="S1826" t="inlineStr">
        <is>
          <t>L001-901500191</t>
        </is>
      </c>
      <c r="T1826" t="inlineStr">
        <is>
          <t>អ.អិន.វ៉ាយ ត្រេនស្ព័ត</t>
        </is>
      </c>
      <c r="U1826" t="n">
        <v>0</v>
      </c>
      <c r="V1826" t="n">
        <v>0</v>
      </c>
    </row>
    <row r="1827">
      <c r="A1827" t="n">
        <v>1826</v>
      </c>
      <c r="B1827" t="inlineStr">
        <is>
          <t>Customs Clearance Fee and Trucking Fee</t>
        </is>
      </c>
      <c r="C1827" t="inlineStr">
        <is>
          <t>ត្រាយអ៊ែងហ្គល ឡូជីស្ទីក (ខេមបូឌា) ឯ.ក</t>
        </is>
      </c>
      <c r="D1827" t="inlineStr">
        <is>
          <t>K010-902101743</t>
        </is>
      </c>
      <c r="E1827" t="inlineStr">
        <is>
          <t>TAG-24-00840</t>
        </is>
      </c>
      <c r="F1827" t="inlineStr">
        <is>
          <t>12-11-2024</t>
        </is>
      </c>
      <c r="G1827" t="n">
        <v>28371</v>
      </c>
      <c r="I1827">
        <f>G1827</f>
        <v/>
      </c>
      <c r="K1827">
        <f>I1827-G1827</f>
        <v/>
      </c>
      <c r="M1827">
        <f>R1827=E1827</f>
        <v/>
      </c>
      <c r="N1827">
        <f>AND(MONTH(F1827)=MONTH(Q1827), YEAR(F1827)=YEAR(Q1827))</f>
        <v/>
      </c>
      <c r="O1827">
        <f>"L001-902303751"=S1827</f>
        <v/>
      </c>
      <c r="P1827">
        <f>G1827-U1827</f>
        <v/>
      </c>
      <c r="Q1827" s="35" t="n">
        <v>45231</v>
      </c>
      <c r="R1827" t="n">
        <v>388502</v>
      </c>
      <c r="S1827" t="inlineStr">
        <is>
          <t>L001-100011888</t>
        </is>
      </c>
      <c r="T1827" t="inlineStr">
        <is>
          <t>ត្រេន ស្តារ ហ្រេ្វត</t>
        </is>
      </c>
      <c r="U1827" t="n">
        <v>388502</v>
      </c>
      <c r="V1827" t="n">
        <v>0</v>
      </c>
    </row>
    <row r="1828">
      <c r="A1828" t="n">
        <v>1827</v>
      </c>
      <c r="B1828" t="inlineStr">
        <is>
          <t>THC Fee, DOC Fee, CFS Fee, Scanner Fee, D/O Fee, Agency Fee and LSS Charge</t>
        </is>
      </c>
      <c r="C1828" t="inlineStr">
        <is>
          <t>ខាហ្គោផត (ខេមបូឌា)</t>
        </is>
      </c>
      <c r="D1828" t="inlineStr">
        <is>
          <t>K005-100099521</t>
        </is>
      </c>
      <c r="E1828" t="inlineStr">
        <is>
          <t>24-2683</t>
        </is>
      </c>
      <c r="F1828" t="inlineStr">
        <is>
          <t>05-11-2024</t>
        </is>
      </c>
      <c r="G1828" t="n">
        <v>50813</v>
      </c>
      <c r="I1828">
        <f>G1828</f>
        <v/>
      </c>
      <c r="K1828">
        <f>I1828-G1828</f>
        <v/>
      </c>
      <c r="M1828">
        <f>R1828=E1828</f>
        <v/>
      </c>
      <c r="N1828">
        <f>AND(MONTH(F1828)=MONTH(Q1828), YEAR(F1828)=YEAR(Q1828))</f>
        <v/>
      </c>
      <c r="O1828">
        <f>"L001-902303751"=S1828</f>
        <v/>
      </c>
      <c r="P1828">
        <f>G1828-U1828</f>
        <v/>
      </c>
      <c r="Q1828" s="35" t="n">
        <v>45231</v>
      </c>
      <c r="R1828" t="inlineStr"/>
      <c r="S1828" t="inlineStr">
        <is>
          <t>K002-901800477</t>
        </is>
      </c>
      <c r="T1828" t="inlineStr">
        <is>
          <t>អាយធីអាយ អ៊ិនធើណេសិនណល ត្រេនស័្ពរថេសិន (ខេមបូឌា) ឯ.ក</t>
        </is>
      </c>
      <c r="U1828" t="n">
        <v>0</v>
      </c>
      <c r="V1828" t="n">
        <v>0</v>
      </c>
    </row>
    <row r="1829">
      <c r="A1829" t="n">
        <v>1828</v>
      </c>
      <c r="B1829" t="inlineStr">
        <is>
          <t>Charge from warehouse/cy to trucks</t>
        </is>
      </c>
      <c r="C1829" t="inlineStr">
        <is>
          <t>កំពង់ផែស្វយ័តក្រុងព្រះសីហនុ</t>
        </is>
      </c>
      <c r="D1829" t="inlineStr">
        <is>
          <t>L001-100044638</t>
        </is>
      </c>
      <c r="E1829" t="inlineStr">
        <is>
          <t>239566</t>
        </is>
      </c>
      <c r="F1829" t="inlineStr">
        <is>
          <t>20-11-2024</t>
        </is>
      </c>
      <c r="G1829" t="n">
        <v>617</v>
      </c>
      <c r="I1829">
        <f>G1829</f>
        <v/>
      </c>
      <c r="K1829">
        <f>I1829-G1829</f>
        <v/>
      </c>
      <c r="M1829">
        <f>R1829=E1829</f>
        <v/>
      </c>
      <c r="N1829">
        <f>AND(MONTH(F1829)=MONTH(Q1829), YEAR(F1829)=YEAR(Q1829))</f>
        <v/>
      </c>
      <c r="O1829">
        <f>"L001-902303751"=S1829</f>
        <v/>
      </c>
      <c r="P1829">
        <f>G1829-U1829</f>
        <v/>
      </c>
      <c r="Q1829" s="35" t="n">
        <v>45231</v>
      </c>
      <c r="R1829" t="inlineStr"/>
      <c r="S1829" t="inlineStr">
        <is>
          <t>K005-901501155</t>
        </is>
      </c>
      <c r="T1829" t="inlineStr">
        <is>
          <t>ផេនដា គ្លូប៊ល ឡូជីស្ទីក (ខេមបូឌា)</t>
        </is>
      </c>
      <c r="U1829" t="n">
        <v>0</v>
      </c>
      <c r="V1829" t="n">
        <v>0</v>
      </c>
    </row>
    <row r="1830">
      <c r="A1830" t="n">
        <v>1829</v>
      </c>
      <c r="B1830" t="inlineStr">
        <is>
          <t>Customs Clearance Fee and Trucking Fee</t>
        </is>
      </c>
      <c r="C1830" t="inlineStr">
        <is>
          <t>ត្រាយអ៊ែងហ្គល ឡូជីស្ទីក (ខេមបូឌា) ឯ.ក</t>
        </is>
      </c>
      <c r="D1830" t="inlineStr">
        <is>
          <t>K010-902101743</t>
        </is>
      </c>
      <c r="E1830" t="inlineStr">
        <is>
          <t>TAG-24-00891</t>
        </is>
      </c>
      <c r="F1830" t="inlineStr">
        <is>
          <t>28-11-2024</t>
        </is>
      </c>
      <c r="G1830" t="n">
        <v>32240</v>
      </c>
      <c r="I1830">
        <f>G1830</f>
        <v/>
      </c>
      <c r="K1830">
        <f>I1830-G1830</f>
        <v/>
      </c>
      <c r="M1830">
        <f>R1830=E1830</f>
        <v/>
      </c>
      <c r="N1830">
        <f>AND(MONTH(F1830)=MONTH(Q1830), YEAR(F1830)=YEAR(Q1830))</f>
        <v/>
      </c>
      <c r="O1830">
        <f>"L001-902303751"=S1830</f>
        <v/>
      </c>
      <c r="P1830">
        <f>G1830-U1830</f>
        <v/>
      </c>
      <c r="Q1830" s="35" t="n">
        <v>45234</v>
      </c>
      <c r="R1830" t="inlineStr"/>
      <c r="S1830" t="inlineStr">
        <is>
          <t>L001-100074669</t>
        </is>
      </c>
      <c r="T1830" t="inlineStr">
        <is>
          <t>ខេអិលអិន ហ្វ្រេត (ខេមបូឌា) ឯ.ក</t>
        </is>
      </c>
      <c r="U1830" t="n">
        <v>0</v>
      </c>
      <c r="V1830" t="n">
        <v>0</v>
      </c>
    </row>
    <row r="1831">
      <c r="A1831" t="n">
        <v>1830</v>
      </c>
      <c r="B1831" t="inlineStr">
        <is>
          <t>Rental Machine</t>
        </is>
      </c>
      <c r="C1831" t="inlineStr">
        <is>
          <t>ក្លាក ហ៊ូ ឯ.ក</t>
        </is>
      </c>
      <c r="D1831" t="inlineStr">
        <is>
          <t>K007-901639199</t>
        </is>
      </c>
      <c r="E1831" t="inlineStr">
        <is>
          <t>IN2636</t>
        </is>
      </c>
      <c r="F1831" t="inlineStr">
        <is>
          <t>25-11-2024</t>
        </is>
      </c>
      <c r="G1831" t="n">
        <v>226120</v>
      </c>
      <c r="I1831">
        <f>G1831</f>
        <v/>
      </c>
      <c r="K1831">
        <f>I1831-G1831</f>
        <v/>
      </c>
      <c r="M1831">
        <f>R1831=E1831</f>
        <v/>
      </c>
      <c r="N1831">
        <f>AND(MONTH(F1831)=MONTH(Q1831), YEAR(F1831)=YEAR(Q1831))</f>
        <v/>
      </c>
      <c r="O1831">
        <f>"L001-902303751"=S1831</f>
        <v/>
      </c>
      <c r="P1831">
        <f>G1831-U1831</f>
        <v/>
      </c>
      <c r="Q1831" s="35" t="n">
        <v>45236</v>
      </c>
      <c r="R1831" t="n">
        <v>111537</v>
      </c>
      <c r="S1831" t="inlineStr">
        <is>
          <t>L001-107041723</t>
        </is>
      </c>
      <c r="T1831" t="inlineStr">
        <is>
          <t>ឌីប៊ី សេនឃើរ (ខេមបូឌា) លីមីធីត</t>
        </is>
      </c>
      <c r="U1831" t="n">
        <v>111537</v>
      </c>
      <c r="V1831" t="n">
        <v>0</v>
      </c>
    </row>
    <row r="1832">
      <c r="A1832" t="n">
        <v>1831</v>
      </c>
      <c r="B1832" t="inlineStr">
        <is>
          <t>Rental Machine</t>
        </is>
      </c>
      <c r="C1832" t="inlineStr">
        <is>
          <t>ក្លាក ហ៊ូ ឯ.ក</t>
        </is>
      </c>
      <c r="D1832" t="inlineStr">
        <is>
          <t>K007-901639199</t>
        </is>
      </c>
      <c r="E1832" t="inlineStr">
        <is>
          <t>IN2637</t>
        </is>
      </c>
      <c r="F1832" t="inlineStr">
        <is>
          <t>25-11-2024</t>
        </is>
      </c>
      <c r="G1832" t="n">
        <v>254218</v>
      </c>
      <c r="I1832">
        <f>G1832</f>
        <v/>
      </c>
      <c r="K1832">
        <f>I1832-G1832</f>
        <v/>
      </c>
      <c r="M1832">
        <f>R1832=E1832</f>
        <v/>
      </c>
      <c r="N1832">
        <f>AND(MONTH(F1832)=MONTH(Q1832), YEAR(F1832)=YEAR(Q1832))</f>
        <v/>
      </c>
      <c r="O1832">
        <f>"L001-902303751"=S1832</f>
        <v/>
      </c>
      <c r="P1832">
        <f>G1832-U1832</f>
        <v/>
      </c>
      <c r="Q1832" s="35" t="n">
        <v>45259</v>
      </c>
      <c r="R1832" t="n">
        <v>299572</v>
      </c>
      <c r="S1832" t="inlineStr">
        <is>
          <t>L001-100044956</t>
        </is>
      </c>
      <c r="T1832" t="inlineStr">
        <is>
          <t>ជី លីង អិចប្រេស ឡូជីស្ទីក (ខេមបូឌា) លីមីធីត</t>
        </is>
      </c>
      <c r="U1832" t="n">
        <v>299572</v>
      </c>
      <c r="V1832" t="n">
        <v>0</v>
      </c>
    </row>
    <row r="1833">
      <c r="A1833" t="n">
        <v>1832</v>
      </c>
      <c r="B1833" t="inlineStr">
        <is>
          <t>Rental Machine</t>
        </is>
      </c>
      <c r="C1833" t="inlineStr">
        <is>
          <t>ក្លាក ហ៊ូ ឯ.ក</t>
        </is>
      </c>
      <c r="D1833" t="inlineStr">
        <is>
          <t>K007-901639199</t>
        </is>
      </c>
      <c r="E1833" t="inlineStr">
        <is>
          <t>IN2638</t>
        </is>
      </c>
      <c r="F1833" t="inlineStr">
        <is>
          <t>25-11-2024</t>
        </is>
      </c>
      <c r="G1833" t="n">
        <v>128448</v>
      </c>
      <c r="I1833">
        <f>G1833</f>
        <v/>
      </c>
      <c r="K1833">
        <f>I1833-G1833</f>
        <v/>
      </c>
      <c r="M1833">
        <f>R1833=E1833</f>
        <v/>
      </c>
      <c r="N1833">
        <f>AND(MONTH(F1833)=MONTH(Q1833), YEAR(F1833)=YEAR(Q1833))</f>
        <v/>
      </c>
      <c r="O1833">
        <f>"L001-902303751"=S1833</f>
        <v/>
      </c>
      <c r="P1833">
        <f>G1833-U1833</f>
        <v/>
      </c>
      <c r="Q1833" s="35" t="n">
        <v>45259</v>
      </c>
      <c r="R1833" t="inlineStr"/>
      <c r="S1833" t="inlineStr">
        <is>
          <t>L001-107032791</t>
        </is>
      </c>
      <c r="T1833" t="inlineStr">
        <is>
          <t>នីបផន អិចប្រេស (ខេមបូឌា) ខូ អិលធីឌី</t>
        </is>
      </c>
      <c r="U1833" t="n">
        <v>0</v>
      </c>
      <c r="V1833" t="n">
        <v>0</v>
      </c>
    </row>
    <row r="1834">
      <c r="A1834" t="n">
        <v>1833</v>
      </c>
      <c r="B1834" t="inlineStr">
        <is>
          <t>Rental Machine</t>
        </is>
      </c>
      <c r="C1834" t="inlineStr">
        <is>
          <t>ក្លាក ហ៊ូ ឯ.ក</t>
        </is>
      </c>
      <c r="D1834" t="inlineStr">
        <is>
          <t>K007-901639199</t>
        </is>
      </c>
      <c r="E1834" t="inlineStr">
        <is>
          <t>IN2639</t>
        </is>
      </c>
      <c r="F1834" t="inlineStr">
        <is>
          <t>25-11-2024</t>
        </is>
      </c>
      <c r="G1834" t="n">
        <v>206721</v>
      </c>
      <c r="I1834">
        <f>G1834</f>
        <v/>
      </c>
      <c r="K1834">
        <f>I1834-G1834</f>
        <v/>
      </c>
      <c r="M1834">
        <f>R1834=E1834</f>
        <v/>
      </c>
      <c r="N1834">
        <f>AND(MONTH(F1834)=MONTH(Q1834), YEAR(F1834)=YEAR(Q1834))</f>
        <v/>
      </c>
      <c r="O1834">
        <f>"L001-902303751"=S1834</f>
        <v/>
      </c>
      <c r="P1834">
        <f>G1834-U1834</f>
        <v/>
      </c>
      <c r="Q1834" s="35" t="n">
        <v>45250</v>
      </c>
      <c r="R1834" t="inlineStr"/>
      <c r="S1834" t="inlineStr">
        <is>
          <t>K003-901635943</t>
        </is>
      </c>
      <c r="T1834" t="inlineStr">
        <is>
          <t>អ៊ីឃ្យូឡាញ វើលវ៉ាយដ៍ ឡូជីស្ទីក</t>
        </is>
      </c>
      <c r="U1834" t="n">
        <v>0</v>
      </c>
      <c r="V1834" t="n">
        <v>0</v>
      </c>
    </row>
    <row r="1835">
      <c r="A1835" t="n">
        <v>1834</v>
      </c>
      <c r="B1835" t="inlineStr">
        <is>
          <t>Rental Machine</t>
        </is>
      </c>
      <c r="C1835" t="inlineStr">
        <is>
          <t>ក្លាក ហ៊ូ ឯ.ក</t>
        </is>
      </c>
      <c r="D1835" t="inlineStr">
        <is>
          <t>K007-901639199</t>
        </is>
      </c>
      <c r="E1835" t="inlineStr">
        <is>
          <t>IN2640</t>
        </is>
      </c>
      <c r="F1835" t="inlineStr">
        <is>
          <t>25-11-2024</t>
        </is>
      </c>
      <c r="G1835" t="n">
        <v>72252</v>
      </c>
      <c r="I1835">
        <f>G1835</f>
        <v/>
      </c>
      <c r="K1835">
        <f>I1835-G1835</f>
        <v/>
      </c>
      <c r="M1835">
        <f>R1835=E1835</f>
        <v/>
      </c>
      <c r="N1835">
        <f>AND(MONTH(F1835)=MONTH(Q1835), YEAR(F1835)=YEAR(Q1835))</f>
        <v/>
      </c>
      <c r="O1835">
        <f>"L001-902303751"=S1835</f>
        <v/>
      </c>
      <c r="P1835">
        <f>G1835-U1835</f>
        <v/>
      </c>
      <c r="Q1835" s="35" t="n">
        <v>45253</v>
      </c>
      <c r="R1835" t="inlineStr"/>
      <c r="S1835" t="inlineStr">
        <is>
          <t>L001-100045995</t>
        </is>
      </c>
      <c r="T1835" t="inlineStr">
        <is>
          <t>ឌីអេចអិល ឡូជីស្ទីក (ខេមបូឌា)</t>
        </is>
      </c>
      <c r="U1835" t="n">
        <v>0</v>
      </c>
      <c r="V1835" t="n">
        <v>0</v>
      </c>
    </row>
    <row r="1836">
      <c r="A1836" t="n">
        <v>1835</v>
      </c>
      <c r="B1836" t="inlineStr">
        <is>
          <t>Documentation Origin, Handling Charges Origin, Terminal Handling Charges Origin, Seal Surcharge, VGM Processing Fee and Data Transmission Fee</t>
        </is>
      </c>
      <c r="C1836" t="inlineStr">
        <is>
          <t>ឌីប៊ី សេនឃើរ (ខេមបូឌា) លីមីធីត</t>
        </is>
      </c>
      <c r="D1836" t="inlineStr">
        <is>
          <t>L001-107041723</t>
        </is>
      </c>
      <c r="E1836" t="inlineStr">
        <is>
          <t>2400009453</t>
        </is>
      </c>
      <c r="F1836" t="inlineStr">
        <is>
          <t>29-11-2024</t>
        </is>
      </c>
      <c r="G1836" t="n">
        <v>171190</v>
      </c>
      <c r="I1836">
        <f>G1836</f>
        <v/>
      </c>
      <c r="K1836">
        <f>I1836-G1836</f>
        <v/>
      </c>
      <c r="M1836">
        <f>R1836=E1836</f>
        <v/>
      </c>
      <c r="N1836">
        <f>AND(MONTH(F1836)=MONTH(Q1836), YEAR(F1836)=YEAR(Q1836))</f>
        <v/>
      </c>
      <c r="O1836">
        <f>"L001-902303751"=S1836</f>
        <v/>
      </c>
      <c r="P1836">
        <f>G1836-U1836</f>
        <v/>
      </c>
      <c r="Q1836" s="35" t="n">
        <v>45244</v>
      </c>
      <c r="R1836" t="n">
        <v>382230</v>
      </c>
      <c r="S1836" t="inlineStr">
        <is>
          <t>L001-902000739</t>
        </is>
      </c>
      <c r="T1836" t="inlineStr">
        <is>
          <t>អាន រ៉ុង ហ្ស៊ី យី ឯ.ក</t>
        </is>
      </c>
      <c r="U1836" t="n">
        <v>382230</v>
      </c>
      <c r="V1836" t="n">
        <v>0</v>
      </c>
    </row>
    <row r="1837">
      <c r="A1837" t="n">
        <v>1836</v>
      </c>
      <c r="B1837" t="inlineStr">
        <is>
          <t>OM CFS Charges, Carrier BL Fee, OM Document Assembly, Terminal Handling CHR, OTH Carrier Term CHG, VGM Fee, MISC Charge and Manifest Fee</t>
        </is>
      </c>
      <c r="C1837" t="inlineStr">
        <is>
          <t>អ៊ិចស្ពែឌីធ័រ ខេមបូឌា អិលធីឌី</t>
        </is>
      </c>
      <c r="D1837" t="inlineStr">
        <is>
          <t>L001-100045898</t>
        </is>
      </c>
      <c r="E1837" t="inlineStr">
        <is>
          <t>TI-0298497</t>
        </is>
      </c>
      <c r="F1837" t="inlineStr">
        <is>
          <t>27-11-2024</t>
        </is>
      </c>
      <c r="G1837" t="n">
        <v>116067</v>
      </c>
      <c r="I1837">
        <f>G1837</f>
        <v/>
      </c>
      <c r="K1837">
        <f>I1837-G1837</f>
        <v/>
      </c>
      <c r="M1837">
        <f>R1837=E1837</f>
        <v/>
      </c>
      <c r="N1837">
        <f>AND(MONTH(F1837)=MONTH(Q1837), YEAR(F1837)=YEAR(Q1837))</f>
        <v/>
      </c>
      <c r="O1837">
        <f>"L001-902303751"=S1837</f>
        <v/>
      </c>
      <c r="P1837">
        <f>G1837-U1837</f>
        <v/>
      </c>
      <c r="Q1837" s="35" t="n">
        <v>45231</v>
      </c>
      <c r="R1837" t="inlineStr"/>
      <c r="S1837" t="inlineStr">
        <is>
          <t>K005-901501155</t>
        </is>
      </c>
      <c r="T1837" t="inlineStr">
        <is>
          <t>ផេនដា គ្លូប៊ល ឡូជីស្ទីក (ខេមបូឌា)</t>
        </is>
      </c>
      <c r="U1837" t="n">
        <v>0</v>
      </c>
      <c r="V1837" t="n">
        <v>0</v>
      </c>
    </row>
    <row r="1838">
      <c r="A1838" t="n">
        <v>1837</v>
      </c>
      <c r="B1838" t="inlineStr">
        <is>
          <t>Documentation Origin, Hanlding Charges Origin, PLACI Fee and HAWB Transmission Fee</t>
        </is>
      </c>
      <c r="C1838" t="inlineStr">
        <is>
          <t>ឌីប៊ី សេនឃើរ (ខេមបូឌា) លីមីធីត</t>
        </is>
      </c>
      <c r="D1838" t="inlineStr">
        <is>
          <t>L001-107041723</t>
        </is>
      </c>
      <c r="E1838" t="inlineStr">
        <is>
          <t>2400009361</t>
        </is>
      </c>
      <c r="F1838" t="inlineStr">
        <is>
          <t>27-11-2024</t>
        </is>
      </c>
      <c r="G1838" t="n">
        <v>49495</v>
      </c>
      <c r="I1838">
        <f>G1838</f>
        <v/>
      </c>
      <c r="K1838">
        <f>I1838-G1838</f>
        <v/>
      </c>
      <c r="M1838">
        <f>R1838=E1838</f>
        <v/>
      </c>
      <c r="N1838">
        <f>AND(MONTH(F1838)=MONTH(Q1838), YEAR(F1838)=YEAR(Q1838))</f>
        <v/>
      </c>
      <c r="O1838">
        <f>"L001-902303751"=S1838</f>
        <v/>
      </c>
      <c r="P1838">
        <f>G1838-U1838</f>
        <v/>
      </c>
      <c r="Q1838" s="35" t="n">
        <v>45244</v>
      </c>
      <c r="R1838" t="n">
        <v>172620</v>
      </c>
      <c r="S1838" t="inlineStr">
        <is>
          <t>L001-107032791</t>
        </is>
      </c>
      <c r="T1838" t="inlineStr">
        <is>
          <t>នីបផន អិចប្រេស (ខេមបូឌា) ខូ អិលធីឌី</t>
        </is>
      </c>
      <c r="U1838" t="n">
        <v>172620</v>
      </c>
      <c r="V1838" t="n">
        <v>0</v>
      </c>
    </row>
    <row r="1839">
      <c r="A1839" t="n">
        <v>1838</v>
      </c>
      <c r="B1839" t="inlineStr">
        <is>
          <t>Export Administration Fee, Port Formalily and Service Charge</t>
        </is>
      </c>
      <c r="C1839" t="inlineStr">
        <is>
          <t>ឆាយ ដា ឡូយីស្ទីក</t>
        </is>
      </c>
      <c r="D1839" t="inlineStr">
        <is>
          <t>L001-100063098</t>
        </is>
      </c>
      <c r="E1839" t="inlineStr">
        <is>
          <t>2411017498</t>
        </is>
      </c>
      <c r="F1839" t="inlineStr">
        <is>
          <t>27-11-2024</t>
        </is>
      </c>
      <c r="G1839" t="n">
        <v>76054</v>
      </c>
      <c r="I1839">
        <f>G1839</f>
        <v/>
      </c>
      <c r="K1839">
        <f>I1839-G1839</f>
        <v/>
      </c>
      <c r="M1839">
        <f>R1839=E1839</f>
        <v/>
      </c>
      <c r="N1839">
        <f>AND(MONTH(F1839)=MONTH(Q1839), YEAR(F1839)=YEAR(Q1839))</f>
        <v/>
      </c>
      <c r="O1839">
        <f>"L001-902303751"=S1839</f>
        <v/>
      </c>
      <c r="P1839">
        <f>G1839-U1839</f>
        <v/>
      </c>
      <c r="Q1839" s="35" t="n">
        <v>45250</v>
      </c>
      <c r="R1839" t="n">
        <v>113712</v>
      </c>
      <c r="S1839" t="inlineStr">
        <is>
          <t>K003-901635943</t>
        </is>
      </c>
      <c r="T1839" t="inlineStr">
        <is>
          <t>អ៊ីឃ្យូឡាញ វើលវ៉ាយដ៍ ឡូជីស្ទីក</t>
        </is>
      </c>
      <c r="U1839" t="n">
        <v>113712</v>
      </c>
      <c r="V1839" t="n">
        <v>0</v>
      </c>
    </row>
    <row r="1840">
      <c r="A1840" t="n">
        <v>1839</v>
      </c>
      <c r="B1840" t="inlineStr">
        <is>
          <t>Export Administration Fee, Port Formalily and Service Charge</t>
        </is>
      </c>
      <c r="C1840" t="inlineStr">
        <is>
          <t>ឆាយ ដា ឡូយីស្ទីក</t>
        </is>
      </c>
      <c r="D1840" t="inlineStr">
        <is>
          <t>L001-100063098</t>
        </is>
      </c>
      <c r="E1840" t="inlineStr">
        <is>
          <t>2411017503</t>
        </is>
      </c>
      <c r="F1840" t="inlineStr">
        <is>
          <t>27-11-2024</t>
        </is>
      </c>
      <c r="G1840" t="n">
        <v>76054</v>
      </c>
      <c r="I1840">
        <f>G1840</f>
        <v/>
      </c>
      <c r="K1840">
        <f>I1840-G1840</f>
        <v/>
      </c>
      <c r="M1840">
        <f>R1840=E1840</f>
        <v/>
      </c>
      <c r="N1840">
        <f>AND(MONTH(F1840)=MONTH(Q1840), YEAR(F1840)=YEAR(Q1840))</f>
        <v/>
      </c>
      <c r="O1840">
        <f>"L001-902303751"=S1840</f>
        <v/>
      </c>
      <c r="P1840">
        <f>G1840-U1840</f>
        <v/>
      </c>
      <c r="Q1840" s="35" t="n">
        <v>45250</v>
      </c>
      <c r="R1840" t="n">
        <v>84872</v>
      </c>
      <c r="S1840" t="inlineStr">
        <is>
          <t>K005-901805913</t>
        </is>
      </c>
      <c r="T1840" t="inlineStr">
        <is>
          <t>ស្តារ ខង់ខដ (ខេមបូឌា) ឯ.ក</t>
        </is>
      </c>
      <c r="U1840" t="n">
        <v>84872</v>
      </c>
      <c r="V1840" t="n">
        <v>0</v>
      </c>
    </row>
    <row r="1841">
      <c r="A1841" t="n">
        <v>1840</v>
      </c>
      <c r="B1841" t="inlineStr">
        <is>
          <t>Export Administration Fee, Port Formalily and Service Charge</t>
        </is>
      </c>
      <c r="C1841" t="inlineStr">
        <is>
          <t>ឆាយ ដា ឡូយីស្ទីក</t>
        </is>
      </c>
      <c r="D1841" t="inlineStr">
        <is>
          <t>L001-100063098</t>
        </is>
      </c>
      <c r="E1841" t="inlineStr">
        <is>
          <t>2411017502</t>
        </is>
      </c>
      <c r="F1841" t="inlineStr">
        <is>
          <t>27-11-2024</t>
        </is>
      </c>
      <c r="G1841" t="n">
        <v>76054</v>
      </c>
      <c r="I1841">
        <f>G1841</f>
        <v/>
      </c>
      <c r="K1841">
        <f>I1841-G1841</f>
        <v/>
      </c>
      <c r="M1841">
        <f>R1841=E1841</f>
        <v/>
      </c>
      <c r="N1841">
        <f>AND(MONTH(F1841)=MONTH(Q1841), YEAR(F1841)=YEAR(Q1841))</f>
        <v/>
      </c>
      <c r="O1841">
        <f>"L001-902303751"=S1841</f>
        <v/>
      </c>
      <c r="P1841">
        <f>G1841-U1841</f>
        <v/>
      </c>
      <c r="Q1841" s="35" t="n">
        <v>45243</v>
      </c>
      <c r="R1841" t="n">
        <v>111186</v>
      </c>
      <c r="S1841" t="inlineStr">
        <is>
          <t>L001-107032791</t>
        </is>
      </c>
      <c r="T1841" t="inlineStr">
        <is>
          <t>នីបផន អិចប្រេស (ខេមបូឌា) ខូ អិលធីឌី</t>
        </is>
      </c>
      <c r="U1841" t="n">
        <v>111186</v>
      </c>
      <c r="V1841" t="n">
        <v>0</v>
      </c>
    </row>
    <row r="1842">
      <c r="A1842" t="n">
        <v>1841</v>
      </c>
      <c r="B1842" t="inlineStr">
        <is>
          <t>Customs Clearance of LCL Shipment, THC Charge of LCL, CFS Charge of LCL, Trucking Fee of LCL, CARGO Handling Fee and Bill Fee or Document Fee</t>
        </is>
      </c>
      <c r="C1842" t="inlineStr">
        <is>
          <t>អេវើរស្តារ ស៊ីលែនឌែរ</t>
        </is>
      </c>
      <c r="D1842" t="inlineStr">
        <is>
          <t>K002-100160492</t>
        </is>
      </c>
      <c r="E1842" t="inlineStr">
        <is>
          <t>TI-2024-053</t>
        </is>
      </c>
      <c r="F1842" t="inlineStr">
        <is>
          <t>26-11-2024</t>
        </is>
      </c>
      <c r="G1842" t="n">
        <v>111653</v>
      </c>
      <c r="I1842">
        <f>G1842</f>
        <v/>
      </c>
      <c r="K1842">
        <f>I1842-G1842</f>
        <v/>
      </c>
      <c r="M1842">
        <f>R1842=E1842</f>
        <v/>
      </c>
      <c r="N1842">
        <f>AND(MONTH(F1842)=MONTH(Q1842), YEAR(F1842)=YEAR(Q1842))</f>
        <v/>
      </c>
      <c r="O1842">
        <f>"L001-902303751"=S1842</f>
        <v/>
      </c>
      <c r="P1842">
        <f>G1842-U1842</f>
        <v/>
      </c>
      <c r="Q1842" s="35" t="n">
        <v>45244</v>
      </c>
      <c r="R1842" t="n">
        <v>110970</v>
      </c>
      <c r="S1842" t="inlineStr">
        <is>
          <t>L001-100045898</t>
        </is>
      </c>
      <c r="T1842" t="inlineStr">
        <is>
          <t>អ៊ិចស្ពែឌីធ័រ ខេមបូឌា អិលធីឌី</t>
        </is>
      </c>
      <c r="U1842" t="n">
        <v>110970</v>
      </c>
      <c r="V1842" t="n">
        <v>0</v>
      </c>
    </row>
    <row r="1843">
      <c r="A1843" t="n">
        <v>1842</v>
      </c>
      <c r="B1843" t="inlineStr">
        <is>
          <t>Export Customs Clearance</t>
        </is>
      </c>
      <c r="C1843" t="inlineStr">
        <is>
          <t>អ៊ីឃ្យូឡាញ វើលវ៉ាយដ៍ ឡូជីស្ទីក</t>
        </is>
      </c>
      <c r="D1843" t="inlineStr">
        <is>
          <t>K003-901635943</t>
        </is>
      </c>
      <c r="E1843" t="inlineStr">
        <is>
          <t>PPTI24/005694</t>
        </is>
      </c>
      <c r="F1843" t="inlineStr">
        <is>
          <t>26-11-2024</t>
        </is>
      </c>
      <c r="G1843" t="n">
        <v>64224</v>
      </c>
      <c r="I1843">
        <f>G1843</f>
        <v/>
      </c>
      <c r="K1843">
        <f>I1843-G1843</f>
        <v/>
      </c>
      <c r="M1843">
        <f>R1843=E1843</f>
        <v/>
      </c>
      <c r="N1843">
        <f>AND(MONTH(F1843)=MONTH(Q1843), YEAR(F1843)=YEAR(Q1843))</f>
        <v/>
      </c>
      <c r="O1843">
        <f>"L001-902303751"=S1843</f>
        <v/>
      </c>
      <c r="P1843">
        <f>G1843-U1843</f>
        <v/>
      </c>
      <c r="Q1843" s="35" t="n">
        <v>45233</v>
      </c>
      <c r="R1843" t="n">
        <v>103275</v>
      </c>
      <c r="S1843" t="inlineStr">
        <is>
          <t>K003-901635943</t>
        </is>
      </c>
      <c r="T1843" t="inlineStr">
        <is>
          <t>អ៊ីឃ្យូឡាញ វើលវ៉ាយដ៍ ឡូជីស្ទីក</t>
        </is>
      </c>
      <c r="U1843" t="n">
        <v>103275</v>
      </c>
      <c r="V1843" t="n">
        <v>0</v>
      </c>
    </row>
    <row r="1844">
      <c r="A1844" t="n">
        <v>1843</v>
      </c>
      <c r="B1844" t="inlineStr">
        <is>
          <t>Monthly Security for November 2024</t>
        </is>
      </c>
      <c r="C1844" t="inlineStr">
        <is>
          <t>អិល.ប៊ី.អិល.អេច ស៊ីឃ្យូរឹធី ឯ.ក</t>
        </is>
      </c>
      <c r="D1844" t="inlineStr">
        <is>
          <t>K010-902202247</t>
        </is>
      </c>
      <c r="E1844" t="inlineStr">
        <is>
          <t>L.B.L.H00025</t>
        </is>
      </c>
      <c r="F1844" t="inlineStr">
        <is>
          <t>25-11-2024</t>
        </is>
      </c>
      <c r="G1844" t="n">
        <v>802400</v>
      </c>
      <c r="I1844">
        <f>G1844</f>
        <v/>
      </c>
      <c r="K1844">
        <f>I1844-G1844</f>
        <v/>
      </c>
      <c r="M1844">
        <f>R1844=E1844</f>
        <v/>
      </c>
      <c r="N1844">
        <f>AND(MONTH(F1844)=MONTH(Q1844), YEAR(F1844)=YEAR(Q1844))</f>
        <v/>
      </c>
      <c r="O1844">
        <f>"L001-902303751"=S1844</f>
        <v/>
      </c>
      <c r="P1844">
        <f>G1844-U1844</f>
        <v/>
      </c>
      <c r="Q1844" s="35" t="n">
        <v>45236</v>
      </c>
      <c r="R1844" t="n">
        <v>111537</v>
      </c>
      <c r="S1844" t="inlineStr">
        <is>
          <t>L001-107032791</t>
        </is>
      </c>
      <c r="T1844" t="inlineStr">
        <is>
          <t>នីបផន អិចប្រេស (ខេមបូឌា) ខូ អិលធីឌី</t>
        </is>
      </c>
      <c r="U1844" t="n">
        <v>111537</v>
      </c>
      <c r="V1844" t="n">
        <v>0</v>
      </c>
    </row>
    <row r="1845">
      <c r="A1845" t="n">
        <v>1844</v>
      </c>
      <c r="B1845" t="inlineStr">
        <is>
          <t>Sodium Metabisulfite</t>
        </is>
      </c>
      <c r="C1845" t="inlineStr">
        <is>
          <t>គី ស៊ីង អ៊ីមផត អិចផត ឯ.ក</t>
        </is>
      </c>
      <c r="D1845" t="inlineStr">
        <is>
          <t>B108-901805414</t>
        </is>
      </c>
      <c r="E1845" t="inlineStr">
        <is>
          <t>QX0383</t>
        </is>
      </c>
      <c r="F1845" t="inlineStr">
        <is>
          <t>22-11-2024</t>
        </is>
      </c>
      <c r="G1845" t="n">
        <v>257664</v>
      </c>
      <c r="I1845">
        <f>G1845</f>
        <v/>
      </c>
      <c r="K1845">
        <f>I1845-G1845</f>
        <v/>
      </c>
      <c r="M1845">
        <f>R1845=E1845</f>
        <v/>
      </c>
      <c r="N1845">
        <f>AND(MONTH(F1845)=MONTH(Q1845), YEAR(F1845)=YEAR(Q1845))</f>
        <v/>
      </c>
      <c r="O1845">
        <f>"L001-902303751"=S1845</f>
        <v/>
      </c>
      <c r="P1845">
        <f>G1845-U1845</f>
        <v/>
      </c>
      <c r="Q1845" s="35" t="n">
        <v>45244</v>
      </c>
      <c r="R1845" t="n">
        <v>743910</v>
      </c>
      <c r="S1845" t="inlineStr">
        <is>
          <t>K002-901800477</t>
        </is>
      </c>
      <c r="T1845" t="inlineStr">
        <is>
          <t>អាយធីអាយ អ៊ិនធើណេសិនណល ត្រេនស័្ពរថេសិន (ខេមបូឌា) ឯ.ក</t>
        </is>
      </c>
      <c r="U1845" t="n">
        <v>743910</v>
      </c>
      <c r="V1845" t="n">
        <v>0</v>
      </c>
    </row>
    <row r="1846">
      <c r="A1846" t="n">
        <v>1845</v>
      </c>
      <c r="B1846" t="inlineStr">
        <is>
          <t>Monthly Tax Service for October 2024</t>
        </is>
      </c>
      <c r="C1846" t="inlineStr">
        <is>
          <t>ខេឌី ខនសាល់ធេន ឯ.ក</t>
        </is>
      </c>
      <c r="D1846" t="inlineStr">
        <is>
          <t>K005-901704277</t>
        </is>
      </c>
      <c r="E1846" t="inlineStr">
        <is>
          <t>20240001422</t>
        </is>
      </c>
      <c r="F1846" t="inlineStr">
        <is>
          <t>22-11-2024</t>
        </is>
      </c>
      <c r="G1846" t="n">
        <v>100650</v>
      </c>
      <c r="I1846">
        <f>G1846</f>
        <v/>
      </c>
      <c r="K1846">
        <f>I1846-G1846</f>
        <v/>
      </c>
      <c r="M1846">
        <f>R1846=E1846</f>
        <v/>
      </c>
      <c r="N1846">
        <f>AND(MONTH(F1846)=MONTH(Q1846), YEAR(F1846)=YEAR(Q1846))</f>
        <v/>
      </c>
      <c r="O1846">
        <f>"L001-902303751"=S1846</f>
        <v/>
      </c>
      <c r="P1846">
        <f>G1846-U1846</f>
        <v/>
      </c>
      <c r="Q1846" s="35" t="n">
        <v>45244</v>
      </c>
      <c r="R1846" t="n">
        <v>201390</v>
      </c>
      <c r="S1846" t="inlineStr">
        <is>
          <t>K002-901800477</t>
        </is>
      </c>
      <c r="T1846" t="inlineStr">
        <is>
          <t>អាយធីអាយ អ៊ិនធើណេសិនណល ត្រេនស័្ពរថេសិន (ខេមបូឌា) ឯ.ក</t>
        </is>
      </c>
      <c r="U1846" t="n">
        <v>201390</v>
      </c>
      <c r="V1846" t="n">
        <v>0</v>
      </c>
    </row>
    <row r="1847">
      <c r="A1847" t="n">
        <v>1846</v>
      </c>
      <c r="B1847" t="inlineStr">
        <is>
          <t>Documentation Origin, Handling Charges Origin, PLACI Fee and HAWB Transmission Fee</t>
        </is>
      </c>
      <c r="C1847" t="inlineStr">
        <is>
          <t>ឌីប៊ី សេនឃើរ (ខេមបូឌា) លីមីធីត</t>
        </is>
      </c>
      <c r="D1847" t="inlineStr">
        <is>
          <t>L001-107041723</t>
        </is>
      </c>
      <c r="E1847" t="inlineStr">
        <is>
          <t>2400009017</t>
        </is>
      </c>
      <c r="F1847" t="inlineStr">
        <is>
          <t>12-11-2024</t>
        </is>
      </c>
      <c r="G1847" t="n">
        <v>49852</v>
      </c>
      <c r="I1847">
        <f>G1847</f>
        <v/>
      </c>
      <c r="K1847">
        <f>I1847-G1847</f>
        <v/>
      </c>
      <c r="M1847">
        <f>R1847=E1847</f>
        <v/>
      </c>
      <c r="N1847">
        <f>AND(MONTH(F1847)=MONTH(Q1847), YEAR(F1847)=YEAR(Q1847))</f>
        <v/>
      </c>
      <c r="O1847">
        <f>"L001-902303751"=S1847</f>
        <v/>
      </c>
      <c r="P1847">
        <f>G1847-U1847</f>
        <v/>
      </c>
      <c r="Q1847" s="35" t="n">
        <v>45244</v>
      </c>
      <c r="R1847" t="inlineStr"/>
      <c r="S1847" t="inlineStr">
        <is>
          <t>K002-901800477</t>
        </is>
      </c>
      <c r="T1847" t="inlineStr">
        <is>
          <t>អាយធីអាយ អ៊ិនធើណេសិនណល ត្រេនស័្ពរថេសិន (ខេមបូឌា) ឯ.ក</t>
        </is>
      </c>
      <c r="U1847" t="n">
        <v>0</v>
      </c>
      <c r="V1847" t="n">
        <v>0</v>
      </c>
    </row>
    <row r="1848">
      <c r="A1848" t="n">
        <v>1847</v>
      </c>
      <c r="B1848" t="inlineStr">
        <is>
          <t>Documentation Origin, Handling Charges Origin, PLACI Fee and HAWB Transmission Fee</t>
        </is>
      </c>
      <c r="C1848" t="inlineStr">
        <is>
          <t>ឌីប៊ី សេនឃើរ (ខេមបូឌា) លីមីធីត</t>
        </is>
      </c>
      <c r="D1848" t="inlineStr">
        <is>
          <t>L001-107041723</t>
        </is>
      </c>
      <c r="E1848" t="inlineStr">
        <is>
          <t>2400009246</t>
        </is>
      </c>
      <c r="F1848" t="inlineStr">
        <is>
          <t>21-11-2024</t>
        </is>
      </c>
      <c r="G1848" t="n">
        <v>49618</v>
      </c>
      <c r="I1848">
        <f>G1848</f>
        <v/>
      </c>
      <c r="K1848">
        <f>I1848-G1848</f>
        <v/>
      </c>
      <c r="M1848">
        <f>R1848=E1848</f>
        <v/>
      </c>
      <c r="N1848">
        <f>AND(MONTH(F1848)=MONTH(Q1848), YEAR(F1848)=YEAR(Q1848))</f>
        <v/>
      </c>
      <c r="O1848">
        <f>"L001-902303751"=S1848</f>
        <v/>
      </c>
      <c r="P1848">
        <f>G1848-U1848</f>
        <v/>
      </c>
      <c r="Q1848" s="35" t="n">
        <v>45259</v>
      </c>
      <c r="R1848" t="n">
        <v>111105</v>
      </c>
      <c r="S1848" t="inlineStr">
        <is>
          <t>L001-107032791</t>
        </is>
      </c>
      <c r="T1848" t="inlineStr">
        <is>
          <t>នីបផន អិចប្រេស (ខេមបូឌា) ខូ អិលធីឌី</t>
        </is>
      </c>
      <c r="U1848" t="n">
        <v>111105</v>
      </c>
      <c r="V1848" t="n">
        <v>0</v>
      </c>
    </row>
    <row r="1849">
      <c r="A1849" t="n">
        <v>1848</v>
      </c>
      <c r="B1849" t="inlineStr">
        <is>
          <t>Documentation Origin, Handling Charges Origin, PLACI Fee and HAWB Transmission Fee</t>
        </is>
      </c>
      <c r="C1849" t="inlineStr">
        <is>
          <t>ឌីប៊ី សេនឃើរ (ខេមបូឌា) លីមីធីត</t>
        </is>
      </c>
      <c r="D1849" t="inlineStr">
        <is>
          <t>L001-107041723</t>
        </is>
      </c>
      <c r="E1849" t="inlineStr">
        <is>
          <t>2400009223</t>
        </is>
      </c>
      <c r="F1849" t="inlineStr">
        <is>
          <t>20-11-2024</t>
        </is>
      </c>
      <c r="G1849" t="n">
        <v>49667</v>
      </c>
      <c r="I1849">
        <f>G1849</f>
        <v/>
      </c>
      <c r="K1849">
        <f>I1849-G1849</f>
        <v/>
      </c>
      <c r="M1849">
        <f>R1849=E1849</f>
        <v/>
      </c>
      <c r="N1849">
        <f>AND(MONTH(F1849)=MONTH(Q1849), YEAR(F1849)=YEAR(Q1849))</f>
        <v/>
      </c>
      <c r="O1849">
        <f>"L001-902303751"=S1849</f>
        <v/>
      </c>
      <c r="P1849">
        <f>G1849-U1849</f>
        <v/>
      </c>
      <c r="Q1849" s="35" t="n">
        <v>45243</v>
      </c>
      <c r="R1849" t="inlineStr"/>
      <c r="S1849" t="inlineStr">
        <is>
          <t>K003-901635943</t>
        </is>
      </c>
      <c r="T1849" t="inlineStr">
        <is>
          <t>អ៊ីឃ្យូឡាញ វើលវ៉ាយដ៍ ឡូជីស្ទីក</t>
        </is>
      </c>
      <c r="U1849" t="n">
        <v>0</v>
      </c>
      <c r="V1849" t="n">
        <v>0</v>
      </c>
    </row>
    <row r="1850">
      <c r="A1850" t="n">
        <v>1849</v>
      </c>
      <c r="B1850" t="inlineStr">
        <is>
          <t>Rental Machine</t>
        </is>
      </c>
      <c r="C1850" t="inlineStr">
        <is>
          <t>ក្លាក ហ៊ូ ឯ.ក</t>
        </is>
      </c>
      <c r="D1850" t="inlineStr">
        <is>
          <t>K007-901639199</t>
        </is>
      </c>
      <c r="E1850" t="inlineStr">
        <is>
          <t>IN2635</t>
        </is>
      </c>
      <c r="F1850" t="inlineStr">
        <is>
          <t>25-11-2024</t>
        </is>
      </c>
      <c r="G1850" t="n">
        <v>82958</v>
      </c>
      <c r="I1850">
        <f>G1850</f>
        <v/>
      </c>
      <c r="K1850">
        <f>I1850-G1850</f>
        <v/>
      </c>
      <c r="M1850">
        <f>R1850=E1850</f>
        <v/>
      </c>
      <c r="N1850">
        <f>AND(MONTH(F1850)=MONTH(Q1850), YEAR(F1850)=YEAR(Q1850))</f>
        <v/>
      </c>
      <c r="O1850">
        <f>"L001-902303751"=S1850</f>
        <v/>
      </c>
      <c r="P1850">
        <f>G1850-U1850</f>
        <v/>
      </c>
      <c r="Q1850" s="35" t="n">
        <v>45243</v>
      </c>
      <c r="R1850" t="inlineStr"/>
      <c r="S1850" t="inlineStr">
        <is>
          <t>L001-100045995</t>
        </is>
      </c>
      <c r="T1850" t="inlineStr">
        <is>
          <t>ឌីអេចអិល ឡូជីស្ទីក (ខេមបូឌា)</t>
        </is>
      </c>
      <c r="U1850" t="n">
        <v>0</v>
      </c>
      <c r="V1850" t="n">
        <v>0</v>
      </c>
    </row>
    <row r="1851">
      <c r="A1851" t="n">
        <v>1850</v>
      </c>
      <c r="B1851" t="inlineStr">
        <is>
          <t>Rental Machine</t>
        </is>
      </c>
      <c r="C1851" t="inlineStr">
        <is>
          <t>ក្លាក ហ៊ូ ឯ.ក</t>
        </is>
      </c>
      <c r="D1851" t="inlineStr">
        <is>
          <t>K007-901639199</t>
        </is>
      </c>
      <c r="E1851" t="inlineStr">
        <is>
          <t>IN2634</t>
        </is>
      </c>
      <c r="F1851" t="inlineStr">
        <is>
          <t>25-11-2024</t>
        </is>
      </c>
      <c r="G1851" t="n">
        <v>156816</v>
      </c>
      <c r="I1851">
        <f>G1851</f>
        <v/>
      </c>
      <c r="K1851">
        <f>I1851-G1851</f>
        <v/>
      </c>
      <c r="M1851">
        <f>R1851=E1851</f>
        <v/>
      </c>
      <c r="N1851">
        <f>AND(MONTH(F1851)=MONTH(Q1851), YEAR(F1851)=YEAR(Q1851))</f>
        <v/>
      </c>
      <c r="O1851">
        <f>"L001-902303751"=S1851</f>
        <v/>
      </c>
      <c r="P1851">
        <f>G1851-U1851</f>
        <v/>
      </c>
      <c r="Q1851" s="35" t="n">
        <v>45231</v>
      </c>
      <c r="R1851" t="inlineStr"/>
      <c r="S1851" t="inlineStr">
        <is>
          <t>L001-100044956</t>
        </is>
      </c>
      <c r="T1851" t="inlineStr">
        <is>
          <t>ជី លីង អិចប្រេស ឡូជីស្ទីក (ខេមបូឌា) លីមីធីត</t>
        </is>
      </c>
      <c r="U1851" t="n">
        <v>0</v>
      </c>
      <c r="V1851" t="n">
        <v>0</v>
      </c>
    </row>
    <row r="1852">
      <c r="A1852" t="n">
        <v>1851</v>
      </c>
      <c r="B1852" t="inlineStr">
        <is>
          <t>Rental Machine</t>
        </is>
      </c>
      <c r="C1852" t="inlineStr">
        <is>
          <t>ក្លាក ហ៊ូ ឯ.ក</t>
        </is>
      </c>
      <c r="D1852" t="inlineStr">
        <is>
          <t>K007-901639199</t>
        </is>
      </c>
      <c r="E1852" t="inlineStr">
        <is>
          <t>IN2633</t>
        </is>
      </c>
      <c r="F1852" t="inlineStr">
        <is>
          <t>25-11-2024</t>
        </is>
      </c>
      <c r="G1852" t="n">
        <v>16056</v>
      </c>
      <c r="I1852">
        <f>G1852</f>
        <v/>
      </c>
      <c r="K1852">
        <f>I1852-G1852</f>
        <v/>
      </c>
      <c r="M1852">
        <f>R1852=E1852</f>
        <v/>
      </c>
      <c r="N1852">
        <f>AND(MONTH(F1852)=MONTH(Q1852), YEAR(F1852)=YEAR(Q1852))</f>
        <v/>
      </c>
      <c r="O1852">
        <f>"L001-902303751"=S1852</f>
        <v/>
      </c>
      <c r="P1852">
        <f>G1852-U1852</f>
        <v/>
      </c>
      <c r="Q1852" s="35" t="n">
        <v>45231</v>
      </c>
      <c r="R1852" t="inlineStr"/>
      <c r="S1852" t="inlineStr">
        <is>
          <t>K002-901800477</t>
        </is>
      </c>
      <c r="T1852" t="inlineStr">
        <is>
          <t>អាយធីអាយ អ៊ិនធើណេសិនណល ត្រេនស័្ពរថេសិន (ខេមបូឌា) ឯ.ក</t>
        </is>
      </c>
      <c r="U1852" t="n">
        <v>0</v>
      </c>
      <c r="V1852" t="n">
        <v>0</v>
      </c>
    </row>
    <row r="1853">
      <c r="A1853" t="n">
        <v>1852</v>
      </c>
      <c r="B1853" t="inlineStr">
        <is>
          <t>Documentation Fee and Handling Charges</t>
        </is>
      </c>
      <c r="C1853" t="inlineStr">
        <is>
          <t>អេជីអិកស៍ ឡូជីស្ទីក (ខេមបូឌា) ខូ អិលធីឌី</t>
        </is>
      </c>
      <c r="D1853" t="inlineStr">
        <is>
          <t>K002-901504703</t>
        </is>
      </c>
      <c r="E1853" t="inlineStr">
        <is>
          <t>TINV-24-0425</t>
        </is>
      </c>
      <c r="F1853" t="inlineStr">
        <is>
          <t>01-11-2024</t>
        </is>
      </c>
      <c r="G1853" t="n">
        <v>38599</v>
      </c>
      <c r="I1853">
        <f>G1853</f>
        <v/>
      </c>
      <c r="K1853">
        <f>I1853-G1853</f>
        <v/>
      </c>
      <c r="M1853">
        <f>R1853=E1853</f>
        <v/>
      </c>
      <c r="N1853">
        <f>AND(MONTH(F1853)=MONTH(Q1853), YEAR(F1853)=YEAR(Q1853))</f>
        <v/>
      </c>
      <c r="O1853">
        <f>"L001-902303751"=S1853</f>
        <v/>
      </c>
      <c r="P1853">
        <f>G1853-U1853</f>
        <v/>
      </c>
      <c r="Q1853" s="35" t="n">
        <v>45234</v>
      </c>
      <c r="R1853" t="n">
        <v>111537</v>
      </c>
      <c r="S1853" t="inlineStr">
        <is>
          <t>L001-100074669</t>
        </is>
      </c>
      <c r="T1853" t="inlineStr">
        <is>
          <t>ខេអិលអិន ហ្វ្រេត (ខេមបូឌា) ឯ.ក</t>
        </is>
      </c>
      <c r="U1853" t="n">
        <v>111537</v>
      </c>
      <c r="V1853" t="n">
        <v>0</v>
      </c>
    </row>
    <row r="1854">
      <c r="A1854" t="n">
        <v>1853</v>
      </c>
      <c r="B1854" t="inlineStr">
        <is>
          <t>Gate Fee Charges-GC Truck-1-6 Tons</t>
        </is>
      </c>
      <c r="C1854" t="inlineStr">
        <is>
          <t>កំពង់ផែស្វយ័តភ្នំពេញ "ក.ស.ភ"</t>
        </is>
      </c>
      <c r="D1854" t="inlineStr">
        <is>
          <t>L001-100044999</t>
        </is>
      </c>
      <c r="E1854" t="inlineStr">
        <is>
          <t>INV20241183299</t>
        </is>
      </c>
      <c r="F1854" t="inlineStr">
        <is>
          <t>07-11-2024</t>
        </is>
      </c>
      <c r="G1854" t="n">
        <v>813</v>
      </c>
      <c r="I1854">
        <f>G1854</f>
        <v/>
      </c>
      <c r="K1854">
        <f>I1854-G1854</f>
        <v/>
      </c>
      <c r="M1854">
        <f>R1854=E1854</f>
        <v/>
      </c>
      <c r="N1854">
        <f>AND(MONTH(F1854)=MONTH(Q1854), YEAR(F1854)=YEAR(Q1854))</f>
        <v/>
      </c>
      <c r="O1854">
        <f>"L001-902303751"=S1854</f>
        <v/>
      </c>
      <c r="P1854">
        <f>G1854-U1854</f>
        <v/>
      </c>
      <c r="Q1854" s="35" t="n">
        <v>45236</v>
      </c>
      <c r="R1854" t="n">
        <v>85099</v>
      </c>
      <c r="S1854" t="inlineStr">
        <is>
          <t>K003-901635943</t>
        </is>
      </c>
      <c r="T1854" t="inlineStr">
        <is>
          <t>អ៊ីឃ្យូឡាញ វើលវ៉ាយដ៍ ឡូជីស្ទីក</t>
        </is>
      </c>
      <c r="U1854" t="n">
        <v>85099</v>
      </c>
      <c r="V1854" t="n">
        <v>0</v>
      </c>
    </row>
    <row r="1855">
      <c r="A1855" t="n">
        <v>1854</v>
      </c>
      <c r="B1855" t="inlineStr">
        <is>
          <t>Customs Clearance Fee and Trucking Fee</t>
        </is>
      </c>
      <c r="C1855" t="inlineStr">
        <is>
          <t>ត្រាយអ៊ែងហ្គល ឡូជីស្ទីក (ខេមបូឌា) ឯ.ក</t>
        </is>
      </c>
      <c r="D1855" t="inlineStr">
        <is>
          <t>K010-902101743</t>
        </is>
      </c>
      <c r="E1855" t="inlineStr">
        <is>
          <t>TAG-24-00838</t>
        </is>
      </c>
      <c r="F1855" t="inlineStr">
        <is>
          <t>12-11-2024</t>
        </is>
      </c>
      <c r="G1855" t="n">
        <v>28371</v>
      </c>
      <c r="I1855">
        <f>G1855</f>
        <v/>
      </c>
      <c r="K1855">
        <f>I1855-G1855</f>
        <v/>
      </c>
      <c r="M1855">
        <f>R1855=E1855</f>
        <v/>
      </c>
      <c r="N1855">
        <f>AND(MONTH(F1855)=MONTH(Q1855), YEAR(F1855)=YEAR(Q1855))</f>
        <v/>
      </c>
      <c r="O1855">
        <f>"L001-902303751"=S1855</f>
        <v/>
      </c>
      <c r="P1855">
        <f>G1855-U1855</f>
        <v/>
      </c>
      <c r="Q1855" s="35" t="n">
        <v>45236</v>
      </c>
      <c r="R1855" t="n">
        <v>111537</v>
      </c>
      <c r="S1855" t="inlineStr">
        <is>
          <t>L001-107041723</t>
        </is>
      </c>
      <c r="T1855" t="inlineStr">
        <is>
          <t>ឌីប៊ី សេនឃើរ (ខេមបូឌា) លីមីធីត</t>
        </is>
      </c>
      <c r="U1855" t="n">
        <v>111537</v>
      </c>
      <c r="V1855" t="n">
        <v>0</v>
      </c>
    </row>
    <row r="1856">
      <c r="A1856" t="n">
        <v>1855</v>
      </c>
      <c r="B1856" t="inlineStr">
        <is>
          <t>Doc Fee and Handling Fee</t>
        </is>
      </c>
      <c r="C1856" t="inlineStr">
        <is>
          <t>អិមអាយ ឡូជីកស៍ (ខេមបូឌា)</t>
        </is>
      </c>
      <c r="D1856" t="inlineStr">
        <is>
          <t>K009-107021862</t>
        </is>
      </c>
      <c r="E1856" t="inlineStr">
        <is>
          <t>MII202411-001</t>
        </is>
      </c>
      <c r="F1856" t="inlineStr">
        <is>
          <t>04-11-2024</t>
        </is>
      </c>
      <c r="G1856" t="n">
        <v>24390</v>
      </c>
      <c r="I1856">
        <f>G1856</f>
        <v/>
      </c>
      <c r="K1856">
        <f>I1856-G1856</f>
        <v/>
      </c>
      <c r="M1856">
        <f>R1856=E1856</f>
        <v/>
      </c>
      <c r="N1856">
        <f>AND(MONTH(F1856)=MONTH(Q1856), YEAR(F1856)=YEAR(Q1856))</f>
        <v/>
      </c>
      <c r="O1856">
        <f>"L001-902303751"=S1856</f>
        <v/>
      </c>
      <c r="P1856">
        <f>G1856-U1856</f>
        <v/>
      </c>
      <c r="Q1856" s="35" t="n">
        <v>45244</v>
      </c>
      <c r="R1856" t="n">
        <v>172620</v>
      </c>
      <c r="S1856" t="inlineStr">
        <is>
          <t>K002-901800477</t>
        </is>
      </c>
      <c r="T1856" t="inlineStr">
        <is>
          <t>អាយធីអាយ អ៊ិនធើណេសិនណល ត្រេនស័្ពរថេសិន (ខេមបូឌា) ឯ.ក</t>
        </is>
      </c>
      <c r="U1856" t="n">
        <v>172620</v>
      </c>
      <c r="V1856" t="n">
        <v>0</v>
      </c>
    </row>
    <row r="1857">
      <c r="A1857" t="n">
        <v>1856</v>
      </c>
      <c r="B1857" t="inlineStr">
        <is>
          <t>Cargo Terminal</t>
        </is>
      </c>
      <c r="C1857" t="inlineStr">
        <is>
          <t>សូស៊ីយេតេ កុងសេស្យូនែរ ដឺ ឡាអេរ៉ូព័រ</t>
        </is>
      </c>
      <c r="D1857" t="inlineStr">
        <is>
          <t>L001-100047300</t>
        </is>
      </c>
      <c r="E1857" t="inlineStr">
        <is>
          <t>2400089510</t>
        </is>
      </c>
      <c r="F1857" t="inlineStr">
        <is>
          <t>05-11-2024</t>
        </is>
      </c>
      <c r="G1857" t="n">
        <v>2506</v>
      </c>
      <c r="I1857">
        <f>G1857</f>
        <v/>
      </c>
      <c r="K1857">
        <f>I1857-G1857</f>
        <v/>
      </c>
      <c r="M1857">
        <f>R1857=E1857</f>
        <v/>
      </c>
      <c r="N1857">
        <f>AND(MONTH(F1857)=MONTH(Q1857), YEAR(F1857)=YEAR(Q1857))</f>
        <v/>
      </c>
      <c r="O1857">
        <f>"L001-902303751"=S1857</f>
        <v/>
      </c>
      <c r="P1857">
        <f>G1857-U1857</f>
        <v/>
      </c>
      <c r="Q1857" s="35" t="n">
        <v>45231</v>
      </c>
      <c r="R1857" t="inlineStr"/>
      <c r="S1857" t="inlineStr">
        <is>
          <t>L001-103007369</t>
        </is>
      </c>
      <c r="T1857" t="inlineStr">
        <is>
          <t>អូរៀនថល ឡូជីស្ទីក &amp; ឌីស្ទ្រីប៊្យូសិន (ខេមបូឌា)</t>
        </is>
      </c>
      <c r="U1857" t="n">
        <v>0</v>
      </c>
      <c r="V1857" t="n">
        <v>0</v>
      </c>
    </row>
    <row r="1858">
      <c r="A1858" t="n">
        <v>1857</v>
      </c>
      <c r="B1858" t="inlineStr">
        <is>
          <t>Customs Clearance Fee and Trucking Fee</t>
        </is>
      </c>
      <c r="C1858" t="inlineStr">
        <is>
          <t>ត្រាយអ៊ែងហ្គល ឡូជីស្ទីក (ខេមបូឌា) ឯ.ក</t>
        </is>
      </c>
      <c r="D1858" t="inlineStr">
        <is>
          <t>K010-902101743</t>
        </is>
      </c>
      <c r="E1858" t="inlineStr">
        <is>
          <t>TAG-24-00841</t>
        </is>
      </c>
      <c r="F1858" t="inlineStr">
        <is>
          <t>12-11-2024</t>
        </is>
      </c>
      <c r="G1858" t="n">
        <v>28371</v>
      </c>
      <c r="I1858">
        <f>G1858</f>
        <v/>
      </c>
      <c r="K1858">
        <f>I1858-G1858</f>
        <v/>
      </c>
      <c r="M1858">
        <f>R1858=E1858</f>
        <v/>
      </c>
      <c r="N1858">
        <f>AND(MONTH(F1858)=MONTH(Q1858), YEAR(F1858)=YEAR(Q1858))</f>
        <v/>
      </c>
      <c r="O1858">
        <f>"L001-902303751"=S1858</f>
        <v/>
      </c>
      <c r="P1858">
        <f>G1858-U1858</f>
        <v/>
      </c>
      <c r="Q1858" s="35" t="n">
        <v>45231</v>
      </c>
      <c r="R1858" t="n">
        <v>82660</v>
      </c>
      <c r="S1858" t="inlineStr">
        <is>
          <t>K005-901501155</t>
        </is>
      </c>
      <c r="T1858" t="inlineStr">
        <is>
          <t>ផេនដា គ្លូប៊ល ឡូជីស្ទីក (ខេមបូឌា)</t>
        </is>
      </c>
      <c r="U1858" t="n">
        <v>82660</v>
      </c>
      <c r="V1858" t="n">
        <v>0</v>
      </c>
    </row>
    <row r="1859">
      <c r="A1859" t="n">
        <v>1858</v>
      </c>
      <c r="B1859" t="inlineStr">
        <is>
          <t>THC Fee, LCL Fee, Scanner Fee, Document Fee, Agency Fee, DO Fee and CIC</t>
        </is>
      </c>
      <c r="C1859" t="inlineStr">
        <is>
          <t>ខ្វនធើម ឡូជីស្ទីក (ខេមបូឌា) ឯ.ក</t>
        </is>
      </c>
      <c r="D1859" t="inlineStr">
        <is>
          <t>K002-901900921</t>
        </is>
      </c>
      <c r="E1859" t="inlineStr">
        <is>
          <t>QT241593</t>
        </is>
      </c>
      <c r="F1859" t="inlineStr">
        <is>
          <t>05-11-2024</t>
        </is>
      </c>
      <c r="G1859" t="n">
        <v>58536</v>
      </c>
      <c r="I1859">
        <f>G1859</f>
        <v/>
      </c>
      <c r="K1859">
        <f>I1859-G1859</f>
        <v/>
      </c>
      <c r="M1859">
        <f>R1859=E1859</f>
        <v/>
      </c>
      <c r="N1859">
        <f>AND(MONTH(F1859)=MONTH(Q1859), YEAR(F1859)=YEAR(Q1859))</f>
        <v/>
      </c>
      <c r="O1859">
        <f>"L001-902303751"=S1859</f>
        <v/>
      </c>
      <c r="P1859">
        <f>G1859-U1859</f>
        <v/>
      </c>
      <c r="Q1859" s="35" t="n">
        <v>45233</v>
      </c>
      <c r="R1859" t="inlineStr"/>
      <c r="S1859" t="inlineStr">
        <is>
          <t>L001-107032791</t>
        </is>
      </c>
      <c r="T1859" t="inlineStr">
        <is>
          <t>នីបផន អិចប្រេស (ខេមបូឌា) ខូ អិលធីឌី</t>
        </is>
      </c>
      <c r="U1859" t="n">
        <v>0</v>
      </c>
      <c r="V1859" t="n">
        <v>0</v>
      </c>
    </row>
    <row r="1860">
      <c r="A1860" t="n">
        <v>1859</v>
      </c>
      <c r="B1860" t="inlineStr">
        <is>
          <t>Customs Clearance Fee and Trucking Fee</t>
        </is>
      </c>
      <c r="C1860" t="inlineStr">
        <is>
          <t>ត្រាយអ៊ែងហ្គល ឡូជីស្ទីក (ខេមបូឌា) ឯ.ក</t>
        </is>
      </c>
      <c r="D1860" t="inlineStr">
        <is>
          <t>K010-902101743</t>
        </is>
      </c>
      <c r="E1860" t="inlineStr">
        <is>
          <t>TAG-24-00839</t>
        </is>
      </c>
      <c r="F1860" t="inlineStr">
        <is>
          <t>12-11-2024</t>
        </is>
      </c>
      <c r="G1860" t="n">
        <v>28371</v>
      </c>
      <c r="I1860">
        <f>G1860</f>
        <v/>
      </c>
      <c r="K1860">
        <f>I1860-G1860</f>
        <v/>
      </c>
      <c r="M1860">
        <f>R1860=E1860</f>
        <v/>
      </c>
      <c r="N1860">
        <f>AND(MONTH(F1860)=MONTH(Q1860), YEAR(F1860)=YEAR(Q1860))</f>
        <v/>
      </c>
      <c r="O1860">
        <f>"L001-902303751"=S1860</f>
        <v/>
      </c>
      <c r="P1860">
        <f>G1860-U1860</f>
        <v/>
      </c>
      <c r="Q1860" s="35" t="n">
        <v>45236</v>
      </c>
      <c r="R1860" t="inlineStr"/>
      <c r="S1860" t="inlineStr">
        <is>
          <t>K005-100059945</t>
        </is>
      </c>
      <c r="T1860" t="inlineStr">
        <is>
          <t>អ៊ែតវ៉ានស៍ គ្លរី ឡូជីស្ទីក (ខេមបូឌា) (អេ ជី អិល)</t>
        </is>
      </c>
      <c r="U1860" t="n">
        <v>0</v>
      </c>
      <c r="V1860" t="n">
        <v>0</v>
      </c>
    </row>
    <row r="1861">
      <c r="A1861" t="n">
        <v>1860</v>
      </c>
      <c r="B1861" t="inlineStr">
        <is>
          <t>Customs Clearance Fee</t>
        </is>
      </c>
      <c r="C1861" t="inlineStr">
        <is>
          <t>ត្រាយអ៊ែងហ្គល ឡូជីស្ទីក (ខេមបូឌា) ឯ.ក</t>
        </is>
      </c>
      <c r="D1861" t="inlineStr">
        <is>
          <t>K010-902101743</t>
        </is>
      </c>
      <c r="E1861" t="inlineStr">
        <is>
          <t>TAG-24-00846</t>
        </is>
      </c>
      <c r="F1861" t="inlineStr">
        <is>
          <t>18-11-2024</t>
        </is>
      </c>
      <c r="G1861" t="n">
        <v>8082</v>
      </c>
      <c r="I1861">
        <f>G1861</f>
        <v/>
      </c>
      <c r="K1861">
        <f>I1861-G1861</f>
        <v/>
      </c>
      <c r="M1861">
        <f>R1861=E1861</f>
        <v/>
      </c>
      <c r="N1861">
        <f>AND(MONTH(F1861)=MONTH(Q1861), YEAR(F1861)=YEAR(Q1861))</f>
        <v/>
      </c>
      <c r="O1861">
        <f>"L001-902303751"=S1861</f>
        <v/>
      </c>
      <c r="P1861">
        <f>G1861-U1861</f>
        <v/>
      </c>
      <c r="Q1861" s="35" t="n">
        <v>45236</v>
      </c>
      <c r="R1861" t="inlineStr"/>
      <c r="S1861" t="inlineStr">
        <is>
          <t>L001-107041723</t>
        </is>
      </c>
      <c r="T1861" t="inlineStr">
        <is>
          <t>ឌីប៊ី សេនឃើរ (ខេមបូឌា) លីមីធីត</t>
        </is>
      </c>
      <c r="U1861" t="n">
        <v>0</v>
      </c>
      <c r="V1861" t="n">
        <v>0</v>
      </c>
    </row>
    <row r="1862">
      <c r="A1862" t="n">
        <v>1861</v>
      </c>
      <c r="B1862" t="inlineStr">
        <is>
          <t>Cargo Terminal</t>
        </is>
      </c>
      <c r="C1862" t="inlineStr">
        <is>
          <t>សូស៊ីយេតេ កុងសេស្យូនែរ ដឺ ឡាអេរ៉ូព័រ</t>
        </is>
      </c>
      <c r="D1862" t="inlineStr">
        <is>
          <t>L001-100047300</t>
        </is>
      </c>
      <c r="E1862" t="inlineStr">
        <is>
          <t>2400088737</t>
        </is>
      </c>
      <c r="F1862" t="inlineStr">
        <is>
          <t>02-11-2024</t>
        </is>
      </c>
      <c r="G1862" t="n">
        <v>6924</v>
      </c>
      <c r="I1862">
        <f>G1862</f>
        <v/>
      </c>
      <c r="K1862">
        <f>I1862-G1862</f>
        <v/>
      </c>
      <c r="M1862">
        <f>R1862=E1862</f>
        <v/>
      </c>
      <c r="N1862">
        <f>AND(MONTH(F1862)=MONTH(Q1862), YEAR(F1862)=YEAR(Q1862))</f>
        <v/>
      </c>
      <c r="O1862">
        <f>"L001-902303751"=S1862</f>
        <v/>
      </c>
      <c r="P1862">
        <f>G1862-U1862</f>
        <v/>
      </c>
      <c r="Q1862" s="35" t="n">
        <v>45244</v>
      </c>
      <c r="R1862" t="n">
        <v>201390</v>
      </c>
      <c r="S1862" t="inlineStr">
        <is>
          <t>L001-103007369</t>
        </is>
      </c>
      <c r="T1862" t="inlineStr">
        <is>
          <t>អូរៀនថល ឡូជីស្ទីក &amp; ឌីស្ទ្រីប៊្យូសិន (ខេមបូឌា)</t>
        </is>
      </c>
      <c r="U1862" t="n">
        <v>201390</v>
      </c>
      <c r="V1862" t="n">
        <v>0</v>
      </c>
    </row>
    <row r="1863">
      <c r="A1863" t="n">
        <v>1862</v>
      </c>
      <c r="B1863" t="inlineStr">
        <is>
          <t>Rental Machine</t>
        </is>
      </c>
      <c r="C1863" t="inlineStr">
        <is>
          <t>ក្លាក ហ៊ូ ឯ.ក</t>
        </is>
      </c>
      <c r="D1863" t="inlineStr">
        <is>
          <t>K007-901639199</t>
        </is>
      </c>
      <c r="E1863" t="inlineStr">
        <is>
          <t>IN2632</t>
        </is>
      </c>
      <c r="F1863" t="inlineStr">
        <is>
          <t>25-11-2024</t>
        </is>
      </c>
      <c r="G1863" t="n">
        <v>69844</v>
      </c>
      <c r="I1863">
        <f>G1863</f>
        <v/>
      </c>
      <c r="K1863">
        <f>I1863-G1863</f>
        <v/>
      </c>
      <c r="M1863">
        <f>R1863=E1863</f>
        <v/>
      </c>
      <c r="N1863">
        <f>AND(MONTH(F1863)=MONTH(Q1863), YEAR(F1863)=YEAR(Q1863))</f>
        <v/>
      </c>
      <c r="O1863">
        <f>"L001-902303751"=S1863</f>
        <v/>
      </c>
      <c r="P1863">
        <f>G1863-U1863</f>
        <v/>
      </c>
      <c r="Q1863" s="35" t="n">
        <v>45244</v>
      </c>
      <c r="R1863" t="inlineStr"/>
      <c r="S1863" t="inlineStr">
        <is>
          <t>L001-103007369</t>
        </is>
      </c>
      <c r="T1863" t="inlineStr">
        <is>
          <t>អូរៀនថល ឡូជីស្ទីក &amp; ឌីស្ទ្រីប៊្យូសិន (ខេមបូឌា)</t>
        </is>
      </c>
      <c r="U1863" t="n">
        <v>0</v>
      </c>
      <c r="V1863" t="n">
        <v>0</v>
      </c>
    </row>
    <row r="1864">
      <c r="A1864" t="n">
        <v>1863</v>
      </c>
      <c r="B1864" t="inlineStr">
        <is>
          <t>Customs Clearance Fee and Trucking Fee</t>
        </is>
      </c>
      <c r="C1864" t="inlineStr">
        <is>
          <t>ត្រាយអ៊ែងហ្គល ឡូជីស្ទីក (ខេមបូឌា) ឯ.ក</t>
        </is>
      </c>
      <c r="D1864" t="inlineStr">
        <is>
          <t>K010-902101743</t>
        </is>
      </c>
      <c r="E1864" t="inlineStr">
        <is>
          <t>TAG-24-00842</t>
        </is>
      </c>
      <c r="F1864" t="inlineStr">
        <is>
          <t>12-11-2024</t>
        </is>
      </c>
      <c r="G1864" t="n">
        <v>28371</v>
      </c>
      <c r="I1864">
        <f>G1864</f>
        <v/>
      </c>
      <c r="K1864">
        <f>I1864-G1864</f>
        <v/>
      </c>
      <c r="M1864">
        <f>R1864=E1864</f>
        <v/>
      </c>
      <c r="N1864">
        <f>AND(MONTH(F1864)=MONTH(Q1864), YEAR(F1864)=YEAR(Q1864))</f>
        <v/>
      </c>
      <c r="O1864">
        <f>"L001-902303751"=S1864</f>
        <v/>
      </c>
      <c r="P1864">
        <f>G1864-U1864</f>
        <v/>
      </c>
      <c r="Q1864" s="35" t="n">
        <v>45244</v>
      </c>
      <c r="R1864" t="n">
        <v>353460</v>
      </c>
      <c r="S1864" t="inlineStr">
        <is>
          <t>L001-100011888</t>
        </is>
      </c>
      <c r="T1864" t="inlineStr">
        <is>
          <t>ត្រេន ស្តារ ហ្រេ្វត</t>
        </is>
      </c>
      <c r="U1864" t="n">
        <v>353460</v>
      </c>
      <c r="V1864" t="n">
        <v>0</v>
      </c>
    </row>
    <row r="1865">
      <c r="A1865" t="n">
        <v>1864</v>
      </c>
      <c r="B1865" t="inlineStr">
        <is>
          <t>Terminal Handling Charge, EMF, 3 Party Trucking, Container Imbalance Charge, D/O Fee, Document Fee and Handling Charge</t>
        </is>
      </c>
      <c r="C1865" t="inlineStr">
        <is>
          <t>ខេអិលអិន ហ្វ្រេត (ខេមបូឌា) ឯ.ក</t>
        </is>
      </c>
      <c r="D1865" t="inlineStr">
        <is>
          <t>L001-100074669</t>
        </is>
      </c>
      <c r="E1865" t="inlineStr">
        <is>
          <t>IVO17208</t>
        </is>
      </c>
      <c r="F1865" t="inlineStr">
        <is>
          <t>01-11-2024</t>
        </is>
      </c>
      <c r="G1865" t="n">
        <v>135427</v>
      </c>
      <c r="I1865">
        <f>G1865</f>
        <v/>
      </c>
      <c r="K1865">
        <f>I1865-G1865</f>
        <v/>
      </c>
      <c r="M1865">
        <f>R1865=E1865</f>
        <v/>
      </c>
      <c r="N1865">
        <f>AND(MONTH(F1865)=MONTH(Q1865), YEAR(F1865)=YEAR(Q1865))</f>
        <v/>
      </c>
      <c r="O1865">
        <f>"L001-902303751"=S1865</f>
        <v/>
      </c>
      <c r="P1865">
        <f>G1865-U1865</f>
        <v/>
      </c>
      <c r="Q1865" s="35" t="n">
        <v>45253</v>
      </c>
      <c r="R1865" t="n">
        <v>82280</v>
      </c>
      <c r="S1865" t="inlineStr">
        <is>
          <t>L001-100045995</t>
        </is>
      </c>
      <c r="T1865" t="inlineStr">
        <is>
          <t>ឌីអេចអិល ឡូជីស្ទីក (ខេមបូឌា)</t>
        </is>
      </c>
      <c r="U1865" t="n">
        <v>82280</v>
      </c>
      <c r="V1865" t="n">
        <v>0</v>
      </c>
    </row>
    <row r="1866">
      <c r="A1866" t="n">
        <v>1865</v>
      </c>
      <c r="B1866" t="inlineStr">
        <is>
          <t>Lift-On &amp; Lift-Off</t>
        </is>
      </c>
      <c r="C1866" t="inlineStr">
        <is>
          <t>កំពង់ផែស្វយ័តក្រុងព្រះសីហនុ</t>
        </is>
      </c>
      <c r="D1866" t="inlineStr">
        <is>
          <t>L001-100044638</t>
        </is>
      </c>
      <c r="E1866" t="inlineStr">
        <is>
          <t>227375</t>
        </is>
      </c>
      <c r="F1866" t="inlineStr">
        <is>
          <t>02-11-2024</t>
        </is>
      </c>
      <c r="G1866" t="n">
        <v>23165</v>
      </c>
      <c r="I1866">
        <f>G1866</f>
        <v/>
      </c>
      <c r="K1866">
        <f>I1866-G1866</f>
        <v/>
      </c>
      <c r="M1866">
        <f>R1866=E1866</f>
        <v/>
      </c>
      <c r="N1866">
        <f>AND(MONTH(F1866)=MONTH(Q1866), YEAR(F1866)=YEAR(Q1866))</f>
        <v/>
      </c>
      <c r="O1866">
        <f>"L001-902303751"=S1866</f>
        <v/>
      </c>
      <c r="P1866">
        <f>G1866-U1866</f>
        <v/>
      </c>
      <c r="Q1866" s="35" t="n">
        <v>45243</v>
      </c>
      <c r="R1866" t="n">
        <v>299790</v>
      </c>
      <c r="S1866" t="inlineStr">
        <is>
          <t>L001-100074669</t>
        </is>
      </c>
      <c r="T1866" t="inlineStr">
        <is>
          <t>ខេអិលអិន ហ្វ្រេត (ខេមបូឌា) ឯ.ក</t>
        </is>
      </c>
      <c r="U1866" t="n">
        <v>299790</v>
      </c>
      <c r="V1866" t="n">
        <v>0</v>
      </c>
    </row>
    <row r="1867">
      <c r="A1867" t="n">
        <v>1866</v>
      </c>
      <c r="B1867" t="inlineStr">
        <is>
          <t>Customs Clearance Fee and Trucking Fee</t>
        </is>
      </c>
      <c r="C1867" t="inlineStr">
        <is>
          <t>ត្រាយអ៊ែងហ្គល ឡូជីស្ទីក (ខេមបូឌា) ឯ.ក</t>
        </is>
      </c>
      <c r="D1867" t="inlineStr">
        <is>
          <t>K010-902101743</t>
        </is>
      </c>
      <c r="E1867" t="inlineStr">
        <is>
          <t>TAG-24-00854</t>
        </is>
      </c>
      <c r="F1867" t="inlineStr">
        <is>
          <t>18-11-2024</t>
        </is>
      </c>
      <c r="G1867" t="n">
        <v>109107</v>
      </c>
      <c r="I1867">
        <f>G1867</f>
        <v/>
      </c>
      <c r="K1867">
        <f>I1867-G1867</f>
        <v/>
      </c>
      <c r="M1867">
        <f>R1867=E1867</f>
        <v/>
      </c>
      <c r="N1867">
        <f>AND(MONTH(F1867)=MONTH(Q1867), YEAR(F1867)=YEAR(Q1867))</f>
        <v/>
      </c>
      <c r="O1867">
        <f>"L001-902303751"=S1867</f>
        <v/>
      </c>
      <c r="P1867">
        <f>G1867-U1867</f>
        <v/>
      </c>
      <c r="Q1867" s="35" t="n">
        <v>45231</v>
      </c>
      <c r="R1867" t="inlineStr"/>
      <c r="S1867" t="inlineStr">
        <is>
          <t>L001-100011888</t>
        </is>
      </c>
      <c r="T1867" t="inlineStr">
        <is>
          <t>ត្រេន ស្តារ ហ្រេ្វត</t>
        </is>
      </c>
      <c r="U1867" t="n">
        <v>0</v>
      </c>
      <c r="V1867" t="n">
        <v>0</v>
      </c>
    </row>
    <row r="1868">
      <c r="A1868" t="n">
        <v>1867</v>
      </c>
      <c r="B1868" t="inlineStr">
        <is>
          <t>Charge from Warehouse/cy to trucks and Storage Charges</t>
        </is>
      </c>
      <c r="C1868" t="inlineStr">
        <is>
          <t>កំពង់ផែស្វយ័តក្រុងព្រះសីហនុ</t>
        </is>
      </c>
      <c r="D1868" t="inlineStr">
        <is>
          <t>L001-100044638</t>
        </is>
      </c>
      <c r="E1868" t="inlineStr">
        <is>
          <t>231294</t>
        </is>
      </c>
      <c r="F1868" t="inlineStr">
        <is>
          <t>07-11-2024</t>
        </is>
      </c>
      <c r="G1868" t="n">
        <v>742</v>
      </c>
      <c r="I1868">
        <f>G1868</f>
        <v/>
      </c>
      <c r="K1868">
        <f>I1868-G1868</f>
        <v/>
      </c>
      <c r="M1868">
        <f>R1868=E1868</f>
        <v/>
      </c>
      <c r="N1868">
        <f>AND(MONTH(F1868)=MONTH(Q1868), YEAR(F1868)=YEAR(Q1868))</f>
        <v/>
      </c>
      <c r="O1868">
        <f>"L001-902303751"=S1868</f>
        <v/>
      </c>
      <c r="P1868">
        <f>G1868-U1868</f>
        <v/>
      </c>
      <c r="Q1868" s="35" t="n">
        <v>45244</v>
      </c>
      <c r="R1868" t="inlineStr"/>
      <c r="S1868" t="inlineStr">
        <is>
          <t>K002-901800477</t>
        </is>
      </c>
      <c r="T1868" t="inlineStr">
        <is>
          <t>អាយធីអាយ អ៊ិនធើណេសិនណល ត្រេនស័្ពរថេសិន (ខេមបូឌា) ឯ.ក</t>
        </is>
      </c>
      <c r="U1868" t="n">
        <v>0</v>
      </c>
      <c r="V1868" t="n">
        <v>0</v>
      </c>
    </row>
    <row r="1869">
      <c r="A1869" t="n">
        <v>1868</v>
      </c>
      <c r="B1869" t="inlineStr">
        <is>
          <t>Customs Clearance Fee and Trucking Fee</t>
        </is>
      </c>
      <c r="C1869" t="inlineStr">
        <is>
          <t>ត្រាយអ៊ែងហ្គល ឡូជីស្ទីក (ខេមបូឌា) ឯ.ក</t>
        </is>
      </c>
      <c r="D1869" t="inlineStr">
        <is>
          <t>K010-902101743</t>
        </is>
      </c>
      <c r="E1869" t="inlineStr">
        <is>
          <t>TAG-24-00852</t>
        </is>
      </c>
      <c r="F1869" t="inlineStr">
        <is>
          <t>18-11-2024</t>
        </is>
      </c>
      <c r="G1869" t="n">
        <v>32328</v>
      </c>
      <c r="I1869">
        <f>G1869</f>
        <v/>
      </c>
      <c r="K1869">
        <f>I1869-G1869</f>
        <v/>
      </c>
      <c r="M1869">
        <f>R1869=E1869</f>
        <v/>
      </c>
      <c r="N1869">
        <f>AND(MONTH(F1869)=MONTH(Q1869), YEAR(F1869)=YEAR(Q1869))</f>
        <v/>
      </c>
      <c r="O1869">
        <f>"L001-902303751"=S1869</f>
        <v/>
      </c>
      <c r="P1869">
        <f>G1869-U1869</f>
        <v/>
      </c>
      <c r="Q1869" s="35" t="n">
        <v>45259</v>
      </c>
      <c r="R1869" t="n">
        <v>172830</v>
      </c>
      <c r="S1869" t="inlineStr">
        <is>
          <t>K005-100059945</t>
        </is>
      </c>
      <c r="T1869" t="inlineStr">
        <is>
          <t>អ៊ែតវ៉ានស៍ គ្លរី ឡូជីស្ទីក (ខេមបូឌា) (អេ ជី អិល)</t>
        </is>
      </c>
      <c r="U1869" t="n">
        <v>172830</v>
      </c>
      <c r="V1869" t="n">
        <v>0</v>
      </c>
    </row>
    <row r="1870">
      <c r="A1870" t="n">
        <v>1869</v>
      </c>
      <c r="B1870" t="inlineStr">
        <is>
          <t>Charge from Warehouse/cy to trucks</t>
        </is>
      </c>
      <c r="C1870" t="inlineStr">
        <is>
          <t>កំពង់ផែស្វយ័តក្រុងព្រះសីហនុ</t>
        </is>
      </c>
      <c r="D1870" t="inlineStr">
        <is>
          <t>L001-100044638</t>
        </is>
      </c>
      <c r="E1870" t="inlineStr">
        <is>
          <t>231288</t>
        </is>
      </c>
      <c r="F1870" t="inlineStr">
        <is>
          <t>07-11-2024</t>
        </is>
      </c>
      <c r="G1870" t="n">
        <v>1245</v>
      </c>
      <c r="I1870">
        <f>G1870</f>
        <v/>
      </c>
      <c r="K1870">
        <f>I1870-G1870</f>
        <v/>
      </c>
      <c r="M1870">
        <f>R1870=E1870</f>
        <v/>
      </c>
      <c r="N1870">
        <f>AND(MONTH(F1870)=MONTH(Q1870), YEAR(F1870)=YEAR(Q1870))</f>
        <v/>
      </c>
      <c r="O1870">
        <f>"L001-902303751"=S1870</f>
        <v/>
      </c>
      <c r="P1870">
        <f>G1870-U1870</f>
        <v/>
      </c>
      <c r="Q1870" s="35" t="n">
        <v>45259</v>
      </c>
      <c r="R1870" t="inlineStr"/>
      <c r="S1870" t="inlineStr">
        <is>
          <t>L001-107000385</t>
        </is>
      </c>
      <c r="T1870" t="inlineStr">
        <is>
          <t>អិចស្ពោលាំងកា ហ្រ្វេត (ខេមបូឌា) លីមីធីត</t>
        </is>
      </c>
      <c r="U1870" t="n">
        <v>0</v>
      </c>
      <c r="V1870" t="n">
        <v>0</v>
      </c>
    </row>
    <row r="1871">
      <c r="A1871" t="n">
        <v>1870</v>
      </c>
      <c r="B1871" t="inlineStr">
        <is>
          <t>Customs Clearance Fee and Trucking Fee</t>
        </is>
      </c>
      <c r="C1871" t="inlineStr">
        <is>
          <t>ត្រាយអ៊ែងហ្គល ឡូជីស្ទីក (ខេមបូឌា) ឯ.ក</t>
        </is>
      </c>
      <c r="D1871" t="inlineStr">
        <is>
          <t>K010-902101743</t>
        </is>
      </c>
      <c r="E1871" t="inlineStr">
        <is>
          <t>TAG-24-00853</t>
        </is>
      </c>
      <c r="F1871" t="inlineStr">
        <is>
          <t>18-11-2024</t>
        </is>
      </c>
      <c r="G1871" t="n">
        <v>32328</v>
      </c>
      <c r="I1871">
        <f>G1871</f>
        <v/>
      </c>
      <c r="K1871">
        <f>I1871-G1871</f>
        <v/>
      </c>
      <c r="M1871">
        <f>R1871=E1871</f>
        <v/>
      </c>
      <c r="N1871">
        <f>AND(MONTH(F1871)=MONTH(Q1871), YEAR(F1871)=YEAR(Q1871))</f>
        <v/>
      </c>
      <c r="O1871">
        <f>"L001-902303751"=S1871</f>
        <v/>
      </c>
      <c r="P1871">
        <f>G1871-U1871</f>
        <v/>
      </c>
      <c r="Q1871" s="35" t="n">
        <v>45243</v>
      </c>
      <c r="R1871" t="n">
        <v>84831</v>
      </c>
      <c r="S1871" t="inlineStr">
        <is>
          <t>K003-901635943</t>
        </is>
      </c>
      <c r="T1871" t="inlineStr">
        <is>
          <t>អ៊ីឃ្យូឡាញ វើលវ៉ាយដ៍ ឡូជីស្ទីក</t>
        </is>
      </c>
      <c r="U1871" t="n">
        <v>84831</v>
      </c>
      <c r="V1871" t="n">
        <v>0</v>
      </c>
    </row>
    <row r="1872">
      <c r="A1872" t="n">
        <v>1871</v>
      </c>
      <c r="B1872" t="inlineStr">
        <is>
          <t>Cargo Terminal</t>
        </is>
      </c>
      <c r="C1872" t="inlineStr">
        <is>
          <t>សូស៊ីយេតេ កុងសេស្យូនែរ ដឺ ឡាអេរ៉ូព័រ</t>
        </is>
      </c>
      <c r="D1872" t="inlineStr">
        <is>
          <t>L001-100047300</t>
        </is>
      </c>
      <c r="E1872" t="inlineStr">
        <is>
          <t>2400096568</t>
        </is>
      </c>
      <c r="F1872" t="inlineStr">
        <is>
          <t>28-11-2024</t>
        </is>
      </c>
      <c r="G1872" t="n">
        <v>4352</v>
      </c>
      <c r="I1872">
        <f>G1872</f>
        <v/>
      </c>
      <c r="K1872">
        <f>I1872-G1872</f>
        <v/>
      </c>
      <c r="M1872">
        <f>R1872=E1872</f>
        <v/>
      </c>
      <c r="N1872">
        <f>AND(MONTH(F1872)=MONTH(Q1872), YEAR(F1872)=YEAR(Q1872))</f>
        <v/>
      </c>
      <c r="O1872">
        <f>"L001-902303751"=S1872</f>
        <v/>
      </c>
      <c r="P1872">
        <f>G1872-U1872</f>
        <v/>
      </c>
      <c r="Q1872" s="35" t="n">
        <v>45243</v>
      </c>
      <c r="R1872" t="n">
        <v>82360</v>
      </c>
      <c r="S1872" t="inlineStr">
        <is>
          <t>L001-100045995</t>
        </is>
      </c>
      <c r="T1872" t="inlineStr">
        <is>
          <t>ឌីអេចអិល ឡូជីស្ទីក (ខេមបូឌា)</t>
        </is>
      </c>
      <c r="U1872" t="n">
        <v>82360</v>
      </c>
      <c r="V1872" t="n">
        <v>0</v>
      </c>
    </row>
    <row r="1873">
      <c r="A1873" t="n">
        <v>1872</v>
      </c>
      <c r="B1873" t="inlineStr">
        <is>
          <t>Cargo Terminal</t>
        </is>
      </c>
      <c r="C1873" t="inlineStr">
        <is>
          <t>សូស៊ីយេតេ កុងសេស្យូនែរ ដឺ ឡាអេរ៉ូព័រ</t>
        </is>
      </c>
      <c r="D1873" t="inlineStr">
        <is>
          <t>L001-100047300</t>
        </is>
      </c>
      <c r="E1873" t="inlineStr">
        <is>
          <t>2400090352</t>
        </is>
      </c>
      <c r="F1873" t="inlineStr">
        <is>
          <t>07-11-2024</t>
        </is>
      </c>
      <c r="G1873" t="n">
        <v>12123</v>
      </c>
      <c r="I1873">
        <f>G1873</f>
        <v/>
      </c>
      <c r="K1873">
        <f>I1873-G1873</f>
        <v/>
      </c>
      <c r="M1873">
        <f>R1873=E1873</f>
        <v/>
      </c>
      <c r="N1873">
        <f>AND(MONTH(F1873)=MONTH(Q1873), YEAR(F1873)=YEAR(Q1873))</f>
        <v/>
      </c>
      <c r="O1873">
        <f>"L001-902303751"=S1873</f>
        <v/>
      </c>
      <c r="P1873">
        <f>G1873-U1873</f>
        <v/>
      </c>
      <c r="Q1873" s="35" t="n">
        <v>45607</v>
      </c>
      <c r="R1873" t="n">
        <v>290219</v>
      </c>
      <c r="S1873" t="inlineStr">
        <is>
          <t>L001-107041723</t>
        </is>
      </c>
      <c r="T1873" t="inlineStr">
        <is>
          <t>ឌីប៊ី សេនឃើរ (ខេមបូឌា) លីមីធីត</t>
        </is>
      </c>
      <c r="U1873" t="n">
        <v>290219</v>
      </c>
      <c r="V1873" t="n">
        <v>0</v>
      </c>
    </row>
    <row r="1874">
      <c r="A1874" t="n">
        <v>1873</v>
      </c>
      <c r="B1874" t="inlineStr">
        <is>
          <t>Monthly Charge of Photo Copier Rental from 06/10/2024-06/11/2024</t>
        </is>
      </c>
      <c r="C1874" t="inlineStr">
        <is>
          <t>វី.អាយ.អេស ខភៀ ឯ.ក</t>
        </is>
      </c>
      <c r="D1874" t="inlineStr">
        <is>
          <t>K007-901705195</t>
        </is>
      </c>
      <c r="E1874" t="inlineStr">
        <is>
          <t>RNT241122</t>
        </is>
      </c>
      <c r="F1874" t="inlineStr">
        <is>
          <t>06-11-2024</t>
        </is>
      </c>
      <c r="G1874" t="n">
        <v>56896</v>
      </c>
      <c r="I1874">
        <f>G1874</f>
        <v/>
      </c>
      <c r="K1874">
        <f>I1874-G1874</f>
        <v/>
      </c>
      <c r="M1874">
        <f>R1874=E1874</f>
        <v/>
      </c>
      <c r="N1874">
        <f>AND(MONTH(F1874)=MONTH(Q1874), YEAR(F1874)=YEAR(Q1874))</f>
        <v/>
      </c>
      <c r="O1874">
        <f>"L001-902303751"=S1874</f>
        <v/>
      </c>
      <c r="P1874">
        <f>G1874-U1874</f>
        <v/>
      </c>
      <c r="Q1874" s="35" t="n">
        <v>45600</v>
      </c>
      <c r="R1874" t="n">
        <v>83333</v>
      </c>
      <c r="S1874" t="inlineStr">
        <is>
          <t>L001-100045995</t>
        </is>
      </c>
      <c r="T1874" t="inlineStr">
        <is>
          <t>ឌីអេចអិល ឡូជីស្ទីក (ខេមបូឌា)</t>
        </is>
      </c>
      <c r="U1874" t="n">
        <v>83333</v>
      </c>
      <c r="V1874" t="n">
        <v>0</v>
      </c>
    </row>
    <row r="1875">
      <c r="A1875" t="n">
        <v>1874</v>
      </c>
      <c r="B1875" t="inlineStr">
        <is>
          <t>Transportation Fee</t>
        </is>
      </c>
      <c r="C1875" t="inlineStr">
        <is>
          <t>សំអាង &amp; មករា ត្រេនស្ព័ត ឯ.ក</t>
        </is>
      </c>
      <c r="D1875" t="inlineStr">
        <is>
          <t>K010-902204282</t>
        </is>
      </c>
      <c r="E1875" t="inlineStr">
        <is>
          <t>202300120</t>
        </is>
      </c>
      <c r="F1875" t="inlineStr">
        <is>
          <t>30-11-2024</t>
        </is>
      </c>
      <c r="G1875" t="n">
        <v>1128344</v>
      </c>
      <c r="I1875">
        <f>G1875</f>
        <v/>
      </c>
      <c r="K1875">
        <f>I1875-G1875</f>
        <v/>
      </c>
      <c r="M1875">
        <f>R1875=E1875</f>
        <v/>
      </c>
      <c r="N1875">
        <f>AND(MONTH(F1875)=MONTH(Q1875), YEAR(F1875)=YEAR(Q1875))</f>
        <v/>
      </c>
      <c r="O1875">
        <f>"L001-902303751"=S1875</f>
        <v/>
      </c>
      <c r="P1875">
        <f>G1875-U1875</f>
        <v/>
      </c>
      <c r="Q1875" s="35" t="n">
        <v>45621</v>
      </c>
      <c r="R1875" t="n">
        <v>170595</v>
      </c>
      <c r="S1875" t="inlineStr">
        <is>
          <t>L001-107032791</t>
        </is>
      </c>
      <c r="T1875" t="inlineStr">
        <is>
          <t>នីបផន អិចប្រេស (ខេមបូឌា) ខូ អិលធីឌី</t>
        </is>
      </c>
      <c r="U1875" t="n">
        <v>170595</v>
      </c>
      <c r="V1875" t="n">
        <v>0</v>
      </c>
    </row>
    <row r="1876">
      <c r="A1876" t="n">
        <v>1875</v>
      </c>
      <c r="B1876" t="inlineStr">
        <is>
          <t>Cargo Terminal</t>
        </is>
      </c>
      <c r="C1876" t="inlineStr">
        <is>
          <t>សូស៊ីយេតេ កុងសេស្យូនែរ ដឺ ឡាអេរ៉ូព័រ</t>
        </is>
      </c>
      <c r="D1876" t="inlineStr">
        <is>
          <t>L001-100047300</t>
        </is>
      </c>
      <c r="E1876" t="inlineStr">
        <is>
          <t>2400097321</t>
        </is>
      </c>
      <c r="F1876" t="inlineStr">
        <is>
          <t>30-11-2024</t>
        </is>
      </c>
      <c r="G1876" t="n">
        <v>901</v>
      </c>
      <c r="I1876">
        <f>G1876</f>
        <v/>
      </c>
      <c r="K1876">
        <f>I1876-G1876</f>
        <v/>
      </c>
      <c r="M1876">
        <f>R1876=E1876</f>
        <v/>
      </c>
      <c r="N1876">
        <f>AND(MONTH(F1876)=MONTH(Q1876), YEAR(F1876)=YEAR(Q1876))</f>
        <v/>
      </c>
      <c r="O1876">
        <f>"L001-902303751"=S1876</f>
        <v/>
      </c>
      <c r="P1876">
        <f>G1876-U1876</f>
        <v/>
      </c>
      <c r="Q1876" s="35" t="n">
        <v>45621</v>
      </c>
      <c r="R1876" t="n">
        <v>110385</v>
      </c>
      <c r="S1876" t="inlineStr">
        <is>
          <t>K005-100150195</t>
        </is>
      </c>
      <c r="T1876" t="inlineStr">
        <is>
          <t>អេស អ វី ស៊ី ហ្វ្រេត សឺវីស (ខេមបូឌា) ខូ អិលធីឌី</t>
        </is>
      </c>
      <c r="U1876" t="n">
        <v>110385</v>
      </c>
      <c r="V1876" t="n">
        <v>0</v>
      </c>
    </row>
    <row r="1877">
      <c r="A1877" t="n">
        <v>1876</v>
      </c>
      <c r="B1877" t="inlineStr">
        <is>
          <t>Customs Clearance Fee</t>
        </is>
      </c>
      <c r="C1877" t="inlineStr">
        <is>
          <t>ត្រាយអ៊ែងហ្គល ឡូជីស្ទីក (ខេមបូឌា) ឯ.ក</t>
        </is>
      </c>
      <c r="D1877" t="inlineStr">
        <is>
          <t>K010-902101743</t>
        </is>
      </c>
      <c r="E1877" t="inlineStr">
        <is>
          <t>TAG-24-00905</t>
        </is>
      </c>
      <c r="F1877" t="inlineStr">
        <is>
          <t>29-11-2024</t>
        </is>
      </c>
      <c r="G1877" t="n">
        <v>8056</v>
      </c>
      <c r="I1877">
        <f>G1877</f>
        <v/>
      </c>
      <c r="K1877">
        <f>I1877-G1877</f>
        <v/>
      </c>
      <c r="M1877">
        <f>R1877=E1877</f>
        <v/>
      </c>
      <c r="N1877">
        <f>AND(MONTH(F1877)=MONTH(Q1877), YEAR(F1877)=YEAR(Q1877))</f>
        <v/>
      </c>
      <c r="O1877">
        <f>"L001-902303751"=S1877</f>
        <v/>
      </c>
      <c r="P1877">
        <f>G1877-U1877</f>
        <v/>
      </c>
      <c r="Q1877" s="35" t="n">
        <v>45621</v>
      </c>
      <c r="R1877" t="n">
        <v>198693</v>
      </c>
      <c r="S1877" t="inlineStr">
        <is>
          <t>K005-100150195</t>
        </is>
      </c>
      <c r="T1877" t="inlineStr">
        <is>
          <t>អេស អ វី ស៊ី ហ្វ្រេត សឺវីស (ខេមបូឌា) ខូ អិលធីឌី</t>
        </is>
      </c>
      <c r="U1877" t="n">
        <v>198693</v>
      </c>
      <c r="V1877" t="n">
        <v>0</v>
      </c>
    </row>
    <row r="1878">
      <c r="A1878" t="n">
        <v>1877</v>
      </c>
      <c r="B1878" t="inlineStr">
        <is>
          <t>Cargo Terminal</t>
        </is>
      </c>
      <c r="C1878" t="inlineStr">
        <is>
          <t>សូស៊ីយេតេ កុងសេស្យូនែរ ដឺ ឡាអេរ៉ូព័រ</t>
        </is>
      </c>
      <c r="D1878" t="inlineStr">
        <is>
          <t>L001-100047300</t>
        </is>
      </c>
      <c r="E1878" t="inlineStr">
        <is>
          <t>2400096247</t>
        </is>
      </c>
      <c r="F1878" t="inlineStr">
        <is>
          <t>27-11-2024</t>
        </is>
      </c>
      <c r="G1878" t="n">
        <v>4152</v>
      </c>
      <c r="I1878">
        <f>G1878</f>
        <v/>
      </c>
      <c r="K1878">
        <f>I1878-G1878</f>
        <v/>
      </c>
      <c r="M1878">
        <f>R1878=E1878</f>
        <v/>
      </c>
      <c r="N1878">
        <f>AND(MONTH(F1878)=MONTH(Q1878), YEAR(F1878)=YEAR(Q1878))</f>
        <v/>
      </c>
      <c r="O1878">
        <f>"L001-902303751"=S1878</f>
        <v/>
      </c>
      <c r="P1878">
        <f>G1878-U1878</f>
        <v/>
      </c>
      <c r="Q1878" s="35" t="n">
        <v>45614</v>
      </c>
      <c r="R1878" t="inlineStr"/>
      <c r="S1878" t="inlineStr">
        <is>
          <t>L001-901500191</t>
        </is>
      </c>
      <c r="T1878" t="inlineStr">
        <is>
          <t>អ.អិន.វ៉ាយ ត្រេនស្ព័ត</t>
        </is>
      </c>
      <c r="U1878" t="n">
        <v>0</v>
      </c>
      <c r="V1878" t="n">
        <v>0</v>
      </c>
    </row>
    <row r="1879">
      <c r="A1879" t="n">
        <v>1878</v>
      </c>
      <c r="B1879" t="inlineStr">
        <is>
          <t>Customs Clearance Fee</t>
        </is>
      </c>
      <c r="C1879" t="inlineStr">
        <is>
          <t>ត្រាយអ៊ែងហ្គល ឡូជីស្ទីក (ខេមបូឌា) ឯ.ក</t>
        </is>
      </c>
      <c r="D1879" t="inlineStr">
        <is>
          <t>K010-902101743</t>
        </is>
      </c>
      <c r="E1879" t="inlineStr">
        <is>
          <t>TAG-24-00900</t>
        </is>
      </c>
      <c r="F1879" t="inlineStr">
        <is>
          <t>29-11-2024</t>
        </is>
      </c>
      <c r="G1879" t="n">
        <v>8056</v>
      </c>
      <c r="I1879">
        <f>G1879</f>
        <v/>
      </c>
      <c r="K1879">
        <f>I1879-G1879</f>
        <v/>
      </c>
      <c r="M1879">
        <f>R1879=E1879</f>
        <v/>
      </c>
      <c r="N1879">
        <f>AND(MONTH(F1879)=MONTH(Q1879), YEAR(F1879)=YEAR(Q1879))</f>
        <v/>
      </c>
      <c r="O1879">
        <f>"L001-902303751"=S1879</f>
        <v/>
      </c>
      <c r="P1879">
        <f>G1879-U1879</f>
        <v/>
      </c>
      <c r="Q1879" s="35" t="n">
        <v>45614</v>
      </c>
      <c r="R1879" t="inlineStr"/>
      <c r="S1879" t="inlineStr">
        <is>
          <t>L001-100045995</t>
        </is>
      </c>
      <c r="T1879" t="inlineStr">
        <is>
          <t>ឌីអេចអិល ឡូជីស្ទីក (ខេមបូឌា)</t>
        </is>
      </c>
      <c r="U1879" t="n">
        <v>0</v>
      </c>
      <c r="V1879" t="n">
        <v>0</v>
      </c>
    </row>
    <row r="1880">
      <c r="A1880" t="n">
        <v>1879</v>
      </c>
      <c r="B1880" t="inlineStr">
        <is>
          <t>Cargo Terminal</t>
        </is>
      </c>
      <c r="C1880" t="inlineStr">
        <is>
          <t>សូស៊ីយេតេ កុងសេស្យូនែរ ដឺ ឡាអេរ៉ូព័រ</t>
        </is>
      </c>
      <c r="D1880" t="inlineStr">
        <is>
          <t>L001-100047300</t>
        </is>
      </c>
      <c r="E1880" t="inlineStr">
        <is>
          <t>2400096339</t>
        </is>
      </c>
      <c r="F1880" t="inlineStr">
        <is>
          <t>27-11-2024</t>
        </is>
      </c>
      <c r="G1880" t="n">
        <v>7338</v>
      </c>
      <c r="I1880">
        <f>G1880</f>
        <v/>
      </c>
      <c r="K1880">
        <f>I1880-G1880</f>
        <v/>
      </c>
      <c r="M1880">
        <f>R1880=E1880</f>
        <v/>
      </c>
      <c r="N1880">
        <f>AND(MONTH(F1880)=MONTH(Q1880), YEAR(F1880)=YEAR(Q1880))</f>
        <v/>
      </c>
      <c r="O1880">
        <f>"L001-902303751"=S1880</f>
        <v/>
      </c>
      <c r="P1880">
        <f>G1880-U1880</f>
        <v/>
      </c>
      <c r="Q1880" s="35" t="n">
        <v>45607</v>
      </c>
      <c r="R1880" t="n">
        <v>172508</v>
      </c>
      <c r="S1880" t="inlineStr">
        <is>
          <t>L001-107032791</t>
        </is>
      </c>
      <c r="T1880" t="inlineStr">
        <is>
          <t>នីបផន អិចប្រេស (ខេមបូឌា) ខូ អិលធីឌី</t>
        </is>
      </c>
      <c r="U1880" t="n">
        <v>172508</v>
      </c>
      <c r="V1880" t="n">
        <v>0</v>
      </c>
    </row>
    <row r="1881">
      <c r="A1881" t="n">
        <v>1880</v>
      </c>
      <c r="B1881" t="inlineStr">
        <is>
          <t>Customs Clearance Fee</t>
        </is>
      </c>
      <c r="C1881" t="inlineStr">
        <is>
          <t>ត្រាយអ៊ែងហ្គល ឡូជីស្ទីក (ខេមបូឌា) ឯ.ក</t>
        </is>
      </c>
      <c r="D1881" t="inlineStr">
        <is>
          <t>K010-902101743</t>
        </is>
      </c>
      <c r="E1881" t="inlineStr">
        <is>
          <t>TAG-24-00899</t>
        </is>
      </c>
      <c r="F1881" t="inlineStr">
        <is>
          <t>29-11-2024</t>
        </is>
      </c>
      <c r="G1881" t="n">
        <v>8056</v>
      </c>
      <c r="I1881">
        <f>G1881</f>
        <v/>
      </c>
      <c r="K1881">
        <f>I1881-G1881</f>
        <v/>
      </c>
      <c r="M1881">
        <f>R1881=E1881</f>
        <v/>
      </c>
      <c r="N1881">
        <f>AND(MONTH(F1881)=MONTH(Q1881), YEAR(F1881)=YEAR(Q1881))</f>
        <v/>
      </c>
      <c r="O1881">
        <f>"L001-902303751"=S1881</f>
        <v/>
      </c>
      <c r="P1881">
        <f>G1881-U1881</f>
        <v/>
      </c>
      <c r="Q1881" s="35" t="n">
        <v>45607</v>
      </c>
      <c r="R1881" t="n">
        <v>111623</v>
      </c>
      <c r="S1881" t="inlineStr">
        <is>
          <t>L001-107041723</t>
        </is>
      </c>
      <c r="T1881" t="inlineStr">
        <is>
          <t>ឌីប៊ី សេនឃើរ (ខេមបូឌា) លីមីធីត</t>
        </is>
      </c>
      <c r="U1881" t="n">
        <v>111623</v>
      </c>
      <c r="V1881" t="n">
        <v>0</v>
      </c>
    </row>
    <row r="1882">
      <c r="A1882" t="n">
        <v>1881</v>
      </c>
      <c r="B1882" t="inlineStr">
        <is>
          <t>Cargo Terminal</t>
        </is>
      </c>
      <c r="C1882" t="inlineStr">
        <is>
          <t>សូស៊ីយេតេ កុងសេស្យូនែរ ដឺ ឡាអេរ៉ូព័រ</t>
        </is>
      </c>
      <c r="D1882" t="inlineStr">
        <is>
          <t>L001-100047300</t>
        </is>
      </c>
      <c r="E1882" t="inlineStr">
        <is>
          <t>2400096338</t>
        </is>
      </c>
      <c r="F1882" t="inlineStr">
        <is>
          <t>27-11-2024</t>
        </is>
      </c>
      <c r="G1882" t="n">
        <v>17673</v>
      </c>
      <c r="I1882">
        <f>G1882</f>
        <v/>
      </c>
      <c r="K1882">
        <f>I1882-G1882</f>
        <v/>
      </c>
      <c r="M1882">
        <f>R1882=E1882</f>
        <v/>
      </c>
      <c r="N1882">
        <f>AND(MONTH(F1882)=MONTH(Q1882), YEAR(F1882)=YEAR(Q1882))</f>
        <v/>
      </c>
      <c r="O1882">
        <f>"L001-902303751"=S1882</f>
        <v/>
      </c>
      <c r="P1882">
        <f>G1882-U1882</f>
        <v/>
      </c>
      <c r="Q1882" s="35" t="n">
        <v>45607</v>
      </c>
      <c r="R1882" t="inlineStr"/>
      <c r="S1882" t="inlineStr">
        <is>
          <t>L001-107041723</t>
        </is>
      </c>
      <c r="T1882" t="inlineStr">
        <is>
          <t>ឌីប៊ី សេនឃើរ (ខេមបូឌា) លីមីធីត</t>
        </is>
      </c>
      <c r="U1882" t="n">
        <v>0</v>
      </c>
      <c r="V1882" t="n">
        <v>0</v>
      </c>
    </row>
    <row r="1883">
      <c r="A1883" t="n">
        <v>1882</v>
      </c>
      <c r="B1883" t="inlineStr">
        <is>
          <t>Customs Clearance Fee</t>
        </is>
      </c>
      <c r="C1883" t="inlineStr">
        <is>
          <t>ត្រាយអ៊ែងហ្គល ឡូជីស្ទីក (ខេមបូឌា) ឯ.ក</t>
        </is>
      </c>
      <c r="D1883" t="inlineStr">
        <is>
          <t>K010-902101743</t>
        </is>
      </c>
      <c r="E1883" t="inlineStr">
        <is>
          <t>TAG-24-00898</t>
        </is>
      </c>
      <c r="F1883" t="inlineStr">
        <is>
          <t>29-11-2024</t>
        </is>
      </c>
      <c r="G1883" t="n">
        <v>8056</v>
      </c>
      <c r="I1883">
        <f>G1883</f>
        <v/>
      </c>
      <c r="K1883">
        <f>I1883-G1883</f>
        <v/>
      </c>
      <c r="M1883">
        <f>R1883=E1883</f>
        <v/>
      </c>
      <c r="N1883">
        <f>AND(MONTH(F1883)=MONTH(Q1883), YEAR(F1883)=YEAR(Q1883))</f>
        <v/>
      </c>
      <c r="O1883">
        <f>"L001-902303751"=S1883</f>
        <v/>
      </c>
      <c r="P1883">
        <f>G1883-U1883</f>
        <v/>
      </c>
      <c r="Q1883" s="35" t="n">
        <v>45600</v>
      </c>
      <c r="R1883" t="inlineStr"/>
      <c r="S1883" t="inlineStr">
        <is>
          <t>L001-100045995</t>
        </is>
      </c>
      <c r="T1883" t="inlineStr">
        <is>
          <t>ឌីអេចអិល ឡូជីស្ទីក (ខេមបូឌា)</t>
        </is>
      </c>
      <c r="U1883" t="n">
        <v>0</v>
      </c>
      <c r="V1883" t="n">
        <v>0</v>
      </c>
    </row>
    <row r="1884">
      <c r="A1884" t="n">
        <v>1883</v>
      </c>
      <c r="B1884" t="inlineStr">
        <is>
          <t>Cargo Terminal</t>
        </is>
      </c>
      <c r="C1884" t="inlineStr">
        <is>
          <t>សូស៊ីយេតេ កុងសេស្យូនែរ ដឺ ឡាអេរ៉ូព័រ</t>
        </is>
      </c>
      <c r="D1884" t="inlineStr">
        <is>
          <t>L001-100047300</t>
        </is>
      </c>
      <c r="E1884" t="inlineStr">
        <is>
          <t>2400094457</t>
        </is>
      </c>
      <c r="F1884" t="inlineStr">
        <is>
          <t>22-11-2024</t>
        </is>
      </c>
      <c r="G1884" t="n">
        <v>8952</v>
      </c>
      <c r="I1884">
        <f>G1884</f>
        <v/>
      </c>
      <c r="K1884">
        <f>I1884-G1884</f>
        <v/>
      </c>
      <c r="M1884">
        <f>R1884=E1884</f>
        <v/>
      </c>
      <c r="N1884">
        <f>AND(MONTH(F1884)=MONTH(Q1884), YEAR(F1884)=YEAR(Q1884))</f>
        <v/>
      </c>
      <c r="O1884">
        <f>"L001-902303751"=S1884</f>
        <v/>
      </c>
      <c r="P1884">
        <f>G1884-U1884</f>
        <v/>
      </c>
      <c r="Q1884" s="35" t="n">
        <v>45614</v>
      </c>
      <c r="R1884" t="n">
        <v>82841</v>
      </c>
      <c r="S1884" t="inlineStr">
        <is>
          <t>L001-100045995</t>
        </is>
      </c>
      <c r="T1884" t="inlineStr">
        <is>
          <t>ឌីអេចអិល ឡូជីស្ទីក (ខេមបូឌា)</t>
        </is>
      </c>
      <c r="U1884" t="n">
        <v>82841</v>
      </c>
      <c r="V1884" t="n">
        <v>0</v>
      </c>
    </row>
    <row r="1885">
      <c r="A1885" t="n">
        <v>1884</v>
      </c>
      <c r="B1885" t="inlineStr">
        <is>
          <t>Customs Clearance Fee</t>
        </is>
      </c>
      <c r="C1885" t="inlineStr">
        <is>
          <t>ត្រាយអ៊ែងហ្គល ឡូជីស្ទីក (ខេមបូឌា) ឯ.ក</t>
        </is>
      </c>
      <c r="D1885" t="inlineStr">
        <is>
          <t>K010-902101743</t>
        </is>
      </c>
      <c r="E1885" t="inlineStr">
        <is>
          <t>TAG-24-00881</t>
        </is>
      </c>
      <c r="F1885" t="inlineStr">
        <is>
          <t>28-11-2024</t>
        </is>
      </c>
      <c r="G1885" t="n">
        <v>8060</v>
      </c>
      <c r="I1885">
        <f>G1885</f>
        <v/>
      </c>
      <c r="K1885">
        <f>I1885-G1885</f>
        <v/>
      </c>
      <c r="M1885">
        <f>R1885=E1885</f>
        <v/>
      </c>
      <c r="N1885">
        <f>AND(MONTH(F1885)=MONTH(Q1885), YEAR(F1885)=YEAR(Q1885))</f>
        <v/>
      </c>
      <c r="O1885">
        <f>"L001-902303751"=S1885</f>
        <v/>
      </c>
      <c r="P1885">
        <f>G1885-U1885</f>
        <v/>
      </c>
      <c r="Q1885" s="35" t="n">
        <v>45614</v>
      </c>
      <c r="R1885" t="inlineStr"/>
      <c r="S1885" t="inlineStr">
        <is>
          <t>L001-107032791</t>
        </is>
      </c>
      <c r="T1885" t="inlineStr">
        <is>
          <t>នីបផន អិចប្រេស (ខេមបូឌា) ខូ អិលធីឌី</t>
        </is>
      </c>
      <c r="U1885" t="n">
        <v>0</v>
      </c>
      <c r="V1885" t="n">
        <v>0</v>
      </c>
    </row>
    <row r="1886">
      <c r="A1886" t="n">
        <v>1885</v>
      </c>
      <c r="B1886" t="inlineStr">
        <is>
          <t>Cargo Terminal</t>
        </is>
      </c>
      <c r="C1886" t="inlineStr">
        <is>
          <t>សូស៊ីយេតេ កុងសេស្យូនែរ ដឺ ឡាអេរ៉ូព័រ</t>
        </is>
      </c>
      <c r="D1886" t="inlineStr">
        <is>
          <t>L001-100047300</t>
        </is>
      </c>
      <c r="E1886" t="inlineStr">
        <is>
          <t>2400094455</t>
        </is>
      </c>
      <c r="F1886" t="inlineStr">
        <is>
          <t>22-11-2024</t>
        </is>
      </c>
      <c r="G1886" t="n">
        <v>11079</v>
      </c>
      <c r="I1886">
        <f>G1886</f>
        <v/>
      </c>
      <c r="K1886">
        <f>I1886-G1886</f>
        <v/>
      </c>
      <c r="M1886">
        <f>R1886=E1886</f>
        <v/>
      </c>
      <c r="N1886">
        <f>AND(MONTH(F1886)=MONTH(Q1886), YEAR(F1886)=YEAR(Q1886))</f>
        <v/>
      </c>
      <c r="O1886">
        <f>"L001-902303751"=S1886</f>
        <v/>
      </c>
      <c r="P1886">
        <f>G1886-U1886</f>
        <v/>
      </c>
      <c r="Q1886" s="35" t="n">
        <v>45600</v>
      </c>
      <c r="R1886" t="n">
        <v>83333</v>
      </c>
      <c r="S1886" t="inlineStr">
        <is>
          <t>L001-107041723</t>
        </is>
      </c>
      <c r="T1886" t="inlineStr">
        <is>
          <t>ឌីប៊ី សេនឃើរ (ខេមបូឌា) លីមីធីត</t>
        </is>
      </c>
      <c r="U1886" t="n">
        <v>83333</v>
      </c>
      <c r="V1886" t="n">
        <v>0</v>
      </c>
    </row>
    <row r="1887">
      <c r="A1887" t="n">
        <v>1886</v>
      </c>
      <c r="B1887" t="inlineStr">
        <is>
          <t>Customs Clearance Fee</t>
        </is>
      </c>
      <c r="C1887" t="inlineStr">
        <is>
          <t>ត្រាយអ៊ែងហ្គល ឡូជីស្ទីក (ខេមបូឌា) ឯ.ក</t>
        </is>
      </c>
      <c r="D1887" t="inlineStr">
        <is>
          <t>K010-902101743</t>
        </is>
      </c>
      <c r="E1887" t="inlineStr">
        <is>
          <t>TAG-24-00880</t>
        </is>
      </c>
      <c r="F1887" t="inlineStr">
        <is>
          <t>28-11-2024</t>
        </is>
      </c>
      <c r="G1887" t="n">
        <v>8060</v>
      </c>
      <c r="I1887">
        <f>G1887</f>
        <v/>
      </c>
      <c r="K1887">
        <f>I1887-G1887</f>
        <v/>
      </c>
      <c r="M1887">
        <f>R1887=E1887</f>
        <v/>
      </c>
      <c r="N1887">
        <f>AND(MONTH(F1887)=MONTH(Q1887), YEAR(F1887)=YEAR(Q1887))</f>
        <v/>
      </c>
      <c r="O1887">
        <f>"L001-902303751"=S1887</f>
        <v/>
      </c>
      <c r="P1887">
        <f>G1887-U1887</f>
        <v/>
      </c>
      <c r="Q1887" s="35" t="n">
        <v>45600</v>
      </c>
      <c r="R1887" t="n">
        <v>83333</v>
      </c>
      <c r="S1887" t="inlineStr">
        <is>
          <t>L001-901500191</t>
        </is>
      </c>
      <c r="T1887" t="inlineStr">
        <is>
          <t>អ.អិន.វ៉ាយ ត្រេនស្ព័ត</t>
        </is>
      </c>
      <c r="U1887" t="n">
        <v>83333</v>
      </c>
      <c r="V1887" t="n">
        <v>0</v>
      </c>
    </row>
    <row r="1888">
      <c r="A1888" t="n">
        <v>1887</v>
      </c>
      <c r="B1888" t="inlineStr">
        <is>
          <t>Cargo Terminal</t>
        </is>
      </c>
      <c r="C1888" t="inlineStr">
        <is>
          <t>សូស៊ីយេតេ កុងសេស្យូនែរ ដឺ ឡាអេរ៉ូព័រ</t>
        </is>
      </c>
      <c r="D1888" t="inlineStr">
        <is>
          <t>L001-100047300</t>
        </is>
      </c>
      <c r="E1888" t="inlineStr">
        <is>
          <t>2400094309</t>
        </is>
      </c>
      <c r="F1888" t="inlineStr">
        <is>
          <t>21-11-2024</t>
        </is>
      </c>
      <c r="G1888" t="n">
        <v>807</v>
      </c>
      <c r="I1888">
        <f>G1888</f>
        <v/>
      </c>
      <c r="K1888">
        <f>I1888-G1888</f>
        <v/>
      </c>
      <c r="M1888">
        <f>R1888=E1888</f>
        <v/>
      </c>
      <c r="N1888">
        <f>AND(MONTH(F1888)=MONTH(Q1888), YEAR(F1888)=YEAR(Q1888))</f>
        <v/>
      </c>
      <c r="O1888">
        <f>"L001-902303751"=S1888</f>
        <v/>
      </c>
      <c r="P1888">
        <f>G1888-U1888</f>
        <v/>
      </c>
      <c r="Q1888" s="35" t="n">
        <v>45621</v>
      </c>
      <c r="R1888" t="n">
        <v>110385</v>
      </c>
      <c r="S1888" t="inlineStr">
        <is>
          <t>L001-107032791</t>
        </is>
      </c>
      <c r="T1888" t="inlineStr">
        <is>
          <t>នីបផន អិចប្រេស (ខេមបូឌា) ខូ អិលធីឌី</t>
        </is>
      </c>
      <c r="U1888" t="n">
        <v>110385</v>
      </c>
      <c r="V1888" t="n">
        <v>0</v>
      </c>
    </row>
    <row r="1889">
      <c r="A1889" t="n">
        <v>1888</v>
      </c>
      <c r="B1889" t="inlineStr">
        <is>
          <t>Customs Clearance Fee</t>
        </is>
      </c>
      <c r="C1889" t="inlineStr">
        <is>
          <t>ត្រាយអ៊ែងហ្គល ឡូជីស្ទីក (ខេមបូឌា) ឯ.ក</t>
        </is>
      </c>
      <c r="D1889" t="inlineStr">
        <is>
          <t>K010-902101743</t>
        </is>
      </c>
      <c r="E1889" t="inlineStr">
        <is>
          <t>TAG-24-00879</t>
        </is>
      </c>
      <c r="F1889" t="inlineStr">
        <is>
          <t>28-11-2024</t>
        </is>
      </c>
      <c r="G1889" t="n">
        <v>8060</v>
      </c>
      <c r="I1889">
        <f>G1889</f>
        <v/>
      </c>
      <c r="K1889">
        <f>I1889-G1889</f>
        <v/>
      </c>
      <c r="M1889">
        <f>R1889=E1889</f>
        <v/>
      </c>
      <c r="N1889">
        <f>AND(MONTH(F1889)=MONTH(Q1889), YEAR(F1889)=YEAR(Q1889))</f>
        <v/>
      </c>
      <c r="O1889">
        <f>"L001-902303751"=S1889</f>
        <v/>
      </c>
      <c r="P1889">
        <f>G1889-U1889</f>
        <v/>
      </c>
      <c r="Q1889" s="35" t="n">
        <v>45621</v>
      </c>
      <c r="R1889" t="inlineStr"/>
      <c r="S1889" t="inlineStr">
        <is>
          <t>K005-901805913</t>
        </is>
      </c>
      <c r="T1889" t="inlineStr">
        <is>
          <t>ស្តារ ខង់ខដ (ខេមបូឌា) ឯ.ក</t>
        </is>
      </c>
      <c r="U1889" t="n">
        <v>0</v>
      </c>
      <c r="V1889" t="n">
        <v>0</v>
      </c>
    </row>
    <row r="1890">
      <c r="A1890" t="n">
        <v>1889</v>
      </c>
      <c r="B1890" t="inlineStr">
        <is>
          <t>Cargo Terminal</t>
        </is>
      </c>
      <c r="C1890" t="inlineStr">
        <is>
          <t>សូស៊ីយេតេ កុងសេស្យូនែរ ដឺ ឡាអេរ៉ូព័រ</t>
        </is>
      </c>
      <c r="D1890" t="inlineStr">
        <is>
          <t>L001-100047300</t>
        </is>
      </c>
      <c r="E1890" t="inlineStr">
        <is>
          <t>2400093963</t>
        </is>
      </c>
      <c r="F1890" t="inlineStr">
        <is>
          <t>20-11-2024</t>
        </is>
      </c>
      <c r="G1890" t="n">
        <v>9111</v>
      </c>
      <c r="I1890">
        <f>G1890</f>
        <v/>
      </c>
      <c r="K1890">
        <f>I1890-G1890</f>
        <v/>
      </c>
      <c r="M1890">
        <f>R1890=E1890</f>
        <v/>
      </c>
      <c r="N1890">
        <f>AND(MONTH(F1890)=MONTH(Q1890), YEAR(F1890)=YEAR(Q1890))</f>
        <v/>
      </c>
      <c r="O1890">
        <f>"L001-902303751"=S1890</f>
        <v/>
      </c>
      <c r="P1890">
        <f>G1890-U1890</f>
        <v/>
      </c>
      <c r="Q1890" s="35" t="n">
        <v>45607</v>
      </c>
      <c r="R1890" t="inlineStr"/>
      <c r="S1890" t="inlineStr">
        <is>
          <t>L001-100045995</t>
        </is>
      </c>
      <c r="T1890" t="inlineStr">
        <is>
          <t>ឌីអេចអិល ឡូជីស្ទីក (ខេមបូឌា)</t>
        </is>
      </c>
      <c r="U1890" t="n">
        <v>0</v>
      </c>
      <c r="V1890" t="n">
        <v>0</v>
      </c>
    </row>
    <row r="1891">
      <c r="A1891" t="n">
        <v>1890</v>
      </c>
      <c r="B1891" t="inlineStr">
        <is>
          <t>Customs Clearance Fee</t>
        </is>
      </c>
      <c r="C1891" t="inlineStr">
        <is>
          <t>ត្រាយអ៊ែងហ្គល ឡូជីស្ទីក (ខេមបូឌា) ឯ.ក</t>
        </is>
      </c>
      <c r="D1891" t="inlineStr">
        <is>
          <t>K010-902101743</t>
        </is>
      </c>
      <c r="E1891" t="inlineStr">
        <is>
          <t>TAG-24-00878</t>
        </is>
      </c>
      <c r="F1891" t="inlineStr">
        <is>
          <t>28-11-2024</t>
        </is>
      </c>
      <c r="G1891" t="n">
        <v>8060</v>
      </c>
      <c r="I1891">
        <f>G1891</f>
        <v/>
      </c>
      <c r="K1891">
        <f>I1891-G1891</f>
        <v/>
      </c>
      <c r="M1891">
        <f>R1891=E1891</f>
        <v/>
      </c>
      <c r="N1891">
        <f>AND(MONTH(F1891)=MONTH(Q1891), YEAR(F1891)=YEAR(Q1891))</f>
        <v/>
      </c>
      <c r="O1891">
        <f>"L001-902303751"=S1891</f>
        <v/>
      </c>
      <c r="P1891">
        <f>G1891-U1891</f>
        <v/>
      </c>
      <c r="Q1891" s="35" t="n">
        <v>45621</v>
      </c>
      <c r="R1891" t="inlineStr"/>
      <c r="S1891" t="inlineStr">
        <is>
          <t>K005-100150195</t>
        </is>
      </c>
      <c r="T1891" t="inlineStr">
        <is>
          <t>អេស អ វី ស៊ី ហ្វ្រេត សឺវីស (ខេមបូឌា) ខូ អិលធីឌី</t>
        </is>
      </c>
      <c r="U1891" t="n">
        <v>0</v>
      </c>
      <c r="V1891" t="n">
        <v>0</v>
      </c>
    </row>
    <row r="1892">
      <c r="A1892" t="n">
        <v>1891</v>
      </c>
      <c r="B1892" t="inlineStr">
        <is>
          <t>Customs Clearance Fee</t>
        </is>
      </c>
      <c r="C1892" t="inlineStr">
        <is>
          <t>ត្រាយអ៊ែងហ្គល ឡូជីស្ទីក (ខេមបូឌា) ឯ.ក</t>
        </is>
      </c>
      <c r="D1892" t="inlineStr">
        <is>
          <t>K010-902101743</t>
        </is>
      </c>
      <c r="E1892" t="inlineStr">
        <is>
          <t>TAG-24-00877</t>
        </is>
      </c>
      <c r="F1892" t="inlineStr">
        <is>
          <t>22-11-2024</t>
        </is>
      </c>
      <c r="G1892" t="n">
        <v>8052</v>
      </c>
      <c r="I1892">
        <f>G1892</f>
        <v/>
      </c>
      <c r="K1892">
        <f>I1892-G1892</f>
        <v/>
      </c>
      <c r="M1892">
        <f>R1892=E1892</f>
        <v/>
      </c>
      <c r="N1892">
        <f>AND(MONTH(F1892)=MONTH(Q1892), YEAR(F1892)=YEAR(Q1892))</f>
        <v/>
      </c>
      <c r="O1892">
        <f>"L001-902303751"=S1892</f>
        <v/>
      </c>
      <c r="P1892">
        <f>G1892-U1892</f>
        <v/>
      </c>
      <c r="Q1892" s="35" t="n">
        <v>45600</v>
      </c>
      <c r="R1892" t="n">
        <v>83333</v>
      </c>
      <c r="S1892" t="inlineStr">
        <is>
          <t>L001-107032791</t>
        </is>
      </c>
      <c r="T1892" t="inlineStr">
        <is>
          <t>នីបផន អិចប្រេស (ខេមបូឌា) ខូ អិលធីឌី</t>
        </is>
      </c>
      <c r="U1892" t="n">
        <v>83333</v>
      </c>
      <c r="V1892" t="n">
        <v>0</v>
      </c>
    </row>
    <row r="1893">
      <c r="A1893" t="n">
        <v>1892</v>
      </c>
      <c r="B1893" t="inlineStr">
        <is>
          <t>Customs Clearance Fee</t>
        </is>
      </c>
      <c r="C1893" t="inlineStr">
        <is>
          <t>ត្រាយអ៊ែងហ្គល ឡូជីស្ទីក (ខេមបូឌា) ឯ.ក</t>
        </is>
      </c>
      <c r="D1893" t="inlineStr">
        <is>
          <t>K010-902101743</t>
        </is>
      </c>
      <c r="E1893" t="inlineStr">
        <is>
          <t>TAG-24-00876</t>
        </is>
      </c>
      <c r="F1893" t="inlineStr">
        <is>
          <t>22-11-2024</t>
        </is>
      </c>
      <c r="G1893" t="n">
        <v>8052</v>
      </c>
      <c r="I1893">
        <f>G1893</f>
        <v/>
      </c>
      <c r="K1893">
        <f>I1893-G1893</f>
        <v/>
      </c>
      <c r="M1893">
        <f>R1893=E1893</f>
        <v/>
      </c>
      <c r="N1893">
        <f>AND(MONTH(F1893)=MONTH(Q1893), YEAR(F1893)=YEAR(Q1893))</f>
        <v/>
      </c>
      <c r="O1893">
        <f>"L001-902303751"=S1893</f>
        <v/>
      </c>
      <c r="P1893">
        <f>G1893-U1893</f>
        <v/>
      </c>
      <c r="Q1893" s="35" t="n">
        <v>45600</v>
      </c>
      <c r="R1893" t="n">
        <v>111788</v>
      </c>
      <c r="S1893" t="inlineStr">
        <is>
          <t>L001-107032791</t>
        </is>
      </c>
      <c r="T1893" t="inlineStr">
        <is>
          <t>នីបផន អិចប្រេស (ខេមបូឌា) ខូ អិលធីឌី</t>
        </is>
      </c>
      <c r="U1893" t="n">
        <v>111788</v>
      </c>
      <c r="V1893" t="n">
        <v>0</v>
      </c>
    </row>
    <row r="1894">
      <c r="A1894" t="n">
        <v>1893</v>
      </c>
      <c r="B1894" t="inlineStr">
        <is>
          <t>PVC Thin Film</t>
        </is>
      </c>
      <c r="C1894" t="inlineStr">
        <is>
          <t>ដឹ សាយ អេឡិកត្រូមេឃែនីខល អេនជីនារីង ឯ.ក</t>
        </is>
      </c>
      <c r="D1894" t="inlineStr">
        <is>
          <t>K009-902303599</t>
        </is>
      </c>
      <c r="E1894" t="inlineStr">
        <is>
          <t>00037</t>
        </is>
      </c>
      <c r="F1894" t="inlineStr">
        <is>
          <t>27-11-2024</t>
        </is>
      </c>
      <c r="G1894" t="n">
        <v>177056</v>
      </c>
      <c r="I1894">
        <f>G1894</f>
        <v/>
      </c>
      <c r="K1894">
        <f>I1894-G1894</f>
        <v/>
      </c>
      <c r="M1894">
        <f>R1894=E1894</f>
        <v/>
      </c>
      <c r="N1894">
        <f>AND(MONTH(F1894)=MONTH(Q1894), YEAR(F1894)=YEAR(Q1894))</f>
        <v/>
      </c>
      <c r="O1894">
        <f>"L001-902303751"=S1894</f>
        <v/>
      </c>
      <c r="P1894">
        <f>G1894-U1894</f>
        <v/>
      </c>
      <c r="Q1894" s="35" t="n">
        <v>45621</v>
      </c>
      <c r="R1894" t="inlineStr"/>
      <c r="S1894" t="inlineStr">
        <is>
          <t>L001-107032791</t>
        </is>
      </c>
      <c r="T1894" t="inlineStr">
        <is>
          <t>នីបផន អិចប្រេស (ខេមបូឌា) ខូ អិលធីឌី</t>
        </is>
      </c>
      <c r="U1894" t="n">
        <v>0</v>
      </c>
      <c r="V1894" t="n">
        <v>0</v>
      </c>
    </row>
    <row r="1895">
      <c r="A1895" t="n">
        <v>1894</v>
      </c>
      <c r="B1895" t="inlineStr">
        <is>
          <t>Cargo Terminal</t>
        </is>
      </c>
      <c r="C1895" t="inlineStr">
        <is>
          <t>សូស៊ីយេតេ កុងសេស្យូនែរ ដឺ ឡាអេរ៉ូព័រ</t>
        </is>
      </c>
      <c r="D1895" t="inlineStr">
        <is>
          <t>L001-100047300</t>
        </is>
      </c>
      <c r="E1895" t="inlineStr">
        <is>
          <t>2400093865</t>
        </is>
      </c>
      <c r="F1895" t="inlineStr">
        <is>
          <t>20-11-2024</t>
        </is>
      </c>
      <c r="G1895" t="n">
        <v>9497</v>
      </c>
      <c r="I1895">
        <f>G1895</f>
        <v/>
      </c>
      <c r="K1895">
        <f>I1895-G1895</f>
        <v/>
      </c>
      <c r="M1895">
        <f>R1895=E1895</f>
        <v/>
      </c>
      <c r="N1895">
        <f>AND(MONTH(F1895)=MONTH(Q1895), YEAR(F1895)=YEAR(Q1895))</f>
        <v/>
      </c>
      <c r="O1895">
        <f>"L001-902303751"=S1895</f>
        <v/>
      </c>
      <c r="P1895">
        <f>G1895-U1895</f>
        <v/>
      </c>
      <c r="Q1895" s="35" t="n">
        <v>45614</v>
      </c>
      <c r="R1895" t="inlineStr"/>
      <c r="S1895" t="inlineStr">
        <is>
          <t>L001-107032791</t>
        </is>
      </c>
      <c r="T1895" t="inlineStr">
        <is>
          <t>នីបផន អិចប្រេស (ខេមបូឌា) ខូ អិលធីឌី</t>
        </is>
      </c>
      <c r="U1895" t="n">
        <v>0</v>
      </c>
      <c r="V1895" t="n">
        <v>0</v>
      </c>
    </row>
    <row r="1896">
      <c r="A1896" t="n">
        <v>1895</v>
      </c>
      <c r="B1896" t="inlineStr">
        <is>
          <t>Documentation Origin, Handling Charges Origin, PLACI fee and HAWB Transmission Fee</t>
        </is>
      </c>
      <c r="C1896" t="inlineStr">
        <is>
          <t>ឌីប៊ី សេនឃើរ (ខេមបូឌា) លីមីធីត</t>
        </is>
      </c>
      <c r="D1896" t="inlineStr">
        <is>
          <t>L001-107041723</t>
        </is>
      </c>
      <c r="E1896" t="inlineStr">
        <is>
          <t>2400008961</t>
        </is>
      </c>
      <c r="F1896" t="inlineStr">
        <is>
          <t>07-11-2024</t>
        </is>
      </c>
      <c r="G1896" t="n">
        <v>49975</v>
      </c>
      <c r="I1896">
        <f>G1896</f>
        <v/>
      </c>
      <c r="K1896">
        <f>I1896-G1896</f>
        <v/>
      </c>
      <c r="M1896">
        <f>R1896=E1896</f>
        <v/>
      </c>
      <c r="N1896">
        <f>AND(MONTH(F1896)=MONTH(Q1896), YEAR(F1896)=YEAR(Q1896))</f>
        <v/>
      </c>
      <c r="O1896">
        <f>"L001-902303751"=S1896</f>
        <v/>
      </c>
      <c r="P1896">
        <f>G1896-U1896</f>
        <v/>
      </c>
      <c r="Q1896" s="35" t="n">
        <v>45607</v>
      </c>
      <c r="R1896" t="inlineStr"/>
      <c r="S1896" t="inlineStr">
        <is>
          <t>L001-100045995</t>
        </is>
      </c>
      <c r="T1896" t="inlineStr">
        <is>
          <t>ឌីអេចអិល ឡូជីស្ទីក (ខេមបូឌា)</t>
        </is>
      </c>
      <c r="U1896" t="n">
        <v>0</v>
      </c>
      <c r="V1896" t="n">
        <v>0</v>
      </c>
    </row>
    <row r="1897">
      <c r="A1897" t="n">
        <v>1896</v>
      </c>
      <c r="B1897" t="inlineStr">
        <is>
          <t>Admin Fee, B/L Surrender Charge, Sea OTHC/CBM, ENS Charges, CFS Charges, Custom Clearance Ch, LCL Trucking, HBL Charge and VGM Fee</t>
        </is>
      </c>
      <c r="C1897" t="inlineStr">
        <is>
          <t>ត្រេនម៉ារីន ឡូជីស្ទីក (ខេមបូឌា)</t>
        </is>
      </c>
      <c r="D1897" t="inlineStr">
        <is>
          <t>L001-106004107</t>
        </is>
      </c>
      <c r="E1897" t="inlineStr">
        <is>
          <t>9961036242</t>
        </is>
      </c>
      <c r="F1897" t="inlineStr">
        <is>
          <t>19-11-2024</t>
        </is>
      </c>
      <c r="G1897" t="n">
        <v>156240</v>
      </c>
      <c r="I1897">
        <f>G1897</f>
        <v/>
      </c>
      <c r="K1897">
        <f>I1897-G1897</f>
        <v/>
      </c>
      <c r="M1897">
        <f>R1897=E1897</f>
        <v/>
      </c>
      <c r="N1897">
        <f>AND(MONTH(F1897)=MONTH(Q1897), YEAR(F1897)=YEAR(Q1897))</f>
        <v/>
      </c>
      <c r="O1897">
        <f>"L001-902303751"=S1897</f>
        <v/>
      </c>
      <c r="P1897">
        <f>G1897-U1897</f>
        <v/>
      </c>
      <c r="Q1897" s="35" t="n">
        <v>45607</v>
      </c>
      <c r="R1897" t="inlineStr"/>
      <c r="S1897" t="inlineStr">
        <is>
          <t>L001-107041723</t>
        </is>
      </c>
      <c r="T1897" t="inlineStr">
        <is>
          <t>ឌីប៊ី សេនឃើរ (ខេមបូឌា) លីមីធីត</t>
        </is>
      </c>
      <c r="U1897" t="n">
        <v>0</v>
      </c>
      <c r="V1897" t="n">
        <v>0</v>
      </c>
    </row>
    <row r="1898">
      <c r="A1898" t="n">
        <v>1897</v>
      </c>
      <c r="B1898" t="inlineStr">
        <is>
          <t>Decoratiion</t>
        </is>
      </c>
      <c r="C1898" t="inlineStr">
        <is>
          <t>ដឹ សាយ អេឡិកត្រូមេឃែនីខល អេនជីនារីង ឯ.ក</t>
        </is>
      </c>
      <c r="D1898" t="inlineStr">
        <is>
          <t>K009-902303599</t>
        </is>
      </c>
      <c r="E1898" t="inlineStr">
        <is>
          <t>00026</t>
        </is>
      </c>
      <c r="F1898" t="inlineStr">
        <is>
          <t>05-11-2024</t>
        </is>
      </c>
      <c r="G1898" t="n">
        <v>2069939</v>
      </c>
      <c r="I1898">
        <f>G1898</f>
        <v/>
      </c>
      <c r="K1898">
        <f>I1898-G1898</f>
        <v/>
      </c>
      <c r="M1898">
        <f>R1898=E1898</f>
        <v/>
      </c>
      <c r="N1898">
        <f>AND(MONTH(F1898)=MONTH(Q1898), YEAR(F1898)=YEAR(Q1898))</f>
        <v/>
      </c>
      <c r="O1898">
        <f>"L001-902303751"=S1898</f>
        <v/>
      </c>
      <c r="P1898">
        <f>G1898-U1898</f>
        <v/>
      </c>
      <c r="Q1898" s="35" t="n">
        <v>45619</v>
      </c>
      <c r="R1898" t="n">
        <v>1263761</v>
      </c>
      <c r="S1898" t="inlineStr">
        <is>
          <t>K004-105012505</t>
        </is>
      </c>
      <c r="T1898" t="inlineStr">
        <is>
          <t>អេស៊ាន ហ្វ្រេត (ខេមបូឌា)</t>
        </is>
      </c>
      <c r="U1898" t="n">
        <v>1263761</v>
      </c>
      <c r="V1898" t="n">
        <v>0</v>
      </c>
    </row>
    <row r="1899">
      <c r="A1899" t="n">
        <v>1898</v>
      </c>
      <c r="B1899" t="inlineStr">
        <is>
          <t>Decoratiion</t>
        </is>
      </c>
      <c r="C1899" t="inlineStr">
        <is>
          <t>ដឹ សាយ អេឡិកត្រូមេឃែនីខល អេនជីនារីង ឯ.ក</t>
        </is>
      </c>
      <c r="D1899" t="inlineStr">
        <is>
          <t>K009-902303599</t>
        </is>
      </c>
      <c r="E1899" t="inlineStr">
        <is>
          <t>00027</t>
        </is>
      </c>
      <c r="F1899" t="inlineStr">
        <is>
          <t>05-11-2024</t>
        </is>
      </c>
      <c r="G1899" t="n">
        <v>3875165</v>
      </c>
      <c r="I1899">
        <f>G1899</f>
        <v/>
      </c>
      <c r="K1899">
        <f>I1899-G1899</f>
        <v/>
      </c>
      <c r="M1899">
        <f>R1899=E1899</f>
        <v/>
      </c>
      <c r="N1899">
        <f>AND(MONTH(F1899)=MONTH(Q1899), YEAR(F1899)=YEAR(Q1899))</f>
        <v/>
      </c>
      <c r="O1899">
        <f>"L001-902303751"=S1899</f>
        <v/>
      </c>
      <c r="P1899">
        <f>G1899-U1899</f>
        <v/>
      </c>
      <c r="Q1899" s="35" t="n">
        <v>45621</v>
      </c>
      <c r="R1899" t="inlineStr"/>
      <c r="S1899" t="inlineStr">
        <is>
          <t>K005-100150195</t>
        </is>
      </c>
      <c r="T1899" t="inlineStr">
        <is>
          <t>អេស អ វី ស៊ី ហ្វ្រេត សឺវីស (ខេមបូឌា) ខូ អិលធីឌី</t>
        </is>
      </c>
      <c r="U1899" t="n">
        <v>0</v>
      </c>
      <c r="V1899" t="n">
        <v>0</v>
      </c>
    </row>
    <row r="1900">
      <c r="A1900" t="n">
        <v>1899</v>
      </c>
      <c r="B1900" t="inlineStr">
        <is>
          <t>Decoratiion</t>
        </is>
      </c>
      <c r="C1900" t="inlineStr">
        <is>
          <t>ដឹ សាយ អេឡិកត្រូមេឃែនីខល អេនជីនារីង ឯ.ក</t>
        </is>
      </c>
      <c r="D1900" t="inlineStr">
        <is>
          <t>K009-902303599</t>
        </is>
      </c>
      <c r="E1900" t="inlineStr">
        <is>
          <t>00028</t>
        </is>
      </c>
      <c r="F1900" t="inlineStr">
        <is>
          <t>05-11-2024</t>
        </is>
      </c>
      <c r="G1900" t="n">
        <v>3062978</v>
      </c>
      <c r="I1900">
        <f>G1900</f>
        <v/>
      </c>
      <c r="K1900">
        <f>I1900-G1900</f>
        <v/>
      </c>
      <c r="M1900">
        <f>R1900=E1900</f>
        <v/>
      </c>
      <c r="N1900">
        <f>AND(MONTH(F1900)=MONTH(Q1900), YEAR(F1900)=YEAR(Q1900))</f>
        <v/>
      </c>
      <c r="O1900">
        <f>"L001-902303751"=S1900</f>
        <v/>
      </c>
      <c r="P1900">
        <f>G1900-U1900</f>
        <v/>
      </c>
      <c r="Q1900" s="35" t="n">
        <v>45621</v>
      </c>
      <c r="R1900" t="n">
        <v>110385</v>
      </c>
      <c r="S1900" t="inlineStr">
        <is>
          <t>L001-107041723</t>
        </is>
      </c>
      <c r="T1900" t="inlineStr">
        <is>
          <t>ឌីប៊ី សេនឃើរ (ខេមបូឌា) លីមីធីត</t>
        </is>
      </c>
      <c r="U1900" t="n">
        <v>110385</v>
      </c>
      <c r="V1900" t="n">
        <v>0</v>
      </c>
    </row>
    <row r="1901">
      <c r="A1901" t="n">
        <v>1900</v>
      </c>
      <c r="B1901" t="inlineStr">
        <is>
          <t>Internet Access Monthly fee for 01/11/2024 to 30/04/2025</t>
        </is>
      </c>
      <c r="C1901" t="inlineStr">
        <is>
          <t>សៅ អ៊ីស្ត អេស៊ា ធេលីខម (ខេមបូឌា)</t>
        </is>
      </c>
      <c r="D1901" t="inlineStr">
        <is>
          <t>L001-100111467</t>
        </is>
      </c>
      <c r="E1901" t="inlineStr">
        <is>
          <t>2098</t>
        </is>
      </c>
      <c r="F1901" t="inlineStr">
        <is>
          <t>06-11-2024</t>
        </is>
      </c>
      <c r="G1901" t="n">
        <v>363174</v>
      </c>
      <c r="I1901">
        <f>G1901</f>
        <v/>
      </c>
      <c r="K1901">
        <f>I1901-G1901</f>
        <v/>
      </c>
      <c r="M1901">
        <f>R1901=E1901</f>
        <v/>
      </c>
      <c r="N1901">
        <f>AND(MONTH(F1901)=MONTH(Q1901), YEAR(F1901)=YEAR(Q1901))</f>
        <v/>
      </c>
      <c r="O1901">
        <f>"L001-902303751"=S1901</f>
        <v/>
      </c>
      <c r="P1901">
        <f>G1901-U1901</f>
        <v/>
      </c>
      <c r="Q1901" s="35" t="n">
        <v>45614</v>
      </c>
      <c r="R1901" t="inlineStr"/>
      <c r="S1901" t="inlineStr">
        <is>
          <t>L001-107041723</t>
        </is>
      </c>
      <c r="T1901" t="inlineStr">
        <is>
          <t>ឌីប៊ី សេនឃើរ (ខេមបូឌា) លីមីធីត</t>
        </is>
      </c>
      <c r="U1901" t="n">
        <v>0</v>
      </c>
      <c r="V1901" t="n">
        <v>0</v>
      </c>
    </row>
    <row r="1902">
      <c r="A1902" t="n">
        <v>1901</v>
      </c>
      <c r="B1902" t="inlineStr">
        <is>
          <t>Delivery Bill</t>
        </is>
      </c>
      <c r="C1902" t="inlineStr">
        <is>
          <t>អ៊ិន3ឌី (ខេមបូឌា) ឯ.ក</t>
        </is>
      </c>
      <c r="D1902" t="inlineStr">
        <is>
          <t>K010-902103600</t>
        </is>
      </c>
      <c r="E1902" t="inlineStr">
        <is>
          <t>N3D/24-000125</t>
        </is>
      </c>
      <c r="F1902" t="inlineStr">
        <is>
          <t>07-11-2024</t>
        </is>
      </c>
      <c r="G1902" t="n">
        <v>113764</v>
      </c>
      <c r="I1902">
        <f>G1902</f>
        <v/>
      </c>
      <c r="K1902">
        <f>I1902-G1902</f>
        <v/>
      </c>
      <c r="M1902">
        <f>R1902=E1902</f>
        <v/>
      </c>
      <c r="N1902">
        <f>AND(MONTH(F1902)=MONTH(Q1902), YEAR(F1902)=YEAR(Q1902))</f>
        <v/>
      </c>
      <c r="O1902">
        <f>"L001-902303751"=S1902</f>
        <v/>
      </c>
      <c r="P1902">
        <f>G1902-U1902</f>
        <v/>
      </c>
      <c r="Q1902" s="35" t="n">
        <v>45614</v>
      </c>
      <c r="R1902" t="n">
        <v>111128</v>
      </c>
      <c r="S1902" t="inlineStr">
        <is>
          <t>L001-100045995</t>
        </is>
      </c>
      <c r="T1902" t="inlineStr">
        <is>
          <t>ឌីអេចអិល ឡូជីស្ទីក (ខេមបូឌា)</t>
        </is>
      </c>
      <c r="U1902" t="n">
        <v>111128</v>
      </c>
      <c r="V1902" t="n">
        <v>0</v>
      </c>
    </row>
    <row r="1903">
      <c r="A1903" t="n">
        <v>1902</v>
      </c>
      <c r="B1903" t="inlineStr">
        <is>
          <t>Monthly Security for November 2024</t>
        </is>
      </c>
      <c r="C1903" t="inlineStr">
        <is>
          <t>អិល.ប៊ី.អិល.អេច ស៊ីឃ្យូរឹធី ឯ.ក</t>
        </is>
      </c>
      <c r="D1903" t="inlineStr">
        <is>
          <t>K010-902202247</t>
        </is>
      </c>
      <c r="E1903" t="inlineStr">
        <is>
          <t>L.B.L.H00011</t>
        </is>
      </c>
      <c r="F1903" t="inlineStr">
        <is>
          <t>25-11-2024</t>
        </is>
      </c>
      <c r="G1903" t="n">
        <v>1372104</v>
      </c>
      <c r="I1903">
        <f>G1903</f>
        <v/>
      </c>
      <c r="K1903">
        <f>I1903-G1903</f>
        <v/>
      </c>
      <c r="M1903">
        <f>R1903=E1903</f>
        <v/>
      </c>
      <c r="N1903">
        <f>AND(MONTH(F1903)=MONTH(Q1903), YEAR(F1903)=YEAR(Q1903))</f>
        <v/>
      </c>
      <c r="O1903">
        <f>"L001-902303751"=S1903</f>
        <v/>
      </c>
      <c r="P1903">
        <f>G1903-U1903</f>
        <v/>
      </c>
      <c r="Q1903" s="35" t="n">
        <v>45614</v>
      </c>
      <c r="R1903" t="n">
        <v>82841</v>
      </c>
      <c r="S1903" t="inlineStr">
        <is>
          <t>L001-107032791</t>
        </is>
      </c>
      <c r="T1903" t="inlineStr">
        <is>
          <t>នីបផន អិចប្រេស (ខេមបូឌា) ខូ អិលធីឌី</t>
        </is>
      </c>
      <c r="U1903" t="n">
        <v>82841</v>
      </c>
      <c r="V1903" t="n">
        <v>0</v>
      </c>
    </row>
    <row r="1904">
      <c r="A1904" t="n">
        <v>1903</v>
      </c>
      <c r="B1904" t="inlineStr">
        <is>
          <t>Pest Control Service of November</t>
        </is>
      </c>
      <c r="C1904" t="inlineStr">
        <is>
          <t>ជីស៊ី ផេស ខិនត្រូល ឯ.ក</t>
        </is>
      </c>
      <c r="D1904" t="inlineStr">
        <is>
          <t>K004-902104767</t>
        </is>
      </c>
      <c r="E1904" t="inlineStr">
        <is>
          <t>2024-00026</t>
        </is>
      </c>
      <c r="F1904" t="inlineStr">
        <is>
          <t>09-11-2024</t>
        </is>
      </c>
      <c r="G1904" t="n">
        <v>259968</v>
      </c>
      <c r="I1904">
        <f>G1904</f>
        <v/>
      </c>
      <c r="K1904">
        <f>I1904-G1904</f>
        <v/>
      </c>
      <c r="M1904">
        <f>R1904=E1904</f>
        <v/>
      </c>
      <c r="N1904">
        <f>AND(MONTH(F1904)=MONTH(Q1904), YEAR(F1904)=YEAR(Q1904))</f>
        <v/>
      </c>
      <c r="O1904">
        <f>"L001-902303751"=S1904</f>
        <v/>
      </c>
      <c r="P1904">
        <f>G1904-U1904</f>
        <v/>
      </c>
      <c r="Q1904" s="35" t="n">
        <v>45607</v>
      </c>
      <c r="R1904" t="inlineStr"/>
      <c r="S1904" t="inlineStr">
        <is>
          <t>L001-107032791</t>
        </is>
      </c>
      <c r="T1904" t="inlineStr">
        <is>
          <t>នីបផន អិចប្រេស (ខេមបូឌា) ខូ អិលធីឌី</t>
        </is>
      </c>
      <c r="U1904" t="n">
        <v>0</v>
      </c>
      <c r="V1904" t="n">
        <v>0</v>
      </c>
    </row>
    <row r="1905">
      <c r="A1905" t="n">
        <v>1904</v>
      </c>
      <c r="B1905" t="inlineStr">
        <is>
          <t>SI/BL Amendment</t>
        </is>
      </c>
      <c r="C1905" t="inlineStr">
        <is>
          <t>អ៊ិចស្ពែឌីធ័រ ខេមបូឌា អិលធីឌី</t>
        </is>
      </c>
      <c r="D1905" t="inlineStr">
        <is>
          <t>L001-100045898</t>
        </is>
      </c>
      <c r="E1905" t="inlineStr">
        <is>
          <t>TI-0295176</t>
        </is>
      </c>
      <c r="F1905" t="inlineStr">
        <is>
          <t>01-11-2024</t>
        </is>
      </c>
      <c r="G1905" t="n">
        <v>10160</v>
      </c>
      <c r="I1905">
        <f>G1905</f>
        <v/>
      </c>
      <c r="K1905">
        <f>I1905-G1905</f>
        <v/>
      </c>
      <c r="M1905">
        <f>R1905=E1905</f>
        <v/>
      </c>
      <c r="N1905">
        <f>AND(MONTH(F1905)=MONTH(Q1905), YEAR(F1905)=YEAR(Q1905))</f>
        <v/>
      </c>
      <c r="O1905">
        <f>"L001-902303751"=S1905</f>
        <v/>
      </c>
      <c r="P1905">
        <f>G1905-U1905</f>
        <v/>
      </c>
      <c r="Q1905" s="35" t="n">
        <v>45607</v>
      </c>
      <c r="R1905" t="n">
        <v>114058</v>
      </c>
      <c r="S1905" t="inlineStr">
        <is>
          <t>K005-901805913</t>
        </is>
      </c>
      <c r="T1905" t="inlineStr">
        <is>
          <t>ស្តារ ខង់ខដ (ខេមបូឌា) ឯ.ក</t>
        </is>
      </c>
      <c r="U1905" t="n">
        <v>114058</v>
      </c>
      <c r="V1905" t="n">
        <v>0</v>
      </c>
    </row>
    <row r="1906">
      <c r="A1906" t="n">
        <v>1905</v>
      </c>
      <c r="B1906" t="inlineStr">
        <is>
          <t>CFS Handling, Carrier BL, Document Assembly,Terminal Handling, Handling Fee and VGM Processing Fee</t>
        </is>
      </c>
      <c r="C1906" t="inlineStr">
        <is>
          <t>អ៊ិចស្ពែឌីធ័រ ខេមបូឌា អិលធីឌី</t>
        </is>
      </c>
      <c r="D1906" t="inlineStr">
        <is>
          <t>L001-100045898</t>
        </is>
      </c>
      <c r="E1906" t="inlineStr">
        <is>
          <t>TI-0296311</t>
        </is>
      </c>
      <c r="F1906" t="inlineStr">
        <is>
          <t>12-11-2024</t>
        </is>
      </c>
      <c r="G1906" t="n">
        <v>132047</v>
      </c>
      <c r="I1906">
        <f>G1906</f>
        <v/>
      </c>
      <c r="K1906">
        <f>I1906-G1906</f>
        <v/>
      </c>
      <c r="M1906">
        <f>R1906=E1906</f>
        <v/>
      </c>
      <c r="N1906">
        <f>AND(MONTH(F1906)=MONTH(Q1906), YEAR(F1906)=YEAR(Q1906))</f>
        <v/>
      </c>
      <c r="O1906">
        <f>"L001-902303751"=S1906</f>
        <v/>
      </c>
      <c r="P1906">
        <f>G1906-U1906</f>
        <v/>
      </c>
      <c r="Q1906" s="35" t="n">
        <v>45600</v>
      </c>
      <c r="R1906" t="n">
        <v>172763</v>
      </c>
      <c r="S1906" t="inlineStr">
        <is>
          <t>K005-100150195</t>
        </is>
      </c>
      <c r="T1906" t="inlineStr">
        <is>
          <t>អេស អ វី ស៊ី ហ្វ្រេត សឺវីស (ខេមបូឌា) ខូ អិលធីឌី</t>
        </is>
      </c>
      <c r="U1906" t="n">
        <v>172763</v>
      </c>
      <c r="V1906" t="n">
        <v>0</v>
      </c>
    </row>
    <row r="1907">
      <c r="A1907" t="n">
        <v>1906</v>
      </c>
      <c r="B1907" t="inlineStr">
        <is>
          <t>CFS Handling, Carrier BL, Document Assembly,Terminal Handling, Handling Fee, VGM Processing Fee and Fuel Surcharge</t>
        </is>
      </c>
      <c r="C1907" t="inlineStr">
        <is>
          <t>អ៊ិចស្ពែឌីធ័រ ខេមបូឌា អិលធីឌី</t>
        </is>
      </c>
      <c r="D1907" t="inlineStr">
        <is>
          <t>L001-100045898</t>
        </is>
      </c>
      <c r="E1907" t="inlineStr">
        <is>
          <t>TI-0296310</t>
        </is>
      </c>
      <c r="F1907" t="inlineStr">
        <is>
          <t>12-11-2024</t>
        </is>
      </c>
      <c r="G1907" t="n">
        <v>156833</v>
      </c>
      <c r="I1907">
        <f>G1907</f>
        <v/>
      </c>
      <c r="K1907">
        <f>I1907-G1907</f>
        <v/>
      </c>
      <c r="M1907">
        <f>R1907=E1907</f>
        <v/>
      </c>
      <c r="N1907">
        <f>AND(MONTH(F1907)=MONTH(Q1907), YEAR(F1907)=YEAR(Q1907))</f>
        <v/>
      </c>
      <c r="O1907">
        <f>"L001-902303751"=S1907</f>
        <v/>
      </c>
      <c r="P1907">
        <f>G1907-U1907</f>
        <v/>
      </c>
      <c r="Q1907" s="35" t="n">
        <v>45621</v>
      </c>
      <c r="R1907" t="inlineStr"/>
      <c r="S1907" t="inlineStr">
        <is>
          <t>L001-107032791</t>
        </is>
      </c>
      <c r="T1907" t="inlineStr">
        <is>
          <t>នីបផន អិចប្រេស (ខេមបូឌា) ខូ អិលធីឌី</t>
        </is>
      </c>
      <c r="U1907" t="n">
        <v>0</v>
      </c>
      <c r="V1907" t="n">
        <v>0</v>
      </c>
    </row>
    <row r="1908">
      <c r="A1908" t="n">
        <v>1907</v>
      </c>
      <c r="B1908" t="inlineStr">
        <is>
          <t>Om Forwarding Fee, Terminal Handing, Carrier BL, Document Assembly, Handling Fee, VGM Admin Fee, Container Seal</t>
        </is>
      </c>
      <c r="C1908" t="inlineStr">
        <is>
          <t>អ៊ិចស្ពែឌីធ័រ ខេមបូឌា អិលធីឌី</t>
        </is>
      </c>
      <c r="D1908" t="inlineStr">
        <is>
          <t>L001-100045898</t>
        </is>
      </c>
      <c r="E1908" t="inlineStr">
        <is>
          <t>TI-0296857</t>
        </is>
      </c>
      <c r="F1908" t="inlineStr">
        <is>
          <t>18-11-2024</t>
        </is>
      </c>
      <c r="G1908" t="n">
        <v>190331</v>
      </c>
      <c r="I1908">
        <f>G1908</f>
        <v/>
      </c>
      <c r="K1908">
        <f>I1908-G1908</f>
        <v/>
      </c>
      <c r="M1908">
        <f>R1908=E1908</f>
        <v/>
      </c>
      <c r="N1908">
        <f>AND(MONTH(F1908)=MONTH(Q1908), YEAR(F1908)=YEAR(Q1908))</f>
        <v/>
      </c>
      <c r="O1908">
        <f>"L001-902303751"=S1908</f>
        <v/>
      </c>
      <c r="P1908">
        <f>G1908-U1908</f>
        <v/>
      </c>
      <c r="Q1908" s="35" t="n">
        <v>45621</v>
      </c>
      <c r="R1908" t="n">
        <v>112793</v>
      </c>
      <c r="S1908" t="inlineStr">
        <is>
          <t>K005-901805913</t>
        </is>
      </c>
      <c r="T1908" t="inlineStr">
        <is>
          <t>ស្តារ ខង់ខដ (ខេមបូឌា) ឯ.ក</t>
        </is>
      </c>
      <c r="U1908" t="n">
        <v>112793</v>
      </c>
      <c r="V1908" t="n">
        <v>0</v>
      </c>
    </row>
    <row r="1909">
      <c r="A1909" t="n">
        <v>1908</v>
      </c>
      <c r="B1909" t="inlineStr">
        <is>
          <t>Document Assembly and Handling Fee</t>
        </is>
      </c>
      <c r="C1909" t="inlineStr">
        <is>
          <t>អ៊ិចស្ពែឌីធ័រ ខេមបូឌា អិលធីឌី</t>
        </is>
      </c>
      <c r="D1909" t="inlineStr">
        <is>
          <t>L001-100045898</t>
        </is>
      </c>
      <c r="E1909" t="inlineStr">
        <is>
          <t>TI-0296856</t>
        </is>
      </c>
      <c r="F1909" t="inlineStr">
        <is>
          <t>18-11-2024</t>
        </is>
      </c>
      <c r="G1909" t="n">
        <v>30712</v>
      </c>
      <c r="I1909">
        <f>G1909</f>
        <v/>
      </c>
      <c r="K1909">
        <f>I1909-G1909</f>
        <v/>
      </c>
      <c r="M1909">
        <f>R1909=E1909</f>
        <v/>
      </c>
      <c r="N1909">
        <f>AND(MONTH(F1909)=MONTH(Q1909), YEAR(F1909)=YEAR(Q1909))</f>
        <v/>
      </c>
      <c r="O1909">
        <f>"L001-902303751"=S1909</f>
        <v/>
      </c>
      <c r="P1909">
        <f>G1909-U1909</f>
        <v/>
      </c>
      <c r="Q1909" s="35" t="n">
        <v>45614</v>
      </c>
      <c r="R1909" t="inlineStr"/>
      <c r="S1909" t="inlineStr">
        <is>
          <t>L001-100045995</t>
        </is>
      </c>
      <c r="T1909" t="inlineStr">
        <is>
          <t>ឌីអេចអិល ឡូជីស្ទីក (ខេមបូឌា)</t>
        </is>
      </c>
      <c r="U1909" t="n">
        <v>0</v>
      </c>
      <c r="V1909" t="n">
        <v>0</v>
      </c>
    </row>
    <row r="1910">
      <c r="A1910" t="n">
        <v>1909</v>
      </c>
      <c r="B1910" t="inlineStr">
        <is>
          <t>CFS Handling, Carrier BL, Document Assembly,Terminal Handling, Handling Fee, VGM Processing Fee</t>
        </is>
      </c>
      <c r="C1910" t="inlineStr">
        <is>
          <t>អ៊ិចស្ពែឌីធ័រ ខេមបូឌា អិលធីឌី</t>
        </is>
      </c>
      <c r="D1910" t="inlineStr">
        <is>
          <t>L001-100045898</t>
        </is>
      </c>
      <c r="E1910" t="inlineStr">
        <is>
          <t>TI-0295946</t>
        </is>
      </c>
      <c r="F1910" t="inlineStr">
        <is>
          <t>06-11-2024</t>
        </is>
      </c>
      <c r="G1910" t="n">
        <v>91846</v>
      </c>
      <c r="I1910">
        <f>G1910</f>
        <v/>
      </c>
      <c r="K1910">
        <f>I1910-G1910</f>
        <v/>
      </c>
      <c r="M1910">
        <f>R1910=E1910</f>
        <v/>
      </c>
      <c r="N1910">
        <f>AND(MONTH(F1910)=MONTH(Q1910), YEAR(F1910)=YEAR(Q1910))</f>
        <v/>
      </c>
      <c r="O1910">
        <f>"L001-902303751"=S1910</f>
        <v/>
      </c>
      <c r="P1910">
        <f>G1910-U1910</f>
        <v/>
      </c>
      <c r="Q1910" s="35" t="n">
        <v>45607</v>
      </c>
      <c r="R1910" t="inlineStr"/>
      <c r="S1910" t="inlineStr">
        <is>
          <t>K005-901805913</t>
        </is>
      </c>
      <c r="T1910" t="inlineStr">
        <is>
          <t>ស្តារ ខង់ខដ (ខេមបូឌា) ឯ.ក</t>
        </is>
      </c>
      <c r="U1910" t="n">
        <v>0</v>
      </c>
      <c r="V1910" t="n">
        <v>0</v>
      </c>
    </row>
    <row r="1911">
      <c r="A1911" t="n">
        <v>1910</v>
      </c>
      <c r="B1911" t="inlineStr">
        <is>
          <t>Om Forwarding Fee, Terminal Handing, Carrier BL, Document Assembly, Handling Fee, VGM Admin Fee, Container Seal</t>
        </is>
      </c>
      <c r="C1911" t="inlineStr">
        <is>
          <t>អ៊ិចស្ពែឌីធ័រ ខេមបូឌា អិលធីឌី</t>
        </is>
      </c>
      <c r="D1911" t="inlineStr">
        <is>
          <t>L001-100045898</t>
        </is>
      </c>
      <c r="E1911" t="inlineStr">
        <is>
          <t>TI-0295945</t>
        </is>
      </c>
      <c r="F1911" t="inlineStr">
        <is>
          <t>06-11-2024</t>
        </is>
      </c>
      <c r="G1911" t="n">
        <v>183286</v>
      </c>
      <c r="I1911">
        <f>G1911</f>
        <v/>
      </c>
      <c r="K1911">
        <f>I1911-G1911</f>
        <v/>
      </c>
      <c r="M1911">
        <f>R1911=E1911</f>
        <v/>
      </c>
      <c r="N1911">
        <f>AND(MONTH(F1911)=MONTH(Q1911), YEAR(F1911)=YEAR(Q1911))</f>
        <v/>
      </c>
      <c r="O1911">
        <f>"L001-902303751"=S1911</f>
        <v/>
      </c>
      <c r="P1911">
        <f>G1911-U1911</f>
        <v/>
      </c>
      <c r="Q1911" s="35" t="n">
        <v>45621</v>
      </c>
      <c r="R1911" t="inlineStr"/>
      <c r="S1911" t="inlineStr">
        <is>
          <t>L001-107032791</t>
        </is>
      </c>
      <c r="T1911" t="inlineStr">
        <is>
          <t>នីបផន អិចប្រេស (ខេមបូឌា) ខូ អិលធីឌី</t>
        </is>
      </c>
      <c r="U1911" t="n">
        <v>0</v>
      </c>
      <c r="V1911" t="n">
        <v>0</v>
      </c>
    </row>
    <row r="1912">
      <c r="A1912" t="n">
        <v>1911</v>
      </c>
      <c r="B1912" t="inlineStr">
        <is>
          <t>Cargo Handling Fee and Bill Fee or Document Fee</t>
        </is>
      </c>
      <c r="C1912" t="inlineStr">
        <is>
          <t>អេវើរស្តារ ស៊ីលែនឌែរ</t>
        </is>
      </c>
      <c r="D1912" t="inlineStr">
        <is>
          <t>K002-100160492</t>
        </is>
      </c>
      <c r="E1912" t="inlineStr">
        <is>
          <t>TI-2024-052</t>
        </is>
      </c>
      <c r="F1912" t="inlineStr">
        <is>
          <t>06-11-2024</t>
        </is>
      </c>
      <c r="G1912" t="n">
        <v>44704</v>
      </c>
      <c r="I1912">
        <f>G1912</f>
        <v/>
      </c>
      <c r="K1912">
        <f>I1912-G1912</f>
        <v/>
      </c>
      <c r="M1912">
        <f>R1912=E1912</f>
        <v/>
      </c>
      <c r="N1912">
        <f>AND(MONTH(F1912)=MONTH(Q1912), YEAR(F1912)=YEAR(Q1912))</f>
        <v/>
      </c>
      <c r="O1912">
        <f>"L001-902303751"=S1912</f>
        <v/>
      </c>
      <c r="P1912">
        <f>G1912-U1912</f>
        <v/>
      </c>
      <c r="Q1912" s="35" t="n">
        <v>45621</v>
      </c>
      <c r="R1912" t="inlineStr"/>
      <c r="S1912" t="inlineStr">
        <is>
          <t>L001-107041723</t>
        </is>
      </c>
      <c r="T1912" t="inlineStr">
        <is>
          <t>ឌីប៊ី សេនឃើរ (ខេមបូឌា) លីមីធីត</t>
        </is>
      </c>
      <c r="U1912" t="n">
        <v>0</v>
      </c>
      <c r="V1912" t="n">
        <v>0</v>
      </c>
    </row>
    <row r="1913">
      <c r="A1913" t="n">
        <v>1912</v>
      </c>
      <c r="B1913" t="inlineStr">
        <is>
          <t>Export Custom Clearance, Overtime Charges and Standby Fee</t>
        </is>
      </c>
      <c r="C1913" t="inlineStr">
        <is>
          <t>អ៊ីឃ្យូឡាញ វើលវ៉ាយដ៍ ឡូជីស្ទីក</t>
        </is>
      </c>
      <c r="D1913" t="inlineStr">
        <is>
          <t>K003-901635943</t>
        </is>
      </c>
      <c r="E1913" t="inlineStr">
        <is>
          <t>PPTI24/005579</t>
        </is>
      </c>
      <c r="F1913" t="inlineStr">
        <is>
          <t>19-11-2024</t>
        </is>
      </c>
      <c r="G1913" t="n">
        <v>226184</v>
      </c>
      <c r="I1913">
        <f>G1913</f>
        <v/>
      </c>
      <c r="K1913">
        <f>I1913-G1913</f>
        <v/>
      </c>
      <c r="M1913">
        <f>R1913=E1913</f>
        <v/>
      </c>
      <c r="N1913">
        <f>AND(MONTH(F1913)=MONTH(Q1913), YEAR(F1913)=YEAR(Q1913))</f>
        <v/>
      </c>
      <c r="O1913">
        <f>"L001-902303751"=S1913</f>
        <v/>
      </c>
      <c r="P1913">
        <f>G1913-U1913</f>
        <v/>
      </c>
      <c r="Q1913" s="35" t="n">
        <v>45614</v>
      </c>
      <c r="R1913" t="inlineStr"/>
      <c r="S1913" t="inlineStr">
        <is>
          <t>K005-901805913</t>
        </is>
      </c>
      <c r="T1913" t="inlineStr">
        <is>
          <t>ស្តារ ខង់ខដ (ខេមបូឌា) ឯ.ក</t>
        </is>
      </c>
      <c r="U1913" t="n">
        <v>0</v>
      </c>
      <c r="V1913" t="n">
        <v>0</v>
      </c>
    </row>
    <row r="1914">
      <c r="A1914" t="n">
        <v>1913</v>
      </c>
      <c r="B1914" t="inlineStr">
        <is>
          <t>Export Custom Clearance, Overtime Charges and Standby Fee</t>
        </is>
      </c>
      <c r="C1914" t="inlineStr">
        <is>
          <t>អ៊ីឃ្យូឡាញ វើលវ៉ាយដ៍ ឡូជីស្ទីក</t>
        </is>
      </c>
      <c r="D1914" t="inlineStr">
        <is>
          <t>K003-901635943</t>
        </is>
      </c>
      <c r="E1914" t="inlineStr">
        <is>
          <t>PPTI24/005582</t>
        </is>
      </c>
      <c r="F1914" t="inlineStr">
        <is>
          <t>19-11-2024</t>
        </is>
      </c>
      <c r="G1914" t="n">
        <v>232059</v>
      </c>
      <c r="I1914">
        <f>G1914</f>
        <v/>
      </c>
      <c r="K1914">
        <f>I1914-G1914</f>
        <v/>
      </c>
      <c r="M1914">
        <f>R1914=E1914</f>
        <v/>
      </c>
      <c r="N1914">
        <f>AND(MONTH(F1914)=MONTH(Q1914), YEAR(F1914)=YEAR(Q1914))</f>
        <v/>
      </c>
      <c r="O1914">
        <f>"L001-902303751"=S1914</f>
        <v/>
      </c>
      <c r="P1914">
        <f>G1914-U1914</f>
        <v/>
      </c>
      <c r="Q1914" s="35" t="n">
        <v>45607</v>
      </c>
      <c r="R1914" t="n">
        <v>83210</v>
      </c>
      <c r="S1914" t="inlineStr">
        <is>
          <t>L001-107032791</t>
        </is>
      </c>
      <c r="T1914" t="inlineStr">
        <is>
          <t>នីបផន អិចប្រេស (ខេមបូឌា) ខូ អិលធីឌី</t>
        </is>
      </c>
      <c r="U1914" t="n">
        <v>83210</v>
      </c>
      <c r="V1914" t="n">
        <v>0</v>
      </c>
    </row>
    <row r="1915">
      <c r="A1915" t="n">
        <v>1914</v>
      </c>
      <c r="B1915" t="inlineStr">
        <is>
          <t>Export Custom Clearance</t>
        </is>
      </c>
      <c r="C1915" t="inlineStr">
        <is>
          <t>អ៊ីឃ្យូឡាញ វើលវ៉ាយដ៍ ឡូជីស្ទីក</t>
        </is>
      </c>
      <c r="D1915" t="inlineStr">
        <is>
          <t>K003-901635943</t>
        </is>
      </c>
      <c r="E1915" t="inlineStr">
        <is>
          <t>PPTI24/005422</t>
        </is>
      </c>
      <c r="F1915" t="inlineStr">
        <is>
          <t>08-11-2024</t>
        </is>
      </c>
      <c r="G1915" t="n">
        <v>64992</v>
      </c>
      <c r="I1915">
        <f>G1915</f>
        <v/>
      </c>
      <c r="K1915">
        <f>I1915-G1915</f>
        <v/>
      </c>
      <c r="M1915">
        <f>R1915=E1915</f>
        <v/>
      </c>
      <c r="N1915">
        <f>AND(MONTH(F1915)=MONTH(Q1915), YEAR(F1915)=YEAR(Q1915))</f>
        <v/>
      </c>
      <c r="O1915">
        <f>"L001-902303751"=S1915</f>
        <v/>
      </c>
      <c r="P1915">
        <f>G1915-U1915</f>
        <v/>
      </c>
      <c r="Q1915" s="35" t="n">
        <v>45600</v>
      </c>
      <c r="R1915" t="inlineStr"/>
      <c r="S1915" t="inlineStr">
        <is>
          <t>L001-901500191</t>
        </is>
      </c>
      <c r="T1915" t="inlineStr">
        <is>
          <t>អ.អិន.វ៉ាយ ត្រេនស្ព័ត</t>
        </is>
      </c>
      <c r="U1915" t="n">
        <v>0</v>
      </c>
      <c r="V1915" t="n">
        <v>0</v>
      </c>
    </row>
    <row r="1916">
      <c r="A1916" t="n">
        <v>1915</v>
      </c>
      <c r="B1916" t="inlineStr">
        <is>
          <t>Customs Clearance Fee</t>
        </is>
      </c>
      <c r="C1916" t="inlineStr">
        <is>
          <t>ត្រាយអ៊ែងហ្គល ឡូជីស្ទីក (ខេមបូឌា) ឯ.ក</t>
        </is>
      </c>
      <c r="D1916" t="inlineStr">
        <is>
          <t>K010-902101743</t>
        </is>
      </c>
      <c r="E1916" t="inlineStr">
        <is>
          <t>TAG-24-00875</t>
        </is>
      </c>
      <c r="F1916" t="inlineStr">
        <is>
          <t>22-11-2024</t>
        </is>
      </c>
      <c r="G1916" t="n">
        <v>8052</v>
      </c>
      <c r="I1916">
        <f>G1916</f>
        <v/>
      </c>
      <c r="K1916">
        <f>I1916-G1916</f>
        <v/>
      </c>
      <c r="M1916">
        <f>R1916=E1916</f>
        <v/>
      </c>
      <c r="N1916">
        <f>AND(MONTH(F1916)=MONTH(Q1916), YEAR(F1916)=YEAR(Q1916))</f>
        <v/>
      </c>
      <c r="O1916">
        <f>"L001-902303751"=S1916</f>
        <v/>
      </c>
      <c r="P1916">
        <f>G1916-U1916</f>
        <v/>
      </c>
      <c r="Q1916" s="35" t="n">
        <v>45621</v>
      </c>
      <c r="R1916" t="inlineStr"/>
      <c r="S1916" t="inlineStr">
        <is>
          <t>L001-100045995</t>
        </is>
      </c>
      <c r="T1916" t="inlineStr">
        <is>
          <t>ឌីអេចអិល ឡូជីស្ទីក (ខេមបូឌា)</t>
        </is>
      </c>
      <c r="U1916" t="n">
        <v>0</v>
      </c>
      <c r="V1916" t="n">
        <v>0</v>
      </c>
    </row>
    <row r="1917">
      <c r="A1917" t="n">
        <v>1916</v>
      </c>
      <c r="B1917" t="inlineStr">
        <is>
          <t>Customs Clearance Fee</t>
        </is>
      </c>
      <c r="C1917" t="inlineStr">
        <is>
          <t>ត្រាយអ៊ែងហ្គល ឡូជីស្ទីក (ខេមបូឌា) ឯ.ក</t>
        </is>
      </c>
      <c r="D1917" t="inlineStr">
        <is>
          <t>K010-902101743</t>
        </is>
      </c>
      <c r="E1917" t="inlineStr">
        <is>
          <t>TAG-24-00874</t>
        </is>
      </c>
      <c r="F1917" t="inlineStr">
        <is>
          <t>22-11-2024</t>
        </is>
      </c>
      <c r="G1917" t="n">
        <v>8052</v>
      </c>
      <c r="I1917">
        <f>G1917</f>
        <v/>
      </c>
      <c r="K1917">
        <f>I1917-G1917</f>
        <v/>
      </c>
      <c r="M1917">
        <f>R1917=E1917</f>
        <v/>
      </c>
      <c r="N1917">
        <f>AND(MONTH(F1917)=MONTH(Q1917), YEAR(F1917)=YEAR(Q1917))</f>
        <v/>
      </c>
      <c r="O1917">
        <f>"L001-902303751"=S1917</f>
        <v/>
      </c>
      <c r="P1917">
        <f>G1917-U1917</f>
        <v/>
      </c>
      <c r="Q1917" s="35" t="n">
        <v>45621</v>
      </c>
      <c r="R1917" t="inlineStr"/>
      <c r="S1917" t="inlineStr">
        <is>
          <t>L001-100045340</t>
        </is>
      </c>
      <c r="T1917" t="inlineStr">
        <is>
          <t xml:space="preserve">ស៊ីវ៉ា អ៊ែរ អ៊ែន អូសៀន (ខេមបូឌា) ឯ.ក </t>
        </is>
      </c>
      <c r="U1917" t="n">
        <v>0</v>
      </c>
      <c r="V1917" t="n">
        <v>0</v>
      </c>
    </row>
    <row r="1918">
      <c r="A1918" t="n">
        <v>1917</v>
      </c>
      <c r="B1918" t="inlineStr">
        <is>
          <t>Customs Clearance Fee</t>
        </is>
      </c>
      <c r="C1918" t="inlineStr">
        <is>
          <t>ត្រាយអ៊ែងហ្គល ឡូជីស្ទីក (ខេមបូឌា) ឯ.ក</t>
        </is>
      </c>
      <c r="D1918" t="inlineStr">
        <is>
          <t>K010-902101743</t>
        </is>
      </c>
      <c r="E1918" t="inlineStr">
        <is>
          <t>TAG-24-00873</t>
        </is>
      </c>
      <c r="F1918" t="inlineStr">
        <is>
          <t>22-11-2024</t>
        </is>
      </c>
      <c r="G1918" t="n">
        <v>8052</v>
      </c>
      <c r="I1918">
        <f>G1918</f>
        <v/>
      </c>
      <c r="K1918">
        <f>I1918-G1918</f>
        <v/>
      </c>
      <c r="M1918">
        <f>R1918=E1918</f>
        <v/>
      </c>
      <c r="N1918">
        <f>AND(MONTH(F1918)=MONTH(Q1918), YEAR(F1918)=YEAR(Q1918))</f>
        <v/>
      </c>
      <c r="O1918">
        <f>"L001-902303751"=S1918</f>
        <v/>
      </c>
      <c r="P1918">
        <f>G1918-U1918</f>
        <v/>
      </c>
      <c r="Q1918" s="35" t="n">
        <v>45600</v>
      </c>
      <c r="R1918" t="inlineStr"/>
      <c r="S1918" t="inlineStr">
        <is>
          <t>K005-100150195</t>
        </is>
      </c>
      <c r="T1918" t="inlineStr">
        <is>
          <t>អេស អ វី ស៊ី ហ្វ្រេត សឺវីស (ខេមបូឌា) ខូ អិលធីឌី</t>
        </is>
      </c>
      <c r="U1918" t="n">
        <v>0</v>
      </c>
      <c r="V1918" t="n">
        <v>0</v>
      </c>
    </row>
    <row r="1919">
      <c r="A1919" t="n">
        <v>1918</v>
      </c>
      <c r="B1919" t="inlineStr">
        <is>
          <t>Cargo Terminal</t>
        </is>
      </c>
      <c r="C1919" t="inlineStr">
        <is>
          <t>សូស៊ីយេតេ កុងសេស្យូនែរ ដឺ ឡាអេរ៉ូព័រ</t>
        </is>
      </c>
      <c r="D1919" t="inlineStr">
        <is>
          <t>L001-100047300</t>
        </is>
      </c>
      <c r="E1919" t="inlineStr">
        <is>
          <t>2400092715</t>
        </is>
      </c>
      <c r="F1919" t="inlineStr">
        <is>
          <t>15-11-2024</t>
        </is>
      </c>
      <c r="G1919" t="n">
        <v>12306</v>
      </c>
      <c r="I1919">
        <f>G1919</f>
        <v/>
      </c>
      <c r="K1919">
        <f>I1919-G1919</f>
        <v/>
      </c>
      <c r="M1919">
        <f>R1919=E1919</f>
        <v/>
      </c>
      <c r="N1919">
        <f>AND(MONTH(F1919)=MONTH(Q1919), YEAR(F1919)=YEAR(Q1919))</f>
        <v/>
      </c>
      <c r="O1919">
        <f>"L001-902303751"=S1919</f>
        <v/>
      </c>
      <c r="P1919">
        <f>G1919-U1919</f>
        <v/>
      </c>
      <c r="Q1919" s="35" t="n">
        <v>45614</v>
      </c>
      <c r="R1919" t="n">
        <v>82841</v>
      </c>
      <c r="S1919" t="inlineStr">
        <is>
          <t>L001-107041723</t>
        </is>
      </c>
      <c r="T1919" t="inlineStr">
        <is>
          <t>ឌីប៊ី សេនឃើរ (ខេមបូឌា) លីមីធីត</t>
        </is>
      </c>
      <c r="U1919" t="n">
        <v>82841</v>
      </c>
      <c r="V1919" t="n">
        <v>0</v>
      </c>
    </row>
    <row r="1920">
      <c r="A1920" t="n">
        <v>1919</v>
      </c>
      <c r="B1920" t="inlineStr">
        <is>
          <t>Send Docs</t>
        </is>
      </c>
      <c r="C1920" t="inlineStr">
        <is>
          <t>ឌី អេច អិល អិចប្រេស (ខេមបូឌា)</t>
        </is>
      </c>
      <c r="D1920" t="inlineStr">
        <is>
          <t>L001-100045197</t>
        </is>
      </c>
      <c r="E1920" t="inlineStr">
        <is>
          <t>PNHIR00255555</t>
        </is>
      </c>
      <c r="F1920" t="inlineStr">
        <is>
          <t>25-11-2024</t>
        </is>
      </c>
      <c r="G1920" t="n">
        <v>12042</v>
      </c>
      <c r="I1920">
        <f>G1920</f>
        <v/>
      </c>
      <c r="K1920">
        <f>I1920-G1920</f>
        <v/>
      </c>
      <c r="M1920">
        <f>R1920=E1920</f>
        <v/>
      </c>
      <c r="N1920">
        <f>AND(MONTH(F1920)=MONTH(Q1920), YEAR(F1920)=YEAR(Q1920))</f>
        <v/>
      </c>
      <c r="O1920">
        <f>"L001-902303751"=S1920</f>
        <v/>
      </c>
      <c r="P1920">
        <f>G1920-U1920</f>
        <v/>
      </c>
      <c r="Q1920" s="35" t="n">
        <v>45614</v>
      </c>
      <c r="R1920" t="n">
        <v>82841</v>
      </c>
      <c r="S1920" t="inlineStr">
        <is>
          <t>L001-107032791</t>
        </is>
      </c>
      <c r="T1920" t="inlineStr">
        <is>
          <t>នីបផន អិចប្រេស (ខេមបូឌា) ខូ អិលធីឌី</t>
        </is>
      </c>
      <c r="U1920" t="n">
        <v>82841</v>
      </c>
      <c r="V1920" t="n">
        <v>0</v>
      </c>
    </row>
    <row r="1921">
      <c r="A1921" t="n">
        <v>1920</v>
      </c>
      <c r="B1921" t="inlineStr">
        <is>
          <t>Send Docs</t>
        </is>
      </c>
      <c r="C1921" t="inlineStr">
        <is>
          <t>ឌី អេច អិល អិចប្រេស (ខេមបូឌា)</t>
        </is>
      </c>
      <c r="D1921" t="inlineStr">
        <is>
          <t>L001-100045197</t>
        </is>
      </c>
      <c r="E1921" t="inlineStr">
        <is>
          <t>PNHIR00254352</t>
        </is>
      </c>
      <c r="F1921" t="inlineStr">
        <is>
          <t>20-11-2024</t>
        </is>
      </c>
      <c r="G1921" t="n">
        <v>18171</v>
      </c>
      <c r="I1921">
        <f>G1921</f>
        <v/>
      </c>
      <c r="K1921">
        <f>I1921-G1921</f>
        <v/>
      </c>
      <c r="M1921">
        <f>R1921=E1921</f>
        <v/>
      </c>
      <c r="N1921">
        <f>AND(MONTH(F1921)=MONTH(Q1921), YEAR(F1921)=YEAR(Q1921))</f>
        <v/>
      </c>
      <c r="O1921">
        <f>"L001-902303751"=S1921</f>
        <v/>
      </c>
      <c r="P1921">
        <f>G1921-U1921</f>
        <v/>
      </c>
      <c r="Q1921" s="35" t="n">
        <v>45614</v>
      </c>
      <c r="R1921" t="n">
        <v>113552</v>
      </c>
      <c r="S1921" t="inlineStr">
        <is>
          <t>K005-901805913</t>
        </is>
      </c>
      <c r="T1921" t="inlineStr">
        <is>
          <t>ស្តារ ខង់ខដ (ខេមបូឌា) ឯ.ក</t>
        </is>
      </c>
      <c r="U1921" t="n">
        <v>113552</v>
      </c>
      <c r="V1921" t="n">
        <v>0</v>
      </c>
    </row>
    <row r="1922">
      <c r="A1922" t="n">
        <v>1921</v>
      </c>
      <c r="B1922" t="inlineStr">
        <is>
          <t>Material</t>
        </is>
      </c>
      <c r="C1922" t="inlineStr">
        <is>
          <t>ក្លាក ហ៊ូ ឯ.ក</t>
        </is>
      </c>
      <c r="D1922" t="inlineStr">
        <is>
          <t>K007-901639199</t>
        </is>
      </c>
      <c r="E1922" t="inlineStr">
        <is>
          <t>IN2767</t>
        </is>
      </c>
      <c r="F1922" t="inlineStr">
        <is>
          <t>30-11-2024</t>
        </is>
      </c>
      <c r="G1922" t="n">
        <v>440260</v>
      </c>
      <c r="I1922">
        <f>G1922</f>
        <v/>
      </c>
      <c r="K1922">
        <f>I1922-G1922</f>
        <v/>
      </c>
      <c r="M1922">
        <f>R1922=E1922</f>
        <v/>
      </c>
      <c r="N1922">
        <f>AND(MONTH(F1922)=MONTH(Q1922), YEAR(F1922)=YEAR(Q1922))</f>
        <v/>
      </c>
      <c r="O1922">
        <f>"L001-902303751"=S1922</f>
        <v/>
      </c>
      <c r="P1922">
        <f>G1922-U1922</f>
        <v/>
      </c>
      <c r="Q1922" s="35" t="n">
        <v>45607</v>
      </c>
      <c r="R1922" t="inlineStr"/>
      <c r="S1922" t="inlineStr">
        <is>
          <t>L001-107032791</t>
        </is>
      </c>
      <c r="T1922" t="inlineStr">
        <is>
          <t>នីបផន អិចប្រេស (ខេមបូឌា) ខូ អិលធីឌី</t>
        </is>
      </c>
      <c r="U1922" t="n">
        <v>0</v>
      </c>
      <c r="V1922" t="n">
        <v>0</v>
      </c>
    </row>
    <row r="1923">
      <c r="A1923" t="n">
        <v>1922</v>
      </c>
      <c r="B1923" t="inlineStr">
        <is>
          <t>Material</t>
        </is>
      </c>
      <c r="C1923" t="inlineStr">
        <is>
          <t>ក្លាក ហ៊ូ ឯ.ក</t>
        </is>
      </c>
      <c r="D1923" t="inlineStr">
        <is>
          <t>K007-901639199</t>
        </is>
      </c>
      <c r="E1923" t="inlineStr">
        <is>
          <t>IN2766</t>
        </is>
      </c>
      <c r="F1923" t="inlineStr">
        <is>
          <t>30-11-2024</t>
        </is>
      </c>
      <c r="G1923" t="n">
        <v>253361</v>
      </c>
      <c r="I1923">
        <f>G1923</f>
        <v/>
      </c>
      <c r="K1923">
        <f>I1923-G1923</f>
        <v/>
      </c>
      <c r="M1923">
        <f>R1923=E1923</f>
        <v/>
      </c>
      <c r="N1923">
        <f>AND(MONTH(F1923)=MONTH(Q1923), YEAR(F1923)=YEAR(Q1923))</f>
        <v/>
      </c>
      <c r="O1923">
        <f>"L001-902303751"=S1923</f>
        <v/>
      </c>
      <c r="P1923">
        <f>G1923-U1923</f>
        <v/>
      </c>
      <c r="Q1923" s="35" t="n">
        <v>45600</v>
      </c>
      <c r="R1923" t="inlineStr"/>
      <c r="S1923" t="inlineStr">
        <is>
          <t>L001-107032791</t>
        </is>
      </c>
      <c r="T1923" t="inlineStr">
        <is>
          <t>នីបផន អិចប្រេស (ខេមបូឌា) ខូ អិលធីឌី</t>
        </is>
      </c>
      <c r="U1923" t="n">
        <v>0</v>
      </c>
      <c r="V1923" t="n">
        <v>0</v>
      </c>
    </row>
    <row r="1924">
      <c r="A1924" t="n">
        <v>1923</v>
      </c>
      <c r="B1924" t="inlineStr">
        <is>
          <t>Material</t>
        </is>
      </c>
      <c r="C1924" t="inlineStr">
        <is>
          <t>ក្លាក ហ៊ូ ឯ.ក</t>
        </is>
      </c>
      <c r="D1924" t="inlineStr">
        <is>
          <t>K007-901639199</t>
        </is>
      </c>
      <c r="E1924" t="inlineStr">
        <is>
          <t>IN2765</t>
        </is>
      </c>
      <c r="F1924" t="inlineStr">
        <is>
          <t>30-11-2024</t>
        </is>
      </c>
      <c r="G1924" t="n">
        <v>232617</v>
      </c>
      <c r="I1924">
        <f>G1924</f>
        <v/>
      </c>
      <c r="K1924">
        <f>I1924-G1924</f>
        <v/>
      </c>
      <c r="M1924">
        <f>R1924=E1924</f>
        <v/>
      </c>
      <c r="N1924">
        <f>AND(MONTH(F1924)=MONTH(Q1924), YEAR(F1924)=YEAR(Q1924))</f>
        <v/>
      </c>
      <c r="O1924">
        <f>"L001-902303751"=S1924</f>
        <v/>
      </c>
      <c r="P1924">
        <f>G1924-U1924</f>
        <v/>
      </c>
      <c r="Q1924" s="35" t="n">
        <v>45619</v>
      </c>
      <c r="R1924" t="n">
        <v>1677634</v>
      </c>
      <c r="S1924" t="inlineStr">
        <is>
          <t>K004-105012505</t>
        </is>
      </c>
      <c r="T1924" t="inlineStr">
        <is>
          <t>អេស៊ាន ហ្វ្រេត (ខេមបូឌា)</t>
        </is>
      </c>
      <c r="U1924" t="n">
        <v>1677634</v>
      </c>
      <c r="V1924" t="n">
        <v>0</v>
      </c>
    </row>
    <row r="1925">
      <c r="A1925" t="n">
        <v>1924</v>
      </c>
      <c r="B1925" t="inlineStr">
        <is>
          <t>Material</t>
        </is>
      </c>
      <c r="C1925" t="inlineStr">
        <is>
          <t>ក្លាក ហ៊ូ ឯ.ក</t>
        </is>
      </c>
      <c r="D1925" t="inlineStr">
        <is>
          <t>K007-901639199</t>
        </is>
      </c>
      <c r="E1925" t="inlineStr">
        <is>
          <t>IN2764</t>
        </is>
      </c>
      <c r="F1925" t="inlineStr">
        <is>
          <t>30-11-2024</t>
        </is>
      </c>
      <c r="G1925" t="n">
        <v>464630</v>
      </c>
      <c r="I1925">
        <f>G1925</f>
        <v/>
      </c>
      <c r="K1925">
        <f>I1925-G1925</f>
        <v/>
      </c>
      <c r="M1925">
        <f>R1925=E1925</f>
        <v/>
      </c>
      <c r="N1925">
        <f>AND(MONTH(F1925)=MONTH(Q1925), YEAR(F1925)=YEAR(Q1925))</f>
        <v/>
      </c>
      <c r="O1925">
        <f>"L001-902303751"=S1925</f>
        <v/>
      </c>
      <c r="P1925">
        <f>G1925-U1925</f>
        <v/>
      </c>
      <c r="Q1925" s="35" t="n">
        <v>45602</v>
      </c>
      <c r="R1925" t="n">
        <v>16256</v>
      </c>
      <c r="S1925" t="inlineStr">
        <is>
          <t>L001-901500191</t>
        </is>
      </c>
      <c r="T1925" t="inlineStr">
        <is>
          <t>អ.អិន.វ៉ាយ ត្រេនស្ព័ត</t>
        </is>
      </c>
      <c r="U1925" t="n">
        <v>16256</v>
      </c>
      <c r="V1925" t="n">
        <v>0</v>
      </c>
    </row>
    <row r="1926">
      <c r="A1926" t="n">
        <v>1925</v>
      </c>
      <c r="B1926" t="inlineStr">
        <is>
          <t>Material</t>
        </is>
      </c>
      <c r="C1926" t="inlineStr">
        <is>
          <t>ក្លាក ហ៊ូ ឯ.ក</t>
        </is>
      </c>
      <c r="D1926" t="inlineStr">
        <is>
          <t>K007-901639199</t>
        </is>
      </c>
      <c r="E1926" t="inlineStr">
        <is>
          <t>IN2719</t>
        </is>
      </c>
      <c r="F1926" t="inlineStr">
        <is>
          <t>30-11-2024</t>
        </is>
      </c>
      <c r="G1926" t="n">
        <v>1156439</v>
      </c>
      <c r="I1926">
        <f>G1926</f>
        <v/>
      </c>
      <c r="K1926">
        <f>I1926-G1926</f>
        <v/>
      </c>
      <c r="M1926">
        <f>R1926=E1926</f>
        <v/>
      </c>
      <c r="N1926">
        <f>AND(MONTH(F1926)=MONTH(Q1926), YEAR(F1926)=YEAR(Q1926))</f>
        <v/>
      </c>
      <c r="O1926">
        <f>"L001-902303751"=S1926</f>
        <v/>
      </c>
      <c r="P1926">
        <f>G1926-U1926</f>
        <v/>
      </c>
      <c r="Q1926" s="35" t="n">
        <v>45600</v>
      </c>
      <c r="R1926" t="inlineStr"/>
      <c r="S1926" t="inlineStr">
        <is>
          <t>L001-107032791</t>
        </is>
      </c>
      <c r="T1926" t="inlineStr">
        <is>
          <t>នីបផន អិចប្រេស (ខេមបូឌា) ខូ អិលធីឌី</t>
        </is>
      </c>
      <c r="U1926" t="n">
        <v>0</v>
      </c>
      <c r="V1926" t="n">
        <v>0</v>
      </c>
    </row>
    <row r="1927">
      <c r="A1927" t="n">
        <v>1926</v>
      </c>
      <c r="B1927" t="inlineStr">
        <is>
          <t>Material</t>
        </is>
      </c>
      <c r="C1927" t="inlineStr">
        <is>
          <t>ក្លាក ហ៊ូ ឯ.ក</t>
        </is>
      </c>
      <c r="D1927" t="inlineStr">
        <is>
          <t>K007-901639199</t>
        </is>
      </c>
      <c r="E1927" t="inlineStr">
        <is>
          <t>IN2711</t>
        </is>
      </c>
      <c r="F1927" t="inlineStr">
        <is>
          <t>30-11-2024</t>
        </is>
      </c>
      <c r="G1927" t="n">
        <v>437763</v>
      </c>
      <c r="I1927">
        <f>G1927</f>
        <v/>
      </c>
      <c r="K1927">
        <f>I1927-G1927</f>
        <v/>
      </c>
      <c r="M1927">
        <f>R1927=E1927</f>
        <v/>
      </c>
      <c r="N1927">
        <f>AND(MONTH(F1927)=MONTH(Q1927), YEAR(F1927)=YEAR(Q1927))</f>
        <v/>
      </c>
      <c r="O1927">
        <f>"L001-902303751"=S1927</f>
        <v/>
      </c>
      <c r="P1927">
        <f>G1927-U1927</f>
        <v/>
      </c>
      <c r="Q1927" s="35" t="n">
        <v>45600</v>
      </c>
      <c r="R1927" t="inlineStr"/>
      <c r="S1927" t="inlineStr">
        <is>
          <t>L001-107041723</t>
        </is>
      </c>
      <c r="T1927" t="inlineStr">
        <is>
          <t>ឌីប៊ី សេនឃើរ (ខេមបូឌា) លីមីធីត</t>
        </is>
      </c>
      <c r="U1927" t="n">
        <v>0</v>
      </c>
      <c r="V1927" t="n">
        <v>0</v>
      </c>
    </row>
    <row r="1928">
      <c r="A1928" t="n">
        <v>1927</v>
      </c>
      <c r="B1928" t="inlineStr">
        <is>
          <t>Fiber-based fabric glue, Special double-sided tape and Sponge strips</t>
        </is>
      </c>
      <c r="C1928" t="inlineStr">
        <is>
          <t>យីស៊ូ ធេមផ្លេត ក្រាហ្វ ឯ.ក</t>
        </is>
      </c>
      <c r="D1928" t="inlineStr">
        <is>
          <t>K010-902200360</t>
        </is>
      </c>
      <c r="E1928" t="inlineStr">
        <is>
          <t>24-0254</t>
        </is>
      </c>
      <c r="F1928" t="inlineStr">
        <is>
          <t>29-11-2024</t>
        </is>
      </c>
      <c r="G1928" t="n">
        <v>167565</v>
      </c>
      <c r="I1928">
        <f>G1928</f>
        <v/>
      </c>
      <c r="K1928">
        <f>I1928-G1928</f>
        <v/>
      </c>
      <c r="M1928">
        <f>R1928=E1928</f>
        <v/>
      </c>
      <c r="N1928">
        <f>AND(MONTH(F1928)=MONTH(Q1928), YEAR(F1928)=YEAR(Q1928))</f>
        <v/>
      </c>
      <c r="O1928">
        <f>"L001-902303751"=S1928</f>
        <v/>
      </c>
      <c r="P1928">
        <f>G1928-U1928</f>
        <v/>
      </c>
      <c r="Q1928" s="35" t="n">
        <v>45621</v>
      </c>
      <c r="R1928" t="n">
        <v>110385</v>
      </c>
      <c r="S1928" t="inlineStr">
        <is>
          <t>L001-100045995</t>
        </is>
      </c>
      <c r="T1928" t="inlineStr">
        <is>
          <t>ឌីអេចអិល ឡូជីស្ទីក (ខេមបូឌា)</t>
        </is>
      </c>
      <c r="U1928" t="n">
        <v>110385</v>
      </c>
      <c r="V1928" t="n">
        <v>0</v>
      </c>
    </row>
    <row r="1929">
      <c r="A1929" t="n">
        <v>1928</v>
      </c>
      <c r="B1929" t="inlineStr">
        <is>
          <t>Transportation Fee</t>
        </is>
      </c>
      <c r="C1929" t="inlineStr">
        <is>
          <t>យូ អេហ្វ អេស គ្លូប៊ល អិចប្រេស ឡូជីស្ទីក</t>
        </is>
      </c>
      <c r="D1929" t="inlineStr">
        <is>
          <t>K010-108005623</t>
        </is>
      </c>
      <c r="E1929" t="inlineStr">
        <is>
          <t>UFS-00919</t>
        </is>
      </c>
      <c r="F1929" t="inlineStr">
        <is>
          <t>29-11-2024</t>
        </is>
      </c>
      <c r="G1929" t="n">
        <v>1166601</v>
      </c>
      <c r="I1929">
        <f>G1929</f>
        <v/>
      </c>
      <c r="K1929">
        <f>I1929-G1929</f>
        <v/>
      </c>
      <c r="M1929">
        <f>R1929=E1929</f>
        <v/>
      </c>
      <c r="N1929">
        <f>AND(MONTH(F1929)=MONTH(Q1929), YEAR(F1929)=YEAR(Q1929))</f>
        <v/>
      </c>
      <c r="O1929">
        <f>"L001-902303751"=S1929</f>
        <v/>
      </c>
      <c r="P1929">
        <f>G1929-U1929</f>
        <v/>
      </c>
      <c r="Q1929" s="35" t="n">
        <v>45607</v>
      </c>
      <c r="R1929" t="inlineStr"/>
      <c r="S1929" t="inlineStr">
        <is>
          <t>L001-107032791</t>
        </is>
      </c>
      <c r="T1929" t="inlineStr">
        <is>
          <t>នីបផន អិចប្រេស (ខេមបូឌា) ខូ អិលធីឌី</t>
        </is>
      </c>
      <c r="U1929" t="n">
        <v>0</v>
      </c>
      <c r="V1929" t="n">
        <v>0</v>
      </c>
    </row>
    <row r="1930">
      <c r="A1930" t="n">
        <v>1929</v>
      </c>
      <c r="B1930" t="inlineStr">
        <is>
          <t>Hardware</t>
        </is>
      </c>
      <c r="C1930" t="inlineStr">
        <is>
          <t>ភ្នំពេញ ថប វើលដ៍ ខនស្ត្រាក់សិន &amp; អេនជីនារីង ឯ.ក</t>
        </is>
      </c>
      <c r="D1930" t="inlineStr">
        <is>
          <t>K005-901638261</t>
        </is>
      </c>
      <c r="E1930" t="inlineStr">
        <is>
          <t>000033</t>
        </is>
      </c>
      <c r="F1930" t="inlineStr">
        <is>
          <t>29-11-2024</t>
        </is>
      </c>
      <c r="G1930" t="n">
        <v>463821</v>
      </c>
      <c r="I1930">
        <f>G1930</f>
        <v/>
      </c>
      <c r="K1930">
        <f>I1930-G1930</f>
        <v/>
      </c>
      <c r="M1930">
        <f>R1930=E1930</f>
        <v/>
      </c>
      <c r="N1930">
        <f>AND(MONTH(F1930)=MONTH(Q1930), YEAR(F1930)=YEAR(Q1930))</f>
        <v/>
      </c>
      <c r="O1930">
        <f>"L001-902303751"=S1930</f>
        <v/>
      </c>
      <c r="P1930">
        <f>G1930-U1930</f>
        <v/>
      </c>
      <c r="Q1930" s="35" t="n">
        <v>45600</v>
      </c>
      <c r="R1930" t="inlineStr"/>
      <c r="S1930" t="inlineStr">
        <is>
          <t>L001-107032791</t>
        </is>
      </c>
      <c r="T1930" t="inlineStr">
        <is>
          <t>នីបផន អិចប្រេស (ខេមបូឌា) ខូ អិលធីឌី</t>
        </is>
      </c>
      <c r="U1930" t="n">
        <v>0</v>
      </c>
      <c r="V1930" t="n">
        <v>0</v>
      </c>
    </row>
    <row r="1931">
      <c r="A1931" t="n">
        <v>1930</v>
      </c>
      <c r="B1931" t="inlineStr">
        <is>
          <t>Non Woven Interlining</t>
        </is>
      </c>
      <c r="C1931" t="inlineStr">
        <is>
          <t>ដេលី ហ្គាមេន អេកសេសឺរី</t>
        </is>
      </c>
      <c r="D1931" t="inlineStr">
        <is>
          <t>L001-108012794</t>
        </is>
      </c>
      <c r="E1931" t="inlineStr">
        <is>
          <t>00493</t>
        </is>
      </c>
      <c r="F1931" t="inlineStr">
        <is>
          <t>29-11-2024</t>
        </is>
      </c>
      <c r="G1931" t="n">
        <v>385300</v>
      </c>
      <c r="I1931">
        <f>G1931</f>
        <v/>
      </c>
      <c r="K1931">
        <f>I1931-G1931</f>
        <v/>
      </c>
      <c r="M1931">
        <f>R1931=E1931</f>
        <v/>
      </c>
      <c r="N1931">
        <f>AND(MONTH(F1931)=MONTH(Q1931), YEAR(F1931)=YEAR(Q1931))</f>
        <v/>
      </c>
      <c r="O1931">
        <f>"L001-902303751"=S1931</f>
        <v/>
      </c>
      <c r="P1931">
        <f>G1931-U1931</f>
        <v/>
      </c>
      <c r="Q1931" s="35" t="n">
        <v>45621</v>
      </c>
      <c r="R1931" t="n">
        <v>110385</v>
      </c>
      <c r="S1931" t="inlineStr">
        <is>
          <t>L001-107032791</t>
        </is>
      </c>
      <c r="T1931" t="inlineStr">
        <is>
          <t>នីបផន អិចប្រេស (ខេមបូឌា) ខូ អិលធីឌី</t>
        </is>
      </c>
      <c r="U1931" t="n">
        <v>110385</v>
      </c>
      <c r="V1931" t="n">
        <v>0</v>
      </c>
    </row>
    <row r="1932">
      <c r="A1932" t="n">
        <v>1931</v>
      </c>
      <c r="B1932" t="inlineStr">
        <is>
          <t>Double Needle Chain and Computer Super Small mouth net</t>
        </is>
      </c>
      <c r="C1932" t="inlineStr">
        <is>
          <t>ដាប់ប៊ែលយូ ឌី អិល អេឡិកត្រូមេឃែនីខល អេឃ្វីបម៉ិន ឯ.ក</t>
        </is>
      </c>
      <c r="D1932" t="inlineStr">
        <is>
          <t>K009-902202951</t>
        </is>
      </c>
      <c r="E1932" t="inlineStr">
        <is>
          <t>0257</t>
        </is>
      </c>
      <c r="F1932" t="inlineStr">
        <is>
          <t>28-11-2024</t>
        </is>
      </c>
      <c r="G1932" t="n">
        <v>137020</v>
      </c>
      <c r="I1932">
        <f>G1932</f>
        <v/>
      </c>
      <c r="K1932">
        <f>I1932-G1932</f>
        <v/>
      </c>
      <c r="M1932">
        <f>R1932=E1932</f>
        <v/>
      </c>
      <c r="N1932">
        <f>AND(MONTH(F1932)=MONTH(Q1932), YEAR(F1932)=YEAR(Q1932))</f>
        <v/>
      </c>
      <c r="O1932">
        <f>"L001-902303751"=S1932</f>
        <v/>
      </c>
      <c r="P1932">
        <f>G1932-U1932</f>
        <v/>
      </c>
      <c r="Q1932" s="35" t="n">
        <v>45607</v>
      </c>
      <c r="R1932" t="n">
        <v>111623</v>
      </c>
      <c r="S1932" t="inlineStr">
        <is>
          <t>L001-107032791</t>
        </is>
      </c>
      <c r="T1932" t="inlineStr">
        <is>
          <t>នីបផន អិចប្រេស (ខេមបូឌា) ខូ អិលធីឌី</t>
        </is>
      </c>
      <c r="U1932" t="n">
        <v>111623</v>
      </c>
      <c r="V1932" t="n">
        <v>0</v>
      </c>
    </row>
    <row r="1933">
      <c r="A1933" t="n">
        <v>1932</v>
      </c>
      <c r="B1933" t="inlineStr">
        <is>
          <t>Thread</t>
        </is>
      </c>
      <c r="C1933" t="inlineStr">
        <is>
          <t>គ្លូប៊ល សុីលីន ហ្គាមុិន អេកសេសឺរី ឯ.ក</t>
        </is>
      </c>
      <c r="D1933" t="inlineStr">
        <is>
          <t>L001-902200857</t>
        </is>
      </c>
      <c r="E1933" t="inlineStr">
        <is>
          <t>000864</t>
        </is>
      </c>
      <c r="F1933" t="inlineStr">
        <is>
          <t>25-11-2024</t>
        </is>
      </c>
      <c r="G1933" t="n">
        <v>432889</v>
      </c>
      <c r="I1933">
        <f>G1933</f>
        <v/>
      </c>
      <c r="K1933">
        <f>I1933-G1933</f>
        <v/>
      </c>
      <c r="M1933">
        <f>R1933=E1933</f>
        <v/>
      </c>
      <c r="N1933">
        <f>AND(MONTH(F1933)=MONTH(Q1933), YEAR(F1933)=YEAR(Q1933))</f>
        <v/>
      </c>
      <c r="O1933">
        <f>"L001-902303751"=S1933</f>
        <v/>
      </c>
      <c r="P1933">
        <f>G1933-U1933</f>
        <v/>
      </c>
      <c r="Q1933" s="35" t="n">
        <v>45607</v>
      </c>
      <c r="R1933" t="inlineStr"/>
      <c r="S1933" t="inlineStr">
        <is>
          <t>L001-100045995</t>
        </is>
      </c>
      <c r="T1933" t="inlineStr">
        <is>
          <t>ឌីអេចអិល ឡូជីស្ទីក (ខេមបូឌា)</t>
        </is>
      </c>
      <c r="U1933" t="n">
        <v>0</v>
      </c>
      <c r="V1933" t="n">
        <v>0</v>
      </c>
    </row>
    <row r="1934">
      <c r="A1934" t="n">
        <v>1933</v>
      </c>
      <c r="B1934" t="inlineStr">
        <is>
          <t>Stationery</t>
        </is>
      </c>
      <c r="C1934" t="inlineStr">
        <is>
          <t>ស៊ី &amp; ជី ត្រេឌីង ឯ.ក</t>
        </is>
      </c>
      <c r="D1934" t="inlineStr">
        <is>
          <t>K010-902205065</t>
        </is>
      </c>
      <c r="E1934" t="inlineStr">
        <is>
          <t>2024-0095</t>
        </is>
      </c>
      <c r="F1934" t="inlineStr">
        <is>
          <t>25-11-2024</t>
        </is>
      </c>
      <c r="G1934" t="n">
        <v>12042</v>
      </c>
      <c r="I1934">
        <f>G1934</f>
        <v/>
      </c>
      <c r="K1934">
        <f>I1934-G1934</f>
        <v/>
      </c>
      <c r="M1934">
        <f>R1934=E1934</f>
        <v/>
      </c>
      <c r="N1934">
        <f>AND(MONTH(F1934)=MONTH(Q1934), YEAR(F1934)=YEAR(Q1934))</f>
        <v/>
      </c>
      <c r="O1934">
        <f>"L001-902303751"=S1934</f>
        <v/>
      </c>
      <c r="P1934">
        <f>G1934-U1934</f>
        <v/>
      </c>
      <c r="Q1934" s="35" t="n">
        <v>45607</v>
      </c>
      <c r="R1934" t="n">
        <v>111623</v>
      </c>
      <c r="S1934" t="inlineStr">
        <is>
          <t>L001-100045995</t>
        </is>
      </c>
      <c r="T1934" t="inlineStr">
        <is>
          <t>ឌីអេចអិល ឡូជីស្ទីក (ខេមបូឌា)</t>
        </is>
      </c>
      <c r="U1934" t="n">
        <v>111623</v>
      </c>
      <c r="V1934" t="n">
        <v>0</v>
      </c>
    </row>
    <row r="1935">
      <c r="A1935" t="n">
        <v>1934</v>
      </c>
      <c r="B1935" t="inlineStr">
        <is>
          <t>Stationery</t>
        </is>
      </c>
      <c r="C1935" t="inlineStr">
        <is>
          <t>ស៊ី &amp; ជី ត្រេឌីង ឯ.ក</t>
        </is>
      </c>
      <c r="D1935" t="inlineStr">
        <is>
          <t>K010-902205065</t>
        </is>
      </c>
      <c r="E1935" t="inlineStr">
        <is>
          <t>2024-0092</t>
        </is>
      </c>
      <c r="F1935" t="inlineStr">
        <is>
          <t>25-11-2024</t>
        </is>
      </c>
      <c r="G1935" t="n">
        <v>1675612</v>
      </c>
      <c r="I1935">
        <f>G1935</f>
        <v/>
      </c>
      <c r="K1935">
        <f>I1935-G1935</f>
        <v/>
      </c>
      <c r="M1935">
        <f>R1935=E1935</f>
        <v/>
      </c>
      <c r="N1935">
        <f>AND(MONTH(F1935)=MONTH(Q1935), YEAR(F1935)=YEAR(Q1935))</f>
        <v/>
      </c>
      <c r="O1935">
        <f>"L001-902303751"=S1935</f>
        <v/>
      </c>
      <c r="P1935">
        <f>G1935-U1935</f>
        <v/>
      </c>
      <c r="Q1935" s="35" t="n">
        <v>45600</v>
      </c>
      <c r="R1935" t="inlineStr"/>
      <c r="S1935" t="inlineStr">
        <is>
          <t>L001-107041723</t>
        </is>
      </c>
      <c r="T1935" t="inlineStr">
        <is>
          <t>ឌីប៊ី សេនឃើរ (ខេមបូឌា) លីមីធីត</t>
        </is>
      </c>
      <c r="U1935" t="n">
        <v>0</v>
      </c>
      <c r="V1935" t="n">
        <v>0</v>
      </c>
    </row>
    <row r="1936">
      <c r="A1936" t="n">
        <v>1935</v>
      </c>
      <c r="B1936" t="inlineStr">
        <is>
          <t>Export Administration Fee, Port Formally, Service Charge and Overtime Inspection</t>
        </is>
      </c>
      <c r="C1936" t="inlineStr">
        <is>
          <t>ឆាយ ដា ឡូយីស្ទីក</t>
        </is>
      </c>
      <c r="D1936" t="inlineStr">
        <is>
          <t>L001-100063098</t>
        </is>
      </c>
      <c r="E1936" t="inlineStr">
        <is>
          <t>2411017135</t>
        </is>
      </c>
      <c r="F1936" t="inlineStr">
        <is>
          <t>20-11-2024</t>
        </is>
      </c>
      <c r="G1936" t="n">
        <v>136888</v>
      </c>
      <c r="I1936">
        <f>G1936</f>
        <v/>
      </c>
      <c r="K1936">
        <f>I1936-G1936</f>
        <v/>
      </c>
      <c r="M1936">
        <f>R1936=E1936</f>
        <v/>
      </c>
      <c r="N1936">
        <f>AND(MONTH(F1936)=MONTH(Q1936), YEAR(F1936)=YEAR(Q1936))</f>
        <v/>
      </c>
      <c r="O1936">
        <f>"L001-902303751"=S1936</f>
        <v/>
      </c>
      <c r="P1936">
        <f>G1936-U1936</f>
        <v/>
      </c>
      <c r="Q1936" s="35" t="n">
        <v>45600</v>
      </c>
      <c r="R1936" t="n">
        <v>83333</v>
      </c>
      <c r="S1936" t="inlineStr">
        <is>
          <t>L001-107032791</t>
        </is>
      </c>
      <c r="T1936" t="inlineStr">
        <is>
          <t>នីបផន អិចប្រេស (ខេមបូឌា) ខូ អិលធីឌី</t>
        </is>
      </c>
      <c r="U1936" t="n">
        <v>83333</v>
      </c>
      <c r="V1936" t="n">
        <v>0</v>
      </c>
    </row>
    <row r="1937">
      <c r="A1937" t="n">
        <v>1936</v>
      </c>
      <c r="B1937" t="inlineStr">
        <is>
          <t>Export Administration Fee, Port Formally, Service Charge and Overtime Inspection</t>
        </is>
      </c>
      <c r="C1937" t="inlineStr">
        <is>
          <t>ឆាយ ដា ឡូយីស្ទីក</t>
        </is>
      </c>
      <c r="D1937" t="inlineStr">
        <is>
          <t>L001-100063098</t>
        </is>
      </c>
      <c r="E1937" t="inlineStr">
        <is>
          <t>2411017134</t>
        </is>
      </c>
      <c r="F1937" t="inlineStr">
        <is>
          <t>20-11-2024</t>
        </is>
      </c>
      <c r="G1937" t="n">
        <v>136888</v>
      </c>
      <c r="I1937">
        <f>G1937</f>
        <v/>
      </c>
      <c r="K1937">
        <f>I1937-G1937</f>
        <v/>
      </c>
      <c r="M1937">
        <f>R1937=E1937</f>
        <v/>
      </c>
      <c r="N1937">
        <f>AND(MONTH(F1937)=MONTH(Q1937), YEAR(F1937)=YEAR(Q1937))</f>
        <v/>
      </c>
      <c r="O1937">
        <f>"L001-902303751"=S1937</f>
        <v/>
      </c>
      <c r="P1937">
        <f>G1937-U1937</f>
        <v/>
      </c>
      <c r="Q1937" s="35" t="n">
        <v>45621</v>
      </c>
      <c r="R1937" t="n">
        <v>82287</v>
      </c>
      <c r="S1937" t="inlineStr">
        <is>
          <t>L001-100045995</t>
        </is>
      </c>
      <c r="T1937" t="inlineStr">
        <is>
          <t>ឌីអេចអិល ឡូជីស្ទីក (ខេមបូឌា)</t>
        </is>
      </c>
      <c r="U1937" t="n">
        <v>82287</v>
      </c>
      <c r="V1937" t="n">
        <v>0</v>
      </c>
    </row>
    <row r="1938">
      <c r="A1938" t="n">
        <v>1937</v>
      </c>
      <c r="B1938" t="inlineStr">
        <is>
          <t>Factory Decoration Fee</t>
        </is>
      </c>
      <c r="C1938" t="inlineStr">
        <is>
          <t>ខ្វាន់ទុម ហ្គាមេន ឯ.ក</t>
        </is>
      </c>
      <c r="D1938" t="inlineStr">
        <is>
          <t>L001-100181244</t>
        </is>
      </c>
      <c r="E1938" t="inlineStr">
        <is>
          <t>CBK-202400033</t>
        </is>
      </c>
      <c r="F1938" t="inlineStr">
        <is>
          <t>22-11-2024</t>
        </is>
      </c>
      <c r="G1938" t="n">
        <v>79739415</v>
      </c>
      <c r="I1938">
        <f>G1938</f>
        <v/>
      </c>
      <c r="K1938">
        <f>I1938-G1938</f>
        <v/>
      </c>
      <c r="M1938">
        <f>R1938=E1938</f>
        <v/>
      </c>
      <c r="N1938">
        <f>AND(MONTH(F1938)=MONTH(Q1938), YEAR(F1938)=YEAR(Q1938))</f>
        <v/>
      </c>
      <c r="O1938">
        <f>"L001-902303751"=S1938</f>
        <v/>
      </c>
      <c r="P1938">
        <f>G1938-U1938</f>
        <v/>
      </c>
      <c r="Q1938" s="35" t="n">
        <v>45621</v>
      </c>
      <c r="R1938" t="n">
        <v>84695</v>
      </c>
      <c r="S1938" t="inlineStr">
        <is>
          <t>L001-100045340</t>
        </is>
      </c>
      <c r="T1938" t="inlineStr">
        <is>
          <t xml:space="preserve">ស៊ីវ៉ា អ៊ែរ អ៊ែន អូសៀន (ខេមបូឌា) ឯ.ក </t>
        </is>
      </c>
      <c r="U1938" t="n">
        <v>84695</v>
      </c>
      <c r="V1938" t="n">
        <v>0</v>
      </c>
    </row>
    <row r="1939">
      <c r="A1939" t="n">
        <v>1938</v>
      </c>
      <c r="B1939" t="inlineStr">
        <is>
          <t>Send Docs</t>
        </is>
      </c>
      <c r="C1939" t="inlineStr">
        <is>
          <t>ឌី អេច អិល អិចប្រេស (ខេមបូឌា)</t>
        </is>
      </c>
      <c r="D1939" t="inlineStr">
        <is>
          <t>L001-100045197</t>
        </is>
      </c>
      <c r="E1939" t="inlineStr">
        <is>
          <t>PNHIR00256408</t>
        </is>
      </c>
      <c r="F1939" t="inlineStr">
        <is>
          <t>27-11-2024</t>
        </is>
      </c>
      <c r="G1939" t="n">
        <v>6036</v>
      </c>
      <c r="I1939">
        <f>G1939</f>
        <v/>
      </c>
      <c r="K1939">
        <f>I1939-G1939</f>
        <v/>
      </c>
      <c r="M1939">
        <f>R1939=E1939</f>
        <v/>
      </c>
      <c r="N1939">
        <f>AND(MONTH(F1939)=MONTH(Q1939), YEAR(F1939)=YEAR(Q1939))</f>
        <v/>
      </c>
      <c r="O1939">
        <f>"L001-902303751"=S1939</f>
        <v/>
      </c>
      <c r="P1939">
        <f>G1939-U1939</f>
        <v/>
      </c>
      <c r="Q1939" s="35" t="n">
        <v>45621</v>
      </c>
      <c r="R1939" t="inlineStr"/>
      <c r="S1939" t="inlineStr">
        <is>
          <t>L001-100045995</t>
        </is>
      </c>
      <c r="T1939" t="inlineStr">
        <is>
          <t>ឌីអេចអិល ឡូជីស្ទីក (ខេមបូឌា)</t>
        </is>
      </c>
      <c r="U1939" t="n">
        <v>0</v>
      </c>
      <c r="V1939" t="n">
        <v>0</v>
      </c>
    </row>
    <row r="1940">
      <c r="A1940" t="n">
        <v>1939</v>
      </c>
      <c r="B1940" t="inlineStr">
        <is>
          <t>Coated Paper</t>
        </is>
      </c>
      <c r="C1940" t="inlineStr">
        <is>
          <t>ហ្គូដញូ ភែកឃីជីង ថេកណឡជី ឯ.ក</t>
        </is>
      </c>
      <c r="D1940" t="inlineStr">
        <is>
          <t>L001-901704919</t>
        </is>
      </c>
      <c r="E1940" t="inlineStr">
        <is>
          <t>TI-GN-2024-063</t>
        </is>
      </c>
      <c r="F1940" t="inlineStr">
        <is>
          <t>30-11-2024</t>
        </is>
      </c>
      <c r="G1940" t="n">
        <v>95984</v>
      </c>
      <c r="I1940">
        <f>G1940</f>
        <v/>
      </c>
      <c r="K1940">
        <f>I1940-G1940</f>
        <v/>
      </c>
      <c r="M1940">
        <f>R1940=E1940</f>
        <v/>
      </c>
      <c r="N1940">
        <f>AND(MONTH(F1940)=MONTH(Q1940), YEAR(F1940)=YEAR(Q1940))</f>
        <v/>
      </c>
      <c r="O1940">
        <f>"L001-902303751"=S1940</f>
        <v/>
      </c>
      <c r="P1940">
        <f>G1940-U1940</f>
        <v/>
      </c>
      <c r="Q1940" s="35" t="n">
        <v>45614</v>
      </c>
      <c r="R1940" t="n">
        <v>82841</v>
      </c>
      <c r="S1940" t="inlineStr">
        <is>
          <t>L001-901500191</t>
        </is>
      </c>
      <c r="T1940" t="inlineStr">
        <is>
          <t>អ.អិន.វ៉ាយ ត្រេនស្ព័ត</t>
        </is>
      </c>
      <c r="U1940" t="n">
        <v>82841</v>
      </c>
      <c r="V1940" t="n">
        <v>0</v>
      </c>
    </row>
    <row r="1941">
      <c r="A1941" t="n">
        <v>1940</v>
      </c>
      <c r="B1941" t="inlineStr">
        <is>
          <t>Trucking, Customs Clearance, Extra Trucking and Truck Fuel Surcharge</t>
        </is>
      </c>
      <c r="C1941" t="inlineStr">
        <is>
          <t>អេស អ វី ស៊ី ហ្វ្រេត សឺវីស (ខេមបូឌា) ខូ អិលធីឌី</t>
        </is>
      </c>
      <c r="D1941" t="inlineStr">
        <is>
          <t>K005-100150195</t>
        </is>
      </c>
      <c r="E1941" t="inlineStr">
        <is>
          <t>SRVI2407006</t>
        </is>
      </c>
      <c r="F1941" t="inlineStr">
        <is>
          <t>07-11-2024</t>
        </is>
      </c>
      <c r="G1941" t="n">
        <v>170646</v>
      </c>
      <c r="I1941">
        <f>G1941</f>
        <v/>
      </c>
      <c r="K1941">
        <f>I1941-G1941</f>
        <v/>
      </c>
      <c r="M1941">
        <f>R1941=E1941</f>
        <v/>
      </c>
      <c r="N1941">
        <f>AND(MONTH(F1941)=MONTH(Q1941), YEAR(F1941)=YEAR(Q1941))</f>
        <v/>
      </c>
      <c r="O1941">
        <f>"L001-902303751"=S1941</f>
        <v/>
      </c>
      <c r="P1941">
        <f>G1941-U1941</f>
        <v/>
      </c>
      <c r="Q1941" s="35" t="n">
        <v>45607</v>
      </c>
      <c r="R1941" t="n">
        <v>111623</v>
      </c>
      <c r="S1941" t="inlineStr">
        <is>
          <t>L001-100045995</t>
        </is>
      </c>
      <c r="T1941" t="inlineStr">
        <is>
          <t>ឌីអេចអិល ឡូជីស្ទីក (ខេមបូឌា)</t>
        </is>
      </c>
      <c r="U1941" t="n">
        <v>111623</v>
      </c>
      <c r="V1941" t="n">
        <v>0</v>
      </c>
    </row>
    <row r="1942">
      <c r="A1942" t="n">
        <v>1941</v>
      </c>
      <c r="B1942" t="inlineStr">
        <is>
          <t>Customs Clearance Fee</t>
        </is>
      </c>
      <c r="C1942" t="inlineStr">
        <is>
          <t>ត្រាយអ៊ែងហ្គល ឡូជីស្ទីក (ខេមបូឌា) ឯ.ក</t>
        </is>
      </c>
      <c r="D1942" t="inlineStr">
        <is>
          <t>K010-902101743</t>
        </is>
      </c>
      <c r="E1942" t="inlineStr">
        <is>
          <t>TAG-24-00868</t>
        </is>
      </c>
      <c r="F1942" t="inlineStr">
        <is>
          <t>22-11-2024</t>
        </is>
      </c>
      <c r="G1942" t="n">
        <v>8052</v>
      </c>
      <c r="I1942">
        <f>G1942</f>
        <v/>
      </c>
      <c r="K1942">
        <f>I1942-G1942</f>
        <v/>
      </c>
      <c r="M1942">
        <f>R1942=E1942</f>
        <v/>
      </c>
      <c r="N1942">
        <f>AND(MONTH(F1942)=MONTH(Q1942), YEAR(F1942)=YEAR(Q1942))</f>
        <v/>
      </c>
      <c r="O1942">
        <f>"L001-902303751"=S1942</f>
        <v/>
      </c>
      <c r="P1942">
        <f>G1942-U1942</f>
        <v/>
      </c>
      <c r="Q1942" s="35" t="n">
        <v>45600</v>
      </c>
      <c r="R1942" t="inlineStr"/>
      <c r="S1942" t="inlineStr">
        <is>
          <t>K005-901805913</t>
        </is>
      </c>
      <c r="T1942" t="inlineStr">
        <is>
          <t>ស្តារ ខង់ខដ (ខេមបូឌា) ឯ.ក</t>
        </is>
      </c>
      <c r="U1942" t="n">
        <v>0</v>
      </c>
      <c r="V1942" t="n">
        <v>0</v>
      </c>
    </row>
    <row r="1943">
      <c r="A1943" t="n">
        <v>1942</v>
      </c>
      <c r="B1943" t="inlineStr">
        <is>
          <t>Customs Clearance Fee</t>
        </is>
      </c>
      <c r="C1943" t="inlineStr">
        <is>
          <t>ត្រាយអ៊ែងហ្គល ឡូជីស្ទីក (ខេមបូឌា) ឯ.ក</t>
        </is>
      </c>
      <c r="D1943" t="inlineStr">
        <is>
          <t>K010-902101743</t>
        </is>
      </c>
      <c r="E1943" t="inlineStr">
        <is>
          <t>TAG-24-00872</t>
        </is>
      </c>
      <c r="F1943" t="inlineStr">
        <is>
          <t>22-11-2024</t>
        </is>
      </c>
      <c r="G1943" t="n">
        <v>8052</v>
      </c>
      <c r="I1943">
        <f>G1943</f>
        <v/>
      </c>
      <c r="K1943">
        <f>I1943-G1943</f>
        <v/>
      </c>
      <c r="M1943">
        <f>R1943=E1943</f>
        <v/>
      </c>
      <c r="N1943">
        <f>AND(MONTH(F1943)=MONTH(Q1943), YEAR(F1943)=YEAR(Q1943))</f>
        <v/>
      </c>
      <c r="O1943">
        <f>"L001-902303751"=S1943</f>
        <v/>
      </c>
      <c r="P1943">
        <f>G1943-U1943</f>
        <v/>
      </c>
      <c r="Q1943" s="35" t="n">
        <v>45600</v>
      </c>
      <c r="R1943" t="n">
        <v>114227</v>
      </c>
      <c r="S1943" t="inlineStr">
        <is>
          <t>K005-901805913</t>
        </is>
      </c>
      <c r="T1943" t="inlineStr">
        <is>
          <t>ស្តារ ខង់ខដ (ខេមបូឌា) ឯ.ក</t>
        </is>
      </c>
      <c r="U1943" t="n">
        <v>114227</v>
      </c>
      <c r="V1943" t="n">
        <v>0</v>
      </c>
    </row>
    <row r="1944">
      <c r="A1944" t="n">
        <v>1943</v>
      </c>
      <c r="B1944" t="inlineStr">
        <is>
          <t>Cargo Terminal</t>
        </is>
      </c>
      <c r="C1944" t="inlineStr">
        <is>
          <t>សូស៊ីយេតេ កុងសេស្យូនែរ ដឺ ឡាអេរ៉ូព័រ</t>
        </is>
      </c>
      <c r="D1944" t="inlineStr">
        <is>
          <t>L001-100047300</t>
        </is>
      </c>
      <c r="E1944" t="inlineStr">
        <is>
          <t>2400092714</t>
        </is>
      </c>
      <c r="F1944" t="inlineStr">
        <is>
          <t>15-11-2024</t>
        </is>
      </c>
      <c r="G1944" t="n">
        <v>21664</v>
      </c>
      <c r="I1944">
        <f>G1944</f>
        <v/>
      </c>
      <c r="K1944">
        <f>I1944-G1944</f>
        <v/>
      </c>
      <c r="M1944">
        <f>R1944=E1944</f>
        <v/>
      </c>
      <c r="N1944">
        <f>AND(MONTH(F1944)=MONTH(Q1944), YEAR(F1944)=YEAR(Q1944))</f>
        <v/>
      </c>
      <c r="O1944">
        <f>"L001-902303751"=S1944</f>
        <v/>
      </c>
      <c r="P1944">
        <f>G1944-U1944</f>
        <v/>
      </c>
      <c r="Q1944" s="35" t="n">
        <v>45607</v>
      </c>
      <c r="R1944" t="n">
        <v>111623</v>
      </c>
      <c r="S1944" t="inlineStr">
        <is>
          <t>L001-100045995</t>
        </is>
      </c>
      <c r="T1944" t="inlineStr">
        <is>
          <t>ឌីអេចអិល ឡូជីស្ទីក (ខេមបូឌា)</t>
        </is>
      </c>
      <c r="U1944" t="n">
        <v>111623</v>
      </c>
      <c r="V1944" t="n">
        <v>0</v>
      </c>
    </row>
    <row r="1945">
      <c r="A1945" t="n">
        <v>1944</v>
      </c>
      <c r="B1945" t="inlineStr">
        <is>
          <t>Customs Clearance Fee</t>
        </is>
      </c>
      <c r="C1945" t="inlineStr">
        <is>
          <t>ត្រាយអ៊ែងហ្គល ឡូជីស្ទីក (ខេមបូឌា) ឯ.ក</t>
        </is>
      </c>
      <c r="D1945" t="inlineStr">
        <is>
          <t>K010-902101743</t>
        </is>
      </c>
      <c r="E1945" t="inlineStr">
        <is>
          <t>TAG-24-00871</t>
        </is>
      </c>
      <c r="F1945" t="inlineStr">
        <is>
          <t>22-11-2024</t>
        </is>
      </c>
      <c r="G1945" t="n">
        <v>8052</v>
      </c>
      <c r="I1945">
        <f>G1945</f>
        <v/>
      </c>
      <c r="K1945">
        <f>I1945-G1945</f>
        <v/>
      </c>
      <c r="M1945">
        <f>R1945=E1945</f>
        <v/>
      </c>
      <c r="N1945">
        <f>AND(MONTH(F1945)=MONTH(Q1945), YEAR(F1945)=YEAR(Q1945))</f>
        <v/>
      </c>
      <c r="O1945">
        <f>"L001-902303751"=S1945</f>
        <v/>
      </c>
      <c r="P1945">
        <f>G1945-U1945</f>
        <v/>
      </c>
      <c r="Q1945" s="35" t="n">
        <v>45600</v>
      </c>
      <c r="R1945" t="n">
        <v>111788</v>
      </c>
      <c r="S1945" t="inlineStr">
        <is>
          <t>L001-107041723</t>
        </is>
      </c>
      <c r="T1945" t="inlineStr">
        <is>
          <t>ឌីប៊ី សេនឃើរ (ខេមបូឌា) លីមីធីត</t>
        </is>
      </c>
      <c r="U1945" t="n">
        <v>111788</v>
      </c>
      <c r="V1945" t="n">
        <v>0</v>
      </c>
    </row>
    <row r="1946">
      <c r="A1946" t="n">
        <v>1945</v>
      </c>
      <c r="B1946" t="inlineStr">
        <is>
          <t>Cargo Terminal</t>
        </is>
      </c>
      <c r="C1946" t="inlineStr">
        <is>
          <t>សូស៊ីយេតេ កុងសេស្យូនែរ ដឺ ឡាអេរ៉ូព័រ</t>
        </is>
      </c>
      <c r="D1946" t="inlineStr">
        <is>
          <t>L001-100047300</t>
        </is>
      </c>
      <c r="E1946" t="inlineStr">
        <is>
          <t>2400092065</t>
        </is>
      </c>
      <c r="F1946" t="inlineStr">
        <is>
          <t>12-11-2024</t>
        </is>
      </c>
      <c r="G1946" t="n">
        <v>811</v>
      </c>
      <c r="I1946">
        <f>G1946</f>
        <v/>
      </c>
      <c r="K1946">
        <f>I1946-G1946</f>
        <v/>
      </c>
      <c r="M1946">
        <f>R1946=E1946</f>
        <v/>
      </c>
      <c r="N1946">
        <f>AND(MONTH(F1946)=MONTH(Q1946), YEAR(F1946)=YEAR(Q1946))</f>
        <v/>
      </c>
      <c r="O1946">
        <f>"L001-902303751"=S1946</f>
        <v/>
      </c>
      <c r="P1946">
        <f>G1946-U1946</f>
        <v/>
      </c>
      <c r="Q1946" s="35" t="n">
        <v>45619</v>
      </c>
      <c r="R1946" t="n">
        <v>2505380</v>
      </c>
      <c r="S1946" t="inlineStr">
        <is>
          <t>K004-105012505</t>
        </is>
      </c>
      <c r="T1946" t="inlineStr">
        <is>
          <t>អេស៊ាន ហ្វ្រេត (ខេមបូឌា)</t>
        </is>
      </c>
      <c r="U1946" t="n">
        <v>2505380</v>
      </c>
      <c r="V1946" t="n">
        <v>0</v>
      </c>
    </row>
    <row r="1947">
      <c r="A1947" t="n">
        <v>1946</v>
      </c>
      <c r="B1947" t="inlineStr">
        <is>
          <t>Customs Clearance Fee</t>
        </is>
      </c>
      <c r="C1947" t="inlineStr">
        <is>
          <t>ត្រាយអ៊ែងហ្គល ឡូជីស្ទីក (ខេមបូឌា) ឯ.ក</t>
        </is>
      </c>
      <c r="D1947" t="inlineStr">
        <is>
          <t>K010-902101743</t>
        </is>
      </c>
      <c r="E1947" t="inlineStr">
        <is>
          <t>TAG-24-00870</t>
        </is>
      </c>
      <c r="F1947" t="inlineStr">
        <is>
          <t>22-11-2024</t>
        </is>
      </c>
      <c r="G1947" t="n">
        <v>8052</v>
      </c>
      <c r="I1947">
        <f>G1947</f>
        <v/>
      </c>
      <c r="K1947">
        <f>I1947-G1947</f>
        <v/>
      </c>
      <c r="M1947">
        <f>R1947=E1947</f>
        <v/>
      </c>
      <c r="N1947">
        <f>AND(MONTH(F1947)=MONTH(Q1947), YEAR(F1947)=YEAR(Q1947))</f>
        <v/>
      </c>
      <c r="O1947">
        <f>"L001-902303751"=S1947</f>
        <v/>
      </c>
      <c r="P1947">
        <f>G1947-U1947</f>
        <v/>
      </c>
      <c r="Q1947" s="35" t="n">
        <v>45271</v>
      </c>
      <c r="R1947" t="n">
        <v>206523</v>
      </c>
      <c r="S1947" t="inlineStr">
        <is>
          <t>L001-100074669</t>
        </is>
      </c>
      <c r="T1947" t="inlineStr">
        <is>
          <t>ខេអិលអិន ហ្វ្រេត (ខេមបូឌា) ឯ.ក</t>
        </is>
      </c>
      <c r="U1947" t="n">
        <v>206523</v>
      </c>
      <c r="V1947" t="n">
        <v>0</v>
      </c>
    </row>
    <row r="1948">
      <c r="A1948" t="n">
        <v>1947</v>
      </c>
      <c r="B1948" t="inlineStr">
        <is>
          <t>Cargo Terminal</t>
        </is>
      </c>
      <c r="C1948" t="inlineStr">
        <is>
          <t>សូស៊ីយេតេ កុងសេស្យូនែរ ដឺ ឡាអេរ៉ូព័រ</t>
        </is>
      </c>
      <c r="D1948" t="inlineStr">
        <is>
          <t>L001-100047300</t>
        </is>
      </c>
      <c r="E1948" t="inlineStr">
        <is>
          <t>2400092066</t>
        </is>
      </c>
      <c r="F1948" t="inlineStr">
        <is>
          <t>12-11-2024</t>
        </is>
      </c>
      <c r="G1948" t="n">
        <v>3633</v>
      </c>
      <c r="I1948">
        <f>G1948</f>
        <v/>
      </c>
      <c r="K1948">
        <f>I1948-G1948</f>
        <v/>
      </c>
      <c r="M1948">
        <f>R1948=E1948</f>
        <v/>
      </c>
      <c r="N1948">
        <f>AND(MONTH(F1948)=MONTH(Q1948), YEAR(F1948)=YEAR(Q1948))</f>
        <v/>
      </c>
      <c r="O1948">
        <f>"L001-902303751"=S1948</f>
        <v/>
      </c>
      <c r="P1948">
        <f>G1948-U1948</f>
        <v/>
      </c>
      <c r="Q1948" s="35" t="n">
        <v>45271</v>
      </c>
      <c r="R1948" t="inlineStr"/>
      <c r="S1948" t="inlineStr">
        <is>
          <t>L001-100045340</t>
        </is>
      </c>
      <c r="T1948" t="inlineStr">
        <is>
          <t xml:space="preserve">ស៊ីវ៉ា អ៊ែរ អ៊ែន អូសៀន (ខេមបូឌា) ឯ.ក </t>
        </is>
      </c>
      <c r="U1948" t="n">
        <v>0</v>
      </c>
      <c r="V1948" t="n">
        <v>0</v>
      </c>
    </row>
    <row r="1949">
      <c r="A1949" t="n">
        <v>1948</v>
      </c>
      <c r="B1949" t="inlineStr">
        <is>
          <t>Customs Clearance Fee</t>
        </is>
      </c>
      <c r="C1949" t="inlineStr">
        <is>
          <t>ត្រាយអ៊ែងហ្គល ឡូជីស្ទីក (ខេមបូឌា) ឯ.ក</t>
        </is>
      </c>
      <c r="D1949" t="inlineStr">
        <is>
          <t>K010-902101743</t>
        </is>
      </c>
      <c r="E1949" t="inlineStr">
        <is>
          <t>TAG-24-00869</t>
        </is>
      </c>
      <c r="F1949" t="inlineStr">
        <is>
          <t>22-11-2024</t>
        </is>
      </c>
      <c r="G1949" t="n">
        <v>8052</v>
      </c>
      <c r="I1949">
        <f>G1949</f>
        <v/>
      </c>
      <c r="K1949">
        <f>I1949-G1949</f>
        <v/>
      </c>
      <c r="M1949">
        <f>R1949=E1949</f>
        <v/>
      </c>
      <c r="N1949">
        <f>AND(MONTH(F1949)=MONTH(Q1949), YEAR(F1949)=YEAR(Q1949))</f>
        <v/>
      </c>
      <c r="O1949">
        <f>"L001-902303751"=S1949</f>
        <v/>
      </c>
      <c r="P1949">
        <f>G1949-U1949</f>
        <v/>
      </c>
      <c r="Q1949" s="35" t="n">
        <v>45264</v>
      </c>
      <c r="R1949" t="n">
        <v>82280</v>
      </c>
      <c r="S1949" t="inlineStr">
        <is>
          <t>L001-106004107</t>
        </is>
      </c>
      <c r="T1949" t="inlineStr">
        <is>
          <t>ត្រេនម៉ារីន ឡូជីស្ទីក (ខេមបូឌា)</t>
        </is>
      </c>
      <c r="U1949" t="n">
        <v>82280</v>
      </c>
      <c r="V1949" t="n">
        <v>0</v>
      </c>
    </row>
    <row r="1950">
      <c r="A1950" t="n">
        <v>1949</v>
      </c>
      <c r="B1950" t="inlineStr">
        <is>
          <t>Cargo Terminal</t>
        </is>
      </c>
      <c r="C1950" t="inlineStr">
        <is>
          <t>សូស៊ីយេតេ កុងសេស្យូនែរ ដឺ ឡាអេរ៉ូព័រ</t>
        </is>
      </c>
      <c r="D1950" t="inlineStr">
        <is>
          <t>L001-100047300</t>
        </is>
      </c>
      <c r="E1950" t="inlineStr">
        <is>
          <t>2400091753</t>
        </is>
      </c>
      <c r="F1950" t="inlineStr">
        <is>
          <t>12-11-2024</t>
        </is>
      </c>
      <c r="G1950" t="n">
        <v>3338</v>
      </c>
      <c r="I1950">
        <f>G1950</f>
        <v/>
      </c>
      <c r="K1950">
        <f>I1950-G1950</f>
        <v/>
      </c>
      <c r="M1950">
        <f>R1950=E1950</f>
        <v/>
      </c>
      <c r="N1950">
        <f>AND(MONTH(F1950)=MONTH(Q1950), YEAR(F1950)=YEAR(Q1950))</f>
        <v/>
      </c>
      <c r="O1950">
        <f>"L001-902303751"=S1950</f>
        <v/>
      </c>
      <c r="P1950">
        <f>G1950-U1950</f>
        <v/>
      </c>
      <c r="Q1950" s="35" t="n">
        <v>45267</v>
      </c>
      <c r="R1950" t="inlineStr"/>
      <c r="S1950" t="inlineStr">
        <is>
          <t>L001-902000739</t>
        </is>
      </c>
      <c r="T1950" t="inlineStr">
        <is>
          <t>អាន រ៉ុង ហ្ស៊ី យី ឯ.ក</t>
        </is>
      </c>
      <c r="U1950" t="n">
        <v>0</v>
      </c>
      <c r="V1950" t="n">
        <v>0</v>
      </c>
    </row>
    <row r="1951">
      <c r="A1951" t="n">
        <v>1950</v>
      </c>
      <c r="B1951" t="inlineStr">
        <is>
          <t>Cargo Terminal</t>
        </is>
      </c>
      <c r="C1951" t="inlineStr">
        <is>
          <t>សូស៊ីយេតេ កុងសេស្យូនែរ ដឺ ឡាអេរ៉ូព័រ</t>
        </is>
      </c>
      <c r="D1951" t="inlineStr">
        <is>
          <t>L001-100047300</t>
        </is>
      </c>
      <c r="E1951" t="inlineStr">
        <is>
          <t>2400090089</t>
        </is>
      </c>
      <c r="F1951" t="inlineStr">
        <is>
          <t>06-11-2024</t>
        </is>
      </c>
      <c r="G1951" t="n">
        <v>9916</v>
      </c>
      <c r="I1951">
        <f>G1951</f>
        <v/>
      </c>
      <c r="K1951">
        <f>I1951-G1951</f>
        <v/>
      </c>
      <c r="M1951">
        <f>R1951=E1951</f>
        <v/>
      </c>
      <c r="N1951">
        <f>AND(MONTH(F1951)=MONTH(Q1951), YEAR(F1951)=YEAR(Q1951))</f>
        <v/>
      </c>
      <c r="O1951">
        <f>"L001-902303751"=S1951</f>
        <v/>
      </c>
      <c r="P1951">
        <f>G1951-U1951</f>
        <v/>
      </c>
      <c r="Q1951" s="35" t="n">
        <v>45266</v>
      </c>
      <c r="R1951" t="n">
        <v>9874</v>
      </c>
      <c r="S1951" t="inlineStr">
        <is>
          <t>K002-901800477</t>
        </is>
      </c>
      <c r="T1951" t="inlineStr">
        <is>
          <t>អាយធីអាយ អ៊ិនធើណេសិនណល ត្រេនស័្ពរថេសិន (ខេមបូឌា) ឯ.ក</t>
        </is>
      </c>
      <c r="U1951" t="n">
        <v>9874</v>
      </c>
      <c r="V1951" t="n">
        <v>0</v>
      </c>
    </row>
    <row r="1952">
      <c r="A1952" t="n">
        <v>1951</v>
      </c>
      <c r="B1952" t="inlineStr">
        <is>
          <t>Trucking, Customs Clearance, Extra Trucking and Truck Fuel Surcharge</t>
        </is>
      </c>
      <c r="C1952" t="inlineStr">
        <is>
          <t>អេស អ វី ស៊ី ហ្វ្រេត សឺវីស (ខេមបូឌា) ខូ អិលធីឌី</t>
        </is>
      </c>
      <c r="D1952" t="inlineStr">
        <is>
          <t>K005-100150195</t>
        </is>
      </c>
      <c r="E1952" t="inlineStr">
        <is>
          <t>SRVI2407007</t>
        </is>
      </c>
      <c r="F1952" t="inlineStr">
        <is>
          <t>07-11-2024</t>
        </is>
      </c>
      <c r="G1952" t="n">
        <v>176741</v>
      </c>
      <c r="I1952">
        <f>G1952</f>
        <v/>
      </c>
      <c r="K1952">
        <f>I1952-G1952</f>
        <v/>
      </c>
      <c r="M1952">
        <f>R1952=E1952</f>
        <v/>
      </c>
      <c r="N1952">
        <f>AND(MONTH(F1952)=MONTH(Q1952), YEAR(F1952)=YEAR(Q1952))</f>
        <v/>
      </c>
      <c r="O1952">
        <f>"L001-902303751"=S1952</f>
        <v/>
      </c>
      <c r="P1952">
        <f>G1952-U1952</f>
        <v/>
      </c>
      <c r="Q1952" s="35" t="n">
        <v>45264</v>
      </c>
      <c r="R1952" t="inlineStr"/>
      <c r="S1952" t="inlineStr">
        <is>
          <t>L001-100074669</t>
        </is>
      </c>
      <c r="T1952" t="inlineStr">
        <is>
          <t>ខេអិលអិន ហ្វ្រេត (ខេមបូឌា) ឯ.ក</t>
        </is>
      </c>
      <c r="U1952" t="n">
        <v>0</v>
      </c>
      <c r="V1952" t="n">
        <v>0</v>
      </c>
    </row>
    <row r="1953">
      <c r="A1953" t="n">
        <v>1952</v>
      </c>
      <c r="B1953" t="inlineStr">
        <is>
          <t>Customs Clearance Fee</t>
        </is>
      </c>
      <c r="C1953" t="inlineStr">
        <is>
          <t>ត្រាយអ៊ែងហ្គល ឡូជីស្ទីក (ខេមបូឌា) ឯ.ក</t>
        </is>
      </c>
      <c r="D1953" t="inlineStr">
        <is>
          <t>K010-902101743</t>
        </is>
      </c>
      <c r="E1953" t="inlineStr">
        <is>
          <t>TAG-24-00837</t>
        </is>
      </c>
      <c r="F1953" t="inlineStr">
        <is>
          <t>12-11-2024</t>
        </is>
      </c>
      <c r="G1953" t="n">
        <v>8106</v>
      </c>
      <c r="I1953">
        <f>G1953</f>
        <v/>
      </c>
      <c r="K1953">
        <f>I1953-G1953</f>
        <v/>
      </c>
      <c r="M1953">
        <f>R1953=E1953</f>
        <v/>
      </c>
      <c r="N1953">
        <f>AND(MONTH(F1953)=MONTH(Q1953), YEAR(F1953)=YEAR(Q1953))</f>
        <v/>
      </c>
      <c r="O1953">
        <f>"L001-902303751"=S1953</f>
        <v/>
      </c>
      <c r="P1953">
        <f>G1953-U1953</f>
        <v/>
      </c>
      <c r="Q1953" s="35" t="n">
        <v>45285</v>
      </c>
      <c r="R1953" t="inlineStr"/>
      <c r="S1953" t="inlineStr">
        <is>
          <t>L001-107041723</t>
        </is>
      </c>
      <c r="T1953" t="inlineStr">
        <is>
          <t>ឌីប៊ី សេនឃើរ (ខេមបូឌា) លីមីធីត</t>
        </is>
      </c>
      <c r="U1953" t="n">
        <v>0</v>
      </c>
      <c r="V1953" t="n">
        <v>0</v>
      </c>
    </row>
    <row r="1954">
      <c r="A1954" t="n">
        <v>1953</v>
      </c>
      <c r="B1954" t="inlineStr">
        <is>
          <t>Cargo Terminal</t>
        </is>
      </c>
      <c r="C1954" t="inlineStr">
        <is>
          <t>សូស៊ីយេតេ កុងសេស្យូនែរ ដឺ ឡាអេរ៉ូព័រ</t>
        </is>
      </c>
      <c r="D1954" t="inlineStr">
        <is>
          <t>L001-100047300</t>
        </is>
      </c>
      <c r="E1954" t="inlineStr">
        <is>
          <t>2400088626</t>
        </is>
      </c>
      <c r="F1954" t="inlineStr">
        <is>
          <t>01-11-2024</t>
        </is>
      </c>
      <c r="G1954" t="n">
        <v>813</v>
      </c>
      <c r="I1954">
        <f>G1954</f>
        <v/>
      </c>
      <c r="K1954">
        <f>I1954-G1954</f>
        <v/>
      </c>
      <c r="M1954">
        <f>R1954=E1954</f>
        <v/>
      </c>
      <c r="N1954">
        <f>AND(MONTH(F1954)=MONTH(Q1954), YEAR(F1954)=YEAR(Q1954))</f>
        <v/>
      </c>
      <c r="O1954">
        <f>"L001-902303751"=S1954</f>
        <v/>
      </c>
      <c r="P1954">
        <f>G1954-U1954</f>
        <v/>
      </c>
      <c r="Q1954" s="35" t="n">
        <v>45285</v>
      </c>
      <c r="R1954" t="inlineStr"/>
      <c r="S1954" t="inlineStr">
        <is>
          <t>L001-107032791</t>
        </is>
      </c>
      <c r="T1954" t="inlineStr">
        <is>
          <t>នីបផន អិចប្រេស (ខេមបូឌា) ខូ អិលធីឌី</t>
        </is>
      </c>
      <c r="U1954" t="n">
        <v>0</v>
      </c>
      <c r="V1954" t="n">
        <v>0</v>
      </c>
    </row>
    <row r="1955">
      <c r="A1955" t="n">
        <v>1954</v>
      </c>
      <c r="B1955" t="inlineStr">
        <is>
          <t>Customs Clearance Fee</t>
        </is>
      </c>
      <c r="C1955" t="inlineStr">
        <is>
          <t>ត្រាយអ៊ែងហ្គល ឡូជីស្ទីក (ខេមបូឌា) ឯ.ក</t>
        </is>
      </c>
      <c r="D1955" t="inlineStr">
        <is>
          <t>K010-902101743</t>
        </is>
      </c>
      <c r="E1955" t="inlineStr">
        <is>
          <t>TAG-24-00836</t>
        </is>
      </c>
      <c r="F1955" t="inlineStr">
        <is>
          <t>12-11-2024</t>
        </is>
      </c>
      <c r="G1955" t="n">
        <v>8106</v>
      </c>
      <c r="I1955">
        <f>G1955</f>
        <v/>
      </c>
      <c r="K1955">
        <f>I1955-G1955</f>
        <v/>
      </c>
      <c r="M1955">
        <f>R1955=E1955</f>
        <v/>
      </c>
      <c r="N1955">
        <f>AND(MONTH(F1955)=MONTH(Q1955), YEAR(F1955)=YEAR(Q1955))</f>
        <v/>
      </c>
      <c r="O1955">
        <f>"L001-902303751"=S1955</f>
        <v/>
      </c>
      <c r="P1955">
        <f>G1955-U1955</f>
        <v/>
      </c>
      <c r="Q1955" s="35" t="n">
        <v>45271</v>
      </c>
      <c r="R1955" t="inlineStr"/>
      <c r="S1955" t="inlineStr">
        <is>
          <t>K005-901805913</t>
        </is>
      </c>
      <c r="T1955" t="inlineStr">
        <is>
          <t>ស្តារ ខង់ខដ (ខេមបូឌា) ឯ.ក</t>
        </is>
      </c>
      <c r="U1955" t="n">
        <v>0</v>
      </c>
      <c r="V1955" t="n">
        <v>0</v>
      </c>
    </row>
    <row r="1956">
      <c r="A1956" t="n">
        <v>1955</v>
      </c>
      <c r="B1956" t="inlineStr">
        <is>
          <t>Cargo Terminal</t>
        </is>
      </c>
      <c r="C1956" t="inlineStr">
        <is>
          <t>សូស៊ីយេតេ កុងសេស្យូនែរ ដឺ ឡាអេរ៉ូព័រ</t>
        </is>
      </c>
      <c r="D1956" t="inlineStr">
        <is>
          <t>L001-100047300</t>
        </is>
      </c>
      <c r="E1956" t="inlineStr">
        <is>
          <t>2400088625</t>
        </is>
      </c>
      <c r="F1956" t="inlineStr">
        <is>
          <t>01-11-2024</t>
        </is>
      </c>
      <c r="G1956" t="n">
        <v>1138</v>
      </c>
      <c r="I1956">
        <f>G1956</f>
        <v/>
      </c>
      <c r="K1956">
        <f>I1956-G1956</f>
        <v/>
      </c>
      <c r="M1956">
        <f>R1956=E1956</f>
        <v/>
      </c>
      <c r="N1956">
        <f>AND(MONTH(F1956)=MONTH(Q1956), YEAR(F1956)=YEAR(Q1956))</f>
        <v/>
      </c>
      <c r="O1956">
        <f>"L001-902303751"=S1956</f>
        <v/>
      </c>
      <c r="P1956">
        <f>G1956-U1956</f>
        <v/>
      </c>
      <c r="Q1956" s="35" t="n">
        <v>45267</v>
      </c>
      <c r="R1956" t="inlineStr"/>
      <c r="S1956" t="inlineStr">
        <is>
          <t>K002-901800477</t>
        </is>
      </c>
      <c r="T1956" t="inlineStr">
        <is>
          <t>អាយធីអាយ អ៊ិនធើណេសិនណល ត្រេនស័្ពរថេសិន (ខេមបូឌា) ឯ.ក</t>
        </is>
      </c>
      <c r="U1956" t="n">
        <v>0</v>
      </c>
      <c r="V1956" t="n">
        <v>0</v>
      </c>
    </row>
    <row r="1957">
      <c r="A1957" t="n">
        <v>1956</v>
      </c>
      <c r="B1957" t="inlineStr">
        <is>
          <t>Customs Clearance Fee</t>
        </is>
      </c>
      <c r="C1957" t="inlineStr">
        <is>
          <t>ត្រាយអ៊ែងហ្គល ឡូជីស្ទីក (ខេមបូឌា) ឯ.ក</t>
        </is>
      </c>
      <c r="D1957" t="inlineStr">
        <is>
          <t>K010-902101743</t>
        </is>
      </c>
      <c r="E1957" t="inlineStr">
        <is>
          <t>TAG-24-00835</t>
        </is>
      </c>
      <c r="F1957" t="inlineStr">
        <is>
          <t>12-11-2024</t>
        </is>
      </c>
      <c r="G1957" t="n">
        <v>8106</v>
      </c>
      <c r="I1957">
        <f>G1957</f>
        <v/>
      </c>
      <c r="K1957">
        <f>I1957-G1957</f>
        <v/>
      </c>
      <c r="M1957">
        <f>R1957=E1957</f>
        <v/>
      </c>
      <c r="N1957">
        <f>AND(MONTH(F1957)=MONTH(Q1957), YEAR(F1957)=YEAR(Q1957))</f>
        <v/>
      </c>
      <c r="O1957">
        <f>"L001-902303751"=S1957</f>
        <v/>
      </c>
      <c r="P1957">
        <f>G1957-U1957</f>
        <v/>
      </c>
      <c r="Q1957" s="35" t="n">
        <v>45267</v>
      </c>
      <c r="R1957" t="inlineStr"/>
      <c r="S1957" t="inlineStr">
        <is>
          <t>L001-901500191</t>
        </is>
      </c>
      <c r="T1957" t="inlineStr">
        <is>
          <t>អ.អិន.វ៉ាយ ត្រេនស្ព័ត</t>
        </is>
      </c>
      <c r="U1957" t="n">
        <v>0</v>
      </c>
      <c r="V1957" t="n">
        <v>0</v>
      </c>
    </row>
    <row r="1958">
      <c r="A1958" t="n">
        <v>1957</v>
      </c>
      <c r="B1958" t="inlineStr">
        <is>
          <t>Trucking, Customs Clearance, Extra Trucking and Truck Fuel Surcharge</t>
        </is>
      </c>
      <c r="C1958" t="inlineStr">
        <is>
          <t>អេស អ វី ស៊ី ហ្វ្រេត សឺវីស (ខេមបូឌា) ខូ អិលធីឌី</t>
        </is>
      </c>
      <c r="D1958" t="inlineStr">
        <is>
          <t>K005-100150195</t>
        </is>
      </c>
      <c r="E1958" t="inlineStr">
        <is>
          <t>SRVI2407376</t>
        </is>
      </c>
      <c r="F1958" t="inlineStr">
        <is>
          <t>27-11-2024</t>
        </is>
      </c>
      <c r="G1958" t="n">
        <v>160960</v>
      </c>
      <c r="I1958">
        <f>G1958</f>
        <v/>
      </c>
      <c r="K1958">
        <f>I1958-G1958</f>
        <v/>
      </c>
      <c r="M1958">
        <f>R1958=E1958</f>
        <v/>
      </c>
      <c r="N1958">
        <f>AND(MONTH(F1958)=MONTH(Q1958), YEAR(F1958)=YEAR(Q1958))</f>
        <v/>
      </c>
      <c r="O1958">
        <f>"L001-902303751"=S1958</f>
        <v/>
      </c>
      <c r="P1958">
        <f>G1958-U1958</f>
        <v/>
      </c>
      <c r="Q1958" s="35" t="n">
        <v>45271</v>
      </c>
      <c r="R1958" t="n">
        <v>111078</v>
      </c>
      <c r="S1958" t="inlineStr">
        <is>
          <t>L001-107032791</t>
        </is>
      </c>
      <c r="T1958" t="inlineStr">
        <is>
          <t>នីបផន អិចប្រេស (ខេមបូឌា) ខូ អិលធីឌី</t>
        </is>
      </c>
      <c r="U1958" t="n">
        <v>111078</v>
      </c>
      <c r="V1958" t="n">
        <v>0</v>
      </c>
    </row>
    <row r="1959">
      <c r="A1959" t="n">
        <v>1958</v>
      </c>
      <c r="B1959" t="inlineStr">
        <is>
          <t>Trucking, Customs Clearance, Extra Trucking and Truck Fuel Surcharge</t>
        </is>
      </c>
      <c r="C1959" t="inlineStr">
        <is>
          <t>អេស អ វី ស៊ី ហ្វ្រេត សឺវីស (ខេមបូឌា) ខូ អិលធីឌី</t>
        </is>
      </c>
      <c r="D1959" t="inlineStr">
        <is>
          <t>K005-100150195</t>
        </is>
      </c>
      <c r="E1959" t="inlineStr">
        <is>
          <t>SRVI2407107</t>
        </is>
      </c>
      <c r="F1959" t="inlineStr">
        <is>
          <t>12-11-2024</t>
        </is>
      </c>
      <c r="G1959" t="n">
        <v>170226</v>
      </c>
      <c r="I1959">
        <f>G1959</f>
        <v/>
      </c>
      <c r="K1959">
        <f>I1959-G1959</f>
        <v/>
      </c>
      <c r="M1959">
        <f>R1959=E1959</f>
        <v/>
      </c>
      <c r="N1959">
        <f>AND(MONTH(F1959)=MONTH(Q1959), YEAR(F1959)=YEAR(Q1959))</f>
        <v/>
      </c>
      <c r="O1959">
        <f>"L001-902303751"=S1959</f>
        <v/>
      </c>
      <c r="P1959">
        <f>G1959-U1959</f>
        <v/>
      </c>
      <c r="Q1959" s="35" t="n">
        <v>45267</v>
      </c>
      <c r="R1959" t="inlineStr"/>
      <c r="S1959" t="inlineStr">
        <is>
          <t>L001-100011888</t>
        </is>
      </c>
      <c r="T1959" t="inlineStr">
        <is>
          <t>ត្រេន ស្តារ ហ្រេ្វត</t>
        </is>
      </c>
      <c r="U1959" t="n">
        <v>0</v>
      </c>
      <c r="V1959" t="n">
        <v>0</v>
      </c>
    </row>
    <row r="1960">
      <c r="A1960" t="n">
        <v>1959</v>
      </c>
      <c r="B1960" t="inlineStr">
        <is>
          <t>Trucking, Customs Clearance, Extra Trucking and Truck Fuel Surcharge</t>
        </is>
      </c>
      <c r="C1960" t="inlineStr">
        <is>
          <t>អេស អ វី ស៊ី ហ្វ្រេត សឺវីស (ខេមបូឌា) ខូ អិលធីឌី</t>
        </is>
      </c>
      <c r="D1960" t="inlineStr">
        <is>
          <t>K005-100150195</t>
        </is>
      </c>
      <c r="E1960" t="inlineStr">
        <is>
          <t>SRVI2407104</t>
        </is>
      </c>
      <c r="F1960" t="inlineStr">
        <is>
          <t>12-11-2024</t>
        </is>
      </c>
      <c r="G1960" t="n">
        <v>162120</v>
      </c>
      <c r="I1960">
        <f>G1960</f>
        <v/>
      </c>
      <c r="K1960">
        <f>I1960-G1960</f>
        <v/>
      </c>
      <c r="M1960">
        <f>R1960=E1960</f>
        <v/>
      </c>
      <c r="N1960">
        <f>AND(MONTH(F1960)=MONTH(Q1960), YEAR(F1960)=YEAR(Q1960))</f>
        <v/>
      </c>
      <c r="O1960">
        <f>"L001-902303751"=S1960</f>
        <v/>
      </c>
      <c r="P1960">
        <f>G1960-U1960</f>
        <v/>
      </c>
      <c r="Q1960" s="35" t="n">
        <v>45267</v>
      </c>
      <c r="R1960" t="n">
        <v>111132</v>
      </c>
      <c r="S1960" t="inlineStr">
        <is>
          <t>K002-901800477</t>
        </is>
      </c>
      <c r="T1960" t="inlineStr">
        <is>
          <t>អាយធីអាយ អ៊ិនធើណេសិនណល ត្រេនស័្ពរថេសិន (ខេមបូឌា) ឯ.ក</t>
        </is>
      </c>
      <c r="U1960" t="n">
        <v>111132</v>
      </c>
      <c r="V1960" t="n">
        <v>0</v>
      </c>
    </row>
    <row r="1961">
      <c r="A1961" t="n">
        <v>1960</v>
      </c>
      <c r="B1961" t="inlineStr">
        <is>
          <t>Pest Control Service for December 2024</t>
        </is>
      </c>
      <c r="C1961" t="inlineStr">
        <is>
          <t>ជីស៊ី ផេស ខិនត្រូល ឯ.ក</t>
        </is>
      </c>
      <c r="D1961" t="inlineStr">
        <is>
          <t>K004-902104767</t>
        </is>
      </c>
      <c r="E1961" t="inlineStr">
        <is>
          <t>2024-00029</t>
        </is>
      </c>
      <c r="F1961" t="inlineStr">
        <is>
          <t>02-12-2024</t>
        </is>
      </c>
      <c r="G1961" t="n">
        <v>141015</v>
      </c>
      <c r="I1961">
        <f>G1961</f>
        <v/>
      </c>
      <c r="K1961">
        <f>I1961-G1961</f>
        <v/>
      </c>
      <c r="M1961">
        <f>R1961=E1961</f>
        <v/>
      </c>
      <c r="N1961">
        <f>AND(MONTH(F1961)=MONTH(Q1961), YEAR(F1961)=YEAR(Q1961))</f>
        <v/>
      </c>
      <c r="O1961">
        <f>"L001-902303751"=S1961</f>
        <v/>
      </c>
      <c r="P1961">
        <f>G1961-U1961</f>
        <v/>
      </c>
      <c r="Q1961" s="35" t="n">
        <v>45267</v>
      </c>
      <c r="R1961" t="n">
        <v>111132</v>
      </c>
      <c r="S1961" t="inlineStr">
        <is>
          <t>K005-901805913</t>
        </is>
      </c>
      <c r="T1961" t="inlineStr">
        <is>
          <t>ស្តារ ខង់ខដ (ខេមបូឌា) ឯ.ក</t>
        </is>
      </c>
      <c r="U1961" t="n">
        <v>111132</v>
      </c>
      <c r="V1961" t="n">
        <v>0</v>
      </c>
    </row>
    <row r="1962">
      <c r="A1962" t="n">
        <v>1961</v>
      </c>
      <c r="B1962" t="inlineStr">
        <is>
          <t>Inspection Fee</t>
        </is>
      </c>
      <c r="C1962" t="inlineStr">
        <is>
          <t>តេនតាក់ (ខេមបូឌា) អ៊ិនស្ពេកសិន</t>
        </is>
      </c>
      <c r="D1962" t="inlineStr">
        <is>
          <t>K009-901638542</t>
        </is>
      </c>
      <c r="E1962" t="inlineStr">
        <is>
          <t>TI2024-0147</t>
        </is>
      </c>
      <c r="F1962" t="inlineStr">
        <is>
          <t>06-12-2024</t>
        </is>
      </c>
      <c r="G1962" t="n">
        <v>6874820</v>
      </c>
      <c r="I1962">
        <f>G1962</f>
        <v/>
      </c>
      <c r="K1962">
        <f>I1962-G1962</f>
        <v/>
      </c>
      <c r="M1962">
        <f>R1962=E1962</f>
        <v/>
      </c>
      <c r="N1962">
        <f>AND(MONTH(F1962)=MONTH(Q1962), YEAR(F1962)=YEAR(Q1962))</f>
        <v/>
      </c>
      <c r="O1962">
        <f>"L001-902303751"=S1962</f>
        <v/>
      </c>
      <c r="P1962">
        <f>G1962-U1962</f>
        <v/>
      </c>
      <c r="Q1962" s="35" t="n">
        <v>45267</v>
      </c>
      <c r="R1962" t="inlineStr"/>
      <c r="S1962" t="inlineStr">
        <is>
          <t>K005-100150195</t>
        </is>
      </c>
      <c r="T1962" t="inlineStr">
        <is>
          <t>អេស អ វី ស៊ី ហ្វ្រេត សឺវីស (ខេមបូឌា) ខូ អិលធីឌី</t>
        </is>
      </c>
      <c r="U1962" t="n">
        <v>0</v>
      </c>
      <c r="V1962" t="n">
        <v>0</v>
      </c>
    </row>
    <row r="1963">
      <c r="A1963" t="n">
        <v>1962</v>
      </c>
      <c r="B1963" t="inlineStr">
        <is>
          <t>Inspection Fee</t>
        </is>
      </c>
      <c r="C1963" t="inlineStr">
        <is>
          <t>ហ្វេនស៍ ហ្វេសិន អ៊ិនស្ពេកសិន (ខេមបូឌា) ឯ.ក</t>
        </is>
      </c>
      <c r="D1963" t="inlineStr">
        <is>
          <t>K009-902302411</t>
        </is>
      </c>
      <c r="E1963" t="inlineStr">
        <is>
          <t>FC2024-0023</t>
        </is>
      </c>
      <c r="F1963" t="inlineStr">
        <is>
          <t>31-12-2024</t>
        </is>
      </c>
      <c r="G1963" t="n">
        <v>3380751</v>
      </c>
      <c r="I1963">
        <f>G1963</f>
        <v/>
      </c>
      <c r="K1963">
        <f>I1963-G1963</f>
        <v/>
      </c>
      <c r="M1963">
        <f>R1963=E1963</f>
        <v/>
      </c>
      <c r="N1963">
        <f>AND(MONTH(F1963)=MONTH(Q1963), YEAR(F1963)=YEAR(Q1963))</f>
        <v/>
      </c>
      <c r="O1963">
        <f>"L001-902303751"=S1963</f>
        <v/>
      </c>
      <c r="P1963">
        <f>G1963-U1963</f>
        <v/>
      </c>
      <c r="Q1963" s="35" t="n">
        <v>45264</v>
      </c>
      <c r="R1963" t="inlineStr"/>
      <c r="S1963" t="inlineStr">
        <is>
          <t>L001-106004107</t>
        </is>
      </c>
      <c r="T1963" t="inlineStr">
        <is>
          <t>ត្រេនម៉ារីន ឡូជីស្ទីក (ខេមបូឌា)</t>
        </is>
      </c>
      <c r="U1963" t="n">
        <v>0</v>
      </c>
      <c r="V1963" t="n">
        <v>0</v>
      </c>
    </row>
    <row r="1964">
      <c r="A1964" t="n">
        <v>1963</v>
      </c>
      <c r="B1964" t="inlineStr">
        <is>
          <t>Monthly Charge of Photo Copier Rental from 06/11/2024-06/12/2024</t>
        </is>
      </c>
      <c r="C1964" t="inlineStr">
        <is>
          <t>វី.អាយ.អេស ខភៀ ឯ.ក</t>
        </is>
      </c>
      <c r="D1964" t="inlineStr">
        <is>
          <t>K007-901705195</t>
        </is>
      </c>
      <c r="E1964" t="inlineStr">
        <is>
          <t>RNT241224</t>
        </is>
      </c>
      <c r="F1964" t="inlineStr">
        <is>
          <t>06-12-2024</t>
        </is>
      </c>
      <c r="G1964" t="n">
        <v>28196</v>
      </c>
      <c r="I1964">
        <f>G1964</f>
        <v/>
      </c>
      <c r="K1964">
        <f>I1964-G1964</f>
        <v/>
      </c>
      <c r="M1964">
        <f>R1964=E1964</f>
        <v/>
      </c>
      <c r="N1964">
        <f>AND(MONTH(F1964)=MONTH(Q1964), YEAR(F1964)=YEAR(Q1964))</f>
        <v/>
      </c>
      <c r="O1964">
        <f>"L001-902303751"=S1964</f>
        <v/>
      </c>
      <c r="P1964">
        <f>G1964-U1964</f>
        <v/>
      </c>
      <c r="Q1964" s="35" t="n">
        <v>45264</v>
      </c>
      <c r="R1964" t="inlineStr"/>
      <c r="S1964" t="inlineStr">
        <is>
          <t>K005-100059945</t>
        </is>
      </c>
      <c r="T1964" t="inlineStr">
        <is>
          <t>អ៊ែតវ៉ានស៍ គ្លរី ឡូជីស្ទីក (ខេមបូឌា) (អេ ជី អិល)</t>
        </is>
      </c>
      <c r="U1964" t="n">
        <v>0</v>
      </c>
      <c r="V1964" t="n">
        <v>0</v>
      </c>
    </row>
    <row r="1965">
      <c r="A1965" t="n">
        <v>1964</v>
      </c>
      <c r="B1965" t="inlineStr">
        <is>
          <t>Monthly Charge of Photo Copier Rental from 06/11/2024-06/12/2024</t>
        </is>
      </c>
      <c r="C1965" t="inlineStr">
        <is>
          <t>វី.អាយ.អេស ខភៀ ឯ.ក</t>
        </is>
      </c>
      <c r="D1965" t="inlineStr">
        <is>
          <t>K007-901705195</t>
        </is>
      </c>
      <c r="E1965" t="inlineStr">
        <is>
          <t>RNT241222</t>
        </is>
      </c>
      <c r="F1965" t="inlineStr">
        <is>
          <t>06-12-2024</t>
        </is>
      </c>
      <c r="G1965" t="n">
        <v>56392</v>
      </c>
      <c r="I1965">
        <f>G1965</f>
        <v/>
      </c>
      <c r="K1965">
        <f>I1965-G1965</f>
        <v/>
      </c>
      <c r="M1965">
        <f>R1965=E1965</f>
        <v/>
      </c>
      <c r="N1965">
        <f>AND(MONTH(F1965)=MONTH(Q1965), YEAR(F1965)=YEAR(Q1965))</f>
        <v/>
      </c>
      <c r="O1965">
        <f>"L001-902303751"=S1965</f>
        <v/>
      </c>
      <c r="P1965">
        <f>G1965-U1965</f>
        <v/>
      </c>
      <c r="Q1965" s="35" t="n">
        <v>45264</v>
      </c>
      <c r="R1965" t="inlineStr"/>
      <c r="S1965" t="inlineStr">
        <is>
          <t>K005-100059945</t>
        </is>
      </c>
      <c r="T1965" t="inlineStr">
        <is>
          <t>អ៊ែតវ៉ានស៍ គ្លរី ឡូជីស្ទីក (ខេមបូឌា) (អេ ជី អិល)</t>
        </is>
      </c>
      <c r="U1965" t="n">
        <v>0</v>
      </c>
      <c r="V1965" t="n">
        <v>0</v>
      </c>
    </row>
    <row r="1966">
      <c r="A1966" t="n">
        <v>1965</v>
      </c>
      <c r="B1966" t="inlineStr">
        <is>
          <t>Decoration</t>
        </is>
      </c>
      <c r="C1966" t="inlineStr">
        <is>
          <t>ដឹ សាយ អេឡិកត្រូមេឃែនីខល អេនជីនារីង ឯ.ក</t>
        </is>
      </c>
      <c r="D1966" t="inlineStr">
        <is>
          <t>K009-902303599</t>
        </is>
      </c>
      <c r="E1966" t="inlineStr">
        <is>
          <t>00044</t>
        </is>
      </c>
      <c r="F1966" t="inlineStr">
        <is>
          <t>12-12-2024</t>
        </is>
      </c>
      <c r="G1966" t="n">
        <v>963840</v>
      </c>
      <c r="I1966">
        <f>G1966</f>
        <v/>
      </c>
      <c r="K1966">
        <f>I1966-G1966</f>
        <v/>
      </c>
      <c r="M1966">
        <f>R1966=E1966</f>
        <v/>
      </c>
      <c r="N1966">
        <f>AND(MONTH(F1966)=MONTH(Q1966), YEAR(F1966)=YEAR(Q1966))</f>
        <v/>
      </c>
      <c r="O1966">
        <f>"L001-902303751"=S1966</f>
        <v/>
      </c>
      <c r="P1966">
        <f>G1966-U1966</f>
        <v/>
      </c>
      <c r="Q1966" s="35" t="n">
        <v>45285</v>
      </c>
      <c r="R1966" t="n">
        <v>172200</v>
      </c>
      <c r="S1966" t="inlineStr">
        <is>
          <t>L001-107032791</t>
        </is>
      </c>
      <c r="T1966" t="inlineStr">
        <is>
          <t>នីបផន អិចប្រេស (ខេមបូឌា) ខូ អិលធីឌី</t>
        </is>
      </c>
      <c r="U1966" t="n">
        <v>172200</v>
      </c>
      <c r="V1966" t="n">
        <v>0</v>
      </c>
    </row>
    <row r="1967">
      <c r="A1967" t="n">
        <v>1966</v>
      </c>
      <c r="B1967" t="inlineStr">
        <is>
          <t>Factory Decoration Fee</t>
        </is>
      </c>
      <c r="C1967" t="inlineStr">
        <is>
          <t>ខ្វាន់ទុម ហ្គាមេន ឯ.ក</t>
        </is>
      </c>
      <c r="D1967" t="inlineStr">
        <is>
          <t>L001-100181244</t>
        </is>
      </c>
      <c r="E1967" t="inlineStr">
        <is>
          <t>CBK-202400034</t>
        </is>
      </c>
      <c r="F1967" t="inlineStr">
        <is>
          <t>18-12-2024</t>
        </is>
      </c>
      <c r="G1967" t="n">
        <v>79640384</v>
      </c>
      <c r="I1967">
        <f>G1967</f>
        <v/>
      </c>
      <c r="K1967">
        <f>I1967-G1967</f>
        <v/>
      </c>
      <c r="M1967">
        <f>R1967=E1967</f>
        <v/>
      </c>
      <c r="N1967">
        <f>AND(MONTH(F1967)=MONTH(Q1967), YEAR(F1967)=YEAR(Q1967))</f>
        <v/>
      </c>
      <c r="O1967">
        <f>"L001-902303751"=S1967</f>
        <v/>
      </c>
      <c r="P1967">
        <f>G1967-U1967</f>
        <v/>
      </c>
      <c r="Q1967" s="35" t="n">
        <v>45285</v>
      </c>
      <c r="R1967" t="inlineStr"/>
      <c r="S1967" t="inlineStr">
        <is>
          <t>L001-100011888</t>
        </is>
      </c>
      <c r="T1967" t="inlineStr">
        <is>
          <t>ត្រេន ស្តារ ហ្រេ្វត</t>
        </is>
      </c>
      <c r="U1967" t="n">
        <v>0</v>
      </c>
      <c r="V1967" t="n">
        <v>0</v>
      </c>
    </row>
    <row r="1968">
      <c r="A1968" t="n">
        <v>1967</v>
      </c>
      <c r="B1968" t="inlineStr">
        <is>
          <t>Handling Charge, Documentation Fee, Manifest Filling and Air Freight</t>
        </is>
      </c>
      <c r="C1968" t="inlineStr">
        <is>
          <t>នីបផន អិចប្រេស (ខេមបូឌា) ខូ អិលធីឌី</t>
        </is>
      </c>
      <c r="D1968" t="inlineStr">
        <is>
          <t>L001-107032791</t>
        </is>
      </c>
      <c r="E1968" t="inlineStr">
        <is>
          <t>A8T-15793</t>
        </is>
      </c>
      <c r="F1968" t="inlineStr">
        <is>
          <t>08-12-2024</t>
        </is>
      </c>
      <c r="G1968" t="n">
        <v>46322</v>
      </c>
      <c r="I1968">
        <f>G1968</f>
        <v/>
      </c>
      <c r="K1968">
        <f>I1968-G1968</f>
        <v/>
      </c>
      <c r="M1968">
        <f>R1968=E1968</f>
        <v/>
      </c>
      <c r="N1968">
        <f>AND(MONTH(F1968)=MONTH(Q1968), YEAR(F1968)=YEAR(Q1968))</f>
        <v/>
      </c>
      <c r="O1968">
        <f>"L001-902303751"=S1968</f>
        <v/>
      </c>
      <c r="P1968">
        <f>G1968-U1968</f>
        <v/>
      </c>
      <c r="Q1968" s="35" t="n">
        <v>45278</v>
      </c>
      <c r="R1968" t="n">
        <v>201439</v>
      </c>
      <c r="S1968" t="inlineStr">
        <is>
          <t>L001-107032791</t>
        </is>
      </c>
      <c r="T1968" t="inlineStr">
        <is>
          <t>នីបផន អិចប្រេស (ខេមបូឌា) ខូ អិលធីឌី</t>
        </is>
      </c>
      <c r="U1968" t="n">
        <v>201439</v>
      </c>
      <c r="V1968" t="n">
        <v>0</v>
      </c>
    </row>
    <row r="1969">
      <c r="A1969" t="n">
        <v>1968</v>
      </c>
      <c r="B1969" t="inlineStr">
        <is>
          <t>Handling Charge, Documentation Fee, Manifest Filling and Air Freight</t>
        </is>
      </c>
      <c r="C1969" t="inlineStr">
        <is>
          <t>នីបផន អិចប្រេស (ខេមបូឌា) ខូ អិលធីឌី</t>
        </is>
      </c>
      <c r="D1969" t="inlineStr">
        <is>
          <t>L001-107032791</t>
        </is>
      </c>
      <c r="E1969" t="inlineStr">
        <is>
          <t>A8T-15750</t>
        </is>
      </c>
      <c r="F1969" t="inlineStr">
        <is>
          <t>05-12-2024</t>
        </is>
      </c>
      <c r="G1969" t="n">
        <v>46334</v>
      </c>
      <c r="I1969">
        <f>G1969</f>
        <v/>
      </c>
      <c r="K1969">
        <f>I1969-G1969</f>
        <v/>
      </c>
      <c r="M1969">
        <f>R1969=E1969</f>
        <v/>
      </c>
      <c r="N1969">
        <f>AND(MONTH(F1969)=MONTH(Q1969), YEAR(F1969)=YEAR(Q1969))</f>
        <v/>
      </c>
      <c r="O1969">
        <f>"L001-902303751"=S1969</f>
        <v/>
      </c>
      <c r="P1969">
        <f>G1969-U1969</f>
        <v/>
      </c>
      <c r="Q1969" s="35" t="n">
        <v>45272</v>
      </c>
      <c r="R1969" t="inlineStr"/>
      <c r="S1969" t="inlineStr">
        <is>
          <t>K003-901635943</t>
        </is>
      </c>
      <c r="T1969" t="inlineStr">
        <is>
          <t>អ៊ីឃ្យូឡាញ វើលវ៉ាយដ៍ ឡូជីស្ទីក</t>
        </is>
      </c>
      <c r="U1969" t="n">
        <v>0</v>
      </c>
      <c r="V1969" t="n">
        <v>0</v>
      </c>
    </row>
    <row r="1970">
      <c r="A1970" t="n">
        <v>1969</v>
      </c>
      <c r="B1970" t="inlineStr">
        <is>
          <t>Handling Charge, Documentation Fee, Manifest Filling and Air Freight</t>
        </is>
      </c>
      <c r="C1970" t="inlineStr">
        <is>
          <t>នីបផន អិចប្រេស (ខេមបូឌា) ខូ អិលធីឌី</t>
        </is>
      </c>
      <c r="D1970" t="inlineStr">
        <is>
          <t>L001-107032791</t>
        </is>
      </c>
      <c r="E1970" t="inlineStr">
        <is>
          <t>A8T-15742</t>
        </is>
      </c>
      <c r="F1970" t="inlineStr">
        <is>
          <t>03-12-2024</t>
        </is>
      </c>
      <c r="G1970" t="n">
        <v>46368</v>
      </c>
      <c r="I1970">
        <f>G1970</f>
        <v/>
      </c>
      <c r="K1970">
        <f>I1970-G1970</f>
        <v/>
      </c>
      <c r="M1970">
        <f>R1970=E1970</f>
        <v/>
      </c>
      <c r="N1970">
        <f>AND(MONTH(F1970)=MONTH(Q1970), YEAR(F1970)=YEAR(Q1970))</f>
        <v/>
      </c>
      <c r="O1970">
        <f>"L001-902303751"=S1970</f>
        <v/>
      </c>
      <c r="P1970">
        <f>G1970-U1970</f>
        <v/>
      </c>
      <c r="Q1970" s="35" t="n">
        <v>45267</v>
      </c>
      <c r="R1970" t="inlineStr"/>
      <c r="S1970" t="inlineStr">
        <is>
          <t>K002-901800477</t>
        </is>
      </c>
      <c r="T1970" t="inlineStr">
        <is>
          <t>អាយធីអាយ អ៊ិនធើណេសិនណល ត្រេនស័្ពរថេសិន (ខេមបូឌា) ឯ.ក</t>
        </is>
      </c>
      <c r="U1970" t="n">
        <v>0</v>
      </c>
      <c r="V1970" t="n">
        <v>0</v>
      </c>
    </row>
    <row r="1971">
      <c r="A1971" t="n">
        <v>1970</v>
      </c>
      <c r="B1971" t="inlineStr">
        <is>
          <t>Handling Charge, Documentation Fee, Manifest Filling and Air Freight</t>
        </is>
      </c>
      <c r="C1971" t="inlineStr">
        <is>
          <t>នីបផន អិចប្រេស (ខេមបូឌា) ខូ អិលធីឌី</t>
        </is>
      </c>
      <c r="D1971" t="inlineStr">
        <is>
          <t>L001-107032791</t>
        </is>
      </c>
      <c r="E1971" t="inlineStr">
        <is>
          <t>A8T-15741</t>
        </is>
      </c>
      <c r="F1971" t="inlineStr">
        <is>
          <t>03-12-2024</t>
        </is>
      </c>
      <c r="G1971" t="n">
        <v>46368</v>
      </c>
      <c r="I1971">
        <f>G1971</f>
        <v/>
      </c>
      <c r="K1971">
        <f>I1971-G1971</f>
        <v/>
      </c>
      <c r="M1971">
        <f>R1971=E1971</f>
        <v/>
      </c>
      <c r="N1971">
        <f>AND(MONTH(F1971)=MONTH(Q1971), YEAR(F1971)=YEAR(Q1971))</f>
        <v/>
      </c>
      <c r="O1971">
        <f>"L001-902303751"=S1971</f>
        <v/>
      </c>
      <c r="P1971">
        <f>G1971-U1971</f>
        <v/>
      </c>
      <c r="Q1971" s="35" t="n">
        <v>45267</v>
      </c>
      <c r="R1971" t="n">
        <v>111132</v>
      </c>
      <c r="S1971" t="inlineStr">
        <is>
          <t>L001-902000739</t>
        </is>
      </c>
      <c r="T1971" t="inlineStr">
        <is>
          <t>អាន រ៉ុង ហ្ស៊ី យី ឯ.ក</t>
        </is>
      </c>
      <c r="U1971" t="n">
        <v>111132</v>
      </c>
      <c r="V1971" t="n">
        <v>0</v>
      </c>
    </row>
    <row r="1972">
      <c r="A1972" t="n">
        <v>1971</v>
      </c>
      <c r="B1972" t="inlineStr">
        <is>
          <t>Handling Charge, Documentation Fee, Manifest Filling and Air Freight</t>
        </is>
      </c>
      <c r="C1972" t="inlineStr">
        <is>
          <t>នីបផន អិចប្រេស (ខេមបូឌា) ខូ អិលធីឌី</t>
        </is>
      </c>
      <c r="D1972" t="inlineStr">
        <is>
          <t>L001-107032791</t>
        </is>
      </c>
      <c r="E1972" t="inlineStr">
        <is>
          <t>A8T-15835</t>
        </is>
      </c>
      <c r="F1972" t="inlineStr">
        <is>
          <t>13-12-2024</t>
        </is>
      </c>
      <c r="G1972" t="n">
        <v>46242</v>
      </c>
      <c r="I1972">
        <f>G1972</f>
        <v/>
      </c>
      <c r="K1972">
        <f>I1972-G1972</f>
        <v/>
      </c>
      <c r="M1972">
        <f>R1972=E1972</f>
        <v/>
      </c>
      <c r="N1972">
        <f>AND(MONTH(F1972)=MONTH(Q1972), YEAR(F1972)=YEAR(Q1972))</f>
        <v/>
      </c>
      <c r="O1972">
        <f>"L001-902303751"=S1972</f>
        <v/>
      </c>
      <c r="P1972">
        <f>G1972-U1972</f>
        <v/>
      </c>
      <c r="Q1972" s="35" t="n">
        <v>45266</v>
      </c>
      <c r="R1972" t="n">
        <v>9874</v>
      </c>
      <c r="S1972" t="inlineStr">
        <is>
          <t>K002-901800477</t>
        </is>
      </c>
      <c r="T1972" t="inlineStr">
        <is>
          <t>អាយធីអាយ អ៊ិនធើណេសិនណល ត្រេនស័្ពរថេសិន (ខេមបូឌា) ឯ.ក</t>
        </is>
      </c>
      <c r="U1972" t="n">
        <v>9874</v>
      </c>
      <c r="V1972" t="n">
        <v>0</v>
      </c>
    </row>
    <row r="1973">
      <c r="A1973" t="n">
        <v>1972</v>
      </c>
      <c r="B1973" t="inlineStr">
        <is>
          <t>Handling Charge, Documentation Fee, Manifest Filling and Air Freight</t>
        </is>
      </c>
      <c r="C1973" t="inlineStr">
        <is>
          <t>នីបផន អិចប្រេស (ខេមបូឌា) ខូ អិលធីឌី</t>
        </is>
      </c>
      <c r="D1973" t="inlineStr">
        <is>
          <t>L001-107032791</t>
        </is>
      </c>
      <c r="E1973" t="inlineStr">
        <is>
          <t>A8T-15882</t>
        </is>
      </c>
      <c r="F1973" t="inlineStr">
        <is>
          <t>18-12-2024</t>
        </is>
      </c>
      <c r="G1973" t="n">
        <v>46242</v>
      </c>
      <c r="I1973">
        <f>G1973</f>
        <v/>
      </c>
      <c r="K1973">
        <f>I1973-G1973</f>
        <v/>
      </c>
      <c r="M1973">
        <f>R1973=E1973</f>
        <v/>
      </c>
      <c r="N1973">
        <f>AND(MONTH(F1973)=MONTH(Q1973), YEAR(F1973)=YEAR(Q1973))</f>
        <v/>
      </c>
      <c r="O1973">
        <f>"L001-902303751"=S1973</f>
        <v/>
      </c>
      <c r="P1973">
        <f>G1973-U1973</f>
        <v/>
      </c>
      <c r="Q1973" s="35" t="n">
        <v>45264</v>
      </c>
      <c r="R1973" t="n">
        <v>111078</v>
      </c>
      <c r="S1973" t="inlineStr">
        <is>
          <t>L001-107032791</t>
        </is>
      </c>
      <c r="T1973" t="inlineStr">
        <is>
          <t>នីបផន អិចប្រេស (ខេមបូឌា) ខូ អិលធីឌី</t>
        </is>
      </c>
      <c r="U1973" t="n">
        <v>111078</v>
      </c>
      <c r="V1973" t="n">
        <v>0</v>
      </c>
    </row>
    <row r="1974">
      <c r="A1974" t="n">
        <v>1973</v>
      </c>
      <c r="B1974" t="inlineStr">
        <is>
          <t>CFS Charge, C/C Handling Fee, Documentation Fee, Handling /Agency Fee, THC, Trucking Charge, Customs Processing Fee, Overtime Documents, Way Bill Fee, Fuel Surcharge and Overtime Cargo</t>
        </is>
      </c>
      <c r="C1974" t="inlineStr">
        <is>
          <t>នីបផន អិចប្រេស (ខេមបូឌា) ខូ អិលធីឌី</t>
        </is>
      </c>
      <c r="D1974" t="inlineStr">
        <is>
          <t>L001-107032791</t>
        </is>
      </c>
      <c r="E1974" t="inlineStr">
        <is>
          <t>O8T-D8335</t>
        </is>
      </c>
      <c r="F1974" t="inlineStr">
        <is>
          <t>08-12-2024</t>
        </is>
      </c>
      <c r="G1974" t="n">
        <v>288280</v>
      </c>
      <c r="I1974">
        <f>G1974</f>
        <v/>
      </c>
      <c r="K1974">
        <f>I1974-G1974</f>
        <v/>
      </c>
      <c r="M1974">
        <f>R1974=E1974</f>
        <v/>
      </c>
      <c r="N1974">
        <f>AND(MONTH(F1974)=MONTH(Q1974), YEAR(F1974)=YEAR(Q1974))</f>
        <v/>
      </c>
      <c r="O1974">
        <f>"L001-902303751"=S1974</f>
        <v/>
      </c>
      <c r="P1974">
        <f>G1974-U1974</f>
        <v/>
      </c>
      <c r="Q1974" s="35" t="n">
        <v>45264</v>
      </c>
      <c r="R1974" t="inlineStr"/>
      <c r="S1974" t="inlineStr">
        <is>
          <t>L001-107032791</t>
        </is>
      </c>
      <c r="T1974" t="inlineStr">
        <is>
          <t>នីបផន អិចប្រេស (ខេមបូឌា) ខូ អិលធីឌី</t>
        </is>
      </c>
      <c r="U1974" t="n">
        <v>0</v>
      </c>
      <c r="V1974" t="n">
        <v>0</v>
      </c>
    </row>
    <row r="1975">
      <c r="A1975" t="n">
        <v>1974</v>
      </c>
      <c r="B1975" t="inlineStr">
        <is>
          <t>Control Box Machie , Machine OSHIMA, Pressure Heater Vaccume Machine and Bell OSHIMA</t>
        </is>
      </c>
      <c r="C1975" t="inlineStr">
        <is>
          <t>ស៊ិន វឿន ញូ ប្រាយ អេឡិកត្រូនិក ឯ.ក</t>
        </is>
      </c>
      <c r="D1975" t="inlineStr">
        <is>
          <t>K009-901904164</t>
        </is>
      </c>
      <c r="E1975" t="inlineStr">
        <is>
          <t>SV24-0204</t>
        </is>
      </c>
      <c r="F1975" t="inlineStr">
        <is>
          <t>04-12-2024</t>
        </is>
      </c>
      <c r="G1975" t="n">
        <v>749580</v>
      </c>
      <c r="I1975">
        <f>G1975</f>
        <v/>
      </c>
      <c r="K1975">
        <f>I1975-G1975</f>
        <v/>
      </c>
      <c r="M1975">
        <f>R1975=E1975</f>
        <v/>
      </c>
      <c r="N1975">
        <f>AND(MONTH(F1975)=MONTH(Q1975), YEAR(F1975)=YEAR(Q1975))</f>
        <v/>
      </c>
      <c r="O1975">
        <f>"L001-902303751"=S1975</f>
        <v/>
      </c>
      <c r="P1975">
        <f>G1975-U1975</f>
        <v/>
      </c>
      <c r="Q1975" s="35" t="n">
        <v>45281</v>
      </c>
      <c r="R1975" t="n">
        <v>19709</v>
      </c>
      <c r="S1975" t="inlineStr">
        <is>
          <t>K002-901800477</t>
        </is>
      </c>
      <c r="T1975" t="inlineStr">
        <is>
          <t>អាយធីអាយ អ៊ិនធើណេសិនណល ត្រេនស័្ពរថេសិន (ខេមបូឌា) ឯ.ក</t>
        </is>
      </c>
      <c r="U1975" t="n">
        <v>19709</v>
      </c>
      <c r="V1975" t="n">
        <v>0</v>
      </c>
    </row>
    <row r="1976">
      <c r="A1976" t="n">
        <v>1975</v>
      </c>
      <c r="B1976" t="inlineStr">
        <is>
          <t>Betl Machine OSHIMA, Motor and Bearing Block Ball</t>
        </is>
      </c>
      <c r="C1976" t="inlineStr">
        <is>
          <t>ស៊ិន វឿន ញូ ប្រាយ អេឡិកត្រូនិក ឯ.ក</t>
        </is>
      </c>
      <c r="D1976" t="inlineStr">
        <is>
          <t>K009-901904164</t>
        </is>
      </c>
      <c r="E1976" t="inlineStr">
        <is>
          <t>SV24-0214</t>
        </is>
      </c>
      <c r="F1976" t="inlineStr">
        <is>
          <t>16-12-2024</t>
        </is>
      </c>
      <c r="G1976" t="n">
        <v>217026</v>
      </c>
      <c r="I1976">
        <f>G1976</f>
        <v/>
      </c>
      <c r="K1976">
        <f>I1976-G1976</f>
        <v/>
      </c>
      <c r="M1976">
        <f>R1976=E1976</f>
        <v/>
      </c>
      <c r="N1976">
        <f>AND(MONTH(F1976)=MONTH(Q1976), YEAR(F1976)=YEAR(Q1976))</f>
        <v/>
      </c>
      <c r="O1976">
        <f>"L001-902303751"=S1976</f>
        <v/>
      </c>
      <c r="P1976">
        <f>G1976-U1976</f>
        <v/>
      </c>
      <c r="Q1976" s="35" t="n">
        <v>45271</v>
      </c>
      <c r="R1976" t="n">
        <v>113546</v>
      </c>
      <c r="S1976" t="inlineStr">
        <is>
          <t>L001-100045340</t>
        </is>
      </c>
      <c r="T1976" t="inlineStr">
        <is>
          <t xml:space="preserve">ស៊ីវ៉ា អ៊ែរ អ៊ែន អូសៀន (ខេមបូឌា) ឯ.ក </t>
        </is>
      </c>
      <c r="U1976" t="n">
        <v>113546</v>
      </c>
      <c r="V1976" t="n">
        <v>0</v>
      </c>
    </row>
    <row r="1977">
      <c r="A1977" t="n">
        <v>1976</v>
      </c>
      <c r="B1977" t="inlineStr">
        <is>
          <t>Monthly Charge of Photo Copier Rental from 06/11/2024-06/12/2024</t>
        </is>
      </c>
      <c r="C1977" t="inlineStr">
        <is>
          <t>វី.អាយ.អេស ខភៀ ឯ.ក</t>
        </is>
      </c>
      <c r="D1977" t="inlineStr">
        <is>
          <t>K007-901705195</t>
        </is>
      </c>
      <c r="E1977" t="inlineStr">
        <is>
          <t>RNT241223</t>
        </is>
      </c>
      <c r="F1977" t="inlineStr">
        <is>
          <t>06-12-2024</t>
        </is>
      </c>
      <c r="G1977" t="n">
        <v>26182</v>
      </c>
      <c r="I1977">
        <f>G1977</f>
        <v/>
      </c>
      <c r="K1977">
        <f>I1977-G1977</f>
        <v/>
      </c>
      <c r="M1977">
        <f>R1977=E1977</f>
        <v/>
      </c>
      <c r="N1977">
        <f>AND(MONTH(F1977)=MONTH(Q1977), YEAR(F1977)=YEAR(Q1977))</f>
        <v/>
      </c>
      <c r="O1977">
        <f>"L001-902303751"=S1977</f>
        <v/>
      </c>
      <c r="P1977">
        <f>G1977-U1977</f>
        <v/>
      </c>
      <c r="Q1977" s="35" t="n">
        <v>45267</v>
      </c>
      <c r="R1977" t="n">
        <v>205800</v>
      </c>
      <c r="S1977" t="inlineStr">
        <is>
          <t>L001-100044956</t>
        </is>
      </c>
      <c r="T1977" t="inlineStr">
        <is>
          <t>ជី លីង អិចប្រេស ឡូជីស្ទីក (ខេមបូឌា) លីមីធីត</t>
        </is>
      </c>
      <c r="U1977" t="n">
        <v>205800</v>
      </c>
      <c r="V1977" t="n">
        <v>0</v>
      </c>
    </row>
    <row r="1978">
      <c r="A1978" t="n">
        <v>1977</v>
      </c>
      <c r="B1978" t="inlineStr">
        <is>
          <t>Monthly Charge of Photo Copier Rental from 06/11/2024-06/12/2024</t>
        </is>
      </c>
      <c r="C1978" t="inlineStr">
        <is>
          <t>វី.អាយ.អេស ខភៀ ឯ.ក</t>
        </is>
      </c>
      <c r="D1978" t="inlineStr">
        <is>
          <t>K007-901705195</t>
        </is>
      </c>
      <c r="E1978" t="inlineStr">
        <is>
          <t>RNT241225</t>
        </is>
      </c>
      <c r="F1978" t="inlineStr">
        <is>
          <t>06-12-2024</t>
        </is>
      </c>
      <c r="G1978" t="n">
        <v>72486</v>
      </c>
      <c r="I1978">
        <f>G1978</f>
        <v/>
      </c>
      <c r="K1978">
        <f>I1978-G1978</f>
        <v/>
      </c>
      <c r="M1978">
        <f>R1978=E1978</f>
        <v/>
      </c>
      <c r="N1978">
        <f>AND(MONTH(F1978)=MONTH(Q1978), YEAR(F1978)=YEAR(Q1978))</f>
        <v/>
      </c>
      <c r="O1978">
        <f>"L001-902303751"=S1978</f>
        <v/>
      </c>
      <c r="P1978">
        <f>G1978-U1978</f>
        <v/>
      </c>
      <c r="Q1978" s="35" t="n">
        <v>45267</v>
      </c>
      <c r="R1978" t="n">
        <v>111132</v>
      </c>
      <c r="S1978" t="inlineStr">
        <is>
          <t>L001-901500191</t>
        </is>
      </c>
      <c r="T1978" t="inlineStr">
        <is>
          <t>អ.អិន.វ៉ាយ ត្រេនស្ព័ត</t>
        </is>
      </c>
      <c r="U1978" t="n">
        <v>111132</v>
      </c>
      <c r="V1978" t="n">
        <v>0</v>
      </c>
    </row>
    <row r="1979">
      <c r="A1979" t="n">
        <v>1978</v>
      </c>
      <c r="B1979" t="inlineStr">
        <is>
          <t>Examination note book</t>
        </is>
      </c>
      <c r="C1979" t="inlineStr">
        <is>
          <t>អ៊ិន3ឌី (ខេមបូឌា) ឯ.ក</t>
        </is>
      </c>
      <c r="D1979" t="inlineStr">
        <is>
          <t>K010-902103600</t>
        </is>
      </c>
      <c r="E1979" t="inlineStr">
        <is>
          <t>N3D/24-000135</t>
        </is>
      </c>
      <c r="F1979" t="inlineStr">
        <is>
          <t>06-12-2024</t>
        </is>
      </c>
      <c r="G1979" t="n">
        <v>120840</v>
      </c>
      <c r="I1979">
        <f>G1979</f>
        <v/>
      </c>
      <c r="K1979">
        <f>I1979-G1979</f>
        <v/>
      </c>
      <c r="M1979">
        <f>R1979=E1979</f>
        <v/>
      </c>
      <c r="N1979">
        <f>AND(MONTH(F1979)=MONTH(Q1979), YEAR(F1979)=YEAR(Q1979))</f>
        <v/>
      </c>
      <c r="O1979">
        <f>"L001-902303751"=S1979</f>
        <v/>
      </c>
      <c r="P1979">
        <f>G1979-U1979</f>
        <v/>
      </c>
      <c r="Q1979" s="35" t="n">
        <v>45267</v>
      </c>
      <c r="R1979" t="inlineStr"/>
      <c r="S1979" t="inlineStr">
        <is>
          <t>K002-901800477</t>
        </is>
      </c>
      <c r="T1979" t="inlineStr">
        <is>
          <t>អាយធីអាយ អ៊ិនធើណេសិនណល ត្រេនស័្ពរថេសិន (ខេមបូឌា) ឯ.ក</t>
        </is>
      </c>
      <c r="U1979" t="n">
        <v>0</v>
      </c>
      <c r="V1979" t="n">
        <v>0</v>
      </c>
    </row>
    <row r="1980">
      <c r="A1980" t="n">
        <v>1979</v>
      </c>
      <c r="B1980" t="inlineStr">
        <is>
          <t>Export Administration Fee and Custom Processing Fee</t>
        </is>
      </c>
      <c r="C1980" t="inlineStr">
        <is>
          <t>ជី លីង អិចប្រេស ឡូជីស្ទីក (ខេមបូឌា) លីមីធីត</t>
        </is>
      </c>
      <c r="D1980" t="inlineStr">
        <is>
          <t>L001-100044956</t>
        </is>
      </c>
      <c r="E1980" t="inlineStr">
        <is>
          <t>24160155</t>
        </is>
      </c>
      <c r="F1980" t="inlineStr">
        <is>
          <t>04-12-2024</t>
        </is>
      </c>
      <c r="G1980" t="n">
        <v>64480</v>
      </c>
      <c r="I1980">
        <f>G1980</f>
        <v/>
      </c>
      <c r="K1980">
        <f>I1980-G1980</f>
        <v/>
      </c>
      <c r="M1980">
        <f>R1980=E1980</f>
        <v/>
      </c>
      <c r="N1980">
        <f>AND(MONTH(F1980)=MONTH(Q1980), YEAR(F1980)=YEAR(Q1980))</f>
        <v/>
      </c>
      <c r="O1980">
        <f>"L001-902303751"=S1980</f>
        <v/>
      </c>
      <c r="P1980">
        <f>G1980-U1980</f>
        <v/>
      </c>
      <c r="Q1980" s="35" t="n">
        <v>45264</v>
      </c>
      <c r="R1980" t="n">
        <v>111078</v>
      </c>
      <c r="S1980" t="inlineStr">
        <is>
          <t>K005-100059945</t>
        </is>
      </c>
      <c r="T1980" t="inlineStr">
        <is>
          <t>អ៊ែតវ៉ានស៍ គ្លរី ឡូជីស្ទីក (ខេមបូឌា) (អេ ជី អិល)</t>
        </is>
      </c>
      <c r="U1980" t="n">
        <v>111078</v>
      </c>
      <c r="V1980" t="n">
        <v>0</v>
      </c>
    </row>
    <row r="1981">
      <c r="A1981" t="n">
        <v>1980</v>
      </c>
      <c r="B1981" t="inlineStr">
        <is>
          <t>Export Administration Fee and Custom Processing Fee</t>
        </is>
      </c>
      <c r="C1981" t="inlineStr">
        <is>
          <t>ជី លីង អិចប្រេស ឡូជីស្ទីក (ខេមបូឌា) លីមីធីត</t>
        </is>
      </c>
      <c r="D1981" t="inlineStr">
        <is>
          <t>L001-100044956</t>
        </is>
      </c>
      <c r="E1981" t="inlineStr">
        <is>
          <t>24160147</t>
        </is>
      </c>
      <c r="F1981" t="inlineStr">
        <is>
          <t>04-12-2024</t>
        </is>
      </c>
      <c r="G1981" t="n">
        <v>64480</v>
      </c>
      <c r="I1981">
        <f>G1981</f>
        <v/>
      </c>
      <c r="K1981">
        <f>I1981-G1981</f>
        <v/>
      </c>
      <c r="M1981">
        <f>R1981=E1981</f>
        <v/>
      </c>
      <c r="N1981">
        <f>AND(MONTH(F1981)=MONTH(Q1981), YEAR(F1981)=YEAR(Q1981))</f>
        <v/>
      </c>
      <c r="O1981">
        <f>"L001-902303751"=S1981</f>
        <v/>
      </c>
      <c r="P1981">
        <f>G1981-U1981</f>
        <v/>
      </c>
      <c r="Q1981" s="35" t="n">
        <v>45261</v>
      </c>
      <c r="R1981" t="n">
        <v>3404751</v>
      </c>
      <c r="S1981" t="inlineStr">
        <is>
          <t>K004-105012505</t>
        </is>
      </c>
      <c r="T1981" t="inlineStr">
        <is>
          <t>អេស៊ាន ហ្វ្រេត (ខេមបូឌា)</t>
        </is>
      </c>
      <c r="U1981" t="n">
        <v>3404751</v>
      </c>
      <c r="V1981" t="n">
        <v>0</v>
      </c>
    </row>
    <row r="1982">
      <c r="A1982" t="n">
        <v>1981</v>
      </c>
      <c r="B1982" t="inlineStr">
        <is>
          <t>Send Materials</t>
        </is>
      </c>
      <c r="C1982" t="inlineStr">
        <is>
          <t>ឌី អេច អិល អិចប្រេស (ខេមបូឌា)</t>
        </is>
      </c>
      <c r="D1982" t="inlineStr">
        <is>
          <t>L001-100045197</t>
        </is>
      </c>
      <c r="E1982" t="inlineStr">
        <is>
          <t>PNHIR00258960</t>
        </is>
      </c>
      <c r="F1982" t="inlineStr">
        <is>
          <t>06-12-2024</t>
        </is>
      </c>
      <c r="G1982" t="n">
        <v>6042</v>
      </c>
      <c r="I1982">
        <f>G1982</f>
        <v/>
      </c>
      <c r="K1982">
        <f>I1982-G1982</f>
        <v/>
      </c>
      <c r="M1982">
        <f>R1982=E1982</f>
        <v/>
      </c>
      <c r="N1982">
        <f>AND(MONTH(F1982)=MONTH(Q1982), YEAR(F1982)=YEAR(Q1982))</f>
        <v/>
      </c>
      <c r="O1982">
        <f>"L001-902303751"=S1982</f>
        <v/>
      </c>
      <c r="P1982">
        <f>G1982-U1982</f>
        <v/>
      </c>
      <c r="Q1982" s="35" t="n">
        <v>45267</v>
      </c>
      <c r="R1982" t="inlineStr"/>
      <c r="S1982" t="inlineStr">
        <is>
          <t>L001-901500191</t>
        </is>
      </c>
      <c r="T1982" t="inlineStr">
        <is>
          <t>អ.អិន.វ៉ាយ ត្រេនស្ព័ត</t>
        </is>
      </c>
      <c r="U1982" t="n">
        <v>0</v>
      </c>
      <c r="V1982" t="n">
        <v>0</v>
      </c>
    </row>
    <row r="1983">
      <c r="A1983" t="n">
        <v>1982</v>
      </c>
      <c r="B1983" t="inlineStr">
        <is>
          <t>Send Doc</t>
        </is>
      </c>
      <c r="C1983" t="inlineStr">
        <is>
          <t>ឌី អេច អិល អិចប្រេស (ខេមបូឌា)</t>
        </is>
      </c>
      <c r="D1983" t="inlineStr">
        <is>
          <t>L001-100045197</t>
        </is>
      </c>
      <c r="E1983" t="inlineStr">
        <is>
          <t>PNHIR00258486</t>
        </is>
      </c>
      <c r="F1983" t="inlineStr">
        <is>
          <t>04-12-2024</t>
        </is>
      </c>
      <c r="G1983" t="n">
        <v>8060</v>
      </c>
      <c r="I1983">
        <f>G1983</f>
        <v/>
      </c>
      <c r="K1983">
        <f>I1983-G1983</f>
        <v/>
      </c>
      <c r="M1983">
        <f>R1983=E1983</f>
        <v/>
      </c>
      <c r="N1983">
        <f>AND(MONTH(F1983)=MONTH(Q1983), YEAR(F1983)=YEAR(Q1983))</f>
        <v/>
      </c>
      <c r="O1983">
        <f>"L001-902303751"=S1983</f>
        <v/>
      </c>
      <c r="P1983">
        <f>G1983-U1983</f>
        <v/>
      </c>
      <c r="Q1983" s="35" t="n">
        <v>45285</v>
      </c>
      <c r="R1983" t="n">
        <v>110700</v>
      </c>
      <c r="S1983" t="inlineStr">
        <is>
          <t>L001-107032791</t>
        </is>
      </c>
      <c r="T1983" t="inlineStr">
        <is>
          <t>នីបផន អិចប្រេស (ខេមបូឌា) ខូ អិលធីឌី</t>
        </is>
      </c>
      <c r="U1983" t="n">
        <v>110700</v>
      </c>
      <c r="V1983" t="n">
        <v>0</v>
      </c>
    </row>
    <row r="1984">
      <c r="A1984" t="n">
        <v>1983</v>
      </c>
      <c r="B1984" t="inlineStr">
        <is>
          <t>Send Materials</t>
        </is>
      </c>
      <c r="C1984" t="inlineStr">
        <is>
          <t>ឌី អេច អិល អិចប្រេស (ខេមបូឌា)</t>
        </is>
      </c>
      <c r="D1984" t="inlineStr">
        <is>
          <t>L001-100045197</t>
        </is>
      </c>
      <c r="E1984" t="inlineStr">
        <is>
          <t>PNHIR00258485</t>
        </is>
      </c>
      <c r="F1984" t="inlineStr">
        <is>
          <t>04-12-2024</t>
        </is>
      </c>
      <c r="G1984" t="n">
        <v>6045</v>
      </c>
      <c r="I1984">
        <f>G1984</f>
        <v/>
      </c>
      <c r="K1984">
        <f>I1984-G1984</f>
        <v/>
      </c>
      <c r="M1984">
        <f>R1984=E1984</f>
        <v/>
      </c>
      <c r="N1984">
        <f>AND(MONTH(F1984)=MONTH(Q1984), YEAR(F1984)=YEAR(Q1984))</f>
        <v/>
      </c>
      <c r="O1984">
        <f>"L001-902303751"=S1984</f>
        <v/>
      </c>
      <c r="P1984">
        <f>G1984-U1984</f>
        <v/>
      </c>
      <c r="Q1984" s="35" t="n">
        <v>45283</v>
      </c>
      <c r="R1984" t="inlineStr"/>
      <c r="S1984" t="inlineStr">
        <is>
          <t>K003-901635943</t>
        </is>
      </c>
      <c r="T1984" t="inlineStr">
        <is>
          <t>អ៊ីឃ្យូឡាញ វើលវ៉ាយដ៍ ឡូជីស្ទីក</t>
        </is>
      </c>
      <c r="U1984" t="n">
        <v>0</v>
      </c>
      <c r="V1984" t="n">
        <v>0</v>
      </c>
    </row>
    <row r="1985">
      <c r="A1985" t="n">
        <v>1984</v>
      </c>
      <c r="B1985" t="inlineStr">
        <is>
          <t>Send Doc</t>
        </is>
      </c>
      <c r="C1985" t="inlineStr">
        <is>
          <t>ឌី អេច អិល អិចប្រេស (ខេមបូឌា)</t>
        </is>
      </c>
      <c r="D1985" t="inlineStr">
        <is>
          <t>L001-100045197</t>
        </is>
      </c>
      <c r="E1985" t="inlineStr">
        <is>
          <t>PNHIR00258453</t>
        </is>
      </c>
      <c r="F1985" t="inlineStr">
        <is>
          <t>03-12-2024</t>
        </is>
      </c>
      <c r="G1985" t="n">
        <v>16128</v>
      </c>
      <c r="I1985">
        <f>G1985</f>
        <v/>
      </c>
      <c r="K1985">
        <f>I1985-G1985</f>
        <v/>
      </c>
      <c r="M1985">
        <f>R1985=E1985</f>
        <v/>
      </c>
      <c r="N1985">
        <f>AND(MONTH(F1985)=MONTH(Q1985), YEAR(F1985)=YEAR(Q1985))</f>
        <v/>
      </c>
      <c r="O1985">
        <f>"L001-902303751"=S1985</f>
        <v/>
      </c>
      <c r="P1985">
        <f>G1985-U1985</f>
        <v/>
      </c>
      <c r="Q1985" s="35" t="n">
        <v>45283</v>
      </c>
      <c r="R1985" t="n">
        <v>82040</v>
      </c>
      <c r="S1985" t="inlineStr">
        <is>
          <t>K003-901635943</t>
        </is>
      </c>
      <c r="T1985" t="inlineStr">
        <is>
          <t>អ៊ីឃ្យូឡាញ វើលវ៉ាយដ៍ ឡូជីស្ទីក</t>
        </is>
      </c>
      <c r="U1985" t="n">
        <v>82040</v>
      </c>
      <c r="V1985" t="n">
        <v>0</v>
      </c>
    </row>
    <row r="1986">
      <c r="A1986" t="n">
        <v>1985</v>
      </c>
      <c r="B1986" t="inlineStr">
        <is>
          <t>Rental Machine</t>
        </is>
      </c>
      <c r="C1986" t="inlineStr">
        <is>
          <t>ក្លាក ហ៊ូ ឯ.ក</t>
        </is>
      </c>
      <c r="D1986" t="inlineStr">
        <is>
          <t>K007-901639199</t>
        </is>
      </c>
      <c r="E1986" t="inlineStr">
        <is>
          <t>IN2966</t>
        </is>
      </c>
      <c r="F1986" t="inlineStr">
        <is>
          <t>25-12-2024</t>
        </is>
      </c>
      <c r="G1986" t="n">
        <v>268137</v>
      </c>
      <c r="I1986">
        <f>G1986</f>
        <v/>
      </c>
      <c r="K1986">
        <f>I1986-G1986</f>
        <v/>
      </c>
      <c r="M1986">
        <f>R1986=E1986</f>
        <v/>
      </c>
      <c r="N1986">
        <f>AND(MONTH(F1986)=MONTH(Q1986), YEAR(F1986)=YEAR(Q1986))</f>
        <v/>
      </c>
      <c r="O1986">
        <f>"L001-902303751"=S1986</f>
        <v/>
      </c>
      <c r="P1986">
        <f>G1986-U1986</f>
        <v/>
      </c>
      <c r="Q1986" s="35" t="n">
        <v>45278</v>
      </c>
      <c r="R1986" t="inlineStr"/>
      <c r="S1986" t="inlineStr">
        <is>
          <t>L001-107032791</t>
        </is>
      </c>
      <c r="T1986" t="inlineStr">
        <is>
          <t>នីបផន អិចប្រេស (ខេមបូឌា) ខូ អិលធីឌី</t>
        </is>
      </c>
      <c r="U1986" t="n">
        <v>0</v>
      </c>
      <c r="V1986" t="n">
        <v>0</v>
      </c>
    </row>
    <row r="1987">
      <c r="A1987" t="n">
        <v>1986</v>
      </c>
      <c r="B1987" t="inlineStr">
        <is>
          <t>Rental Machine</t>
        </is>
      </c>
      <c r="C1987" t="inlineStr">
        <is>
          <t>ក្លាក ហ៊ូ ឯ.ក</t>
        </is>
      </c>
      <c r="D1987" t="inlineStr">
        <is>
          <t>K007-901639199</t>
        </is>
      </c>
      <c r="E1987" t="inlineStr">
        <is>
          <t>IN2967</t>
        </is>
      </c>
      <c r="F1987" t="inlineStr">
        <is>
          <t>25-12-2024</t>
        </is>
      </c>
      <c r="G1987" t="n">
        <v>136646</v>
      </c>
      <c r="I1987">
        <f>G1987</f>
        <v/>
      </c>
      <c r="K1987">
        <f>I1987-G1987</f>
        <v/>
      </c>
      <c r="M1987">
        <f>R1987=E1987</f>
        <v/>
      </c>
      <c r="N1987">
        <f>AND(MONTH(F1987)=MONTH(Q1987), YEAR(F1987)=YEAR(Q1987))</f>
        <v/>
      </c>
      <c r="O1987">
        <f>"L001-902303751"=S1987</f>
        <v/>
      </c>
      <c r="P1987">
        <f>G1987-U1987</f>
        <v/>
      </c>
      <c r="Q1987" s="35" t="n">
        <v>45264</v>
      </c>
      <c r="R1987" t="inlineStr"/>
      <c r="S1987" t="inlineStr">
        <is>
          <t>K005-100059945</t>
        </is>
      </c>
      <c r="T1987" t="inlineStr">
        <is>
          <t>អ៊ែតវ៉ានស៍ គ្លរី ឡូជីស្ទីក (ខេមបូឌា) (អេ ជី អិល)</t>
        </is>
      </c>
      <c r="U1987" t="n">
        <v>0</v>
      </c>
      <c r="V1987" t="n">
        <v>0</v>
      </c>
    </row>
    <row r="1988">
      <c r="A1988" t="n">
        <v>1987</v>
      </c>
      <c r="B1988" t="inlineStr">
        <is>
          <t>Rental Machine</t>
        </is>
      </c>
      <c r="C1988" t="inlineStr">
        <is>
          <t>ក្លាក ហ៊ូ ឯ.ក</t>
        </is>
      </c>
      <c r="D1988" t="inlineStr">
        <is>
          <t>K007-901639199</t>
        </is>
      </c>
      <c r="E1988" t="inlineStr">
        <is>
          <t>IN2968</t>
        </is>
      </c>
      <c r="F1988" t="inlineStr">
        <is>
          <t>25-12-2024</t>
        </is>
      </c>
      <c r="G1988" t="n">
        <v>110523</v>
      </c>
      <c r="I1988">
        <f>G1988</f>
        <v/>
      </c>
      <c r="K1988">
        <f>I1988-G1988</f>
        <v/>
      </c>
      <c r="M1988">
        <f>R1988=E1988</f>
        <v/>
      </c>
      <c r="N1988">
        <f>AND(MONTH(F1988)=MONTH(Q1988), YEAR(F1988)=YEAR(Q1988))</f>
        <v/>
      </c>
      <c r="O1988">
        <f>"L001-902303751"=S1988</f>
        <v/>
      </c>
      <c r="P1988">
        <f>G1988-U1988</f>
        <v/>
      </c>
      <c r="Q1988" s="35" t="n">
        <v>45264</v>
      </c>
      <c r="R1988" t="inlineStr"/>
      <c r="S1988" t="inlineStr">
        <is>
          <t>L001-100045995</t>
        </is>
      </c>
      <c r="T1988" t="inlineStr">
        <is>
          <t>ឌីអេចអិល ឡូជីស្ទីក (ខេមបូឌា)</t>
        </is>
      </c>
      <c r="U1988" t="n">
        <v>0</v>
      </c>
      <c r="V1988" t="n">
        <v>0</v>
      </c>
    </row>
    <row r="1989">
      <c r="A1989" t="n">
        <v>1988</v>
      </c>
      <c r="B1989" t="inlineStr">
        <is>
          <t>Rental Machine</t>
        </is>
      </c>
      <c r="C1989" t="inlineStr">
        <is>
          <t>ក្លាក ហ៊ូ ឯ.ក</t>
        </is>
      </c>
      <c r="D1989" t="inlineStr">
        <is>
          <t>K007-901639199</t>
        </is>
      </c>
      <c r="E1989" t="inlineStr">
        <is>
          <t>IN2969</t>
        </is>
      </c>
      <c r="F1989" t="inlineStr">
        <is>
          <t>25-12-2024</t>
        </is>
      </c>
      <c r="G1989" t="n">
        <v>192912</v>
      </c>
      <c r="I1989">
        <f>G1989</f>
        <v/>
      </c>
      <c r="K1989">
        <f>I1989-G1989</f>
        <v/>
      </c>
      <c r="M1989">
        <f>R1989=E1989</f>
        <v/>
      </c>
      <c r="N1989">
        <f>AND(MONTH(F1989)=MONTH(Q1989), YEAR(F1989)=YEAR(Q1989))</f>
        <v/>
      </c>
      <c r="O1989">
        <f>"L001-902303751"=S1989</f>
        <v/>
      </c>
      <c r="P1989">
        <f>G1989-U1989</f>
        <v/>
      </c>
      <c r="Q1989" s="35" t="n">
        <v>45285</v>
      </c>
      <c r="R1989" t="n">
        <v>29520</v>
      </c>
      <c r="S1989" t="inlineStr">
        <is>
          <t>L001-100045898</t>
        </is>
      </c>
      <c r="T1989" t="inlineStr">
        <is>
          <t>អ៊ិចស្ពែឌីធ័រ ខេមបូឌា អិលធីឌី</t>
        </is>
      </c>
      <c r="U1989" t="n">
        <v>29520</v>
      </c>
      <c r="V1989" t="n">
        <v>0</v>
      </c>
    </row>
    <row r="1990">
      <c r="A1990" t="n">
        <v>1989</v>
      </c>
      <c r="B1990" t="inlineStr">
        <is>
          <t>Send Doc</t>
        </is>
      </c>
      <c r="C1990" t="inlineStr">
        <is>
          <t>ឌី អេច អិល អិចប្រេស (ខេមបូឌា)</t>
        </is>
      </c>
      <c r="D1990" t="inlineStr">
        <is>
          <t>L001-100045197</t>
        </is>
      </c>
      <c r="E1990" t="inlineStr">
        <is>
          <t>PNHIR00259633</t>
        </is>
      </c>
      <c r="F1990" t="inlineStr">
        <is>
          <t>09-12-2024</t>
        </is>
      </c>
      <c r="G1990" t="n">
        <v>24162</v>
      </c>
      <c r="I1990">
        <f>G1990</f>
        <v/>
      </c>
      <c r="K1990">
        <f>I1990-G1990</f>
        <v/>
      </c>
      <c r="M1990">
        <f>R1990=E1990</f>
        <v/>
      </c>
      <c r="N1990">
        <f>AND(MONTH(F1990)=MONTH(Q1990), YEAR(F1990)=YEAR(Q1990))</f>
        <v/>
      </c>
      <c r="O1990">
        <f>"L001-902303751"=S1990</f>
        <v/>
      </c>
      <c r="P1990">
        <f>G1990-U1990</f>
        <v/>
      </c>
      <c r="Q1990" s="35" t="n">
        <v>45285</v>
      </c>
      <c r="R1990" t="n">
        <v>82000</v>
      </c>
      <c r="S1990" t="inlineStr">
        <is>
          <t>L001-100011888</t>
        </is>
      </c>
      <c r="T1990" t="inlineStr">
        <is>
          <t>ត្រេន ស្តារ ហ្រេ្វត</t>
        </is>
      </c>
      <c r="U1990" t="n">
        <v>82000</v>
      </c>
      <c r="V1990" t="n">
        <v>0</v>
      </c>
    </row>
    <row r="1991">
      <c r="A1991" t="n">
        <v>1990</v>
      </c>
      <c r="B1991" t="inlineStr">
        <is>
          <t>Send Materials</t>
        </is>
      </c>
      <c r="C1991" t="inlineStr">
        <is>
          <t>ឌី អេច អិល អិចប្រេស (ខេមបូឌា)</t>
        </is>
      </c>
      <c r="D1991" t="inlineStr">
        <is>
          <t>L001-100045197</t>
        </is>
      </c>
      <c r="E1991" t="inlineStr">
        <is>
          <t>PNHIR00260197</t>
        </is>
      </c>
      <c r="F1991" t="inlineStr">
        <is>
          <t>11-12-2024</t>
        </is>
      </c>
      <c r="G1991" t="n">
        <v>8044</v>
      </c>
      <c r="I1991">
        <f>G1991</f>
        <v/>
      </c>
      <c r="K1991">
        <f>I1991-G1991</f>
        <v/>
      </c>
      <c r="M1991">
        <f>R1991=E1991</f>
        <v/>
      </c>
      <c r="N1991">
        <f>AND(MONTH(F1991)=MONTH(Q1991), YEAR(F1991)=YEAR(Q1991))</f>
        <v/>
      </c>
      <c r="O1991">
        <f>"L001-902303751"=S1991</f>
        <v/>
      </c>
      <c r="P1991">
        <f>G1991-U1991</f>
        <v/>
      </c>
      <c r="Q1991" s="35" t="n">
        <v>45288</v>
      </c>
      <c r="R1991" t="inlineStr"/>
      <c r="S1991" t="inlineStr">
        <is>
          <t>L001-100011888</t>
        </is>
      </c>
      <c r="T1991" t="inlineStr">
        <is>
          <t>ត្រេន ស្តារ ហ្រេ្វត</t>
        </is>
      </c>
      <c r="U1991" t="n">
        <v>0</v>
      </c>
      <c r="V1991" t="n">
        <v>0</v>
      </c>
    </row>
    <row r="1992">
      <c r="A1992" t="n">
        <v>1991</v>
      </c>
      <c r="B1992" t="inlineStr">
        <is>
          <t>Send Materials</t>
        </is>
      </c>
      <c r="C1992" t="inlineStr">
        <is>
          <t>ឌី អេច អិល អិចប្រេស (ខេមបូឌា)</t>
        </is>
      </c>
      <c r="D1992" t="inlineStr">
        <is>
          <t>L001-100045197</t>
        </is>
      </c>
      <c r="E1992" t="inlineStr">
        <is>
          <t>PNHIR00260253</t>
        </is>
      </c>
      <c r="F1992" t="inlineStr">
        <is>
          <t>12-12-2024</t>
        </is>
      </c>
      <c r="G1992" t="n">
        <v>6024</v>
      </c>
      <c r="I1992">
        <f>G1992</f>
        <v/>
      </c>
      <c r="K1992">
        <f>I1992-G1992</f>
        <v/>
      </c>
      <c r="M1992">
        <f>R1992=E1992</f>
        <v/>
      </c>
      <c r="N1992">
        <f>AND(MONTH(F1992)=MONTH(Q1992), YEAR(F1992)=YEAR(Q1992))</f>
        <v/>
      </c>
      <c r="O1992">
        <f>"L001-902303751"=S1992</f>
        <v/>
      </c>
      <c r="P1992">
        <f>G1992-U1992</f>
        <v/>
      </c>
      <c r="Q1992" s="35" t="n">
        <v>45278</v>
      </c>
      <c r="R1992" t="n">
        <v>82220</v>
      </c>
      <c r="S1992" t="inlineStr">
        <is>
          <t>L001-100045995</t>
        </is>
      </c>
      <c r="T1992" t="inlineStr">
        <is>
          <t>ឌីអេចអិល ឡូជីស្ទីក (ខេមបូឌា)</t>
        </is>
      </c>
      <c r="U1992" t="n">
        <v>82220</v>
      </c>
      <c r="V1992" t="n">
        <v>0</v>
      </c>
    </row>
    <row r="1993">
      <c r="A1993" t="n">
        <v>1992</v>
      </c>
      <c r="B1993" t="inlineStr">
        <is>
          <t>CFS Handling, Carrier BL, Document Assembly, Terminal Handling, Handling Fee, VGM Processing Fee and Mainfest Fee</t>
        </is>
      </c>
      <c r="C1993" t="inlineStr">
        <is>
          <t>អ៊ិចស្ពែឌីធ័រ ខេមបូឌា អិលធីឌី</t>
        </is>
      </c>
      <c r="D1993" t="inlineStr">
        <is>
          <t>L001-100045898</t>
        </is>
      </c>
      <c r="E1993" t="inlineStr">
        <is>
          <t>TI-0299462</t>
        </is>
      </c>
      <c r="F1993" t="inlineStr">
        <is>
          <t>03-12-2024</t>
        </is>
      </c>
      <c r="G1993" t="n">
        <v>83059</v>
      </c>
      <c r="I1993">
        <f>G1993</f>
        <v/>
      </c>
      <c r="K1993">
        <f>I1993-G1993</f>
        <v/>
      </c>
      <c r="M1993">
        <f>R1993=E1993</f>
        <v/>
      </c>
      <c r="N1993">
        <f>AND(MONTH(F1993)=MONTH(Q1993), YEAR(F1993)=YEAR(Q1993))</f>
        <v/>
      </c>
      <c r="O1993">
        <f>"L001-902303751"=S1993</f>
        <v/>
      </c>
      <c r="P1993">
        <f>G1993-U1993</f>
        <v/>
      </c>
      <c r="Q1993" s="35" t="n">
        <v>45278</v>
      </c>
      <c r="R1993" t="n">
        <v>82220</v>
      </c>
      <c r="S1993" t="inlineStr">
        <is>
          <t>L001-107041723</t>
        </is>
      </c>
      <c r="T1993" t="inlineStr">
        <is>
          <t>ឌីប៊ី សេនឃើរ (ខេមបូឌា) លីមីធីត</t>
        </is>
      </c>
      <c r="U1993" t="n">
        <v>82220</v>
      </c>
      <c r="V1993" t="n">
        <v>0</v>
      </c>
    </row>
    <row r="1994">
      <c r="A1994" t="n">
        <v>1993</v>
      </c>
      <c r="B1994" t="inlineStr">
        <is>
          <t>Being billed for 1st 50% financial audit for FYE 31 December 2024</t>
        </is>
      </c>
      <c r="C1994" t="inlineStr">
        <is>
          <t>អេហ្វអាយអាយ &amp; អឹសូស៊ីអេត</t>
        </is>
      </c>
      <c r="D1994" t="inlineStr">
        <is>
          <t>K008-104009497</t>
        </is>
      </c>
      <c r="E1994" t="inlineStr">
        <is>
          <t>2024/1665</t>
        </is>
      </c>
      <c r="F1994" t="inlineStr">
        <is>
          <t>02-12-2024</t>
        </is>
      </c>
      <c r="G1994" t="n">
        <v>1813050</v>
      </c>
      <c r="I1994">
        <f>G1994</f>
        <v/>
      </c>
      <c r="K1994">
        <f>I1994-G1994</f>
        <v/>
      </c>
      <c r="M1994">
        <f>R1994=E1994</f>
        <v/>
      </c>
      <c r="N1994">
        <f>AND(MONTH(F1994)=MONTH(Q1994), YEAR(F1994)=YEAR(Q1994))</f>
        <v/>
      </c>
      <c r="O1994">
        <f>"L001-902303751"=S1994</f>
        <v/>
      </c>
      <c r="P1994">
        <f>G1994-U1994</f>
        <v/>
      </c>
      <c r="Q1994" s="35" t="n">
        <v>45271</v>
      </c>
      <c r="R1994" t="inlineStr"/>
      <c r="S1994" t="inlineStr">
        <is>
          <t>K003-901635943</t>
        </is>
      </c>
      <c r="T1994" t="inlineStr">
        <is>
          <t>អ៊ីឃ្យូឡាញ វើលវ៉ាយដ៍ ឡូជីស្ទីក</t>
        </is>
      </c>
      <c r="U1994" t="n">
        <v>0</v>
      </c>
      <c r="V1994" t="n">
        <v>0</v>
      </c>
    </row>
    <row r="1995">
      <c r="A1995" t="n">
        <v>1994</v>
      </c>
      <c r="B1995" t="inlineStr">
        <is>
          <t>Being billed for 1st 50% financial audit for period from 15 August 2023 to 31 December 2023</t>
        </is>
      </c>
      <c r="C1995" t="inlineStr">
        <is>
          <t>អេហ្វអាយអាយ &amp; អឹសូស៊ីអេត</t>
        </is>
      </c>
      <c r="D1995" t="inlineStr">
        <is>
          <t>K008-104009497</t>
        </is>
      </c>
      <c r="E1995" t="inlineStr">
        <is>
          <t>2024/1666</t>
        </is>
      </c>
      <c r="F1995" t="inlineStr">
        <is>
          <t>02-12-2024</t>
        </is>
      </c>
      <c r="G1995" t="n">
        <v>1208700</v>
      </c>
      <c r="I1995">
        <f>G1995</f>
        <v/>
      </c>
      <c r="K1995">
        <f>I1995-G1995</f>
        <v/>
      </c>
      <c r="M1995">
        <f>R1995=E1995</f>
        <v/>
      </c>
      <c r="N1995">
        <f>AND(MONTH(F1995)=MONTH(Q1995), YEAR(F1995)=YEAR(Q1995))</f>
        <v/>
      </c>
      <c r="O1995">
        <f>"L001-902303751"=S1995</f>
        <v/>
      </c>
      <c r="P1995">
        <f>G1995-U1995</f>
        <v/>
      </c>
      <c r="Q1995" s="35" t="n">
        <v>45271</v>
      </c>
      <c r="R1995" t="n">
        <v>206523</v>
      </c>
      <c r="S1995" t="inlineStr">
        <is>
          <t>L001-100044956</t>
        </is>
      </c>
      <c r="T1995" t="inlineStr">
        <is>
          <t>ជី លីង អិចប្រេស ឡូជីស្ទីក (ខេមបូឌា) លីមីធីត</t>
        </is>
      </c>
      <c r="U1995" t="n">
        <v>206523</v>
      </c>
      <c r="V1995" t="n">
        <v>0</v>
      </c>
    </row>
    <row r="1996">
      <c r="A1996" t="n">
        <v>1995</v>
      </c>
      <c r="B1996" t="inlineStr">
        <is>
          <t>OM FORWARDING FEE, H/C and AMB FEE</t>
        </is>
      </c>
      <c r="C1996" t="inlineStr">
        <is>
          <t>អ៊ិចស្ពែឌីធ័រ ខេមបូឌា អិលធីឌី</t>
        </is>
      </c>
      <c r="D1996" t="inlineStr">
        <is>
          <t>L001-100045898</t>
        </is>
      </c>
      <c r="E1996" t="inlineStr">
        <is>
          <t>TI-0299621</t>
        </is>
      </c>
      <c r="F1996" t="inlineStr">
        <is>
          <t>04-12-2024</t>
        </is>
      </c>
      <c r="G1996" t="n">
        <v>46345</v>
      </c>
      <c r="I1996">
        <f>G1996</f>
        <v/>
      </c>
      <c r="K1996">
        <f>I1996-G1996</f>
        <v/>
      </c>
      <c r="M1996">
        <f>R1996=E1996</f>
        <v/>
      </c>
      <c r="N1996">
        <f>AND(MONTH(F1996)=MONTH(Q1996), YEAR(F1996)=YEAR(Q1996))</f>
        <v/>
      </c>
      <c r="O1996">
        <f>"L001-902303751"=S1996</f>
        <v/>
      </c>
      <c r="P1996">
        <f>G1996-U1996</f>
        <v/>
      </c>
      <c r="Q1996" s="35" t="n">
        <v>45271</v>
      </c>
      <c r="R1996" t="inlineStr"/>
      <c r="S1996" t="inlineStr">
        <is>
          <t>L001-107032791</t>
        </is>
      </c>
      <c r="T1996" t="inlineStr">
        <is>
          <t>នីបផន អិចប្រេស (ខេមបូឌា) ខូ អិលធីឌី</t>
        </is>
      </c>
      <c r="U1996" t="n">
        <v>0</v>
      </c>
      <c r="V1996" t="n">
        <v>0</v>
      </c>
    </row>
    <row r="1997">
      <c r="A1997" t="n">
        <v>1996</v>
      </c>
      <c r="B1997" t="inlineStr">
        <is>
          <t>AH Fee</t>
        </is>
      </c>
      <c r="C1997" t="inlineStr">
        <is>
          <t>អ៊ិចស្ពែឌីធ័រ ខេមបូឌា អិលធីឌី</t>
        </is>
      </c>
      <c r="D1997" t="inlineStr">
        <is>
          <t>L001-100045898</t>
        </is>
      </c>
      <c r="E1997" t="inlineStr">
        <is>
          <t>TI-0299078</t>
        </is>
      </c>
      <c r="F1997" t="inlineStr">
        <is>
          <t>03-12-2024</t>
        </is>
      </c>
      <c r="G1997" t="n">
        <v>20160</v>
      </c>
      <c r="I1997">
        <f>G1997</f>
        <v/>
      </c>
      <c r="K1997">
        <f>I1997-G1997</f>
        <v/>
      </c>
      <c r="M1997">
        <f>R1997=E1997</f>
        <v/>
      </c>
      <c r="N1997">
        <f>AND(MONTH(F1997)=MONTH(Q1997), YEAR(F1997)=YEAR(Q1997))</f>
        <v/>
      </c>
      <c r="O1997">
        <f>"L001-902303751"=S1997</f>
        <v/>
      </c>
      <c r="P1997">
        <f>G1997-U1997</f>
        <v/>
      </c>
      <c r="Q1997" s="35" t="n">
        <v>45267</v>
      </c>
      <c r="R1997" t="inlineStr"/>
      <c r="S1997" t="inlineStr">
        <is>
          <t>K002-901800477</t>
        </is>
      </c>
      <c r="T1997" t="inlineStr">
        <is>
          <t>អាយធីអាយ អ៊ិនធើណេសិនណល ត្រេនស័្ពរថេសិន (ខេមបូឌា) ឯ.ក</t>
        </is>
      </c>
      <c r="U1997" t="n">
        <v>0</v>
      </c>
      <c r="V1997" t="n">
        <v>0</v>
      </c>
    </row>
    <row r="1998">
      <c r="A1998" t="n">
        <v>1997</v>
      </c>
      <c r="B1998" t="inlineStr">
        <is>
          <t>OT Fee</t>
        </is>
      </c>
      <c r="C1998" t="inlineStr">
        <is>
          <t>អ៊ិចស្ពែឌីធ័រ ខេមបូឌា អិលធីឌី</t>
        </is>
      </c>
      <c r="D1998" t="inlineStr">
        <is>
          <t>L001-100045898</t>
        </is>
      </c>
      <c r="E1998" t="inlineStr">
        <is>
          <t>TI-0298718</t>
        </is>
      </c>
      <c r="F1998" t="inlineStr">
        <is>
          <t>03-12-2024</t>
        </is>
      </c>
      <c r="G1998" t="n">
        <v>32256</v>
      </c>
      <c r="I1998">
        <f>G1998</f>
        <v/>
      </c>
      <c r="K1998">
        <f>I1998-G1998</f>
        <v/>
      </c>
      <c r="M1998">
        <f>R1998=E1998</f>
        <v/>
      </c>
      <c r="N1998">
        <f>AND(MONTH(F1998)=MONTH(Q1998), YEAR(F1998)=YEAR(Q1998))</f>
        <v/>
      </c>
      <c r="O1998">
        <f>"L001-902303751"=S1998</f>
        <v/>
      </c>
      <c r="P1998">
        <f>G1998-U1998</f>
        <v/>
      </c>
      <c r="Q1998" s="35" t="n">
        <v>45267</v>
      </c>
      <c r="R1998" t="n">
        <v>111132</v>
      </c>
      <c r="S1998" t="inlineStr">
        <is>
          <t>K002-901800477</t>
        </is>
      </c>
      <c r="T1998" t="inlineStr">
        <is>
          <t>អាយធីអាយ អ៊ិនធើណេសិនណល ត្រេនស័្ពរថេសិន (ខេមបូឌា) ឯ.ក</t>
        </is>
      </c>
      <c r="U1998" t="n">
        <v>111132</v>
      </c>
      <c r="V1998" t="n">
        <v>0</v>
      </c>
    </row>
    <row r="1999">
      <c r="A1999" t="n">
        <v>1998</v>
      </c>
      <c r="B1999" t="inlineStr">
        <is>
          <t>CFS Handling, Carrier BL, Document Assembly, Terminal Handling, Handling Fee, VGM Processing Fee and Mainfest Fee</t>
        </is>
      </c>
      <c r="C1999" t="inlineStr">
        <is>
          <t>អ៊ិចស្ពែឌីធ័រ ខេមបូឌា អិលធីឌី</t>
        </is>
      </c>
      <c r="D1999" t="inlineStr">
        <is>
          <t>L001-100045898</t>
        </is>
      </c>
      <c r="E1999" t="inlineStr">
        <is>
          <t>TI-0299408</t>
        </is>
      </c>
      <c r="F1999" t="inlineStr">
        <is>
          <t>03-12-2024</t>
        </is>
      </c>
      <c r="G1999" t="n">
        <v>116928</v>
      </c>
      <c r="I1999">
        <f>G1999</f>
        <v/>
      </c>
      <c r="K1999">
        <f>I1999-G1999</f>
        <v/>
      </c>
      <c r="M1999">
        <f>R1999=E1999</f>
        <v/>
      </c>
      <c r="N1999">
        <f>AND(MONTH(F1999)=MONTH(Q1999), YEAR(F1999)=YEAR(Q1999))</f>
        <v/>
      </c>
      <c r="O1999">
        <f>"L001-902303751"=S1999</f>
        <v/>
      </c>
      <c r="P1999">
        <f>G1999-U1999</f>
        <v/>
      </c>
      <c r="Q1999" s="35" t="n">
        <v>45267</v>
      </c>
      <c r="R1999" t="inlineStr"/>
      <c r="S1999" t="inlineStr">
        <is>
          <t>K005-901805913</t>
        </is>
      </c>
      <c r="T1999" t="inlineStr">
        <is>
          <t>ស្តារ ខង់ខដ (ខេមបូឌា) ឯ.ក</t>
        </is>
      </c>
      <c r="U1999" t="n">
        <v>0</v>
      </c>
      <c r="V1999" t="n">
        <v>0</v>
      </c>
    </row>
    <row r="2000">
      <c r="A2000" t="n">
        <v>1999</v>
      </c>
      <c r="B2000" t="inlineStr">
        <is>
          <t>Send Materials</t>
        </is>
      </c>
      <c r="C2000" t="inlineStr">
        <is>
          <t>ឌី អេច អិល អិចប្រេស (ខេមបូឌា)</t>
        </is>
      </c>
      <c r="D2000" t="inlineStr">
        <is>
          <t>L001-100045197</t>
        </is>
      </c>
      <c r="E2000" t="inlineStr">
        <is>
          <t>PNHIR00261155</t>
        </is>
      </c>
      <c r="F2000" t="inlineStr">
        <is>
          <t>16-12-2024</t>
        </is>
      </c>
      <c r="G2000" t="n">
        <v>8038</v>
      </c>
      <c r="I2000">
        <f>G2000</f>
        <v/>
      </c>
      <c r="K2000">
        <f>I2000-G2000</f>
        <v/>
      </c>
      <c r="M2000">
        <f>R2000=E2000</f>
        <v/>
      </c>
      <c r="N2000">
        <f>AND(MONTH(F2000)=MONTH(Q2000), YEAR(F2000)=YEAR(Q2000))</f>
        <v/>
      </c>
      <c r="O2000">
        <f>"L001-902303751"=S2000</f>
        <v/>
      </c>
      <c r="P2000">
        <f>G2000-U2000</f>
        <v/>
      </c>
      <c r="Q2000" s="35" t="n">
        <v>45261</v>
      </c>
      <c r="R2000" t="inlineStr"/>
      <c r="S2000" t="inlineStr">
        <is>
          <t>L001-107041723</t>
        </is>
      </c>
      <c r="T2000" t="inlineStr">
        <is>
          <t>ឌីប៊ី សេនឃើរ (ខេមបូឌា) លីមីធីត</t>
        </is>
      </c>
      <c r="U2000" t="n">
        <v>0</v>
      </c>
      <c r="V2000" t="n">
        <v>0</v>
      </c>
    </row>
    <row r="2001">
      <c r="A2001" t="n">
        <v>2000</v>
      </c>
      <c r="B2001" t="inlineStr">
        <is>
          <t>OT Fee</t>
        </is>
      </c>
      <c r="C2001" t="inlineStr">
        <is>
          <t>អ៊ិចស្ពែឌីធ័រ ខេមបូឌា អិលធីឌី</t>
        </is>
      </c>
      <c r="D2001" t="inlineStr">
        <is>
          <t>L001-100045898</t>
        </is>
      </c>
      <c r="E2001" t="inlineStr">
        <is>
          <t>TI-0299542</t>
        </is>
      </c>
      <c r="F2001" t="inlineStr">
        <is>
          <t>04-12-2024</t>
        </is>
      </c>
      <c r="G2001" t="n">
        <v>48360</v>
      </c>
      <c r="I2001">
        <f>G2001</f>
        <v/>
      </c>
      <c r="K2001">
        <f>I2001-G2001</f>
        <v/>
      </c>
      <c r="M2001">
        <f>R2001=E2001</f>
        <v/>
      </c>
      <c r="N2001">
        <f>AND(MONTH(F2001)=MONTH(Q2001), YEAR(F2001)=YEAR(Q2001))</f>
        <v/>
      </c>
      <c r="O2001">
        <f>"L001-902303751"=S2001</f>
        <v/>
      </c>
      <c r="P2001">
        <f>G2001-U2001</f>
        <v/>
      </c>
      <c r="Q2001" s="35" t="n">
        <v>45278</v>
      </c>
      <c r="R2001" t="n">
        <v>206372</v>
      </c>
      <c r="S2001" t="inlineStr">
        <is>
          <t>L001-100044956</t>
        </is>
      </c>
      <c r="T2001" t="inlineStr">
        <is>
          <t>ជី លីង អិចប្រេស ឡូជីស្ទីក (ខេមបូឌា) លីមីធីត</t>
        </is>
      </c>
      <c r="U2001" t="n">
        <v>206372</v>
      </c>
      <c r="V2001" t="n">
        <v>0</v>
      </c>
    </row>
    <row r="2002">
      <c r="A2002" t="n">
        <v>2001</v>
      </c>
      <c r="B2002" t="inlineStr">
        <is>
          <t>Export Customs Clearance</t>
        </is>
      </c>
      <c r="C2002" t="inlineStr">
        <is>
          <t>អ៊ីឃ្យូឡាញ វើលវ៉ាយដ៍ ឡូជីស្ទីក</t>
        </is>
      </c>
      <c r="D2002" t="inlineStr">
        <is>
          <t>K003-901635943</t>
        </is>
      </c>
      <c r="E2002" t="inlineStr">
        <is>
          <t>PPTI24/005824</t>
        </is>
      </c>
      <c r="F2002" t="inlineStr">
        <is>
          <t>03-12-2024</t>
        </is>
      </c>
      <c r="G2002" t="n">
        <v>64512</v>
      </c>
      <c r="I2002">
        <f>G2002</f>
        <v/>
      </c>
      <c r="K2002">
        <f>I2002-G2002</f>
        <v/>
      </c>
      <c r="M2002">
        <f>R2002=E2002</f>
        <v/>
      </c>
      <c r="N2002">
        <f>AND(MONTH(F2002)=MONTH(Q2002), YEAR(F2002)=YEAR(Q2002))</f>
        <v/>
      </c>
      <c r="O2002">
        <f>"L001-902303751"=S2002</f>
        <v/>
      </c>
      <c r="P2002">
        <f>G2002-U2002</f>
        <v/>
      </c>
      <c r="Q2002" s="35" t="n">
        <v>45273</v>
      </c>
      <c r="R2002" t="n">
        <v>16432</v>
      </c>
      <c r="S2002" t="inlineStr">
        <is>
          <t>L001-100045340</t>
        </is>
      </c>
      <c r="T2002" t="inlineStr">
        <is>
          <t xml:space="preserve">ស៊ីវ៉ា អ៊ែរ អ៊ែន អូសៀន (ខេមបូឌា) ឯ.ក </t>
        </is>
      </c>
      <c r="U2002" t="n">
        <v>16432</v>
      </c>
      <c r="V2002" t="n">
        <v>0</v>
      </c>
    </row>
    <row r="2003">
      <c r="A2003" t="n">
        <v>2002</v>
      </c>
      <c r="B2003" t="inlineStr">
        <is>
          <t>Export Customs Clearance</t>
        </is>
      </c>
      <c r="C2003" t="inlineStr">
        <is>
          <t>អ៊ីឃ្យូឡាញ វើលវ៉ាយដ៍ ឡូជីស្ទីក</t>
        </is>
      </c>
      <c r="D2003" t="inlineStr">
        <is>
          <t>K003-901635943</t>
        </is>
      </c>
      <c r="E2003" t="inlineStr">
        <is>
          <t>PPTI24/006110</t>
        </is>
      </c>
      <c r="F2003" t="inlineStr">
        <is>
          <t>17-12-2024</t>
        </is>
      </c>
      <c r="G2003" t="n">
        <v>64304</v>
      </c>
      <c r="I2003">
        <f>G2003</f>
        <v/>
      </c>
      <c r="K2003">
        <f>I2003-G2003</f>
        <v/>
      </c>
      <c r="M2003">
        <f>R2003=E2003</f>
        <v/>
      </c>
      <c r="N2003">
        <f>AND(MONTH(F2003)=MONTH(Q2003), YEAR(F2003)=YEAR(Q2003))</f>
        <v/>
      </c>
      <c r="O2003">
        <f>"L001-902303751"=S2003</f>
        <v/>
      </c>
      <c r="P2003">
        <f>G2003-U2003</f>
        <v/>
      </c>
      <c r="Q2003" s="35" t="n">
        <v>45267</v>
      </c>
      <c r="R2003" t="inlineStr"/>
      <c r="S2003" t="inlineStr">
        <is>
          <t>K002-901800477</t>
        </is>
      </c>
      <c r="T2003" t="inlineStr">
        <is>
          <t>អាយធីអាយ អ៊ិនធើណេសិនណល ត្រេនស័្ពរថេសិន (ខេមបូឌា) ឯ.ក</t>
        </is>
      </c>
      <c r="U2003" t="n">
        <v>0</v>
      </c>
      <c r="V2003" t="n">
        <v>0</v>
      </c>
    </row>
    <row r="2004">
      <c r="A2004" t="n">
        <v>2003</v>
      </c>
      <c r="B2004" t="inlineStr">
        <is>
          <t>Export Customs Clearance</t>
        </is>
      </c>
      <c r="C2004" t="inlineStr">
        <is>
          <t>អ៊ីឃ្យូឡាញ វើលវ៉ាយដ៍ ឡូជីស្ទីក</t>
        </is>
      </c>
      <c r="D2004" t="inlineStr">
        <is>
          <t>K003-901635943</t>
        </is>
      </c>
      <c r="E2004" t="inlineStr">
        <is>
          <t>PPTI24/005965</t>
        </is>
      </c>
      <c r="F2004" t="inlineStr">
        <is>
          <t>10-12-2024</t>
        </is>
      </c>
      <c r="G2004" t="n">
        <v>64400</v>
      </c>
      <c r="I2004">
        <f>G2004</f>
        <v/>
      </c>
      <c r="K2004">
        <f>I2004-G2004</f>
        <v/>
      </c>
      <c r="M2004">
        <f>R2004=E2004</f>
        <v/>
      </c>
      <c r="N2004">
        <f>AND(MONTH(F2004)=MONTH(Q2004), YEAR(F2004)=YEAR(Q2004))</f>
        <v/>
      </c>
      <c r="O2004">
        <f>"L001-902303751"=S2004</f>
        <v/>
      </c>
      <c r="P2004">
        <f>G2004-U2004</f>
        <v/>
      </c>
      <c r="Q2004" s="35" t="n">
        <v>45278</v>
      </c>
      <c r="R2004" t="inlineStr"/>
      <c r="S2004" t="inlineStr">
        <is>
          <t>L001-100045995</t>
        </is>
      </c>
      <c r="T2004" t="inlineStr">
        <is>
          <t>ឌីអេចអិល ឡូជីស្ទីក (ខេមបូឌា)</t>
        </is>
      </c>
      <c r="U2004" t="n">
        <v>0</v>
      </c>
      <c r="V2004" t="n">
        <v>0</v>
      </c>
    </row>
    <row r="2005">
      <c r="A2005" t="n">
        <v>2004</v>
      </c>
      <c r="B2005" t="inlineStr">
        <is>
          <t>Export Customs Clearance</t>
        </is>
      </c>
      <c r="C2005" t="inlineStr">
        <is>
          <t>អ៊ីឃ្យូឡាញ វើលវ៉ាយដ៍ ឡូជីស្ទីក</t>
        </is>
      </c>
      <c r="D2005" t="inlineStr">
        <is>
          <t>K003-901635943</t>
        </is>
      </c>
      <c r="E2005" t="inlineStr">
        <is>
          <t>PPTI24/006019</t>
        </is>
      </c>
      <c r="F2005" t="inlineStr">
        <is>
          <t>11-12-2024</t>
        </is>
      </c>
      <c r="G2005" t="n">
        <v>64352</v>
      </c>
      <c r="I2005">
        <f>G2005</f>
        <v/>
      </c>
      <c r="K2005">
        <f>I2005-G2005</f>
        <v/>
      </c>
      <c r="M2005">
        <f>R2005=E2005</f>
        <v/>
      </c>
      <c r="N2005">
        <f>AND(MONTH(F2005)=MONTH(Q2005), YEAR(F2005)=YEAR(Q2005))</f>
        <v/>
      </c>
      <c r="O2005">
        <f>"L001-902303751"=S2005</f>
        <v/>
      </c>
      <c r="P2005">
        <f>G2005-U2005</f>
        <v/>
      </c>
      <c r="Q2005" s="35" t="n">
        <v>45278</v>
      </c>
      <c r="R2005" t="n">
        <v>113464</v>
      </c>
      <c r="S2005" t="inlineStr">
        <is>
          <t>K003-901635943</t>
        </is>
      </c>
      <c r="T2005" t="inlineStr">
        <is>
          <t>អ៊ីឃ្យូឡាញ វើលវ៉ាយដ៍ ឡូជីស្ទីក</t>
        </is>
      </c>
      <c r="U2005" t="n">
        <v>113464</v>
      </c>
      <c r="V2005" t="n">
        <v>0</v>
      </c>
    </row>
    <row r="2006">
      <c r="A2006" t="n">
        <v>2005</v>
      </c>
      <c r="B2006" t="inlineStr">
        <is>
          <t>Send Materials</t>
        </is>
      </c>
      <c r="C2006" t="inlineStr">
        <is>
          <t>ឌី អេច អិល អិចប្រេស (ខេមបូឌា)</t>
        </is>
      </c>
      <c r="D2006" t="inlineStr">
        <is>
          <t>L001-100045197</t>
        </is>
      </c>
      <c r="E2006" t="inlineStr">
        <is>
          <t>PNHIR00261182</t>
        </is>
      </c>
      <c r="F2006" t="inlineStr">
        <is>
          <t>17-12-2024</t>
        </is>
      </c>
      <c r="G2006" t="n">
        <v>6029</v>
      </c>
      <c r="I2006">
        <f>G2006</f>
        <v/>
      </c>
      <c r="K2006">
        <f>I2006-G2006</f>
        <v/>
      </c>
      <c r="M2006">
        <f>R2006=E2006</f>
        <v/>
      </c>
      <c r="N2006">
        <f>AND(MONTH(F2006)=MONTH(Q2006), YEAR(F2006)=YEAR(Q2006))</f>
        <v/>
      </c>
      <c r="O2006">
        <f>"L001-902303751"=S2006</f>
        <v/>
      </c>
      <c r="P2006">
        <f>G2006-U2006</f>
        <v/>
      </c>
      <c r="Q2006" s="35" t="n">
        <v>45271</v>
      </c>
      <c r="R2006" t="inlineStr"/>
      <c r="S2006" t="inlineStr">
        <is>
          <t>L001-100074669</t>
        </is>
      </c>
      <c r="T2006" t="inlineStr">
        <is>
          <t>ខេអិលអិន ហ្វ្រេត (ខេមបូឌា) ឯ.ក</t>
        </is>
      </c>
      <c r="U2006" t="n">
        <v>0</v>
      </c>
      <c r="V2006" t="n">
        <v>0</v>
      </c>
    </row>
    <row r="2007">
      <c r="A2007" t="n">
        <v>2006</v>
      </c>
      <c r="B2007" t="inlineStr">
        <is>
          <t>Decoration</t>
        </is>
      </c>
      <c r="C2007" t="inlineStr">
        <is>
          <t>ដឹ សាយ អេឡិកត្រូមេឃែនីខល អេនជីនារីង ឯ.ក</t>
        </is>
      </c>
      <c r="D2007" t="inlineStr">
        <is>
          <t>K009-902303599</t>
        </is>
      </c>
      <c r="E2007" t="inlineStr">
        <is>
          <t>00047</t>
        </is>
      </c>
      <c r="F2007" t="inlineStr">
        <is>
          <t>18-12-2024</t>
        </is>
      </c>
      <c r="G2007" t="n">
        <v>176924</v>
      </c>
      <c r="I2007">
        <f>G2007</f>
        <v/>
      </c>
      <c r="K2007">
        <f>I2007-G2007</f>
        <v/>
      </c>
      <c r="M2007">
        <f>R2007=E2007</f>
        <v/>
      </c>
      <c r="N2007">
        <f>AND(MONTH(F2007)=MONTH(Q2007), YEAR(F2007)=YEAR(Q2007))</f>
        <v/>
      </c>
      <c r="O2007">
        <f>"L001-902303751"=S2007</f>
        <v/>
      </c>
      <c r="P2007">
        <f>G2007-U2007</f>
        <v/>
      </c>
      <c r="Q2007" s="35" t="n">
        <v>45267</v>
      </c>
      <c r="R2007" t="n">
        <v>82320</v>
      </c>
      <c r="S2007" t="inlineStr">
        <is>
          <t>K002-901800477</t>
        </is>
      </c>
      <c r="T2007" t="inlineStr">
        <is>
          <t>អាយធីអាយ អ៊ិនធើណេសិនណល ត្រេនស័្ពរថេសិន (ខេមបូឌា) ឯ.ក</t>
        </is>
      </c>
      <c r="U2007" t="n">
        <v>82320</v>
      </c>
      <c r="V2007" t="n">
        <v>0</v>
      </c>
    </row>
    <row r="2008">
      <c r="A2008" t="n">
        <v>2007</v>
      </c>
      <c r="B2008" t="inlineStr">
        <is>
          <t>Decoration</t>
        </is>
      </c>
      <c r="C2008" t="inlineStr">
        <is>
          <t>ដឹ សាយ អេឡិកត្រូមេឃែនីខល អេនជីនារីង ឯ.ក</t>
        </is>
      </c>
      <c r="D2008" t="inlineStr">
        <is>
          <t>K009-902303599</t>
        </is>
      </c>
      <c r="E2008" t="inlineStr">
        <is>
          <t>00048</t>
        </is>
      </c>
      <c r="F2008" t="inlineStr">
        <is>
          <t>19-12-2024</t>
        </is>
      </c>
      <c r="G2008" t="n">
        <v>1320014</v>
      </c>
      <c r="I2008">
        <f>G2008</f>
        <v/>
      </c>
      <c r="K2008">
        <f>I2008-G2008</f>
        <v/>
      </c>
      <c r="M2008">
        <f>R2008=E2008</f>
        <v/>
      </c>
      <c r="N2008">
        <f>AND(MONTH(F2008)=MONTH(Q2008), YEAR(F2008)=YEAR(Q2008))</f>
        <v/>
      </c>
      <c r="O2008">
        <f>"L001-902303751"=S2008</f>
        <v/>
      </c>
      <c r="P2008">
        <f>G2008-U2008</f>
        <v/>
      </c>
      <c r="Q2008" s="35" t="n">
        <v>45264</v>
      </c>
      <c r="R2008" t="inlineStr"/>
      <c r="S2008" t="inlineStr">
        <is>
          <t>K005-901902888</t>
        </is>
      </c>
      <c r="T2008" t="inlineStr">
        <is>
          <t>អឹឡាយអិន ហ្វ័រវើឌីង (ខេមបូឌា) ឯ.ក</t>
        </is>
      </c>
      <c r="U2008" t="n">
        <v>0</v>
      </c>
      <c r="V2008" t="n">
        <v>0</v>
      </c>
    </row>
    <row r="2009">
      <c r="A2009" t="n">
        <v>2008</v>
      </c>
      <c r="B2009" t="inlineStr">
        <is>
          <t>Building Rental from 01-Aug-2024 to 31-Dec-2024</t>
        </is>
      </c>
      <c r="C2009" t="inlineStr">
        <is>
          <t>ស្មាត សាញ ហ្គាម៉ិន (ខេមបូឌា) ឯ.ក</t>
        </is>
      </c>
      <c r="D2009" t="inlineStr">
        <is>
          <t>L001-902105025</t>
        </is>
      </c>
      <c r="E2009" t="inlineStr">
        <is>
          <t>SSG-20240004</t>
        </is>
      </c>
      <c r="F2009" t="inlineStr">
        <is>
          <t>01-12-2024</t>
        </is>
      </c>
      <c r="G2009" t="n">
        <v>34926273</v>
      </c>
      <c r="I2009">
        <f>G2009</f>
        <v/>
      </c>
      <c r="K2009">
        <f>I2009-G2009</f>
        <v/>
      </c>
      <c r="M2009">
        <f>R2009=E2009</f>
        <v/>
      </c>
      <c r="N2009">
        <f>AND(MONTH(F2009)=MONTH(Q2009), YEAR(F2009)=YEAR(Q2009))</f>
        <v/>
      </c>
      <c r="O2009">
        <f>"L001-902303751"=S2009</f>
        <v/>
      </c>
      <c r="P2009">
        <f>G2009-U2009</f>
        <v/>
      </c>
      <c r="Q2009" s="35" t="n">
        <v>45285</v>
      </c>
      <c r="R2009" t="inlineStr"/>
      <c r="S2009" t="inlineStr">
        <is>
          <t>K003-901635943</t>
        </is>
      </c>
      <c r="T2009" t="inlineStr">
        <is>
          <t>អ៊ីឃ្យូឡាញ វើលវ៉ាយដ៍ ឡូជីស្ទីក</t>
        </is>
      </c>
      <c r="U2009" t="n">
        <v>0</v>
      </c>
      <c r="V2009" t="n">
        <v>0</v>
      </c>
    </row>
    <row r="2010">
      <c r="A2010" t="n">
        <v>2009</v>
      </c>
      <c r="B2010" t="inlineStr">
        <is>
          <t>Monthly Tax Service for November 2024</t>
        </is>
      </c>
      <c r="C2010" t="inlineStr">
        <is>
          <t>ខេឌី ខនសាល់ធេន ឯ.ក</t>
        </is>
      </c>
      <c r="D2010" t="inlineStr">
        <is>
          <t>K005-901704277</t>
        </is>
      </c>
      <c r="E2010" t="inlineStr">
        <is>
          <t>20240001590</t>
        </is>
      </c>
      <c r="F2010" t="inlineStr">
        <is>
          <t>25-12-2024</t>
        </is>
      </c>
      <c r="G2010" t="n">
        <v>100475</v>
      </c>
      <c r="I2010">
        <f>G2010</f>
        <v/>
      </c>
      <c r="K2010">
        <f>I2010-G2010</f>
        <v/>
      </c>
      <c r="M2010">
        <f>R2010=E2010</f>
        <v/>
      </c>
      <c r="N2010">
        <f>AND(MONTH(F2010)=MONTH(Q2010), YEAR(F2010)=YEAR(Q2010))</f>
        <v/>
      </c>
      <c r="O2010">
        <f>"L001-902303751"=S2010</f>
        <v/>
      </c>
      <c r="P2010">
        <f>G2010-U2010</f>
        <v/>
      </c>
      <c r="Q2010" s="35" t="n">
        <v>45285</v>
      </c>
      <c r="R2010" t="n">
        <v>82000</v>
      </c>
      <c r="S2010" t="inlineStr">
        <is>
          <t>L001-107041723</t>
        </is>
      </c>
      <c r="T2010" t="inlineStr">
        <is>
          <t>ឌីប៊ី សេនឃើរ (ខេមបូឌា) លីមីធីត</t>
        </is>
      </c>
      <c r="U2010" t="n">
        <v>82000</v>
      </c>
      <c r="V2010" t="n">
        <v>0</v>
      </c>
    </row>
    <row r="2011">
      <c r="A2011" t="n">
        <v>2010</v>
      </c>
      <c r="B2011" t="inlineStr">
        <is>
          <t>Customs Clearance Fee and Trucking Fee</t>
        </is>
      </c>
      <c r="C2011" t="inlineStr">
        <is>
          <t>ត្រាយអ៊ែងហ្គល ឡូជីស្ទីក (ខេមបូឌា) ឯ.ក</t>
        </is>
      </c>
      <c r="D2011" t="inlineStr">
        <is>
          <t>K010-902101743</t>
        </is>
      </c>
      <c r="E2011" t="inlineStr">
        <is>
          <t>TAG-24-00915</t>
        </is>
      </c>
      <c r="F2011" t="inlineStr">
        <is>
          <t>16-12-2024</t>
        </is>
      </c>
      <c r="G2011" t="n">
        <v>8038</v>
      </c>
      <c r="I2011">
        <f>G2011</f>
        <v/>
      </c>
      <c r="K2011">
        <f>I2011-G2011</f>
        <v/>
      </c>
      <c r="M2011">
        <f>R2011=E2011</f>
        <v/>
      </c>
      <c r="N2011">
        <f>AND(MONTH(F2011)=MONTH(Q2011), YEAR(F2011)=YEAR(Q2011))</f>
        <v/>
      </c>
      <c r="O2011">
        <f>"L001-902303751"=S2011</f>
        <v/>
      </c>
      <c r="P2011">
        <f>G2011-U2011</f>
        <v/>
      </c>
      <c r="Q2011" s="35" t="n">
        <v>45267</v>
      </c>
      <c r="R2011" t="inlineStr"/>
      <c r="S2011" t="inlineStr">
        <is>
          <t>L001-100044956</t>
        </is>
      </c>
      <c r="T2011" t="inlineStr">
        <is>
          <t>ជី លីង អិចប្រេស ឡូជីស្ទីក (ខេមបូឌា) លីមីធីត</t>
        </is>
      </c>
      <c r="U2011" t="n">
        <v>0</v>
      </c>
      <c r="V2011" t="n">
        <v>0</v>
      </c>
    </row>
    <row r="2012">
      <c r="A2012" t="n">
        <v>2011</v>
      </c>
      <c r="B2012" t="inlineStr">
        <is>
          <t>Customs Clearance Fee and Trucking Fee</t>
        </is>
      </c>
      <c r="C2012" t="inlineStr">
        <is>
          <t>ត្រាយអ៊ែងហ្គល ឡូជីស្ទីក (ខេមបូឌា) ឯ.ក</t>
        </is>
      </c>
      <c r="D2012" t="inlineStr">
        <is>
          <t>K010-902101743</t>
        </is>
      </c>
      <c r="E2012" t="inlineStr">
        <is>
          <t>TAG-24-00914</t>
        </is>
      </c>
      <c r="F2012" t="inlineStr">
        <is>
          <t>16-12-2024</t>
        </is>
      </c>
      <c r="G2012" t="n">
        <v>8038</v>
      </c>
      <c r="I2012">
        <f>G2012</f>
        <v/>
      </c>
      <c r="K2012">
        <f>I2012-G2012</f>
        <v/>
      </c>
      <c r="M2012">
        <f>R2012=E2012</f>
        <v/>
      </c>
      <c r="N2012">
        <f>AND(MONTH(F2012)=MONTH(Q2012), YEAR(F2012)=YEAR(Q2012))</f>
        <v/>
      </c>
      <c r="O2012">
        <f>"L001-902303751"=S2012</f>
        <v/>
      </c>
      <c r="P2012">
        <f>G2012-U2012</f>
        <v/>
      </c>
      <c r="Q2012" s="35" t="n">
        <v>45264</v>
      </c>
      <c r="R2012" t="inlineStr"/>
      <c r="S2012" t="inlineStr">
        <is>
          <t>K003-901635943</t>
        </is>
      </c>
      <c r="T2012" t="inlineStr">
        <is>
          <t>អ៊ីឃ្យូឡាញ វើលវ៉ាយដ៍ ឡូជីស្ទីក</t>
        </is>
      </c>
      <c r="U2012" t="n">
        <v>0</v>
      </c>
      <c r="V2012" t="n">
        <v>0</v>
      </c>
    </row>
    <row r="2013">
      <c r="A2013" t="n">
        <v>2012</v>
      </c>
      <c r="B2013" t="inlineStr">
        <is>
          <t>Customs Clearance Fee and Trucking Fee</t>
        </is>
      </c>
      <c r="C2013" t="inlineStr">
        <is>
          <t>ត្រាយអ៊ែងហ្គល ឡូជីស្ទីក (ខេមបូឌា) ឯ.ក</t>
        </is>
      </c>
      <c r="D2013" t="inlineStr">
        <is>
          <t>K010-902101743</t>
        </is>
      </c>
      <c r="E2013" t="inlineStr">
        <is>
          <t>TAG-24-00913</t>
        </is>
      </c>
      <c r="F2013" t="inlineStr">
        <is>
          <t>16-12-2024</t>
        </is>
      </c>
      <c r="G2013" t="n">
        <v>8038</v>
      </c>
      <c r="I2013">
        <f>G2013</f>
        <v/>
      </c>
      <c r="K2013">
        <f>I2013-G2013</f>
        <v/>
      </c>
      <c r="M2013">
        <f>R2013=E2013</f>
        <v/>
      </c>
      <c r="N2013">
        <f>AND(MONTH(F2013)=MONTH(Q2013), YEAR(F2013)=YEAR(Q2013))</f>
        <v/>
      </c>
      <c r="O2013">
        <f>"L001-902303751"=S2013</f>
        <v/>
      </c>
      <c r="P2013">
        <f>G2013-U2013</f>
        <v/>
      </c>
      <c r="Q2013" s="35" t="n">
        <v>45264</v>
      </c>
      <c r="R2013" t="n">
        <v>299499</v>
      </c>
      <c r="S2013" t="inlineStr">
        <is>
          <t>L001-100074669</t>
        </is>
      </c>
      <c r="T2013" t="inlineStr">
        <is>
          <t>ខេអិលអិន ហ្វ្រេត (ខេមបូឌា) ឯ.ក</t>
        </is>
      </c>
      <c r="U2013" t="n">
        <v>299499</v>
      </c>
      <c r="V2013" t="n">
        <v>0</v>
      </c>
    </row>
    <row r="2014">
      <c r="A2014" t="n">
        <v>2013</v>
      </c>
      <c r="B2014" t="inlineStr">
        <is>
          <t>Customs Clearance Fee and Trucking Fee</t>
        </is>
      </c>
      <c r="C2014" t="inlineStr">
        <is>
          <t>ត្រាយអ៊ែងហ្គល ឡូជីស្ទីក (ខេមបូឌា) ឯ.ក</t>
        </is>
      </c>
      <c r="D2014" t="inlineStr">
        <is>
          <t>K010-902101743</t>
        </is>
      </c>
      <c r="E2014" t="inlineStr">
        <is>
          <t>TAG-24-00912</t>
        </is>
      </c>
      <c r="F2014" t="inlineStr">
        <is>
          <t>16-12-2024</t>
        </is>
      </c>
      <c r="G2014" t="n">
        <v>8038</v>
      </c>
      <c r="I2014">
        <f>G2014</f>
        <v/>
      </c>
      <c r="K2014">
        <f>I2014-G2014</f>
        <v/>
      </c>
      <c r="M2014">
        <f>R2014=E2014</f>
        <v/>
      </c>
      <c r="N2014">
        <f>AND(MONTH(F2014)=MONTH(Q2014), YEAR(F2014)=YEAR(Q2014))</f>
        <v/>
      </c>
      <c r="O2014">
        <f>"L001-902303751"=S2014</f>
        <v/>
      </c>
      <c r="P2014">
        <f>G2014-U2014</f>
        <v/>
      </c>
      <c r="Q2014" s="35" t="n">
        <v>45285</v>
      </c>
      <c r="R2014" t="inlineStr"/>
      <c r="S2014" t="inlineStr">
        <is>
          <t>L001-107032791</t>
        </is>
      </c>
      <c r="T2014" t="inlineStr">
        <is>
          <t>នីបផន អិចប្រេស (ខេមបូឌា) ខូ អិលធីឌី</t>
        </is>
      </c>
      <c r="U2014" t="n">
        <v>0</v>
      </c>
      <c r="V2014" t="n">
        <v>0</v>
      </c>
    </row>
    <row r="2015">
      <c r="A2015" t="n">
        <v>2014</v>
      </c>
      <c r="B2015" t="inlineStr">
        <is>
          <t>Trucking, Customs Clearance, Extra Trucking and Truck Fuel Surcharge</t>
        </is>
      </c>
      <c r="C2015" t="inlineStr">
        <is>
          <t>អេស អ វី ស៊ី ហ្វ្រេត សឺវីស (ខេមបូឌា) ខូ អិលធីឌី</t>
        </is>
      </c>
      <c r="D2015" t="inlineStr">
        <is>
          <t>K005-100150195</t>
        </is>
      </c>
      <c r="E2015" t="inlineStr">
        <is>
          <t>SRVI2407785</t>
        </is>
      </c>
      <c r="F2015" t="inlineStr">
        <is>
          <t>05-12-2024</t>
        </is>
      </c>
      <c r="G2015" t="n">
        <v>161160</v>
      </c>
      <c r="I2015">
        <f>G2015</f>
        <v/>
      </c>
      <c r="K2015">
        <f>I2015-G2015</f>
        <v/>
      </c>
      <c r="M2015">
        <f>R2015=E2015</f>
        <v/>
      </c>
      <c r="N2015">
        <f>AND(MONTH(F2015)=MONTH(Q2015), YEAR(F2015)=YEAR(Q2015))</f>
        <v/>
      </c>
      <c r="O2015">
        <f>"L001-902303751"=S2015</f>
        <v/>
      </c>
      <c r="P2015">
        <f>G2015-U2015</f>
        <v/>
      </c>
      <c r="Q2015" s="35" t="n">
        <v>45275</v>
      </c>
      <c r="R2015" t="n">
        <v>2891385</v>
      </c>
      <c r="S2015" t="inlineStr">
        <is>
          <t>K004-105012505</t>
        </is>
      </c>
      <c r="T2015" t="inlineStr">
        <is>
          <t>អេស៊ាន ហ្វ្រេត (ខេមបូឌា)</t>
        </is>
      </c>
      <c r="U2015" t="n">
        <v>2891385</v>
      </c>
      <c r="V2015" t="n">
        <v>0</v>
      </c>
    </row>
    <row r="2016">
      <c r="A2016" t="n">
        <v>2015</v>
      </c>
      <c r="B2016" t="inlineStr">
        <is>
          <t>Trucking, Customs Clearance, Extra Trucking and Truck Fuel Surcharge</t>
        </is>
      </c>
      <c r="C2016" t="inlineStr">
        <is>
          <t>អេស អ វី ស៊ី ហ្វ្រេត សឺវីស (ខេមបូឌា) ខូ អិលធីឌី</t>
        </is>
      </c>
      <c r="D2016" t="inlineStr">
        <is>
          <t>K005-100150195</t>
        </is>
      </c>
      <c r="E2016" t="inlineStr">
        <is>
          <t>SRVI2407788</t>
        </is>
      </c>
      <c r="F2016" t="inlineStr">
        <is>
          <t>05-12-2024</t>
        </is>
      </c>
      <c r="G2016" t="n">
        <v>169218</v>
      </c>
      <c r="I2016">
        <f>G2016</f>
        <v/>
      </c>
      <c r="K2016">
        <f>I2016-G2016</f>
        <v/>
      </c>
      <c r="M2016">
        <f>R2016=E2016</f>
        <v/>
      </c>
      <c r="N2016">
        <f>AND(MONTH(F2016)=MONTH(Q2016), YEAR(F2016)=YEAR(Q2016))</f>
        <v/>
      </c>
      <c r="O2016">
        <f>"L001-902303751"=S2016</f>
        <v/>
      </c>
      <c r="P2016">
        <f>G2016-U2016</f>
        <v/>
      </c>
      <c r="Q2016" s="35" t="n">
        <v>45278</v>
      </c>
      <c r="R2016" t="inlineStr"/>
      <c r="S2016" t="inlineStr">
        <is>
          <t>K003-901635943</t>
        </is>
      </c>
      <c r="T2016" t="inlineStr">
        <is>
          <t>អ៊ីឃ្យូឡាញ វើលវ៉ាយដ៍ ឡូជីស្ទីក</t>
        </is>
      </c>
      <c r="U2016" t="n">
        <v>0</v>
      </c>
      <c r="V2016" t="n">
        <v>0</v>
      </c>
    </row>
    <row r="2017">
      <c r="A2017" t="n">
        <v>2016</v>
      </c>
      <c r="B2017" t="inlineStr">
        <is>
          <t>Trucking, Customs Clearance, Extra Trucking and Truck Fuel Surcharge</t>
        </is>
      </c>
      <c r="C2017" t="inlineStr">
        <is>
          <t>អេស អ វី ស៊ី ហ្វ្រេត សឺវីស (ខេមបូឌា) ខូ អិលធីឌី</t>
        </is>
      </c>
      <c r="D2017" t="inlineStr">
        <is>
          <t>K005-100150195</t>
        </is>
      </c>
      <c r="E2017" t="inlineStr">
        <is>
          <t>SRVI2408205</t>
        </is>
      </c>
      <c r="F2017" t="inlineStr">
        <is>
          <t>24-12-2024</t>
        </is>
      </c>
      <c r="G2017" t="n">
        <v>160760</v>
      </c>
      <c r="I2017">
        <f>G2017</f>
        <v/>
      </c>
      <c r="K2017">
        <f>I2017-G2017</f>
        <v/>
      </c>
      <c r="M2017">
        <f>R2017=E2017</f>
        <v/>
      </c>
      <c r="N2017">
        <f>AND(MONTH(F2017)=MONTH(Q2017), YEAR(F2017)=YEAR(Q2017))</f>
        <v/>
      </c>
      <c r="O2017">
        <f>"L001-902303751"=S2017</f>
        <v/>
      </c>
      <c r="P2017">
        <f>G2017-U2017</f>
        <v/>
      </c>
      <c r="Q2017" s="35" t="n">
        <v>45278</v>
      </c>
      <c r="R2017" t="inlineStr"/>
      <c r="S2017" t="inlineStr">
        <is>
          <t>L001-107041723</t>
        </is>
      </c>
      <c r="T2017" t="inlineStr">
        <is>
          <t>ឌីប៊ី សេនឃើរ (ខេមបូឌា) លីមីធីត</t>
        </is>
      </c>
      <c r="U2017" t="n">
        <v>0</v>
      </c>
      <c r="V2017" t="n">
        <v>0</v>
      </c>
    </row>
    <row r="2018">
      <c r="A2018" t="n">
        <v>2017</v>
      </c>
      <c r="B2018" t="inlineStr">
        <is>
          <t>Trucking, Customs Clearance, Extra Trucking and Truck Fuel Surcharge</t>
        </is>
      </c>
      <c r="C2018" t="inlineStr">
        <is>
          <t>អេស អ វី ស៊ី ហ្វ្រេត សឺវីស (ខេមបូឌា) ខូ អិលធីឌី</t>
        </is>
      </c>
      <c r="D2018" t="inlineStr">
        <is>
          <t>K005-100150195</t>
        </is>
      </c>
      <c r="E2018" t="inlineStr">
        <is>
          <t>SRVI2408071</t>
        </is>
      </c>
      <c r="F2018" t="inlineStr">
        <is>
          <t>18-12-2024</t>
        </is>
      </c>
      <c r="G2018" t="n">
        <v>233218</v>
      </c>
      <c r="I2018">
        <f>G2018</f>
        <v/>
      </c>
      <c r="K2018">
        <f>I2018-G2018</f>
        <v/>
      </c>
      <c r="M2018">
        <f>R2018=E2018</f>
        <v/>
      </c>
      <c r="N2018">
        <f>AND(MONTH(F2018)=MONTH(Q2018), YEAR(F2018)=YEAR(Q2018))</f>
        <v/>
      </c>
      <c r="O2018">
        <f>"L001-902303751"=S2018</f>
        <v/>
      </c>
      <c r="P2018">
        <f>G2018-U2018</f>
        <v/>
      </c>
      <c r="Q2018" s="35" t="n">
        <v>45271</v>
      </c>
      <c r="R2018" t="n">
        <v>130002</v>
      </c>
      <c r="S2018" t="inlineStr">
        <is>
          <t>K005-901805913</t>
        </is>
      </c>
      <c r="T2018" t="inlineStr">
        <is>
          <t>ស្តារ ខង់ខដ (ខេមបូឌា) ឯ.ក</t>
        </is>
      </c>
      <c r="U2018" t="n">
        <v>130002</v>
      </c>
      <c r="V2018" t="n">
        <v>0</v>
      </c>
    </row>
    <row r="2019">
      <c r="A2019" t="n">
        <v>2018</v>
      </c>
      <c r="B2019" t="inlineStr">
        <is>
          <t>Trucking, Customs Clearance, Extra Trucking and Truck Fuel Surcharge</t>
        </is>
      </c>
      <c r="C2019" t="inlineStr">
        <is>
          <t>អេស អ វី ស៊ី ហ្វ្រេត សឺវីស (ខេមបូឌា) ខូ អិលធីឌី</t>
        </is>
      </c>
      <c r="D2019" t="inlineStr">
        <is>
          <t>K005-100150195</t>
        </is>
      </c>
      <c r="E2019" t="inlineStr">
        <is>
          <t>SRVI2408068</t>
        </is>
      </c>
      <c r="F2019" t="inlineStr">
        <is>
          <t>18-12-2024</t>
        </is>
      </c>
      <c r="G2019" t="n">
        <v>160840</v>
      </c>
      <c r="I2019">
        <f>G2019</f>
        <v/>
      </c>
      <c r="K2019">
        <f>I2019-G2019</f>
        <v/>
      </c>
      <c r="M2019">
        <f>R2019=E2019</f>
        <v/>
      </c>
      <c r="N2019">
        <f>AND(MONTH(F2019)=MONTH(Q2019), YEAR(F2019)=YEAR(Q2019))</f>
        <v/>
      </c>
      <c r="O2019">
        <f>"L001-902303751"=S2019</f>
        <v/>
      </c>
      <c r="P2019">
        <f>G2019-U2019</f>
        <v/>
      </c>
      <c r="Q2019" s="35" t="n">
        <v>45267</v>
      </c>
      <c r="R2019" t="n">
        <v>263424</v>
      </c>
      <c r="S2019" t="inlineStr">
        <is>
          <t>L001-100011888</t>
        </is>
      </c>
      <c r="T2019" t="inlineStr">
        <is>
          <t>ត្រេន ស្តារ ហ្រេ្វត</t>
        </is>
      </c>
      <c r="U2019" t="n">
        <v>263424</v>
      </c>
      <c r="V2019" t="n">
        <v>0</v>
      </c>
    </row>
    <row r="2020">
      <c r="A2020" t="n">
        <v>2019</v>
      </c>
      <c r="B2020" t="inlineStr">
        <is>
          <t>Trucking, Customs Clearance, Extra Trucking and Truck Fuel Surcharge</t>
        </is>
      </c>
      <c r="C2020" t="inlineStr">
        <is>
          <t>អេស អ វី ស៊ី ហ្វ្រេត សឺវីស (ខេមបូឌា) ខូ អិលធីឌី</t>
        </is>
      </c>
      <c r="D2020" t="inlineStr">
        <is>
          <t>K005-100150195</t>
        </is>
      </c>
      <c r="E2020" t="inlineStr">
        <is>
          <t>SRVI2407901</t>
        </is>
      </c>
      <c r="F2020" t="inlineStr">
        <is>
          <t>11-12-2024</t>
        </is>
      </c>
      <c r="G2020" t="n">
        <v>168924</v>
      </c>
      <c r="I2020">
        <f>G2020</f>
        <v/>
      </c>
      <c r="K2020">
        <f>I2020-G2020</f>
        <v/>
      </c>
      <c r="M2020">
        <f>R2020=E2020</f>
        <v/>
      </c>
      <c r="N2020">
        <f>AND(MONTH(F2020)=MONTH(Q2020), YEAR(F2020)=YEAR(Q2020))</f>
        <v/>
      </c>
      <c r="O2020">
        <f>"L001-902303751"=S2020</f>
        <v/>
      </c>
      <c r="P2020">
        <f>G2020-U2020</f>
        <v/>
      </c>
      <c r="Q2020" s="35" t="n">
        <v>45267</v>
      </c>
      <c r="R2020" t="n">
        <v>111132</v>
      </c>
      <c r="S2020" t="inlineStr">
        <is>
          <t>K002-901800477</t>
        </is>
      </c>
      <c r="T2020" t="inlineStr">
        <is>
          <t>អាយធីអាយ អ៊ិនធើណេសិនណល ត្រេនស័្ពរថេសិន (ខេមបូឌា) ឯ.ក</t>
        </is>
      </c>
      <c r="U2020" t="n">
        <v>111132</v>
      </c>
      <c r="V2020" t="n">
        <v>0</v>
      </c>
    </row>
    <row r="2021">
      <c r="A2021" t="n">
        <v>2020</v>
      </c>
      <c r="B2021" t="inlineStr">
        <is>
          <t>Trucking, Customs Clearance, Extra Trucking and Truck Fuel Surcharge</t>
        </is>
      </c>
      <c r="C2021" t="inlineStr">
        <is>
          <t>អេស អ វី ស៊ី ហ្វ្រេត សឺវីស (ខេមបូឌា) ខូ អិលធីឌី</t>
        </is>
      </c>
      <c r="D2021" t="inlineStr">
        <is>
          <t>K005-100150195</t>
        </is>
      </c>
      <c r="E2021" t="inlineStr">
        <is>
          <t>SRVI2407898</t>
        </is>
      </c>
      <c r="F2021" t="inlineStr">
        <is>
          <t>11-12-2024</t>
        </is>
      </c>
      <c r="G2021" t="n">
        <v>160880</v>
      </c>
      <c r="I2021">
        <f>G2021</f>
        <v/>
      </c>
      <c r="K2021">
        <f>I2021-G2021</f>
        <v/>
      </c>
      <c r="M2021">
        <f>R2021=E2021</f>
        <v/>
      </c>
      <c r="N2021">
        <f>AND(MONTH(F2021)=MONTH(Q2021), YEAR(F2021)=YEAR(Q2021))</f>
        <v/>
      </c>
      <c r="O2021">
        <f>"L001-902303751"=S2021</f>
        <v/>
      </c>
      <c r="P2021">
        <f>G2021-U2021</f>
        <v/>
      </c>
      <c r="Q2021" s="35" t="n">
        <v>45267</v>
      </c>
      <c r="R2021" t="inlineStr"/>
      <c r="S2021" t="inlineStr">
        <is>
          <t>L001-103007369</t>
        </is>
      </c>
      <c r="T2021" t="inlineStr">
        <is>
          <t>អូរៀនថល ឡូជីស្ទីក &amp; ឌីស្ទ្រីប៊្យូសិន (ខេមបូឌា)</t>
        </is>
      </c>
      <c r="U2021" t="n">
        <v>0</v>
      </c>
      <c r="V2021" t="n">
        <v>0</v>
      </c>
    </row>
    <row r="2022">
      <c r="A2022" t="n">
        <v>2021</v>
      </c>
      <c r="B2022" t="inlineStr">
        <is>
          <t>Customs Clearance Fee and Trucking Fee</t>
        </is>
      </c>
      <c r="C2022" t="inlineStr">
        <is>
          <t>ត្រាយអ៊ែងហ្គល ឡូជីស្ទីក (ខេមបូឌា) ឯ.ក</t>
        </is>
      </c>
      <c r="D2022" t="inlineStr">
        <is>
          <t>K010-902101743</t>
        </is>
      </c>
      <c r="E2022" t="inlineStr">
        <is>
          <t>TAG-24-00916</t>
        </is>
      </c>
      <c r="F2022" t="inlineStr">
        <is>
          <t>20-12-2024</t>
        </is>
      </c>
      <c r="G2022" t="n">
        <v>8038</v>
      </c>
      <c r="I2022">
        <f>G2022</f>
        <v/>
      </c>
      <c r="K2022">
        <f>I2022-G2022</f>
        <v/>
      </c>
      <c r="M2022">
        <f>R2022=E2022</f>
        <v/>
      </c>
      <c r="N2022">
        <f>AND(MONTH(F2022)=MONTH(Q2022), YEAR(F2022)=YEAR(Q2022))</f>
        <v/>
      </c>
      <c r="O2022">
        <f>"L001-902303751"=S2022</f>
        <v/>
      </c>
      <c r="P2022">
        <f>G2022-U2022</f>
        <v/>
      </c>
      <c r="Q2022" s="35" t="n">
        <v>45264</v>
      </c>
      <c r="R2022" t="n">
        <v>111078</v>
      </c>
      <c r="S2022" t="inlineStr">
        <is>
          <t>K005-100059945</t>
        </is>
      </c>
      <c r="T2022" t="inlineStr">
        <is>
          <t>អ៊ែតវ៉ានស៍ គ្លរី ឡូជីស្ទីក (ខេមបូឌា) (អេ ជី អិល)</t>
        </is>
      </c>
      <c r="U2022" t="n">
        <v>111078</v>
      </c>
      <c r="V2022" t="n">
        <v>0</v>
      </c>
    </row>
    <row r="2023">
      <c r="A2023" t="n">
        <v>2022</v>
      </c>
      <c r="B2023" t="inlineStr">
        <is>
          <t>Customs Clearance Fee and Trucking Fee</t>
        </is>
      </c>
      <c r="C2023" t="inlineStr">
        <is>
          <t>ត្រាយអ៊ែងហ្គល ឡូជីស្ទីក (ខេមបូឌា) ឯ.ក</t>
        </is>
      </c>
      <c r="D2023" t="inlineStr">
        <is>
          <t>K010-902101743</t>
        </is>
      </c>
      <c r="E2023" t="inlineStr">
        <is>
          <t>TAG-24-00917</t>
        </is>
      </c>
      <c r="F2023" t="inlineStr">
        <is>
          <t>20-12-2024</t>
        </is>
      </c>
      <c r="G2023" t="n">
        <v>8038</v>
      </c>
      <c r="I2023">
        <f>G2023</f>
        <v/>
      </c>
      <c r="K2023">
        <f>I2023-G2023</f>
        <v/>
      </c>
      <c r="M2023">
        <f>R2023=E2023</f>
        <v/>
      </c>
      <c r="N2023">
        <f>AND(MONTH(F2023)=MONTH(Q2023), YEAR(F2023)=YEAR(Q2023))</f>
        <v/>
      </c>
      <c r="O2023">
        <f>"L001-902303751"=S2023</f>
        <v/>
      </c>
      <c r="P2023">
        <f>G2023-U2023</f>
        <v/>
      </c>
      <c r="Q2023" s="35" t="n">
        <v>45264</v>
      </c>
      <c r="R2023" t="n">
        <v>111078</v>
      </c>
      <c r="S2023" t="inlineStr">
        <is>
          <t>L001-100045995</t>
        </is>
      </c>
      <c r="T2023" t="inlineStr">
        <is>
          <t>ឌីអេចអិល ឡូជីស្ទីក (ខេមបូឌា)</t>
        </is>
      </c>
      <c r="U2023" t="n">
        <v>111078</v>
      </c>
      <c r="V2023" t="n">
        <v>0</v>
      </c>
    </row>
    <row r="2024">
      <c r="A2024" t="n">
        <v>2023</v>
      </c>
      <c r="B2024" t="inlineStr">
        <is>
          <t>Customs Clearance Fee and Trucking Fee</t>
        </is>
      </c>
      <c r="C2024" t="inlineStr">
        <is>
          <t>ត្រាយអ៊ែងហ្គល ឡូជីស្ទីក (ខេមបូឌា) ឯ.ក</t>
        </is>
      </c>
      <c r="D2024" t="inlineStr">
        <is>
          <t>K010-902101743</t>
        </is>
      </c>
      <c r="E2024" t="inlineStr">
        <is>
          <t>TAG-24-00918</t>
        </is>
      </c>
      <c r="F2024" t="inlineStr">
        <is>
          <t>20-12-2024</t>
        </is>
      </c>
      <c r="G2024" t="n">
        <v>8038</v>
      </c>
      <c r="I2024">
        <f>G2024</f>
        <v/>
      </c>
      <c r="K2024">
        <f>I2024-G2024</f>
        <v/>
      </c>
      <c r="M2024">
        <f>R2024=E2024</f>
        <v/>
      </c>
      <c r="N2024">
        <f>AND(MONTH(F2024)=MONTH(Q2024), YEAR(F2024)=YEAR(Q2024))</f>
        <v/>
      </c>
      <c r="O2024">
        <f>"L001-902303751"=S2024</f>
        <v/>
      </c>
      <c r="P2024">
        <f>G2024-U2024</f>
        <v/>
      </c>
      <c r="Q2024" s="35" t="n">
        <v>45264</v>
      </c>
      <c r="R2024" t="n">
        <v>82280</v>
      </c>
      <c r="S2024" t="inlineStr">
        <is>
          <t>K005-901902888</t>
        </is>
      </c>
      <c r="T2024" t="inlineStr">
        <is>
          <t>អឹឡាយអិន ហ្វ័រវើឌីង (ខេមបូឌា) ឯ.ក</t>
        </is>
      </c>
      <c r="U2024" t="n">
        <v>82280</v>
      </c>
      <c r="V2024" t="n">
        <v>0</v>
      </c>
    </row>
    <row r="2025">
      <c r="A2025" t="n">
        <v>2024</v>
      </c>
      <c r="B2025" t="inlineStr">
        <is>
          <t>Transportation Fee</t>
        </is>
      </c>
      <c r="C2025" t="inlineStr">
        <is>
          <t>យូ អេហ្វ អេស គ្លូប៊ល អិចប្រេស ឡូជីស្ទីក</t>
        </is>
      </c>
      <c r="D2025" t="inlineStr">
        <is>
          <t>K010-108005623</t>
        </is>
      </c>
      <c r="E2025" t="inlineStr">
        <is>
          <t>UFS-00946</t>
        </is>
      </c>
      <c r="F2025" t="inlineStr">
        <is>
          <t>26-12-2024</t>
        </is>
      </c>
      <c r="G2025" t="n">
        <v>654045</v>
      </c>
      <c r="I2025">
        <f>G2025</f>
        <v/>
      </c>
      <c r="K2025">
        <f>I2025-G2025</f>
        <v/>
      </c>
      <c r="M2025">
        <f>R2025=E2025</f>
        <v/>
      </c>
      <c r="N2025">
        <f>AND(MONTH(F2025)=MONTH(Q2025), YEAR(F2025)=YEAR(Q2025))</f>
        <v/>
      </c>
      <c r="O2025">
        <f>"L001-902303751"=S2025</f>
        <v/>
      </c>
      <c r="P2025">
        <f>G2025-U2025</f>
        <v/>
      </c>
      <c r="Q2025" s="35" t="n">
        <v>45271</v>
      </c>
      <c r="R2025" t="n">
        <v>82280</v>
      </c>
      <c r="S2025" t="inlineStr">
        <is>
          <t>K003-901635943</t>
        </is>
      </c>
      <c r="T2025" t="inlineStr">
        <is>
          <t>អ៊ីឃ្យូឡាញ វើលវ៉ាយដ៍ ឡូជីស្ទីក</t>
        </is>
      </c>
      <c r="U2025" t="n">
        <v>82280</v>
      </c>
      <c r="V2025" t="n">
        <v>0</v>
      </c>
    </row>
    <row r="2026">
      <c r="A2026" t="n">
        <v>2025</v>
      </c>
      <c r="B2026" t="inlineStr">
        <is>
          <t>Boiler repair costs</t>
        </is>
      </c>
      <c r="C2026" t="inlineStr">
        <is>
          <t>វ៉ានលី ប៊យឡឺ អាយរ៉ុននីង អេឃ្វីបម៉ិន ឯ.ក</t>
        </is>
      </c>
      <c r="D2026" t="inlineStr">
        <is>
          <t>K010-902202437</t>
        </is>
      </c>
      <c r="E2026" t="inlineStr">
        <is>
          <t>W2024-0044</t>
        </is>
      </c>
      <c r="F2026" t="inlineStr">
        <is>
          <t>16-12-2024</t>
        </is>
      </c>
      <c r="G2026" t="n">
        <v>221045</v>
      </c>
      <c r="I2026">
        <f>G2026</f>
        <v/>
      </c>
      <c r="K2026">
        <f>I2026-G2026</f>
        <v/>
      </c>
      <c r="M2026">
        <f>R2026=E2026</f>
        <v/>
      </c>
      <c r="N2026">
        <f>AND(MONTH(F2026)=MONTH(Q2026), YEAR(F2026)=YEAR(Q2026))</f>
        <v/>
      </c>
      <c r="O2026">
        <f>"L001-902303751"=S2026</f>
        <v/>
      </c>
      <c r="P2026">
        <f>G2026-U2026</f>
        <v/>
      </c>
      <c r="Q2026" s="35" t="n">
        <v>45271</v>
      </c>
      <c r="R2026" t="inlineStr"/>
      <c r="S2026" t="inlineStr">
        <is>
          <t>L001-100045340</t>
        </is>
      </c>
      <c r="T2026" t="inlineStr">
        <is>
          <t xml:space="preserve">ស៊ីវ៉ា អ៊ែរ អ៊ែន អូសៀន (ខេមបូឌា) ឯ.ក </t>
        </is>
      </c>
      <c r="U2026" t="n">
        <v>0</v>
      </c>
      <c r="V2026" t="n">
        <v>0</v>
      </c>
    </row>
    <row r="2027">
      <c r="A2027" t="n">
        <v>2026</v>
      </c>
      <c r="B2027" t="inlineStr">
        <is>
          <t>Cost of replacing boiler plpes</t>
        </is>
      </c>
      <c r="C2027" t="inlineStr">
        <is>
          <t>វ៉ានលី ប៊យឡឺ អាយរ៉ុននីង អេឃ្វីបម៉ិន ឯ.ក</t>
        </is>
      </c>
      <c r="D2027" t="inlineStr">
        <is>
          <t>K010-902202437</t>
        </is>
      </c>
      <c r="E2027" t="inlineStr">
        <is>
          <t>W2024-0045</t>
        </is>
      </c>
      <c r="F2027" t="inlineStr">
        <is>
          <t>16-12-2024</t>
        </is>
      </c>
      <c r="G2027" t="n">
        <v>115747</v>
      </c>
      <c r="I2027">
        <f>G2027</f>
        <v/>
      </c>
      <c r="K2027">
        <f>I2027-G2027</f>
        <v/>
      </c>
      <c r="M2027">
        <f>R2027=E2027</f>
        <v/>
      </c>
      <c r="N2027">
        <f>AND(MONTH(F2027)=MONTH(Q2027), YEAR(F2027)=YEAR(Q2027))</f>
        <v/>
      </c>
      <c r="O2027">
        <f>"L001-902303751"=S2027</f>
        <v/>
      </c>
      <c r="P2027">
        <f>G2027-U2027</f>
        <v/>
      </c>
      <c r="Q2027" s="35" t="n">
        <v>45267</v>
      </c>
      <c r="R2027" t="n">
        <v>111132</v>
      </c>
      <c r="S2027" t="inlineStr">
        <is>
          <t>K002-901800477</t>
        </is>
      </c>
      <c r="T2027" t="inlineStr">
        <is>
          <t>អាយធីអាយ អ៊ិនធើណេសិនណល ត្រេនស័្ពរថេសិន (ខេមបូឌា) ឯ.ក</t>
        </is>
      </c>
      <c r="U2027" t="n">
        <v>111132</v>
      </c>
      <c r="V2027" t="n">
        <v>0</v>
      </c>
    </row>
    <row r="2028">
      <c r="A2028" t="n">
        <v>2027</v>
      </c>
      <c r="B2028" t="inlineStr">
        <is>
          <t>Double needle chain, Computer super small mouth nett, Comjputer date, Computer Button, Computer Cutter flat and Electronic nail striking</t>
        </is>
      </c>
      <c r="C2028" t="inlineStr">
        <is>
          <t>ដាប់ប៊ែលយូ ឌី អិល អេឡិកត្រូមេឃែនីខល អេឃ្វីបម៉ិន ឯ.ក</t>
        </is>
      </c>
      <c r="D2028" t="inlineStr">
        <is>
          <t>K009-902202951</t>
        </is>
      </c>
      <c r="E2028" t="inlineStr">
        <is>
          <t>0280</t>
        </is>
      </c>
      <c r="F2028" t="inlineStr">
        <is>
          <t>30-12-2024</t>
        </is>
      </c>
      <c r="G2028" t="n">
        <v>315884</v>
      </c>
      <c r="I2028">
        <f>G2028</f>
        <v/>
      </c>
      <c r="K2028">
        <f>I2028-G2028</f>
        <v/>
      </c>
      <c r="M2028">
        <f>R2028=E2028</f>
        <v/>
      </c>
      <c r="N2028">
        <f>AND(MONTH(F2028)=MONTH(Q2028), YEAR(F2028)=YEAR(Q2028))</f>
        <v/>
      </c>
      <c r="O2028">
        <f>"L001-902303751"=S2028</f>
        <v/>
      </c>
      <c r="P2028">
        <f>G2028-U2028</f>
        <v/>
      </c>
      <c r="Q2028" s="35" t="n">
        <v>45267</v>
      </c>
      <c r="R2028" t="n">
        <v>111132</v>
      </c>
      <c r="S2028" t="inlineStr">
        <is>
          <t>K002-901800477</t>
        </is>
      </c>
      <c r="T2028" t="inlineStr">
        <is>
          <t>អាយធីអាយ អ៊ិនធើណេសិនណល ត្រេនស័្ពរថេសិន (ខេមបូឌា) ឯ.ក</t>
        </is>
      </c>
      <c r="U2028" t="n">
        <v>111132</v>
      </c>
      <c r="V2028" t="n">
        <v>0</v>
      </c>
    </row>
    <row r="2029">
      <c r="A2029" t="n">
        <v>2028</v>
      </c>
      <c r="B2029" t="inlineStr">
        <is>
          <t>High pressure pneumatic vacuum gun</t>
        </is>
      </c>
      <c r="C2029" t="inlineStr">
        <is>
          <t>ដាប់ប៊ែលយូ ឌី អិល អេឡិកត្រូមេឃែនីខល អេឃ្វីបម៉ិន ឯ.ក</t>
        </is>
      </c>
      <c r="D2029" t="inlineStr">
        <is>
          <t>K009-902202951</t>
        </is>
      </c>
      <c r="E2029" t="inlineStr">
        <is>
          <t>0281</t>
        </is>
      </c>
      <c r="F2029" t="inlineStr">
        <is>
          <t>30-12-2024</t>
        </is>
      </c>
      <c r="G2029" t="n">
        <v>193152</v>
      </c>
      <c r="I2029">
        <f>G2029</f>
        <v/>
      </c>
      <c r="K2029">
        <f>I2029-G2029</f>
        <v/>
      </c>
      <c r="M2029">
        <f>R2029=E2029</f>
        <v/>
      </c>
      <c r="N2029">
        <f>AND(MONTH(F2029)=MONTH(Q2029), YEAR(F2029)=YEAR(Q2029))</f>
        <v/>
      </c>
      <c r="O2029">
        <f>"L001-902303751"=S2029</f>
        <v/>
      </c>
      <c r="P2029">
        <f>G2029-U2029</f>
        <v/>
      </c>
      <c r="Q2029" s="35" t="n">
        <v>45278</v>
      </c>
      <c r="R2029" t="inlineStr"/>
      <c r="S2029" t="inlineStr">
        <is>
          <t>L001-107032791</t>
        </is>
      </c>
      <c r="T2029" t="inlineStr">
        <is>
          <t>នីបផន អិចប្រេស (ខេមបូឌា) ខូ អិលធីឌី</t>
        </is>
      </c>
      <c r="U2029" t="n">
        <v>0</v>
      </c>
      <c r="V2029" t="n">
        <v>0</v>
      </c>
    </row>
    <row r="2030">
      <c r="A2030" t="n">
        <v>2029</v>
      </c>
      <c r="B2030" t="inlineStr">
        <is>
          <t>Team Leader Security Service and Security Guard</t>
        </is>
      </c>
      <c r="C2030" t="inlineStr">
        <is>
          <t>វី.ភី.អ.វ៉ាយ ស៊ីឃ្យួរឹធី ឯ.ក</t>
        </is>
      </c>
      <c r="D2030" t="inlineStr">
        <is>
          <t>K010-902303788</t>
        </is>
      </c>
      <c r="E2030" t="inlineStr">
        <is>
          <t>V.P.R.Y24-00164</t>
        </is>
      </c>
      <c r="F2030" t="inlineStr">
        <is>
          <t>26-12-2024</t>
        </is>
      </c>
      <c r="G2030" t="n">
        <v>1277724</v>
      </c>
      <c r="I2030">
        <f>G2030</f>
        <v/>
      </c>
      <c r="K2030">
        <f>I2030-G2030</f>
        <v/>
      </c>
      <c r="M2030">
        <f>R2030=E2030</f>
        <v/>
      </c>
      <c r="N2030">
        <f>AND(MONTH(F2030)=MONTH(Q2030), YEAR(F2030)=YEAR(Q2030))</f>
        <v/>
      </c>
      <c r="O2030">
        <f>"L001-902303751"=S2030</f>
        <v/>
      </c>
      <c r="P2030">
        <f>G2030-U2030</f>
        <v/>
      </c>
      <c r="Q2030" s="35" t="n">
        <v>45278</v>
      </c>
      <c r="R2030" t="n">
        <v>110997</v>
      </c>
      <c r="S2030" t="inlineStr">
        <is>
          <t>L001-107032791</t>
        </is>
      </c>
      <c r="T2030" t="inlineStr">
        <is>
          <t>នីបផន អិចប្រេស (ខេមបូឌា) ខូ អិលធីឌី</t>
        </is>
      </c>
      <c r="U2030" t="n">
        <v>110997</v>
      </c>
      <c r="V2030" t="n">
        <v>0</v>
      </c>
    </row>
    <row r="2031">
      <c r="A2031" t="n">
        <v>2030</v>
      </c>
      <c r="B2031" t="inlineStr">
        <is>
          <t>Team Leader Security Service and Security Guard</t>
        </is>
      </c>
      <c r="C2031" t="inlineStr">
        <is>
          <t>វី.ភី.អ.វ៉ាយ ស៊ីឃ្យួរឹធី ឯ.ក</t>
        </is>
      </c>
      <c r="D2031" t="inlineStr">
        <is>
          <t>K010-902303788</t>
        </is>
      </c>
      <c r="E2031" t="inlineStr">
        <is>
          <t>V.P.R.Y24-00165</t>
        </is>
      </c>
      <c r="F2031" t="inlineStr">
        <is>
          <t>26-12-2024</t>
        </is>
      </c>
      <c r="G2031" t="n">
        <v>795564</v>
      </c>
      <c r="I2031">
        <f>G2031</f>
        <v/>
      </c>
      <c r="K2031">
        <f>I2031-G2031</f>
        <v/>
      </c>
      <c r="M2031">
        <f>R2031=E2031</f>
        <v/>
      </c>
      <c r="N2031">
        <f>AND(MONTH(F2031)=MONTH(Q2031), YEAR(F2031)=YEAR(Q2031))</f>
        <v/>
      </c>
      <c r="O2031">
        <f>"L001-902303751"=S2031</f>
        <v/>
      </c>
      <c r="P2031">
        <f>G2031-U2031</f>
        <v/>
      </c>
      <c r="Q2031" s="35" t="n">
        <v>45272</v>
      </c>
      <c r="R2031" t="n">
        <v>84645</v>
      </c>
      <c r="S2031" t="inlineStr">
        <is>
          <t>K003-901635943</t>
        </is>
      </c>
      <c r="T2031" t="inlineStr">
        <is>
          <t>អ៊ីឃ្យូឡាញ វើលវ៉ាយដ៍ ឡូជីស្ទីក</t>
        </is>
      </c>
      <c r="U2031" t="n">
        <v>84645</v>
      </c>
      <c r="V2031" t="n">
        <v>0</v>
      </c>
    </row>
    <row r="2032">
      <c r="A2032" t="n">
        <v>2031</v>
      </c>
      <c r="B2032" t="inlineStr">
        <is>
          <t>Customs Clearance Fee and Trucking Fee</t>
        </is>
      </c>
      <c r="C2032" t="inlineStr">
        <is>
          <t>ត្រាយអ៊ែងហ្គល ឡូជីស្ទីក (ខេមបូឌា) ឯ.ក</t>
        </is>
      </c>
      <c r="D2032" t="inlineStr">
        <is>
          <t>K010-902101743</t>
        </is>
      </c>
      <c r="E2032" t="inlineStr">
        <is>
          <t>TAG-24-00951</t>
        </is>
      </c>
      <c r="F2032" t="inlineStr">
        <is>
          <t>25-12-2024</t>
        </is>
      </c>
      <c r="G2032" t="n">
        <v>8038</v>
      </c>
      <c r="I2032">
        <f>G2032</f>
        <v/>
      </c>
      <c r="K2032">
        <f>I2032-G2032</f>
        <v/>
      </c>
      <c r="M2032">
        <f>R2032=E2032</f>
        <v/>
      </c>
      <c r="N2032">
        <f>AND(MONTH(F2032)=MONTH(Q2032), YEAR(F2032)=YEAR(Q2032))</f>
        <v/>
      </c>
      <c r="O2032">
        <f>"L001-902303751"=S2032</f>
        <v/>
      </c>
      <c r="P2032">
        <f>G2032-U2032</f>
        <v/>
      </c>
      <c r="Q2032" s="35" t="n">
        <v>45271</v>
      </c>
      <c r="R2032" t="n">
        <v>177725</v>
      </c>
      <c r="S2032" t="inlineStr">
        <is>
          <t>L001-100045340</t>
        </is>
      </c>
      <c r="T2032" t="inlineStr">
        <is>
          <t xml:space="preserve">ស៊ីវ៉ា អ៊ែរ អ៊ែន អូសៀន (ខេមបូឌា) ឯ.ក </t>
        </is>
      </c>
      <c r="U2032" t="n">
        <v>177725</v>
      </c>
      <c r="V2032" t="n">
        <v>0</v>
      </c>
    </row>
    <row r="2033">
      <c r="A2033" t="n">
        <v>2032</v>
      </c>
      <c r="B2033" t="inlineStr">
        <is>
          <t>Customs Clearance Fee and Trucking Fee</t>
        </is>
      </c>
      <c r="C2033" t="inlineStr">
        <is>
          <t>ត្រាយអ៊ែងហ្គល ឡូជីស្ទីក (ខេមបូឌា) ឯ.ក</t>
        </is>
      </c>
      <c r="D2033" t="inlineStr">
        <is>
          <t>K010-902101743</t>
        </is>
      </c>
      <c r="E2033" t="inlineStr">
        <is>
          <t>TAG-24-00919</t>
        </is>
      </c>
      <c r="F2033" t="inlineStr">
        <is>
          <t>20-12-2024</t>
        </is>
      </c>
      <c r="G2033" t="n">
        <v>8038</v>
      </c>
      <c r="I2033">
        <f>G2033</f>
        <v/>
      </c>
      <c r="K2033">
        <f>I2033-G2033</f>
        <v/>
      </c>
      <c r="M2033">
        <f>R2033=E2033</f>
        <v/>
      </c>
      <c r="N2033">
        <f>AND(MONTH(F2033)=MONTH(Q2033), YEAR(F2033)=YEAR(Q2033))</f>
        <v/>
      </c>
      <c r="O2033">
        <f>"L001-902303751"=S2033</f>
        <v/>
      </c>
      <c r="P2033">
        <f>G2033-U2033</f>
        <v/>
      </c>
      <c r="Q2033" s="35" t="n">
        <v>45267</v>
      </c>
      <c r="R2033" t="n">
        <v>82320</v>
      </c>
      <c r="S2033" t="inlineStr">
        <is>
          <t>K002-901800477</t>
        </is>
      </c>
      <c r="T2033" t="inlineStr">
        <is>
          <t>អាយធីអាយ អ៊ិនធើណេសិនណល ត្រេនស័្ពរថេសិន (ខេមបូឌា) ឯ.ក</t>
        </is>
      </c>
      <c r="U2033" t="n">
        <v>82320</v>
      </c>
      <c r="V2033" t="n">
        <v>0</v>
      </c>
    </row>
    <row r="2034">
      <c r="A2034" t="n">
        <v>2033</v>
      </c>
      <c r="B2034" t="inlineStr">
        <is>
          <t>Customs Clearance Fee and Trucking Fee</t>
        </is>
      </c>
      <c r="C2034" t="inlineStr">
        <is>
          <t>ត្រាយអ៊ែងហ្គល ឡូជីស្ទីក (ខេមបូឌា) ឯ.ក</t>
        </is>
      </c>
      <c r="D2034" t="inlineStr">
        <is>
          <t>K010-902101743</t>
        </is>
      </c>
      <c r="E2034" t="inlineStr">
        <is>
          <t>TAG-24-00950</t>
        </is>
      </c>
      <c r="F2034" t="inlineStr">
        <is>
          <t>25-12-2024</t>
        </is>
      </c>
      <c r="G2034" t="n">
        <v>8038</v>
      </c>
      <c r="I2034">
        <f>G2034</f>
        <v/>
      </c>
      <c r="K2034">
        <f>I2034-G2034</f>
        <v/>
      </c>
      <c r="M2034">
        <f>R2034=E2034</f>
        <v/>
      </c>
      <c r="N2034">
        <f>AND(MONTH(F2034)=MONTH(Q2034), YEAR(F2034)=YEAR(Q2034))</f>
        <v/>
      </c>
      <c r="O2034">
        <f>"L001-902303751"=S2034</f>
        <v/>
      </c>
      <c r="P2034">
        <f>G2034-U2034</f>
        <v/>
      </c>
      <c r="Q2034" s="35" t="n">
        <v>45264</v>
      </c>
      <c r="R2034" t="n">
        <v>84748</v>
      </c>
      <c r="S2034" t="inlineStr">
        <is>
          <t>K003-901635943</t>
        </is>
      </c>
      <c r="T2034" t="inlineStr">
        <is>
          <t>អ៊ីឃ្យូឡាញ វើលវ៉ាយដ៍ ឡូជីស្ទីក</t>
        </is>
      </c>
      <c r="U2034" t="n">
        <v>84748</v>
      </c>
      <c r="V2034" t="n">
        <v>0</v>
      </c>
    </row>
    <row r="2035">
      <c r="A2035" t="n">
        <v>2034</v>
      </c>
      <c r="B2035" t="inlineStr">
        <is>
          <t>Customs Clearance Fee and Trucking Fee</t>
        </is>
      </c>
      <c r="C2035" t="inlineStr">
        <is>
          <t>ត្រាយអ៊ែងហ្គល ឡូជីស្ទីក (ខេមបូឌា) ឯ.ក</t>
        </is>
      </c>
      <c r="D2035" t="inlineStr">
        <is>
          <t>K010-902101743</t>
        </is>
      </c>
      <c r="E2035" t="inlineStr">
        <is>
          <t>TAG-24-00948</t>
        </is>
      </c>
      <c r="F2035" t="inlineStr">
        <is>
          <t>25-12-2024</t>
        </is>
      </c>
      <c r="G2035" t="n">
        <v>8038</v>
      </c>
      <c r="I2035">
        <f>G2035</f>
        <v/>
      </c>
      <c r="K2035">
        <f>I2035-G2035</f>
        <v/>
      </c>
      <c r="M2035">
        <f>R2035=E2035</f>
        <v/>
      </c>
      <c r="N2035">
        <f>AND(MONTH(F2035)=MONTH(Q2035), YEAR(F2035)=YEAR(Q2035))</f>
        <v/>
      </c>
      <c r="O2035">
        <f>"L001-902303751"=S2035</f>
        <v/>
      </c>
      <c r="P2035">
        <f>G2035-U2035</f>
        <v/>
      </c>
      <c r="Q2035" s="35" t="n">
        <v>45264</v>
      </c>
      <c r="R2035" t="inlineStr"/>
      <c r="S2035" t="inlineStr">
        <is>
          <t>L001-100045995</t>
        </is>
      </c>
      <c r="T2035" t="inlineStr">
        <is>
          <t>ឌីអេចអិល ឡូជីស្ទីក (ខេមបូឌា)</t>
        </is>
      </c>
      <c r="U2035" t="n">
        <v>0</v>
      </c>
      <c r="V2035" t="n">
        <v>0</v>
      </c>
    </row>
    <row r="2036">
      <c r="A2036" t="n">
        <v>2035</v>
      </c>
      <c r="B2036" t="inlineStr">
        <is>
          <t>Customs Clearance Fee and Trucking Fee</t>
        </is>
      </c>
      <c r="C2036" t="inlineStr">
        <is>
          <t>ត្រាយអ៊ែងហ្គល ឡូជីស្ទីក (ខេមបូឌា) ឯ.ក</t>
        </is>
      </c>
      <c r="D2036" t="inlineStr">
        <is>
          <t>K010-902101743</t>
        </is>
      </c>
      <c r="E2036" t="inlineStr">
        <is>
          <t>TAG-24-00947</t>
        </is>
      </c>
      <c r="F2036" t="inlineStr">
        <is>
          <t>25-12-2024</t>
        </is>
      </c>
      <c r="G2036" t="n">
        <v>8038</v>
      </c>
      <c r="I2036">
        <f>G2036</f>
        <v/>
      </c>
      <c r="K2036">
        <f>I2036-G2036</f>
        <v/>
      </c>
      <c r="M2036">
        <f>R2036=E2036</f>
        <v/>
      </c>
      <c r="N2036">
        <f>AND(MONTH(F2036)=MONTH(Q2036), YEAR(F2036)=YEAR(Q2036))</f>
        <v/>
      </c>
      <c r="O2036">
        <f>"L001-902303751"=S2036</f>
        <v/>
      </c>
      <c r="P2036">
        <f>G2036-U2036</f>
        <v/>
      </c>
      <c r="Q2036" s="35" t="n">
        <v>45264</v>
      </c>
      <c r="R2036" t="n">
        <v>111078</v>
      </c>
      <c r="S2036" t="inlineStr">
        <is>
          <t>L001-100045995</t>
        </is>
      </c>
      <c r="T2036" t="inlineStr">
        <is>
          <t>ឌីអេចអិល ឡូជីស្ទីក (ខេមបូឌា)</t>
        </is>
      </c>
      <c r="U2036" t="n">
        <v>111078</v>
      </c>
      <c r="V2036" t="n">
        <v>0</v>
      </c>
    </row>
    <row r="2037">
      <c r="A2037" t="n">
        <v>2036</v>
      </c>
      <c r="B2037" t="inlineStr">
        <is>
          <t>Customs Clearance Fee and Trucking Fee</t>
        </is>
      </c>
      <c r="C2037" t="inlineStr">
        <is>
          <t>ត្រាយអ៊ែងហ្គល ឡូជីស្ទីក (ខេមបូឌា) ឯ.ក</t>
        </is>
      </c>
      <c r="D2037" t="inlineStr">
        <is>
          <t>K010-902101743</t>
        </is>
      </c>
      <c r="E2037" t="inlineStr">
        <is>
          <t>TAG-24-00946</t>
        </is>
      </c>
      <c r="F2037" t="inlineStr">
        <is>
          <t>25-12-2024</t>
        </is>
      </c>
      <c r="G2037" t="n">
        <v>8038</v>
      </c>
      <c r="I2037">
        <f>G2037</f>
        <v/>
      </c>
      <c r="K2037">
        <f>I2037-G2037</f>
        <v/>
      </c>
      <c r="M2037">
        <f>R2037=E2037</f>
        <v/>
      </c>
      <c r="N2037">
        <f>AND(MONTH(F2037)=MONTH(Q2037), YEAR(F2037)=YEAR(Q2037))</f>
        <v/>
      </c>
      <c r="O2037">
        <f>"L001-902303751"=S2037</f>
        <v/>
      </c>
      <c r="P2037">
        <f>G2037-U2037</f>
        <v/>
      </c>
      <c r="Q2037" s="35" t="n">
        <v>45285</v>
      </c>
      <c r="R2037" t="n">
        <v>113160</v>
      </c>
      <c r="S2037" t="inlineStr">
        <is>
          <t>K003-901635943</t>
        </is>
      </c>
      <c r="T2037" t="inlineStr">
        <is>
          <t>អ៊ីឃ្យូឡាញ វើលវ៉ាយដ៍ ឡូជីស្ទីក</t>
        </is>
      </c>
      <c r="U2037" t="n">
        <v>113160</v>
      </c>
      <c r="V2037" t="n">
        <v>0</v>
      </c>
    </row>
    <row r="2038">
      <c r="A2038" t="n">
        <v>2037</v>
      </c>
      <c r="B2038" t="inlineStr">
        <is>
          <t>Customs Clearance Fee and Trucking Fee</t>
        </is>
      </c>
      <c r="C2038" t="inlineStr">
        <is>
          <t>ត្រាយអ៊ែងហ្គល ឡូជីស្ទីក (ខេមបូឌា) ឯ.ក</t>
        </is>
      </c>
      <c r="D2038" t="inlineStr">
        <is>
          <t>K010-902101743</t>
        </is>
      </c>
      <c r="E2038" t="inlineStr">
        <is>
          <t>TAG-24-00939</t>
        </is>
      </c>
      <c r="F2038" t="inlineStr">
        <is>
          <t>25-12-2024</t>
        </is>
      </c>
      <c r="G2038" t="n">
        <v>8038</v>
      </c>
      <c r="I2038">
        <f>G2038</f>
        <v/>
      </c>
      <c r="K2038">
        <f>I2038-G2038</f>
        <v/>
      </c>
      <c r="M2038">
        <f>R2038=E2038</f>
        <v/>
      </c>
      <c r="N2038">
        <f>AND(MONTH(F2038)=MONTH(Q2038), YEAR(F2038)=YEAR(Q2038))</f>
        <v/>
      </c>
      <c r="O2038">
        <f>"L001-902303751"=S2038</f>
        <v/>
      </c>
      <c r="P2038">
        <f>G2038-U2038</f>
        <v/>
      </c>
      <c r="Q2038" s="35" t="n">
        <v>45267</v>
      </c>
      <c r="R2038" t="inlineStr"/>
      <c r="S2038" t="inlineStr">
        <is>
          <t>K002-901800477</t>
        </is>
      </c>
      <c r="T2038" t="inlineStr">
        <is>
          <t>អាយធីអាយ អ៊ិនធើណេសិនណល ត្រេនស័្ពរថេសិន (ខេមបូឌា) ឯ.ក</t>
        </is>
      </c>
      <c r="U2038" t="n">
        <v>0</v>
      </c>
      <c r="V2038" t="n">
        <v>0</v>
      </c>
    </row>
    <row r="2039">
      <c r="A2039" t="n">
        <v>2038</v>
      </c>
      <c r="B2039" t="inlineStr">
        <is>
          <t>Customs Clearance Fee and Trucking Fee</t>
        </is>
      </c>
      <c r="C2039" t="inlineStr">
        <is>
          <t>ត្រាយអ៊ែងហ្គល ឡូជីស្ទីក (ខេមបូឌា) ឯ.ក</t>
        </is>
      </c>
      <c r="D2039" t="inlineStr">
        <is>
          <t>K010-902101743</t>
        </is>
      </c>
      <c r="E2039" t="inlineStr">
        <is>
          <t>TAG-24-00921</t>
        </is>
      </c>
      <c r="F2039" t="inlineStr">
        <is>
          <t>20-12-2024</t>
        </is>
      </c>
      <c r="G2039" t="n">
        <v>8038</v>
      </c>
      <c r="I2039">
        <f>G2039</f>
        <v/>
      </c>
      <c r="K2039">
        <f>I2039-G2039</f>
        <v/>
      </c>
      <c r="M2039">
        <f>R2039=E2039</f>
        <v/>
      </c>
      <c r="N2039">
        <f>AND(MONTH(F2039)=MONTH(Q2039), YEAR(F2039)=YEAR(Q2039))</f>
        <v/>
      </c>
      <c r="O2039">
        <f>"L001-902303751"=S2039</f>
        <v/>
      </c>
      <c r="P2039">
        <f>G2039-U2039</f>
        <v/>
      </c>
      <c r="Q2039" s="35" t="n">
        <v>45267</v>
      </c>
      <c r="R2039" t="inlineStr"/>
      <c r="S2039" t="inlineStr">
        <is>
          <t>K002-901800477</t>
        </is>
      </c>
      <c r="T2039" t="inlineStr">
        <is>
          <t>អាយធីអាយ អ៊ិនធើណេសិនណល ត្រេនស័្ពរថេសិន (ខេមបូឌា) ឯ.ក</t>
        </is>
      </c>
      <c r="U2039" t="n">
        <v>0</v>
      </c>
      <c r="V2039" t="n">
        <v>0</v>
      </c>
    </row>
    <row r="2040">
      <c r="A2040" t="n">
        <v>2039</v>
      </c>
      <c r="B2040" t="inlineStr">
        <is>
          <t>Customs Clearance Fee and Trucking Fee</t>
        </is>
      </c>
      <c r="C2040" t="inlineStr">
        <is>
          <t>ត្រាយអ៊ែងហ្គល ឡូជីស្ទីក (ខេមបូឌា) ឯ.ក</t>
        </is>
      </c>
      <c r="D2040" t="inlineStr">
        <is>
          <t>K010-902101743</t>
        </is>
      </c>
      <c r="E2040" t="inlineStr">
        <is>
          <t>TAG-24-00920</t>
        </is>
      </c>
      <c r="F2040" t="inlineStr">
        <is>
          <t>20-12-2024</t>
        </is>
      </c>
      <c r="G2040" t="n">
        <v>8038</v>
      </c>
      <c r="I2040">
        <f>G2040</f>
        <v/>
      </c>
      <c r="K2040">
        <f>I2040-G2040</f>
        <v/>
      </c>
      <c r="M2040">
        <f>R2040=E2040</f>
        <v/>
      </c>
      <c r="N2040">
        <f>AND(MONTH(F2040)=MONTH(Q2040), YEAR(F2040)=YEAR(Q2040))</f>
        <v/>
      </c>
      <c r="O2040">
        <f>"L001-902303751"=S2040</f>
        <v/>
      </c>
      <c r="P2040">
        <f>G2040-U2040</f>
        <v/>
      </c>
      <c r="Q2040" s="35" t="n">
        <v>45267</v>
      </c>
      <c r="R2040" t="n">
        <v>201684</v>
      </c>
      <c r="S2040" t="inlineStr">
        <is>
          <t>L001-103007369</t>
        </is>
      </c>
      <c r="T2040" t="inlineStr">
        <is>
          <t>អូរៀនថល ឡូជីស្ទីក &amp; ឌីស្ទ្រីប៊្យូសិន (ខេមបូឌា)</t>
        </is>
      </c>
      <c r="U2040" t="n">
        <v>201684</v>
      </c>
      <c r="V2040" t="n">
        <v>0</v>
      </c>
    </row>
    <row r="2041">
      <c r="A2041" t="n">
        <v>2040</v>
      </c>
      <c r="B2041" t="inlineStr">
        <is>
          <t>Transportation Fee</t>
        </is>
      </c>
      <c r="C2041" t="inlineStr">
        <is>
          <t>សំអាង &amp; មករា ត្រេនស្ព័ត ឯ.ក</t>
        </is>
      </c>
      <c r="D2041" t="inlineStr">
        <is>
          <t>K010-902204282</t>
        </is>
      </c>
      <c r="E2041" t="inlineStr">
        <is>
          <t>202300128</t>
        </is>
      </c>
      <c r="F2041" t="inlineStr">
        <is>
          <t>26-12-2024</t>
        </is>
      </c>
      <c r="G2041" t="n">
        <v>1311877</v>
      </c>
      <c r="I2041">
        <f>G2041</f>
        <v/>
      </c>
      <c r="K2041">
        <f>I2041-G2041</f>
        <v/>
      </c>
      <c r="M2041">
        <f>R2041=E2041</f>
        <v/>
      </c>
      <c r="N2041">
        <f>AND(MONTH(F2041)=MONTH(Q2041), YEAR(F2041)=YEAR(Q2041))</f>
        <v/>
      </c>
      <c r="O2041">
        <f>"L001-902303751"=S2041</f>
        <v/>
      </c>
      <c r="P2041">
        <f>G2041-U2041</f>
        <v/>
      </c>
      <c r="Q2041" s="35" t="n">
        <v>45267</v>
      </c>
      <c r="R2041" t="n">
        <v>111132</v>
      </c>
      <c r="S2041" t="inlineStr">
        <is>
          <t>K005-100150195</t>
        </is>
      </c>
      <c r="T2041" t="inlineStr">
        <is>
          <t>អេស អ វី ស៊ី ហ្វ្រេត សឺវីស (ខេមបូឌា) ខូ អិលធីឌី</t>
        </is>
      </c>
      <c r="U2041" t="n">
        <v>111132</v>
      </c>
      <c r="V2041" t="n">
        <v>0</v>
      </c>
    </row>
    <row r="2042">
      <c r="A2042" t="n">
        <v>2041</v>
      </c>
      <c r="B2042" t="inlineStr">
        <is>
          <t>Hardware</t>
        </is>
      </c>
      <c r="C2042" t="inlineStr">
        <is>
          <t>ភ្នំពេញ ថប វើលដ៍ ខនស្ត្រាក់សិន &amp; អេនជីនារីង ឯ.ក</t>
        </is>
      </c>
      <c r="D2042" t="inlineStr">
        <is>
          <t>K005-901638261</t>
        </is>
      </c>
      <c r="E2042" t="inlineStr">
        <is>
          <t>000039</t>
        </is>
      </c>
      <c r="F2042" t="inlineStr">
        <is>
          <t>27-12-2024</t>
        </is>
      </c>
      <c r="G2042" t="n">
        <v>232048</v>
      </c>
      <c r="I2042">
        <f>G2042</f>
        <v/>
      </c>
      <c r="K2042">
        <f>I2042-G2042</f>
        <v/>
      </c>
      <c r="M2042">
        <f>R2042=E2042</f>
        <v/>
      </c>
      <c r="N2042">
        <f>AND(MONTH(F2042)=MONTH(Q2042), YEAR(F2042)=YEAR(Q2042))</f>
        <v/>
      </c>
      <c r="O2042">
        <f>"L001-902303751"=S2042</f>
        <v/>
      </c>
      <c r="P2042">
        <f>G2042-U2042</f>
        <v/>
      </c>
      <c r="Q2042" s="35" t="n">
        <v>45264</v>
      </c>
      <c r="R2042" t="n">
        <v>111078</v>
      </c>
      <c r="S2042" t="inlineStr">
        <is>
          <t>K005-100059945</t>
        </is>
      </c>
      <c r="T2042" t="inlineStr">
        <is>
          <t>អ៊ែតវ៉ានស៍ គ្លរី ឡូជីស្ទីក (ខេមបូឌា) (អេ ជី អិល)</t>
        </is>
      </c>
      <c r="U2042" t="n">
        <v>111078</v>
      </c>
      <c r="V2042" t="n">
        <v>0</v>
      </c>
    </row>
    <row r="2043">
      <c r="A2043" t="n">
        <v>2042</v>
      </c>
      <c r="B2043" t="inlineStr">
        <is>
          <t>CFS HANDLING, CARRIER BL, DOCUMENT ASSEMBLY, TERMINAL HANDLING, HANDLING FEE, VGM PROCESSING FEE-CFS, FUEL SURCHARGE AND MANIFEST FEE</t>
        </is>
      </c>
      <c r="C2043" t="inlineStr">
        <is>
          <t>អ៊ិចស្ពែឌីធ័រ ខេមបូឌា អិលធីឌី</t>
        </is>
      </c>
      <c r="D2043" t="inlineStr">
        <is>
          <t>L001-100045898</t>
        </is>
      </c>
      <c r="E2043" t="inlineStr">
        <is>
          <t>TI-0299974</t>
        </is>
      </c>
      <c r="F2043" t="inlineStr">
        <is>
          <t>10-12-2024</t>
        </is>
      </c>
      <c r="G2043" t="n">
        <v>253937</v>
      </c>
      <c r="I2043">
        <f>G2043</f>
        <v/>
      </c>
      <c r="K2043">
        <f>I2043-G2043</f>
        <v/>
      </c>
      <c r="M2043">
        <f>R2043=E2043</f>
        <v/>
      </c>
      <c r="N2043">
        <f>AND(MONTH(F2043)=MONTH(Q2043), YEAR(F2043)=YEAR(Q2043))</f>
        <v/>
      </c>
      <c r="O2043">
        <f>"L001-902303751"=S2043</f>
        <v/>
      </c>
      <c r="P2043">
        <f>G2043-U2043</f>
        <v/>
      </c>
      <c r="Q2043" s="35" t="n">
        <v>45267</v>
      </c>
      <c r="R2043" t="n">
        <v>111132</v>
      </c>
      <c r="S2043" t="inlineStr">
        <is>
          <t>L001-901500191</t>
        </is>
      </c>
      <c r="T2043" t="inlineStr">
        <is>
          <t>អ.អិន.វ៉ាយ ត្រេនស្ព័ត</t>
        </is>
      </c>
      <c r="U2043" t="n">
        <v>111132</v>
      </c>
      <c r="V2043" t="n">
        <v>0</v>
      </c>
    </row>
    <row r="2044">
      <c r="A2044" t="n">
        <v>2043</v>
      </c>
      <c r="B2044" t="inlineStr">
        <is>
          <t>HAWB FREIGHT, OM FORWARDING FEE, H/C AND AWB FEE</t>
        </is>
      </c>
      <c r="C2044" t="inlineStr">
        <is>
          <t>អ៊ិចស្ពែឌីធ័រ ខេមបូឌា អិលធីឌី</t>
        </is>
      </c>
      <c r="D2044" t="inlineStr">
        <is>
          <t>L001-100045898</t>
        </is>
      </c>
      <c r="E2044" t="inlineStr">
        <is>
          <t>TI-0300411</t>
        </is>
      </c>
      <c r="F2044" t="inlineStr">
        <is>
          <t>10-12-2024</t>
        </is>
      </c>
      <c r="G2044" t="n">
        <v>46288</v>
      </c>
      <c r="I2044">
        <f>G2044</f>
        <v/>
      </c>
      <c r="K2044">
        <f>I2044-G2044</f>
        <v/>
      </c>
      <c r="M2044">
        <f>R2044=E2044</f>
        <v/>
      </c>
      <c r="N2044">
        <f>AND(MONTH(F2044)=MONTH(Q2044), YEAR(F2044)=YEAR(Q2044))</f>
        <v/>
      </c>
      <c r="O2044">
        <f>"L001-902303751"=S2044</f>
        <v/>
      </c>
      <c r="P2044">
        <f>G2044-U2044</f>
        <v/>
      </c>
      <c r="Q2044" s="35" t="n">
        <v>45261</v>
      </c>
      <c r="R2044" t="n">
        <v>82300</v>
      </c>
      <c r="S2044" t="inlineStr">
        <is>
          <t>L001-107041723</t>
        </is>
      </c>
      <c r="T2044" t="inlineStr">
        <is>
          <t>ឌីប៊ី សេនឃើរ (ខេមបូឌា) លីមីធីត</t>
        </is>
      </c>
      <c r="U2044" t="n">
        <v>82300</v>
      </c>
      <c r="V2044" t="n">
        <v>0</v>
      </c>
    </row>
    <row r="2045">
      <c r="A2045" t="n">
        <v>2044</v>
      </c>
      <c r="B2045" t="inlineStr">
        <is>
          <t>CFS HANDLING, CARRIER BL, DOCUMENT ASSEMBLY, TERMINAL HANDLING, HANDLING FEE, VGM PROCESSING FEE-CFS AND MANIFEST FEE</t>
        </is>
      </c>
      <c r="C2045" t="inlineStr">
        <is>
          <t>អ៊ិចស្ពែឌីធ័រ ខេមបូឌា អិលធីឌី</t>
        </is>
      </c>
      <c r="D2045" t="inlineStr">
        <is>
          <t>L001-100045898</t>
        </is>
      </c>
      <c r="E2045" t="inlineStr">
        <is>
          <t>TI-0300257</t>
        </is>
      </c>
      <c r="F2045" t="inlineStr">
        <is>
          <t>10-12-2024</t>
        </is>
      </c>
      <c r="G2045" t="n">
        <v>82915</v>
      </c>
      <c r="I2045">
        <f>G2045</f>
        <v/>
      </c>
      <c r="K2045">
        <f>I2045-G2045</f>
        <v/>
      </c>
      <c r="M2045">
        <f>R2045=E2045</f>
        <v/>
      </c>
      <c r="N2045">
        <f>AND(MONTH(F2045)=MONTH(Q2045), YEAR(F2045)=YEAR(Q2045))</f>
        <v/>
      </c>
      <c r="O2045">
        <f>"L001-902303751"=S2045</f>
        <v/>
      </c>
      <c r="P2045">
        <f>G2045-U2045</f>
        <v/>
      </c>
      <c r="Q2045" s="35" t="n">
        <v>45639</v>
      </c>
      <c r="R2045" t="inlineStr"/>
      <c r="S2045" t="inlineStr">
        <is>
          <t>K002-901800477</t>
        </is>
      </c>
      <c r="T2045" t="inlineStr">
        <is>
          <t>អាយធីអាយ អ៊ិនធើណេសិនណល ត្រេនស័្ពរថេសិន (ខេមបូឌា) ឯ.ក</t>
        </is>
      </c>
      <c r="U2045" t="n">
        <v>0</v>
      </c>
      <c r="V2045" t="n">
        <v>0</v>
      </c>
    </row>
    <row r="2046">
      <c r="A2046" t="n">
        <v>2045</v>
      </c>
      <c r="B2046" t="inlineStr">
        <is>
          <t>CFS HANDLING, CARRIER BL, DOCUMENT ASSEMBLY, TERMINAL HANDLING, HANDLING FEE, VGM PROCESSING FEE-CFS AND MANIFEST FEE</t>
        </is>
      </c>
      <c r="C2046" t="inlineStr">
        <is>
          <t>អ៊ិចស្ពែឌីធ័រ ខេមបូឌា អិលធីឌី</t>
        </is>
      </c>
      <c r="D2046" t="inlineStr">
        <is>
          <t>L001-100045898</t>
        </is>
      </c>
      <c r="E2046" t="inlineStr">
        <is>
          <t>TI-0300250</t>
        </is>
      </c>
      <c r="F2046" t="inlineStr">
        <is>
          <t>10-12-2024</t>
        </is>
      </c>
      <c r="G2046" t="n">
        <v>129484</v>
      </c>
      <c r="I2046">
        <f>G2046</f>
        <v/>
      </c>
      <c r="K2046">
        <f>I2046-G2046</f>
        <v/>
      </c>
      <c r="M2046">
        <f>R2046=E2046</f>
        <v/>
      </c>
      <c r="N2046">
        <f>AND(MONTH(F2046)=MONTH(Q2046), YEAR(F2046)=YEAR(Q2046))</f>
        <v/>
      </c>
      <c r="O2046">
        <f>"L001-902303751"=S2046</f>
        <v/>
      </c>
      <c r="P2046">
        <f>G2046-U2046</f>
        <v/>
      </c>
      <c r="Q2046" s="35" t="n">
        <v>45628</v>
      </c>
      <c r="R2046" t="inlineStr"/>
      <c r="S2046" t="inlineStr">
        <is>
          <t>L001-107032791</t>
        </is>
      </c>
      <c r="T2046" t="inlineStr">
        <is>
          <t>នីបផន អិចប្រេស (ខេមបូឌា) ខូ អិលធីឌី</t>
        </is>
      </c>
      <c r="U2046" t="n">
        <v>0</v>
      </c>
      <c r="V2046" t="n">
        <v>0</v>
      </c>
    </row>
    <row r="2047">
      <c r="A2047" t="n">
        <v>2046</v>
      </c>
      <c r="B2047" t="inlineStr">
        <is>
          <t>CFS HANDLING, CARRIER BL, DOCUMENT ASSEMBLY, TERMINAL HANDLING, HANDLING FEE, VGM WEIGHING FEE-CFS AND MANIFEST FEE</t>
        </is>
      </c>
      <c r="C2047" t="inlineStr">
        <is>
          <t>អ៊ិចស្ពែឌីធ័រ ខេមបូឌា អិលធីឌី</t>
        </is>
      </c>
      <c r="D2047" t="inlineStr">
        <is>
          <t>L001-100045898</t>
        </is>
      </c>
      <c r="E2047" t="inlineStr">
        <is>
          <t>TI-0300251</t>
        </is>
      </c>
      <c r="F2047" t="inlineStr">
        <is>
          <t>10-12-2024</t>
        </is>
      </c>
      <c r="G2047" t="n">
        <v>127230</v>
      </c>
      <c r="I2047">
        <f>G2047</f>
        <v/>
      </c>
      <c r="K2047">
        <f>I2047-G2047</f>
        <v/>
      </c>
      <c r="M2047">
        <f>R2047=E2047</f>
        <v/>
      </c>
      <c r="N2047">
        <f>AND(MONTH(F2047)=MONTH(Q2047), YEAR(F2047)=YEAR(Q2047))</f>
        <v/>
      </c>
      <c r="O2047">
        <f>"L001-902303751"=S2047</f>
        <v/>
      </c>
      <c r="P2047">
        <f>G2047-U2047</f>
        <v/>
      </c>
      <c r="Q2047" s="35" t="n">
        <v>45628</v>
      </c>
      <c r="R2047" t="inlineStr"/>
      <c r="S2047" t="inlineStr">
        <is>
          <t>L001-107032791</t>
        </is>
      </c>
      <c r="T2047" t="inlineStr">
        <is>
          <t>នីបផន អិចប្រេស (ខេមបូឌា) ខូ អិលធីឌី</t>
        </is>
      </c>
      <c r="U2047" t="n">
        <v>0</v>
      </c>
      <c r="V2047" t="n">
        <v>0</v>
      </c>
    </row>
    <row r="2048">
      <c r="A2048" t="n">
        <v>2047</v>
      </c>
      <c r="B2048" t="inlineStr">
        <is>
          <t>CFS HANDLING, CARRIER BL, DOCUMENT ASSEMBLY, TERMINAL HANDLING, HANDLING FEE AND VGM WEIGHING FEE-CFS</t>
        </is>
      </c>
      <c r="C2048" t="inlineStr">
        <is>
          <t>អ៊ិចស្ពែឌីធ័រ ខេមបូឌា អិលធីឌី</t>
        </is>
      </c>
      <c r="D2048" t="inlineStr">
        <is>
          <t>L001-100045898</t>
        </is>
      </c>
      <c r="E2048" t="inlineStr">
        <is>
          <t>TI-0300247</t>
        </is>
      </c>
      <c r="F2048" t="inlineStr">
        <is>
          <t>10-12-2024</t>
        </is>
      </c>
      <c r="G2048" t="n">
        <v>124856</v>
      </c>
      <c r="I2048">
        <f>G2048</f>
        <v/>
      </c>
      <c r="K2048">
        <f>I2048-G2048</f>
        <v/>
      </c>
      <c r="M2048">
        <f>R2048=E2048</f>
        <v/>
      </c>
      <c r="N2048">
        <f>AND(MONTH(F2048)=MONTH(Q2048), YEAR(F2048)=YEAR(Q2048))</f>
        <v/>
      </c>
      <c r="O2048">
        <f>"L001-902303751"=S2048</f>
        <v/>
      </c>
      <c r="P2048">
        <f>G2048-U2048</f>
        <v/>
      </c>
      <c r="Q2048" s="35" t="n">
        <v>45649</v>
      </c>
      <c r="R2048" t="n">
        <v>54270</v>
      </c>
      <c r="S2048" t="inlineStr">
        <is>
          <t>L001-100045340</t>
        </is>
      </c>
      <c r="T2048" t="inlineStr">
        <is>
          <t xml:space="preserve">ស៊ីវ៉ា អ៊ែរ អ៊ែន អូសៀន (ខេមបូឌា) ឯ.ក </t>
        </is>
      </c>
      <c r="U2048" t="n">
        <v>54270</v>
      </c>
      <c r="V2048" t="n">
        <v>0</v>
      </c>
    </row>
    <row r="2049">
      <c r="A2049" t="n">
        <v>2048</v>
      </c>
      <c r="B2049" t="inlineStr">
        <is>
          <t>CFS HANDLING, CARRIER BL, DOCUMENT ASSEMBLY, TERMINAL HANDLING, HANDLING FEE, VGM WEIGHING FEE-CFS AND MANIFEST FEE</t>
        </is>
      </c>
      <c r="C2049" t="inlineStr">
        <is>
          <t>អ៊ិចស្ពែឌីធ័រ ខេមបូឌា អិលធីឌី</t>
        </is>
      </c>
      <c r="D2049" t="inlineStr">
        <is>
          <t>L001-100045898</t>
        </is>
      </c>
      <c r="E2049" t="inlineStr">
        <is>
          <t>TI-0302117</t>
        </is>
      </c>
      <c r="F2049" t="inlineStr">
        <is>
          <t>25-12-2024</t>
        </is>
      </c>
      <c r="G2049" t="n">
        <v>94165</v>
      </c>
      <c r="I2049">
        <f>G2049</f>
        <v/>
      </c>
      <c r="K2049">
        <f>I2049-G2049</f>
        <v/>
      </c>
      <c r="M2049">
        <f>R2049=E2049</f>
        <v/>
      </c>
      <c r="N2049">
        <f>AND(MONTH(F2049)=MONTH(Q2049), YEAR(F2049)=YEAR(Q2049))</f>
        <v/>
      </c>
      <c r="O2049">
        <f>"L001-902303751"=S2049</f>
        <v/>
      </c>
      <c r="P2049">
        <f>G2049-U2049</f>
        <v/>
      </c>
      <c r="Q2049" s="35" t="n">
        <v>45649</v>
      </c>
      <c r="R2049" t="inlineStr"/>
      <c r="S2049" t="inlineStr">
        <is>
          <t>L001-100045995</t>
        </is>
      </c>
      <c r="T2049" t="inlineStr">
        <is>
          <t>ឌីអេចអិល ឡូជីស្ទីក (ខេមបូឌា)</t>
        </is>
      </c>
      <c r="U2049" t="n">
        <v>0</v>
      </c>
      <c r="V2049" t="n">
        <v>0</v>
      </c>
    </row>
    <row r="2050">
      <c r="A2050" t="n">
        <v>2049</v>
      </c>
      <c r="B2050" t="inlineStr">
        <is>
          <t>CFS HANDLING, CARRIER BL, DOCUMENT ASSEMBLY, TERMINAL HANDLING, HANDLING FEE, VGM WEIGHING FEE-CFS AND MANIFEST FEE</t>
        </is>
      </c>
      <c r="C2050" t="inlineStr">
        <is>
          <t>អ៊ិចស្ពែឌីធ័រ ខេមបូឌា អិលធីឌី</t>
        </is>
      </c>
      <c r="D2050" t="inlineStr">
        <is>
          <t>L001-100045898</t>
        </is>
      </c>
      <c r="E2050" t="inlineStr">
        <is>
          <t>TI-0302118</t>
        </is>
      </c>
      <c r="F2050" t="inlineStr">
        <is>
          <t>25-12-2024</t>
        </is>
      </c>
      <c r="G2050" t="n">
        <v>96416</v>
      </c>
      <c r="I2050">
        <f>G2050</f>
        <v/>
      </c>
      <c r="K2050">
        <f>I2050-G2050</f>
        <v/>
      </c>
      <c r="M2050">
        <f>R2050=E2050</f>
        <v/>
      </c>
      <c r="N2050">
        <f>AND(MONTH(F2050)=MONTH(Q2050), YEAR(F2050)=YEAR(Q2050))</f>
        <v/>
      </c>
      <c r="O2050">
        <f>"L001-902303751"=S2050</f>
        <v/>
      </c>
      <c r="P2050">
        <f>G2050-U2050</f>
        <v/>
      </c>
      <c r="Q2050" s="35" t="n">
        <v>45636</v>
      </c>
      <c r="R2050" t="n">
        <v>287788</v>
      </c>
      <c r="S2050" t="inlineStr">
        <is>
          <t>K005-100150195</t>
        </is>
      </c>
      <c r="T2050" t="inlineStr">
        <is>
          <t>អេស អ វី ស៊ី ហ្វ្រេត សឺវីស (ខេមបូឌា) ខូ អិលធីឌី</t>
        </is>
      </c>
      <c r="U2050" t="n">
        <v>287788</v>
      </c>
      <c r="V2050" t="n">
        <v>0</v>
      </c>
    </row>
    <row r="2051">
      <c r="A2051" t="n">
        <v>2050</v>
      </c>
      <c r="B2051" t="inlineStr">
        <is>
          <t>CFS HANDLING, CARRIER BL, DOCUMENT ASSEMBLY, TERMINAL HANDLING, HANDLING FEE, VGM WEIGHING FEE-CFS, FUEL, SURCHARE, TELEX RELEASE, OT CHARGES AND LATE OMB BOOKING</t>
        </is>
      </c>
      <c r="C2051" t="inlineStr">
        <is>
          <t>អ៊ិចស្ពែឌីធ័រ ខេមបូឌា អិលធីឌី</t>
        </is>
      </c>
      <c r="D2051" t="inlineStr">
        <is>
          <t>L001-100045898</t>
        </is>
      </c>
      <c r="E2051" t="inlineStr">
        <is>
          <t>TI-0302120</t>
        </is>
      </c>
      <c r="F2051" t="inlineStr">
        <is>
          <t>25-12-2024</t>
        </is>
      </c>
      <c r="G2051" t="n">
        <v>262642</v>
      </c>
      <c r="I2051">
        <f>G2051</f>
        <v/>
      </c>
      <c r="K2051">
        <f>I2051-G2051</f>
        <v/>
      </c>
      <c r="M2051">
        <f>R2051=E2051</f>
        <v/>
      </c>
      <c r="N2051">
        <f>AND(MONTH(F2051)=MONTH(Q2051), YEAR(F2051)=YEAR(Q2051))</f>
        <v/>
      </c>
      <c r="O2051">
        <f>"L001-902303751"=S2051</f>
        <v/>
      </c>
      <c r="P2051">
        <f>G2051-U2051</f>
        <v/>
      </c>
      <c r="Q2051" s="35" t="n">
        <v>45642</v>
      </c>
      <c r="R2051" t="inlineStr"/>
      <c r="S2051" t="inlineStr">
        <is>
          <t>L001-107032791</t>
        </is>
      </c>
      <c r="T2051" t="inlineStr">
        <is>
          <t>នីបផន អិចប្រេស (ខេមបូឌា) ខូ អិលធីឌី</t>
        </is>
      </c>
      <c r="U2051" t="n">
        <v>0</v>
      </c>
      <c r="V2051" t="n">
        <v>0</v>
      </c>
    </row>
    <row r="2052">
      <c r="A2052" t="n">
        <v>2051</v>
      </c>
      <c r="B2052" t="inlineStr">
        <is>
          <t>CFS HANDLING, CARRIER BL, DOCUMENT ASSEMBLY, TERMINAL HANDLING, HANDLING FEE, VGM WEIGHING FEE-CFS, FUEL, SURCHARE, TELEX RELEASE AND MANIFEST FEE</t>
        </is>
      </c>
      <c r="C2052" t="inlineStr">
        <is>
          <t>អ៊ិចស្ពែឌីធ័រ ខេមបូឌា អិលធីឌី</t>
        </is>
      </c>
      <c r="D2052" t="inlineStr">
        <is>
          <t>L001-100045898</t>
        </is>
      </c>
      <c r="E2052" t="inlineStr">
        <is>
          <t>TI-0302119</t>
        </is>
      </c>
      <c r="F2052" t="inlineStr">
        <is>
          <t>25-12-2024</t>
        </is>
      </c>
      <c r="G2052" t="n">
        <v>160026</v>
      </c>
      <c r="I2052">
        <f>G2052</f>
        <v/>
      </c>
      <c r="K2052">
        <f>I2052-G2052</f>
        <v/>
      </c>
      <c r="M2052">
        <f>R2052=E2052</f>
        <v/>
      </c>
      <c r="N2052">
        <f>AND(MONTH(F2052)=MONTH(Q2052), YEAR(F2052)=YEAR(Q2052))</f>
        <v/>
      </c>
      <c r="O2052">
        <f>"L001-902303751"=S2052</f>
        <v/>
      </c>
      <c r="P2052">
        <f>G2052-U2052</f>
        <v/>
      </c>
      <c r="Q2052" s="35" t="n">
        <v>45628</v>
      </c>
      <c r="R2052" t="n">
        <v>110798</v>
      </c>
      <c r="S2052" t="inlineStr">
        <is>
          <t>L001-107032791</t>
        </is>
      </c>
      <c r="T2052" t="inlineStr">
        <is>
          <t>នីបផន អិចប្រេស (ខេមបូឌា) ខូ អិលធីឌី</t>
        </is>
      </c>
      <c r="U2052" t="n">
        <v>110798</v>
      </c>
      <c r="V2052" t="n">
        <v>0</v>
      </c>
    </row>
    <row r="2053">
      <c r="A2053" t="n">
        <v>2052</v>
      </c>
      <c r="B2053" t="inlineStr">
        <is>
          <t>CFS CHARGES, BILL OF LADING FEE, THC CHARGES and FCR FEE</t>
        </is>
      </c>
      <c r="C2053" t="inlineStr">
        <is>
          <t>អ៊ិចស្ពែឌីធ័រ ខេមបូឌា អិលធីឌី</t>
        </is>
      </c>
      <c r="D2053" t="inlineStr">
        <is>
          <t>L001-100045898</t>
        </is>
      </c>
      <c r="E2053" t="inlineStr">
        <is>
          <t>TI-0302179</t>
        </is>
      </c>
      <c r="F2053" t="inlineStr">
        <is>
          <t>25-12-2024</t>
        </is>
      </c>
      <c r="G2053" t="n">
        <v>94447</v>
      </c>
      <c r="I2053">
        <f>G2053</f>
        <v/>
      </c>
      <c r="K2053">
        <f>I2053-G2053</f>
        <v/>
      </c>
      <c r="M2053">
        <f>R2053=E2053</f>
        <v/>
      </c>
      <c r="N2053">
        <f>AND(MONTH(F2053)=MONTH(Q2053), YEAR(F2053)=YEAR(Q2053))</f>
        <v/>
      </c>
      <c r="O2053">
        <f>"L001-902303751"=S2053</f>
        <v/>
      </c>
      <c r="P2053">
        <f>G2053-U2053</f>
        <v/>
      </c>
      <c r="Q2053" s="35" t="n">
        <v>45656</v>
      </c>
      <c r="R2053" t="inlineStr"/>
      <c r="S2053" t="inlineStr">
        <is>
          <t>L001-107032791</t>
        </is>
      </c>
      <c r="T2053" t="inlineStr">
        <is>
          <t>នីបផន អិចប្រេស (ខេមបូឌា) ខូ អិលធីឌី</t>
        </is>
      </c>
      <c r="U2053" t="n">
        <v>0</v>
      </c>
      <c r="V2053" t="n">
        <v>0</v>
      </c>
    </row>
    <row r="2054">
      <c r="A2054" t="n">
        <v>2053</v>
      </c>
      <c r="B2054" t="inlineStr">
        <is>
          <t>CARGO HANDLING FEE and Bill Fee or Document Fee</t>
        </is>
      </c>
      <c r="C2054" t="inlineStr">
        <is>
          <t>អេវើរស្តារ ស៊ីលែនឌែរ</t>
        </is>
      </c>
      <c r="D2054" t="inlineStr">
        <is>
          <t>K002-100160492</t>
        </is>
      </c>
      <c r="E2054" t="inlineStr">
        <is>
          <t>TI-2024-054</t>
        </is>
      </c>
      <c r="F2054" t="inlineStr">
        <is>
          <t>09-12-2024</t>
        </is>
      </c>
      <c r="G2054" t="n">
        <v>44297</v>
      </c>
      <c r="I2054">
        <f>G2054</f>
        <v/>
      </c>
      <c r="K2054">
        <f>I2054-G2054</f>
        <v/>
      </c>
      <c r="M2054">
        <f>R2054=E2054</f>
        <v/>
      </c>
      <c r="N2054">
        <f>AND(MONTH(F2054)=MONTH(Q2054), YEAR(F2054)=YEAR(Q2054))</f>
        <v/>
      </c>
      <c r="O2054">
        <f>"L001-902303751"=S2054</f>
        <v/>
      </c>
      <c r="P2054">
        <f>G2054-U2054</f>
        <v/>
      </c>
      <c r="Q2054" s="35" t="n">
        <v>45642</v>
      </c>
      <c r="R2054" t="inlineStr"/>
      <c r="S2054" t="inlineStr">
        <is>
          <t>L001-100045995</t>
        </is>
      </c>
      <c r="T2054" t="inlineStr">
        <is>
          <t>ឌីអេចអិល ឡូជីស្ទីក (ខេមបូឌា)</t>
        </is>
      </c>
      <c r="U2054" t="n">
        <v>0</v>
      </c>
      <c r="V2054" t="n">
        <v>0</v>
      </c>
    </row>
    <row r="2055">
      <c r="A2055" t="n">
        <v>2054</v>
      </c>
      <c r="B2055" t="inlineStr">
        <is>
          <t>Customs Clearance of LCL Shipment, THC Charge of LCL, CFS Charge of LCL, Trucking Fee of LCL, CARGO Handling Fee and Bill Fee or Document Fee</t>
        </is>
      </c>
      <c r="C2055" t="inlineStr">
        <is>
          <t>អេវើរស្តារ ស៊ីលែនឌែរ</t>
        </is>
      </c>
      <c r="D2055" t="inlineStr">
        <is>
          <t>K002-100160492</t>
        </is>
      </c>
      <c r="E2055" t="inlineStr">
        <is>
          <t>TI-2024-056</t>
        </is>
      </c>
      <c r="F2055" t="inlineStr">
        <is>
          <t>23-12-2024</t>
        </is>
      </c>
      <c r="G2055" t="n">
        <v>146312</v>
      </c>
      <c r="I2055">
        <f>G2055</f>
        <v/>
      </c>
      <c r="K2055">
        <f>I2055-G2055</f>
        <v/>
      </c>
      <c r="M2055">
        <f>R2055=E2055</f>
        <v/>
      </c>
      <c r="N2055">
        <f>AND(MONTH(F2055)=MONTH(Q2055), YEAR(F2055)=YEAR(Q2055))</f>
        <v/>
      </c>
      <c r="O2055">
        <f>"L001-902303751"=S2055</f>
        <v/>
      </c>
      <c r="P2055">
        <f>G2055-U2055</f>
        <v/>
      </c>
      <c r="Q2055" s="35" t="n">
        <v>45649</v>
      </c>
      <c r="R2055" t="n">
        <v>110550</v>
      </c>
      <c r="S2055" t="inlineStr">
        <is>
          <t>L001-100045995</t>
        </is>
      </c>
      <c r="T2055" t="inlineStr">
        <is>
          <t>ឌីអេចអិល ឡូជីស្ទីក (ខេមបូឌា)</t>
        </is>
      </c>
      <c r="U2055" t="n">
        <v>110550</v>
      </c>
      <c r="V2055" t="n">
        <v>0</v>
      </c>
    </row>
    <row r="2056">
      <c r="A2056" t="n">
        <v>2055</v>
      </c>
      <c r="B2056" t="inlineStr">
        <is>
          <t>Export Custom Clearance Fee</t>
        </is>
      </c>
      <c r="C2056" t="inlineStr">
        <is>
          <t>អ៊ីឃ្យូឡាញ វើលវ៉ាយដ៍ ឡូជីស្ទីក</t>
        </is>
      </c>
      <c r="D2056" t="inlineStr">
        <is>
          <t>K003-901635943</t>
        </is>
      </c>
      <c r="E2056" t="inlineStr">
        <is>
          <t>PPTI24/006270</t>
        </is>
      </c>
      <c r="F2056" t="inlineStr">
        <is>
          <t>23-12-2024</t>
        </is>
      </c>
      <c r="G2056" t="n">
        <v>64320</v>
      </c>
      <c r="I2056">
        <f>G2056</f>
        <v/>
      </c>
      <c r="K2056">
        <f>I2056-G2056</f>
        <v/>
      </c>
      <c r="M2056">
        <f>R2056=E2056</f>
        <v/>
      </c>
      <c r="N2056">
        <f>AND(MONTH(F2056)=MONTH(Q2056), YEAR(F2056)=YEAR(Q2056))</f>
        <v/>
      </c>
      <c r="O2056">
        <f>"L001-902303751"=S2056</f>
        <v/>
      </c>
      <c r="P2056">
        <f>G2056-U2056</f>
        <v/>
      </c>
      <c r="Q2056" s="35" t="n">
        <v>45636</v>
      </c>
      <c r="R2056" t="n">
        <v>110688</v>
      </c>
      <c r="S2056" t="inlineStr">
        <is>
          <t>L001-107041723</t>
        </is>
      </c>
      <c r="T2056" t="inlineStr">
        <is>
          <t>ឌីប៊ី សេនឃើរ (ខេមបូឌា) លីមីធីត</t>
        </is>
      </c>
      <c r="U2056" t="n">
        <v>110688</v>
      </c>
      <c r="V2056" t="n">
        <v>0</v>
      </c>
    </row>
    <row r="2057">
      <c r="A2057" t="n">
        <v>2056</v>
      </c>
      <c r="B2057" t="inlineStr">
        <is>
          <t>Cargo Terminal</t>
        </is>
      </c>
      <c r="C2057" t="inlineStr">
        <is>
          <t>សូស៊ីយេតេ កុងសេស្យូនែរ ដឺ ឡាអេរ៉ូព័រ</t>
        </is>
      </c>
      <c r="D2057" t="inlineStr">
        <is>
          <t>L001-100047300</t>
        </is>
      </c>
      <c r="E2057" t="inlineStr">
        <is>
          <t>2400098846</t>
        </is>
      </c>
      <c r="F2057" t="inlineStr">
        <is>
          <t>05-12-2024</t>
        </is>
      </c>
      <c r="G2057" t="n">
        <v>3223</v>
      </c>
      <c r="I2057">
        <f>G2057</f>
        <v/>
      </c>
      <c r="K2057">
        <f>I2057-G2057</f>
        <v/>
      </c>
      <c r="M2057">
        <f>R2057=E2057</f>
        <v/>
      </c>
      <c r="N2057">
        <f>AND(MONTH(F2057)=MONTH(Q2057), YEAR(F2057)=YEAR(Q2057))</f>
        <v/>
      </c>
      <c r="O2057">
        <f>"L001-902303751"=S2057</f>
        <v/>
      </c>
      <c r="P2057">
        <f>G2057-U2057</f>
        <v/>
      </c>
      <c r="Q2057" s="35" t="n">
        <v>45636</v>
      </c>
      <c r="R2057" t="inlineStr"/>
      <c r="S2057" t="inlineStr">
        <is>
          <t>L001-107041723</t>
        </is>
      </c>
      <c r="T2057" t="inlineStr">
        <is>
          <t>ឌីប៊ី សេនឃើរ (ខេមបូឌា) លីមីធីត</t>
        </is>
      </c>
      <c r="U2057" t="n">
        <v>0</v>
      </c>
      <c r="V2057" t="n">
        <v>0</v>
      </c>
    </row>
    <row r="2058">
      <c r="A2058" t="n">
        <v>2057</v>
      </c>
      <c r="B2058" t="inlineStr">
        <is>
          <t>OM FORWARDING FEE, H/C AND AWB FEE</t>
        </is>
      </c>
      <c r="C2058" t="inlineStr">
        <is>
          <t>អ៊ិចស្ពែឌីធ័រ ខេមបូឌា អិលធីឌី</t>
        </is>
      </c>
      <c r="D2058" t="inlineStr">
        <is>
          <t>L001-100045898</t>
        </is>
      </c>
      <c r="E2058" t="inlineStr">
        <is>
          <t>TI-0300619</t>
        </is>
      </c>
      <c r="F2058" t="inlineStr">
        <is>
          <t>12-12-2024</t>
        </is>
      </c>
      <c r="G2058" t="n">
        <v>46184</v>
      </c>
      <c r="I2058">
        <f>G2058</f>
        <v/>
      </c>
      <c r="K2058">
        <f>I2058-G2058</f>
        <v/>
      </c>
      <c r="M2058">
        <f>R2058=E2058</f>
        <v/>
      </c>
      <c r="N2058">
        <f>AND(MONTH(F2058)=MONTH(Q2058), YEAR(F2058)=YEAR(Q2058))</f>
        <v/>
      </c>
      <c r="O2058">
        <f>"L001-902303751"=S2058</f>
        <v/>
      </c>
      <c r="P2058">
        <f>G2058-U2058</f>
        <v/>
      </c>
      <c r="Q2058" s="35" t="n">
        <v>45656</v>
      </c>
      <c r="R2058" t="inlineStr"/>
      <c r="S2058" t="inlineStr">
        <is>
          <t>L001-107032791</t>
        </is>
      </c>
      <c r="T2058" t="inlineStr">
        <is>
          <t>នីបផន អិចប្រេស (ខេមបូឌា) ខូ អិលធីឌី</t>
        </is>
      </c>
      <c r="U2058" t="n">
        <v>0</v>
      </c>
      <c r="V2058" t="n">
        <v>0</v>
      </c>
    </row>
    <row r="2059">
      <c r="A2059" t="n">
        <v>2058</v>
      </c>
      <c r="B2059" t="inlineStr">
        <is>
          <t>CTNR STUFFING FEE, THC CHARES, BILL OF LANDING FEE, MANIFEST FEE AND FCR FEE</t>
        </is>
      </c>
      <c r="C2059" t="inlineStr">
        <is>
          <t>អ៊ិចស្ពែឌីធ័រ ខេមបូឌា អិលធីឌី</t>
        </is>
      </c>
      <c r="D2059" t="inlineStr">
        <is>
          <t>L001-100045898</t>
        </is>
      </c>
      <c r="E2059" t="inlineStr">
        <is>
          <t>TI-0300513</t>
        </is>
      </c>
      <c r="F2059" t="inlineStr">
        <is>
          <t>11-12-2024</t>
        </is>
      </c>
      <c r="G2059" t="n">
        <v>64794</v>
      </c>
      <c r="I2059">
        <f>G2059</f>
        <v/>
      </c>
      <c r="K2059">
        <f>I2059-G2059</f>
        <v/>
      </c>
      <c r="M2059">
        <f>R2059=E2059</f>
        <v/>
      </c>
      <c r="N2059">
        <f>AND(MONTH(F2059)=MONTH(Q2059), YEAR(F2059)=YEAR(Q2059))</f>
        <v/>
      </c>
      <c r="O2059">
        <f>"L001-902303751"=S2059</f>
        <v/>
      </c>
      <c r="P2059">
        <f>G2059-U2059</f>
        <v/>
      </c>
      <c r="Q2059" s="35" t="n">
        <v>45642</v>
      </c>
      <c r="R2059" t="inlineStr"/>
      <c r="S2059" t="inlineStr">
        <is>
          <t>K005-901805913</t>
        </is>
      </c>
      <c r="T2059" t="inlineStr">
        <is>
          <t>ស្តារ ខង់ខដ (ខេមបូឌា) ឯ.ក</t>
        </is>
      </c>
      <c r="U2059" t="n">
        <v>0</v>
      </c>
      <c r="V2059" t="n">
        <v>0</v>
      </c>
    </row>
    <row r="2060">
      <c r="A2060" t="n">
        <v>2059</v>
      </c>
      <c r="B2060" t="inlineStr">
        <is>
          <t>CFS HANDLING, CARRIER BL, DOCUMENT ASSEMBLY, TERMINAL HANDLING, HANDLING FEE, VGM PROCESSING FEE-CFS AND MANIFEST FEE</t>
        </is>
      </c>
      <c r="C2060" t="inlineStr">
        <is>
          <t>អ៊ិចស្ពែឌីធ័រ ខេមបូឌា អិលធីឌី</t>
        </is>
      </c>
      <c r="D2060" t="inlineStr">
        <is>
          <t>L001-100045898</t>
        </is>
      </c>
      <c r="E2060" t="inlineStr">
        <is>
          <t>TI-0300624</t>
        </is>
      </c>
      <c r="F2060" t="inlineStr">
        <is>
          <t>12-12-2024</t>
        </is>
      </c>
      <c r="G2060" t="n">
        <v>82730</v>
      </c>
      <c r="I2060">
        <f>G2060</f>
        <v/>
      </c>
      <c r="K2060">
        <f>I2060-G2060</f>
        <v/>
      </c>
      <c r="M2060">
        <f>R2060=E2060</f>
        <v/>
      </c>
      <c r="N2060">
        <f>AND(MONTH(F2060)=MONTH(Q2060), YEAR(F2060)=YEAR(Q2060))</f>
        <v/>
      </c>
      <c r="O2060">
        <f>"L001-902303751"=S2060</f>
        <v/>
      </c>
      <c r="P2060">
        <f>G2060-U2060</f>
        <v/>
      </c>
      <c r="Q2060" s="35" t="n">
        <v>45649</v>
      </c>
      <c r="R2060" t="inlineStr"/>
      <c r="S2060" t="inlineStr">
        <is>
          <t>K005-100150195</t>
        </is>
      </c>
      <c r="T2060" t="inlineStr">
        <is>
          <t>អេស អ វី ស៊ី ហ្វ្រេត សឺវីស (ខេមបូឌា) ខូ អិលធីឌី</t>
        </is>
      </c>
      <c r="U2060" t="n">
        <v>0</v>
      </c>
      <c r="V2060" t="n">
        <v>0</v>
      </c>
    </row>
    <row r="2061">
      <c r="A2061" t="n">
        <v>2060</v>
      </c>
      <c r="B2061" t="inlineStr">
        <is>
          <t>Export Administration Fee and Custom Processing Fee</t>
        </is>
      </c>
      <c r="C2061" t="inlineStr">
        <is>
          <t>ជី លីង អិចប្រេស ឡូជីស្ទីក (ខេមបូឌា) លីមីធីត</t>
        </is>
      </c>
      <c r="D2061" t="inlineStr">
        <is>
          <t>L001-100044956</t>
        </is>
      </c>
      <c r="E2061" t="inlineStr">
        <is>
          <t>24160373</t>
        </is>
      </c>
      <c r="F2061" t="inlineStr">
        <is>
          <t>14-12-2024</t>
        </is>
      </c>
      <c r="G2061" t="n">
        <v>64336</v>
      </c>
      <c r="I2061">
        <f>G2061</f>
        <v/>
      </c>
      <c r="K2061">
        <f>I2061-G2061</f>
        <v/>
      </c>
      <c r="M2061">
        <f>R2061=E2061</f>
        <v/>
      </c>
      <c r="N2061">
        <f>AND(MONTH(F2061)=MONTH(Q2061), YEAR(F2061)=YEAR(Q2061))</f>
        <v/>
      </c>
      <c r="O2061">
        <f>"L001-902303751"=S2061</f>
        <v/>
      </c>
      <c r="P2061">
        <f>G2061-U2061</f>
        <v/>
      </c>
      <c r="Q2061" s="35" t="n">
        <v>45649</v>
      </c>
      <c r="R2061" t="n">
        <v>110550</v>
      </c>
      <c r="S2061" t="inlineStr">
        <is>
          <t>L001-107032791</t>
        </is>
      </c>
      <c r="T2061" t="inlineStr">
        <is>
          <t>នីបផន អិចប្រេស (ខេមបូឌា) ខូ អិលធីឌី</t>
        </is>
      </c>
      <c r="U2061" t="n">
        <v>110550</v>
      </c>
      <c r="V2061" t="n">
        <v>0</v>
      </c>
    </row>
    <row r="2062">
      <c r="A2062" t="n">
        <v>2061</v>
      </c>
      <c r="B2062" t="inlineStr">
        <is>
          <t>Hardware</t>
        </is>
      </c>
      <c r="C2062" t="inlineStr">
        <is>
          <t>ភ្នំពេញ ថប វើលដ៍ ខនស្ត្រាក់សិន &amp; អេនជីនារីង ឯ.ក</t>
        </is>
      </c>
      <c r="D2062" t="inlineStr">
        <is>
          <t>K005-901638261</t>
        </is>
      </c>
      <c r="E2062" t="inlineStr">
        <is>
          <t>000038</t>
        </is>
      </c>
      <c r="F2062" t="inlineStr">
        <is>
          <t>27-12-2024</t>
        </is>
      </c>
      <c r="G2062" t="n">
        <v>1263398</v>
      </c>
      <c r="I2062">
        <f>G2062</f>
        <v/>
      </c>
      <c r="K2062">
        <f>I2062-G2062</f>
        <v/>
      </c>
      <c r="M2062">
        <f>R2062=E2062</f>
        <v/>
      </c>
      <c r="N2062">
        <f>AND(MONTH(F2062)=MONTH(Q2062), YEAR(F2062)=YEAR(Q2062))</f>
        <v/>
      </c>
      <c r="O2062">
        <f>"L001-902303751"=S2062</f>
        <v/>
      </c>
      <c r="P2062">
        <f>G2062-U2062</f>
        <v/>
      </c>
      <c r="Q2062" s="35" t="n">
        <v>45649</v>
      </c>
      <c r="R2062" t="inlineStr"/>
      <c r="S2062" t="inlineStr">
        <is>
          <t>L001-100045340</t>
        </is>
      </c>
      <c r="T2062" t="inlineStr">
        <is>
          <t xml:space="preserve">ស៊ីវ៉ា អ៊ែរ អ៊ែន អូសៀន (ខេមបូឌា) ឯ.ក </t>
        </is>
      </c>
      <c r="U2062" t="n">
        <v>0</v>
      </c>
      <c r="V2062" t="n">
        <v>0</v>
      </c>
    </row>
    <row r="2063">
      <c r="A2063" t="n">
        <v>2062</v>
      </c>
      <c r="B2063" t="inlineStr">
        <is>
          <t>Handling Charge, Documentation Fee, Manifest Filling and Air Freight</t>
        </is>
      </c>
      <c r="C2063" t="inlineStr">
        <is>
          <t>នីបផន អិចប្រេស (ខេមបូឌា) ខូ អិលធីឌី</t>
        </is>
      </c>
      <c r="D2063" t="inlineStr">
        <is>
          <t>L001-107032791</t>
        </is>
      </c>
      <c r="E2063" t="inlineStr">
        <is>
          <t>A8T-16030</t>
        </is>
      </c>
      <c r="F2063" t="inlineStr">
        <is>
          <t>25-12-2024</t>
        </is>
      </c>
      <c r="G2063" t="n">
        <v>46219</v>
      </c>
      <c r="I2063">
        <f>G2063</f>
        <v/>
      </c>
      <c r="K2063">
        <f>I2063-G2063</f>
        <v/>
      </c>
      <c r="M2063">
        <f>R2063=E2063</f>
        <v/>
      </c>
      <c r="N2063">
        <f>AND(MONTH(F2063)=MONTH(Q2063), YEAR(F2063)=YEAR(Q2063))</f>
        <v/>
      </c>
      <c r="O2063">
        <f>"L001-902303751"=S2063</f>
        <v/>
      </c>
      <c r="P2063">
        <f>G2063-U2063</f>
        <v/>
      </c>
      <c r="Q2063" s="35" t="n">
        <v>45636</v>
      </c>
      <c r="R2063" t="n">
        <v>376338</v>
      </c>
      <c r="S2063" t="inlineStr">
        <is>
          <t>L001-100045995</t>
        </is>
      </c>
      <c r="T2063" t="inlineStr">
        <is>
          <t>ឌីអេចអិល ឡូជីស្ទីក (ខេមបូឌា)</t>
        </is>
      </c>
      <c r="U2063" t="n">
        <v>376338</v>
      </c>
      <c r="V2063" t="n">
        <v>0</v>
      </c>
    </row>
    <row r="2064">
      <c r="A2064" t="n">
        <v>2063</v>
      </c>
      <c r="B2064" t="inlineStr">
        <is>
          <t>Coated Paper</t>
        </is>
      </c>
      <c r="C2064" t="inlineStr">
        <is>
          <t>ហ្គូដញូ ភែកឃីជីង ថេកណឡជី ឯ.ក</t>
        </is>
      </c>
      <c r="D2064" t="inlineStr">
        <is>
          <t>L001-901704919</t>
        </is>
      </c>
      <c r="E2064" t="inlineStr">
        <is>
          <t>TI-GN-2024-067</t>
        </is>
      </c>
      <c r="F2064" t="inlineStr">
        <is>
          <t>27-12-2024</t>
        </is>
      </c>
      <c r="G2064" t="n">
        <v>91911</v>
      </c>
      <c r="I2064">
        <f>G2064</f>
        <v/>
      </c>
      <c r="K2064">
        <f>I2064-G2064</f>
        <v/>
      </c>
      <c r="M2064">
        <f>R2064=E2064</f>
        <v/>
      </c>
      <c r="N2064">
        <f>AND(MONTH(F2064)=MONTH(Q2064), YEAR(F2064)=YEAR(Q2064))</f>
        <v/>
      </c>
      <c r="O2064">
        <f>"L001-902303751"=S2064</f>
        <v/>
      </c>
      <c r="P2064">
        <f>G2064-U2064</f>
        <v/>
      </c>
      <c r="Q2064" s="35" t="n">
        <v>45636</v>
      </c>
      <c r="R2064" t="inlineStr"/>
      <c r="S2064" t="inlineStr">
        <is>
          <t>L001-100045995</t>
        </is>
      </c>
      <c r="T2064" t="inlineStr">
        <is>
          <t>ឌីអេចអិល ឡូជីស្ទីក (ខេមបូឌា)</t>
        </is>
      </c>
      <c r="U2064" t="n">
        <v>0</v>
      </c>
      <c r="V2064" t="n">
        <v>0</v>
      </c>
    </row>
    <row r="2065">
      <c r="A2065" t="n">
        <v>2064</v>
      </c>
      <c r="B2065" t="inlineStr">
        <is>
          <t>Thread</t>
        </is>
      </c>
      <c r="C2065" t="inlineStr">
        <is>
          <t>គ្លូប៊ល សុីលីន ហ្គាមុិន អេកសេសឺរី ឯ.ក</t>
        </is>
      </c>
      <c r="D2065" t="inlineStr">
        <is>
          <t>L001-902200857</t>
        </is>
      </c>
      <c r="E2065" t="inlineStr">
        <is>
          <t>000968</t>
        </is>
      </c>
      <c r="F2065" t="inlineStr">
        <is>
          <t>27-12-2024</t>
        </is>
      </c>
      <c r="G2065" t="n">
        <v>837606</v>
      </c>
      <c r="I2065">
        <f>G2065</f>
        <v/>
      </c>
      <c r="K2065">
        <f>I2065-G2065</f>
        <v/>
      </c>
      <c r="M2065">
        <f>R2065=E2065</f>
        <v/>
      </c>
      <c r="N2065">
        <f>AND(MONTH(F2065)=MONTH(Q2065), YEAR(F2065)=YEAR(Q2065))</f>
        <v/>
      </c>
      <c r="O2065">
        <f>"L001-902303751"=S2065</f>
        <v/>
      </c>
      <c r="P2065">
        <f>G2065-U2065</f>
        <v/>
      </c>
      <c r="Q2065" s="35" t="n">
        <v>45636</v>
      </c>
      <c r="R2065" t="inlineStr"/>
      <c r="S2065" t="inlineStr">
        <is>
          <t>L001-107032791</t>
        </is>
      </c>
      <c r="T2065" t="inlineStr">
        <is>
          <t>នីបផន អិចប្រេស (ខេមបូឌា) ខូ អិលធីឌី</t>
        </is>
      </c>
      <c r="U2065" t="n">
        <v>0</v>
      </c>
      <c r="V2065" t="n">
        <v>0</v>
      </c>
    </row>
    <row r="2066">
      <c r="A2066" t="n">
        <v>2065</v>
      </c>
      <c r="B2066" t="inlineStr">
        <is>
          <t>Thread</t>
        </is>
      </c>
      <c r="C2066" t="inlineStr">
        <is>
          <t>គ្លូប៊ល សុីលីន ហ្គាមុិន អេកសេសឺរី ឯ.ក</t>
        </is>
      </c>
      <c r="D2066" t="inlineStr">
        <is>
          <t>L001-902200857</t>
        </is>
      </c>
      <c r="E2066" t="inlineStr">
        <is>
          <t>000969</t>
        </is>
      </c>
      <c r="F2066" t="inlineStr">
        <is>
          <t>27-12-2024</t>
        </is>
      </c>
      <c r="G2066" t="n">
        <v>209092</v>
      </c>
      <c r="I2066">
        <f>G2066</f>
        <v/>
      </c>
      <c r="K2066">
        <f>I2066-G2066</f>
        <v/>
      </c>
      <c r="M2066">
        <f>R2066=E2066</f>
        <v/>
      </c>
      <c r="N2066">
        <f>AND(MONTH(F2066)=MONTH(Q2066), YEAR(F2066)=YEAR(Q2066))</f>
        <v/>
      </c>
      <c r="O2066">
        <f>"L001-902303751"=S2066</f>
        <v/>
      </c>
      <c r="P2066">
        <f>G2066-U2066</f>
        <v/>
      </c>
      <c r="Q2066" s="35" t="n">
        <v>45642</v>
      </c>
      <c r="R2066" t="n">
        <v>82390</v>
      </c>
      <c r="S2066" t="inlineStr">
        <is>
          <t>L001-107032791</t>
        </is>
      </c>
      <c r="T2066" t="inlineStr">
        <is>
          <t>នីបផន អិចប្រេស (ខេមបូឌា) ខូ អិលធីឌី</t>
        </is>
      </c>
      <c r="U2066" t="n">
        <v>82390</v>
      </c>
      <c r="V2066" t="n">
        <v>0</v>
      </c>
    </row>
    <row r="2067">
      <c r="A2067" t="n">
        <v>2066</v>
      </c>
      <c r="B2067" t="inlineStr">
        <is>
          <t>Export Administration Fee and Custom Processing Fee</t>
        </is>
      </c>
      <c r="C2067" t="inlineStr">
        <is>
          <t>ជី លីង អិចប្រេស ឡូជីស្ទីក (ខេមបូឌា) លីមីធីត</t>
        </is>
      </c>
      <c r="D2067" t="inlineStr">
        <is>
          <t>L001-100044956</t>
        </is>
      </c>
      <c r="E2067" t="inlineStr">
        <is>
          <t>24160544</t>
        </is>
      </c>
      <c r="F2067" t="inlineStr">
        <is>
          <t>20-12-2024</t>
        </is>
      </c>
      <c r="G2067" t="n">
        <v>64304</v>
      </c>
      <c r="I2067">
        <f>G2067</f>
        <v/>
      </c>
      <c r="K2067">
        <f>I2067-G2067</f>
        <v/>
      </c>
      <c r="M2067">
        <f>R2067=E2067</f>
        <v/>
      </c>
      <c r="N2067">
        <f>AND(MONTH(F2067)=MONTH(Q2067), YEAR(F2067)=YEAR(Q2067))</f>
        <v/>
      </c>
      <c r="O2067">
        <f>"L001-902303751"=S2067</f>
        <v/>
      </c>
      <c r="P2067">
        <f>G2067-U2067</f>
        <v/>
      </c>
      <c r="Q2067" s="35" t="n">
        <v>45642</v>
      </c>
      <c r="R2067" t="n">
        <v>82390</v>
      </c>
      <c r="S2067" t="inlineStr">
        <is>
          <t>L001-100045995</t>
        </is>
      </c>
      <c r="T2067" t="inlineStr">
        <is>
          <t>ឌីអេចអិល ឡូជីស្ទីក (ខេមបូឌា)</t>
        </is>
      </c>
      <c r="U2067" t="n">
        <v>82390</v>
      </c>
      <c r="V2067" t="n">
        <v>0</v>
      </c>
    </row>
    <row r="2068">
      <c r="A2068" t="n">
        <v>2067</v>
      </c>
      <c r="B2068" t="inlineStr">
        <is>
          <t>Export Administration Fee and Custom Processing Fee</t>
        </is>
      </c>
      <c r="C2068" t="inlineStr">
        <is>
          <t>ជី លីង អិចប្រេស ឡូជីស្ទីក (ខេមបូឌា) លីមីធីត</t>
        </is>
      </c>
      <c r="D2068" t="inlineStr">
        <is>
          <t>L001-100044956</t>
        </is>
      </c>
      <c r="E2068" t="inlineStr">
        <is>
          <t>24160678</t>
        </is>
      </c>
      <c r="F2068" t="inlineStr">
        <is>
          <t>25-12-2024</t>
        </is>
      </c>
      <c r="G2068" t="n">
        <v>64304</v>
      </c>
      <c r="I2068">
        <f>G2068</f>
        <v/>
      </c>
      <c r="K2068">
        <f>I2068-G2068</f>
        <v/>
      </c>
      <c r="M2068">
        <f>R2068=E2068</f>
        <v/>
      </c>
      <c r="N2068">
        <f>AND(MONTH(F2068)=MONTH(Q2068), YEAR(F2068)=YEAR(Q2068))</f>
        <v/>
      </c>
      <c r="O2068">
        <f>"L001-902303751"=S2068</f>
        <v/>
      </c>
      <c r="P2068">
        <f>G2068-U2068</f>
        <v/>
      </c>
      <c r="Q2068" s="35" t="n">
        <v>45628</v>
      </c>
      <c r="R2068" t="n">
        <v>97099</v>
      </c>
      <c r="S2068" t="inlineStr">
        <is>
          <t>K005-901805913</t>
        </is>
      </c>
      <c r="T2068" t="inlineStr">
        <is>
          <t>ស្តារ ខង់ខដ (ខេមបូឌា) ឯ.ក</t>
        </is>
      </c>
      <c r="U2068" t="n">
        <v>97099</v>
      </c>
      <c r="V2068" t="n">
        <v>0</v>
      </c>
    </row>
    <row r="2069">
      <c r="A2069" t="n">
        <v>2068</v>
      </c>
      <c r="B2069" t="inlineStr">
        <is>
          <t>Export Administration Fee and Custom Processing Fee</t>
        </is>
      </c>
      <c r="C2069" t="inlineStr">
        <is>
          <t>ជី លីង អិចប្រេស ឡូជីស្ទីក (ខេមបូឌា) លីមីធីត</t>
        </is>
      </c>
      <c r="D2069" t="inlineStr">
        <is>
          <t>L001-100044956</t>
        </is>
      </c>
      <c r="E2069" t="inlineStr">
        <is>
          <t>24160363</t>
        </is>
      </c>
      <c r="F2069" t="inlineStr">
        <is>
          <t>14-12-2024</t>
        </is>
      </c>
      <c r="G2069" t="n">
        <v>64336</v>
      </c>
      <c r="I2069">
        <f>G2069</f>
        <v/>
      </c>
      <c r="K2069">
        <f>I2069-G2069</f>
        <v/>
      </c>
      <c r="M2069">
        <f>R2069=E2069</f>
        <v/>
      </c>
      <c r="N2069">
        <f>AND(MONTH(F2069)=MONTH(Q2069), YEAR(F2069)=YEAR(Q2069))</f>
        <v/>
      </c>
      <c r="O2069">
        <f>"L001-902303751"=S2069</f>
        <v/>
      </c>
      <c r="P2069">
        <f>G2069-U2069</f>
        <v/>
      </c>
      <c r="Q2069" s="35" t="n">
        <v>45653</v>
      </c>
      <c r="R2069" t="inlineStr"/>
      <c r="S2069" t="inlineStr">
        <is>
          <t>L001-100045340</t>
        </is>
      </c>
      <c r="T2069" t="inlineStr">
        <is>
          <t xml:space="preserve">ស៊ីវ៉ា អ៊ែរ អ៊ែន អូសៀន (ខេមបូឌា) ឯ.ក </t>
        </is>
      </c>
      <c r="U2069" t="n">
        <v>0</v>
      </c>
      <c r="V2069" t="n">
        <v>0</v>
      </c>
    </row>
    <row r="2070">
      <c r="A2070" t="n">
        <v>2069</v>
      </c>
      <c r="B2070" t="inlineStr">
        <is>
          <t>CTNR STUFFING FEE, THC CHARES, BILL OF LANDING FEE, MANIFEST FEE AND FCR FEE</t>
        </is>
      </c>
      <c r="C2070" t="inlineStr">
        <is>
          <t>អ៊ិចស្ពែឌីធ័រ ខេមបូឌា អិលធីឌី</t>
        </is>
      </c>
      <c r="D2070" t="inlineStr">
        <is>
          <t>L001-100045898</t>
        </is>
      </c>
      <c r="E2070" t="inlineStr">
        <is>
          <t>TI-0300925</t>
        </is>
      </c>
      <c r="F2070" t="inlineStr">
        <is>
          <t>17-12-2024</t>
        </is>
      </c>
      <c r="G2070" t="n">
        <v>55864</v>
      </c>
      <c r="I2070">
        <f>G2070</f>
        <v/>
      </c>
      <c r="K2070">
        <f>I2070-G2070</f>
        <v/>
      </c>
      <c r="M2070">
        <f>R2070=E2070</f>
        <v/>
      </c>
      <c r="N2070">
        <f>AND(MONTH(F2070)=MONTH(Q2070), YEAR(F2070)=YEAR(Q2070))</f>
        <v/>
      </c>
      <c r="O2070">
        <f>"L001-902303751"=S2070</f>
        <v/>
      </c>
      <c r="P2070">
        <f>G2070-U2070</f>
        <v/>
      </c>
      <c r="Q2070" s="35" t="n">
        <v>45649</v>
      </c>
      <c r="R2070" t="n">
        <v>82410</v>
      </c>
      <c r="S2070" t="inlineStr">
        <is>
          <t>K005-901902888</t>
        </is>
      </c>
      <c r="T2070" t="inlineStr">
        <is>
          <t>អឹឡាយអិន ហ្វ័រវើឌីង (ខេមបូឌា) ឯ.ក</t>
        </is>
      </c>
      <c r="U2070" t="n">
        <v>82410</v>
      </c>
      <c r="V2070" t="n">
        <v>0</v>
      </c>
    </row>
    <row r="2071">
      <c r="A2071" t="n">
        <v>2070</v>
      </c>
      <c r="B2071" t="inlineStr">
        <is>
          <t>Export Administration Fee and Custom Processing Fee</t>
        </is>
      </c>
      <c r="C2071" t="inlineStr">
        <is>
          <t>ជី លីង អិចប្រេស ឡូជីស្ទីក (ខេមបូឌា) លីមីធីត</t>
        </is>
      </c>
      <c r="D2071" t="inlineStr">
        <is>
          <t>L001-100044956</t>
        </is>
      </c>
      <c r="E2071" t="inlineStr">
        <is>
          <t>24160664</t>
        </is>
      </c>
      <c r="F2071" t="inlineStr">
        <is>
          <t>25-12-2024</t>
        </is>
      </c>
      <c r="G2071" t="n">
        <v>64304</v>
      </c>
      <c r="I2071">
        <f>G2071</f>
        <v/>
      </c>
      <c r="K2071">
        <f>I2071-G2071</f>
        <v/>
      </c>
      <c r="M2071">
        <f>R2071=E2071</f>
        <v/>
      </c>
      <c r="N2071">
        <f>AND(MONTH(F2071)=MONTH(Q2071), YEAR(F2071)=YEAR(Q2071))</f>
        <v/>
      </c>
      <c r="O2071">
        <f>"L001-902303751"=S2071</f>
        <v/>
      </c>
      <c r="P2071">
        <f>G2071-U2071</f>
        <v/>
      </c>
      <c r="Q2071" s="35" t="n">
        <v>45649</v>
      </c>
      <c r="R2071" t="inlineStr"/>
      <c r="S2071" t="inlineStr">
        <is>
          <t>L001-100045995</t>
        </is>
      </c>
      <c r="T2071" t="inlineStr">
        <is>
          <t>ឌីអេចអិល ឡូជីស្ទីក (ខេមបូឌា)</t>
        </is>
      </c>
      <c r="U2071" t="n">
        <v>0</v>
      </c>
      <c r="V2071" t="n">
        <v>0</v>
      </c>
    </row>
    <row r="2072">
      <c r="A2072" t="n">
        <v>2071</v>
      </c>
      <c r="B2072" t="inlineStr">
        <is>
          <t>Export Administration Fee and Custom Processing Fee</t>
        </is>
      </c>
      <c r="C2072" t="inlineStr">
        <is>
          <t>ជី លីង អិចប្រេស ឡូជីស្ទីក (ខេមបូឌា) លីមីធីត</t>
        </is>
      </c>
      <c r="D2072" t="inlineStr">
        <is>
          <t>L001-100044956</t>
        </is>
      </c>
      <c r="E2072" t="inlineStr">
        <is>
          <t>24160519</t>
        </is>
      </c>
      <c r="F2072" t="inlineStr">
        <is>
          <t>19-12-2024</t>
        </is>
      </c>
      <c r="G2072" t="n">
        <v>64336</v>
      </c>
      <c r="I2072">
        <f>G2072</f>
        <v/>
      </c>
      <c r="K2072">
        <f>I2072-G2072</f>
        <v/>
      </c>
      <c r="M2072">
        <f>R2072=E2072</f>
        <v/>
      </c>
      <c r="N2072">
        <f>AND(MONTH(F2072)=MONTH(Q2072), YEAR(F2072)=YEAR(Q2072))</f>
        <v/>
      </c>
      <c r="O2072">
        <f>"L001-902303751"=S2072</f>
        <v/>
      </c>
      <c r="P2072">
        <f>G2072-U2072</f>
        <v/>
      </c>
      <c r="Q2072" s="35" t="n">
        <v>45636</v>
      </c>
      <c r="R2072" t="inlineStr"/>
      <c r="S2072" t="inlineStr">
        <is>
          <t>L001-100045995</t>
        </is>
      </c>
      <c r="T2072" t="inlineStr">
        <is>
          <t>ឌីអេចអិល ឡូជីស្ទីក (ខេមបូឌា)</t>
        </is>
      </c>
      <c r="U2072" t="n">
        <v>0</v>
      </c>
      <c r="V2072" t="n">
        <v>0</v>
      </c>
    </row>
    <row r="2073">
      <c r="A2073" t="n">
        <v>2072</v>
      </c>
      <c r="B2073" t="inlineStr">
        <is>
          <t>OM FORWARDING FEE, TERMINAL HANDLING, CARRIER BL, DOCUMENT ASSEMBLY, HANDLING FEE, VGM ADMIN FEE, CONTAINER SEAL, TELEX RELEASE, DETENTION CHARGE, LATE OMB REVISION AND MANIFEST FEE</t>
        </is>
      </c>
      <c r="C2073" t="inlineStr">
        <is>
          <t>អ៊ិចស្ពែឌីធ័រ ខេមបូឌា អិលធីឌី</t>
        </is>
      </c>
      <c r="D2073" t="inlineStr">
        <is>
          <t>L001-100045898</t>
        </is>
      </c>
      <c r="E2073" t="inlineStr">
        <is>
          <t>TI-0301371</t>
        </is>
      </c>
      <c r="F2073" t="inlineStr">
        <is>
          <t>19-12-2024</t>
        </is>
      </c>
      <c r="G2073" t="n">
        <v>248900</v>
      </c>
      <c r="I2073">
        <f>G2073</f>
        <v/>
      </c>
      <c r="K2073">
        <f>I2073-G2073</f>
        <v/>
      </c>
      <c r="M2073">
        <f>R2073=E2073</f>
        <v/>
      </c>
      <c r="N2073">
        <f>AND(MONTH(F2073)=MONTH(Q2073), YEAR(F2073)=YEAR(Q2073))</f>
        <v/>
      </c>
      <c r="O2073">
        <f>"L001-902303751"=S2073</f>
        <v/>
      </c>
      <c r="P2073">
        <f>G2073-U2073</f>
        <v/>
      </c>
      <c r="Q2073" s="35" t="n">
        <v>45636</v>
      </c>
      <c r="R2073" t="n">
        <v>110688</v>
      </c>
      <c r="S2073" t="inlineStr">
        <is>
          <t>L001-100045995</t>
        </is>
      </c>
      <c r="T2073" t="inlineStr">
        <is>
          <t>ឌីអេចអិល ឡូជីស្ទីក (ខេមបូឌា)</t>
        </is>
      </c>
      <c r="U2073" t="n">
        <v>110688</v>
      </c>
      <c r="V2073" t="n">
        <v>0</v>
      </c>
    </row>
    <row r="2074">
      <c r="A2074" t="n">
        <v>2073</v>
      </c>
      <c r="B2074" t="inlineStr">
        <is>
          <t>CFS HANDLING, CARRIER BL, DOCUMENT ASSEMBLY, TERMINAL HANDLING, HANDLING FEE, VGM PROCESSING FEE-CFS, FUEL SURCHARGE AND TELEX RELEASE</t>
        </is>
      </c>
      <c r="C2074" t="inlineStr">
        <is>
          <t>អ៊ិចស្ពែឌីធ័រ ខេមបូឌា អិលធីឌី</t>
        </is>
      </c>
      <c r="D2074" t="inlineStr">
        <is>
          <t>L001-100045898</t>
        </is>
      </c>
      <c r="E2074" t="inlineStr">
        <is>
          <t>TI-0301372</t>
        </is>
      </c>
      <c r="F2074" t="inlineStr">
        <is>
          <t>19-12-2024</t>
        </is>
      </c>
      <c r="G2074" t="n">
        <v>204863</v>
      </c>
      <c r="I2074">
        <f>G2074</f>
        <v/>
      </c>
      <c r="K2074">
        <f>I2074-G2074</f>
        <v/>
      </c>
      <c r="M2074">
        <f>R2074=E2074</f>
        <v/>
      </c>
      <c r="N2074">
        <f>AND(MONTH(F2074)=MONTH(Q2074), YEAR(F2074)=YEAR(Q2074))</f>
        <v/>
      </c>
      <c r="O2074">
        <f>"L001-902303751"=S2074</f>
        <v/>
      </c>
      <c r="P2074">
        <f>G2074-U2074</f>
        <v/>
      </c>
      <c r="Q2074" s="35" t="n">
        <v>45628</v>
      </c>
      <c r="R2074" t="inlineStr"/>
      <c r="S2074" t="inlineStr">
        <is>
          <t>L001-107032791</t>
        </is>
      </c>
      <c r="T2074" t="inlineStr">
        <is>
          <t>នីបផន អិចប្រេស (ខេមបូឌា) ខូ អិលធីឌី</t>
        </is>
      </c>
      <c r="U2074" t="n">
        <v>0</v>
      </c>
      <c r="V2074" t="n">
        <v>0</v>
      </c>
    </row>
    <row r="2075">
      <c r="A2075" t="n">
        <v>2074</v>
      </c>
      <c r="B2075" t="inlineStr">
        <is>
          <t>CFS HANDLING, CARRIER BL, DOCUMENT ASSEMBLY, TERMINAL HANDLING, HANDLING FEE, VGM PROCESSING FEE-CFS AND MANIFEST FEE</t>
        </is>
      </c>
      <c r="C2075" t="inlineStr">
        <is>
          <t>អ៊ិចស្ពែឌីធ័រ ខេមបូឌា អិលធីឌី</t>
        </is>
      </c>
      <c r="D2075" t="inlineStr">
        <is>
          <t>L001-100045898</t>
        </is>
      </c>
      <c r="E2075" t="inlineStr">
        <is>
          <t>TI-0301221</t>
        </is>
      </c>
      <c r="F2075" t="inlineStr">
        <is>
          <t>17-12-2024</t>
        </is>
      </c>
      <c r="G2075" t="n">
        <v>82791</v>
      </c>
      <c r="I2075">
        <f>G2075</f>
        <v/>
      </c>
      <c r="K2075">
        <f>I2075-G2075</f>
        <v/>
      </c>
      <c r="M2075">
        <f>R2075=E2075</f>
        <v/>
      </c>
      <c r="N2075">
        <f>AND(MONTH(F2075)=MONTH(Q2075), YEAR(F2075)=YEAR(Q2075))</f>
        <v/>
      </c>
      <c r="O2075">
        <f>"L001-902303751"=S2075</f>
        <v/>
      </c>
      <c r="P2075">
        <f>G2075-U2075</f>
        <v/>
      </c>
      <c r="Q2075" s="35" t="n">
        <v>45656</v>
      </c>
      <c r="R2075" t="inlineStr"/>
      <c r="S2075" t="inlineStr">
        <is>
          <t>L001-107032791</t>
        </is>
      </c>
      <c r="T2075" t="inlineStr">
        <is>
          <t>នីបផន អិចប្រេស (ខេមបូឌា) ខូ អិលធីឌី</t>
        </is>
      </c>
      <c r="U2075" t="n">
        <v>0</v>
      </c>
      <c r="V2075" t="n">
        <v>0</v>
      </c>
    </row>
    <row r="2076">
      <c r="A2076" t="n">
        <v>2075</v>
      </c>
      <c r="B2076" t="inlineStr">
        <is>
          <t>CFS HANDLING, CARRIER BL, DOCUMENT ASSEMBLY, TERMINAL HANDLING, HANDLING FEE, VGM PROCESSING FEE-CFS AND MANIFEST FEE</t>
        </is>
      </c>
      <c r="C2076" t="inlineStr">
        <is>
          <t>អ៊ិចស្ពែឌីធ័រ ខេមបូឌា អិលធីឌី</t>
        </is>
      </c>
      <c r="D2076" t="inlineStr">
        <is>
          <t>L001-100045898</t>
        </is>
      </c>
      <c r="E2076" t="inlineStr">
        <is>
          <t>TI-0301217</t>
        </is>
      </c>
      <c r="F2076" t="inlineStr">
        <is>
          <t>17-12-2024</t>
        </is>
      </c>
      <c r="G2076" t="n">
        <v>82791</v>
      </c>
      <c r="I2076">
        <f>G2076</f>
        <v/>
      </c>
      <c r="K2076">
        <f>I2076-G2076</f>
        <v/>
      </c>
      <c r="M2076">
        <f>R2076=E2076</f>
        <v/>
      </c>
      <c r="N2076">
        <f>AND(MONTH(F2076)=MONTH(Q2076), YEAR(F2076)=YEAR(Q2076))</f>
        <v/>
      </c>
      <c r="O2076">
        <f>"L001-902303751"=S2076</f>
        <v/>
      </c>
      <c r="P2076">
        <f>G2076-U2076</f>
        <v/>
      </c>
      <c r="Q2076" s="35" t="n">
        <v>45645</v>
      </c>
      <c r="R2076" t="n">
        <v>193812</v>
      </c>
      <c r="S2076" t="inlineStr">
        <is>
          <t>L001-107000385</t>
        </is>
      </c>
      <c r="T2076" t="inlineStr">
        <is>
          <t>អិចស្ពោលាំងកា ហ្រ្វេត (ខេមបូឌា) លីមីធីត</t>
        </is>
      </c>
      <c r="U2076" t="n">
        <v>193812</v>
      </c>
      <c r="V2076" t="n">
        <v>0</v>
      </c>
    </row>
    <row r="2077">
      <c r="A2077" t="n">
        <v>2076</v>
      </c>
      <c r="B2077" t="inlineStr">
        <is>
          <t>CFS HANDLING, CARRIER BL, DOCUMENT ASSEMBLY, TERMINAL HANDLING, HANDLING FEE, VGM PROCESSING FEE-CFS AND MANIFEST FEE</t>
        </is>
      </c>
      <c r="C2077" t="inlineStr">
        <is>
          <t>អ៊ិចស្ពែឌីធ័រ ខេមបូឌា អិលធីឌី</t>
        </is>
      </c>
      <c r="D2077" t="inlineStr">
        <is>
          <t>L001-100045898</t>
        </is>
      </c>
      <c r="E2077" t="inlineStr">
        <is>
          <t>TI-0301219</t>
        </is>
      </c>
      <c r="F2077" t="inlineStr">
        <is>
          <t>17-12-2024</t>
        </is>
      </c>
      <c r="G2077" t="n">
        <v>94326</v>
      </c>
      <c r="I2077">
        <f>G2077</f>
        <v/>
      </c>
      <c r="K2077">
        <f>I2077-G2077</f>
        <v/>
      </c>
      <c r="M2077">
        <f>R2077=E2077</f>
        <v/>
      </c>
      <c r="N2077">
        <f>AND(MONTH(F2077)=MONTH(Q2077), YEAR(F2077)=YEAR(Q2077))</f>
        <v/>
      </c>
      <c r="O2077">
        <f>"L001-902303751"=S2077</f>
        <v/>
      </c>
      <c r="P2077">
        <f>G2077-U2077</f>
        <v/>
      </c>
      <c r="Q2077" s="35" t="n">
        <v>45642</v>
      </c>
      <c r="R2077" t="inlineStr"/>
      <c r="S2077" t="inlineStr">
        <is>
          <t>L001-107041723</t>
        </is>
      </c>
      <c r="T2077" t="inlineStr">
        <is>
          <t>ឌីប៊ី សេនឃើរ (ខេមបូឌា) លីមីធីត</t>
        </is>
      </c>
      <c r="U2077" t="n">
        <v>0</v>
      </c>
      <c r="V2077" t="n">
        <v>0</v>
      </c>
    </row>
    <row r="2078">
      <c r="A2078" t="n">
        <v>2077</v>
      </c>
      <c r="B2078" t="inlineStr">
        <is>
          <t>First &amp; Second Inspection Fee, FC Normal OT, FC Hollyday OT, Transportation Fee and Waiting for Inspection</t>
        </is>
      </c>
      <c r="C2078" t="inlineStr">
        <is>
          <t>ហ្វេនស៍ ហ្វេសិន អ៊ិនស្ពេកសិន (ខេមបូឌា) ឯ.ក</t>
        </is>
      </c>
      <c r="D2078" t="inlineStr">
        <is>
          <t>K009-902302411</t>
        </is>
      </c>
      <c r="E2078" t="inlineStr">
        <is>
          <t>FC2024-0022</t>
        </is>
      </c>
      <c r="F2078" t="inlineStr">
        <is>
          <t>31-12-2024</t>
        </is>
      </c>
      <c r="G2078" t="n">
        <v>1538150</v>
      </c>
      <c r="I2078">
        <f>G2078</f>
        <v/>
      </c>
      <c r="K2078">
        <f>I2078-G2078</f>
        <v/>
      </c>
      <c r="M2078">
        <f>R2078=E2078</f>
        <v/>
      </c>
      <c r="N2078">
        <f>AND(MONTH(F2078)=MONTH(Q2078), YEAR(F2078)=YEAR(Q2078))</f>
        <v/>
      </c>
      <c r="O2078">
        <f>"L001-902303751"=S2078</f>
        <v/>
      </c>
      <c r="P2078">
        <f>G2078-U2078</f>
        <v/>
      </c>
      <c r="Q2078" s="35" t="n">
        <v>45649</v>
      </c>
      <c r="R2078" t="inlineStr"/>
      <c r="S2078" t="inlineStr">
        <is>
          <t>L001-100045340</t>
        </is>
      </c>
      <c r="T2078" t="inlineStr">
        <is>
          <t xml:space="preserve">ស៊ីវ៉ា អ៊ែរ អ៊ែន អូសៀន (ខេមបូឌា) ឯ.ក </t>
        </is>
      </c>
      <c r="U2078" t="n">
        <v>0</v>
      </c>
      <c r="V2078" t="n">
        <v>0</v>
      </c>
    </row>
    <row r="2079">
      <c r="A2079" t="n">
        <v>2078</v>
      </c>
      <c r="B2079" t="inlineStr">
        <is>
          <t>Temite Control Service Second Paymenr of 50%</t>
        </is>
      </c>
      <c r="C2079" t="inlineStr">
        <is>
          <t>ជីស៊ី ផេស ខិនត្រូល ឯ.ក</t>
        </is>
      </c>
      <c r="D2079" t="inlineStr">
        <is>
          <t>K004-902104767</t>
        </is>
      </c>
      <c r="E2079" t="inlineStr">
        <is>
          <t>2024-00031</t>
        </is>
      </c>
      <c r="F2079" t="inlineStr">
        <is>
          <t>14-12-2024</t>
        </is>
      </c>
      <c r="G2079" t="n">
        <v>125675</v>
      </c>
      <c r="I2079">
        <f>G2079</f>
        <v/>
      </c>
      <c r="K2079">
        <f>I2079-G2079</f>
        <v/>
      </c>
      <c r="M2079">
        <f>R2079=E2079</f>
        <v/>
      </c>
      <c r="N2079">
        <f>AND(MONTH(F2079)=MONTH(Q2079), YEAR(F2079)=YEAR(Q2079))</f>
        <v/>
      </c>
      <c r="O2079">
        <f>"L001-902303751"=S2079</f>
        <v/>
      </c>
      <c r="P2079">
        <f>G2079-U2079</f>
        <v/>
      </c>
      <c r="Q2079" s="35" t="n">
        <v>45636</v>
      </c>
      <c r="R2079" t="n">
        <v>84928</v>
      </c>
      <c r="S2079" t="inlineStr">
        <is>
          <t>K005-901805913</t>
        </is>
      </c>
      <c r="T2079" t="inlineStr">
        <is>
          <t>ស្តារ ខង់ខដ (ខេមបូឌា) ឯ.ក</t>
        </is>
      </c>
      <c r="U2079" t="n">
        <v>84928</v>
      </c>
      <c r="V2079" t="n">
        <v>0</v>
      </c>
    </row>
    <row r="2080">
      <c r="A2080" t="n">
        <v>2079</v>
      </c>
      <c r="B2080" t="inlineStr">
        <is>
          <t>Pest Control Service for December 2024</t>
        </is>
      </c>
      <c r="C2080" t="inlineStr">
        <is>
          <t>ជីស៊ី ផេស ខិនត្រូល ឯ.ក</t>
        </is>
      </c>
      <c r="D2080" t="inlineStr">
        <is>
          <t>K004-902104767</t>
        </is>
      </c>
      <c r="E2080" t="inlineStr">
        <is>
          <t>2024-00030</t>
        </is>
      </c>
      <c r="F2080" t="inlineStr">
        <is>
          <t>14-12-2024</t>
        </is>
      </c>
      <c r="G2080" t="n">
        <v>140735</v>
      </c>
      <c r="I2080">
        <f>G2080</f>
        <v/>
      </c>
      <c r="K2080">
        <f>I2080-G2080</f>
        <v/>
      </c>
      <c r="M2080">
        <f>R2080=E2080</f>
        <v/>
      </c>
      <c r="N2080">
        <f>AND(MONTH(F2080)=MONTH(Q2080), YEAR(F2080)=YEAR(Q2080))</f>
        <v/>
      </c>
      <c r="O2080">
        <f>"L001-902303751"=S2080</f>
        <v/>
      </c>
      <c r="P2080">
        <f>G2080-U2080</f>
        <v/>
      </c>
      <c r="Q2080" s="35" t="n">
        <v>45636</v>
      </c>
      <c r="R2080" t="n">
        <v>82513</v>
      </c>
      <c r="S2080" t="inlineStr">
        <is>
          <t>L001-107041723</t>
        </is>
      </c>
      <c r="T2080" t="inlineStr">
        <is>
          <t>ឌីប៊ី សេនឃើរ (ខេមបូឌា) លីមីធីត</t>
        </is>
      </c>
      <c r="U2080" t="n">
        <v>82513</v>
      </c>
      <c r="V2080" t="n">
        <v>0</v>
      </c>
    </row>
    <row r="2081">
      <c r="A2081" t="n">
        <v>2080</v>
      </c>
      <c r="B2081" t="inlineStr">
        <is>
          <t>Customs Clearance Fee and Trucking Fee</t>
        </is>
      </c>
      <c r="C2081" t="inlineStr">
        <is>
          <t>ត្រាយអ៊ែងហ្គល ឡូជីស្ទីក (ខេមបូឌា) ឯ.ក</t>
        </is>
      </c>
      <c r="D2081" t="inlineStr">
        <is>
          <t>K010-902101743</t>
        </is>
      </c>
      <c r="E2081" t="inlineStr">
        <is>
          <t>TAG-24-00911</t>
        </is>
      </c>
      <c r="F2081" t="inlineStr">
        <is>
          <t>16-12-2024</t>
        </is>
      </c>
      <c r="G2081" t="n">
        <v>20095</v>
      </c>
      <c r="I2081">
        <f>G2081</f>
        <v/>
      </c>
      <c r="K2081">
        <f>I2081-G2081</f>
        <v/>
      </c>
      <c r="M2081">
        <f>R2081=E2081</f>
        <v/>
      </c>
      <c r="N2081">
        <f>AND(MONTH(F2081)=MONTH(Q2081), YEAR(F2081)=YEAR(Q2081))</f>
        <v/>
      </c>
      <c r="O2081">
        <f>"L001-902303751"=S2081</f>
        <v/>
      </c>
      <c r="P2081">
        <f>G2081-U2081</f>
        <v/>
      </c>
      <c r="Q2081" s="35" t="n">
        <v>45636</v>
      </c>
      <c r="R2081" t="inlineStr"/>
      <c r="S2081" t="inlineStr">
        <is>
          <t>L001-100045340</t>
        </is>
      </c>
      <c r="T2081" t="inlineStr">
        <is>
          <t xml:space="preserve">ស៊ីវ៉ា អ៊ែរ អ៊ែន អូសៀន (ខេមបូឌា) ឯ.ក </t>
        </is>
      </c>
      <c r="U2081" t="n">
        <v>0</v>
      </c>
      <c r="V2081" t="n">
        <v>0</v>
      </c>
    </row>
    <row r="2082">
      <c r="A2082" t="n">
        <v>2081</v>
      </c>
      <c r="B2082" t="inlineStr">
        <is>
          <t>Lift-On &amp; Lift-Off</t>
        </is>
      </c>
      <c r="C2082" t="inlineStr">
        <is>
          <t>កំពង់ផែស្វយ័តក្រុងព្រះសីហនុ</t>
        </is>
      </c>
      <c r="D2082" t="inlineStr">
        <is>
          <t>L001-100044638</t>
        </is>
      </c>
      <c r="E2082" t="inlineStr">
        <is>
          <t>273615</t>
        </is>
      </c>
      <c r="F2082" t="inlineStr">
        <is>
          <t>28-12-2024</t>
        </is>
      </c>
      <c r="G2082" t="n">
        <v>34983</v>
      </c>
      <c r="I2082">
        <f>G2082</f>
        <v/>
      </c>
      <c r="K2082">
        <f>I2082-G2082</f>
        <v/>
      </c>
      <c r="M2082">
        <f>R2082=E2082</f>
        <v/>
      </c>
      <c r="N2082">
        <f>AND(MONTH(F2082)=MONTH(Q2082), YEAR(F2082)=YEAR(Q2082))</f>
        <v/>
      </c>
      <c r="O2082">
        <f>"L001-902303751"=S2082</f>
        <v/>
      </c>
      <c r="P2082">
        <f>G2082-U2082</f>
        <v/>
      </c>
      <c r="Q2082" s="35" t="n">
        <v>45628</v>
      </c>
      <c r="R2082" t="inlineStr"/>
      <c r="S2082" t="inlineStr">
        <is>
          <t>K005-100150195</t>
        </is>
      </c>
      <c r="T2082" t="inlineStr">
        <is>
          <t>អេស អ វី ស៊ី ហ្វ្រេត សឺវីស (ខេមបូឌា) ខូ អិលធីឌី</t>
        </is>
      </c>
      <c r="U2082" t="n">
        <v>0</v>
      </c>
      <c r="V2082" t="n">
        <v>0</v>
      </c>
    </row>
    <row r="2083">
      <c r="A2083" t="n">
        <v>2082</v>
      </c>
      <c r="B2083" t="inlineStr">
        <is>
          <t>Export Administration Fee, Port Formalily and Service Charge</t>
        </is>
      </c>
      <c r="C2083" t="inlineStr">
        <is>
          <t>ឆាយ ដា ឡូយីស្ទីក</t>
        </is>
      </c>
      <c r="D2083" t="inlineStr">
        <is>
          <t>L001-100063098</t>
        </is>
      </c>
      <c r="E2083" t="inlineStr">
        <is>
          <t>2412018867</t>
        </is>
      </c>
      <c r="F2083" t="inlineStr">
        <is>
          <t>17-12-2024</t>
        </is>
      </c>
      <c r="G2083" t="n">
        <v>75959</v>
      </c>
      <c r="I2083">
        <f>G2083</f>
        <v/>
      </c>
      <c r="K2083">
        <f>I2083-G2083</f>
        <v/>
      </c>
      <c r="M2083">
        <f>R2083=E2083</f>
        <v/>
      </c>
      <c r="N2083">
        <f>AND(MONTH(F2083)=MONTH(Q2083), YEAR(F2083)=YEAR(Q2083))</f>
        <v/>
      </c>
      <c r="O2083">
        <f>"L001-902303751"=S2083</f>
        <v/>
      </c>
      <c r="P2083">
        <f>G2083-U2083</f>
        <v/>
      </c>
      <c r="Q2083" s="35" t="n">
        <v>45628</v>
      </c>
      <c r="R2083" t="inlineStr"/>
      <c r="S2083" t="inlineStr">
        <is>
          <t>L001-107032791</t>
        </is>
      </c>
      <c r="T2083" t="inlineStr">
        <is>
          <t>នីបផន អិចប្រេស (ខេមបូឌា) ខូ អិលធីឌី</t>
        </is>
      </c>
      <c r="U2083" t="n">
        <v>0</v>
      </c>
      <c r="V2083" t="n">
        <v>0</v>
      </c>
    </row>
    <row r="2084">
      <c r="A2084" t="n">
        <v>2083</v>
      </c>
      <c r="B2084" t="inlineStr">
        <is>
          <t>Needle</t>
        </is>
      </c>
      <c r="C2084" t="inlineStr">
        <is>
          <t>ក្លាក ហ៊ូ ឯ.ក</t>
        </is>
      </c>
      <c r="D2084" t="inlineStr">
        <is>
          <t>K007-901639199</t>
        </is>
      </c>
      <c r="E2084" t="inlineStr">
        <is>
          <t>IN3071</t>
        </is>
      </c>
      <c r="F2084" t="inlineStr">
        <is>
          <t>31-12-2024</t>
        </is>
      </c>
      <c r="G2084" t="n">
        <v>1570</v>
      </c>
      <c r="I2084">
        <f>G2084</f>
        <v/>
      </c>
      <c r="K2084">
        <f>I2084-G2084</f>
        <v/>
      </c>
      <c r="M2084">
        <f>R2084=E2084</f>
        <v/>
      </c>
      <c r="N2084">
        <f>AND(MONTH(F2084)=MONTH(Q2084), YEAR(F2084)=YEAR(Q2084))</f>
        <v/>
      </c>
      <c r="O2084">
        <f>"L001-902303751"=S2084</f>
        <v/>
      </c>
      <c r="P2084">
        <f>G2084-U2084</f>
        <v/>
      </c>
      <c r="Q2084" s="35" t="n">
        <v>45628</v>
      </c>
      <c r="R2084" t="n">
        <v>82595</v>
      </c>
      <c r="S2084" t="inlineStr">
        <is>
          <t>L001-107032791</t>
        </is>
      </c>
      <c r="T2084" t="inlineStr">
        <is>
          <t>នីបផន អិចប្រេស (ខេមបូឌា) ខូ អិលធីឌី</t>
        </is>
      </c>
      <c r="U2084" t="n">
        <v>82595</v>
      </c>
      <c r="V2084" t="n">
        <v>0</v>
      </c>
    </row>
    <row r="2085">
      <c r="A2085" t="n">
        <v>2084</v>
      </c>
      <c r="B2085" t="inlineStr">
        <is>
          <t>Detergent, Bearings, Exit Lights, Bobbin case, Bobbin, magnet, cylinder, cylinder, Eyewash Statiioin, THC, plate, Cross, Upper Hook, Hook, Sparepart and Presser foot</t>
        </is>
      </c>
      <c r="C2085" t="inlineStr">
        <is>
          <t>ក្លាក ហ៊ូ ឯ.ក</t>
        </is>
      </c>
      <c r="D2085" t="inlineStr">
        <is>
          <t>K007-901639199</t>
        </is>
      </c>
      <c r="E2085" t="inlineStr">
        <is>
          <t>IN3072</t>
        </is>
      </c>
      <c r="F2085" t="inlineStr">
        <is>
          <t>31-12-2024</t>
        </is>
      </c>
      <c r="G2085" t="n">
        <v>706186</v>
      </c>
      <c r="I2085">
        <f>G2085</f>
        <v/>
      </c>
      <c r="K2085">
        <f>I2085-G2085</f>
        <v/>
      </c>
      <c r="M2085">
        <f>R2085=E2085</f>
        <v/>
      </c>
      <c r="N2085">
        <f>AND(MONTH(F2085)=MONTH(Q2085), YEAR(F2085)=YEAR(Q2085))</f>
        <v/>
      </c>
      <c r="O2085">
        <f>"L001-902303751"=S2085</f>
        <v/>
      </c>
      <c r="P2085">
        <f>G2085-U2085</f>
        <v/>
      </c>
      <c r="Q2085" s="35" t="n">
        <v>45628</v>
      </c>
      <c r="R2085" t="inlineStr"/>
      <c r="S2085" t="inlineStr">
        <is>
          <t>L001-107032791</t>
        </is>
      </c>
      <c r="T2085" t="inlineStr">
        <is>
          <t>នីបផន អិចប្រេស (ខេមបូឌា) ខូ អិលធីឌី</t>
        </is>
      </c>
      <c r="U2085" t="n">
        <v>0</v>
      </c>
      <c r="V2085" t="n">
        <v>0</v>
      </c>
    </row>
    <row r="2086">
      <c r="A2086" t="n">
        <v>2085</v>
      </c>
      <c r="B2086" t="inlineStr">
        <is>
          <t>Welding rods, Grinding wheel and Plastic tissue box and towel holder</t>
        </is>
      </c>
      <c r="C2086" t="inlineStr">
        <is>
          <t>ក្លាក ហ៊ូ ឯ.ក</t>
        </is>
      </c>
      <c r="D2086" t="inlineStr">
        <is>
          <t>K007-901639199</t>
        </is>
      </c>
      <c r="E2086" t="inlineStr">
        <is>
          <t>IN3073</t>
        </is>
      </c>
      <c r="F2086" t="inlineStr">
        <is>
          <t>31-12-2024</t>
        </is>
      </c>
      <c r="G2086" t="n">
        <v>169654</v>
      </c>
      <c r="I2086">
        <f>G2086</f>
        <v/>
      </c>
      <c r="K2086">
        <f>I2086-G2086</f>
        <v/>
      </c>
      <c r="M2086">
        <f>R2086=E2086</f>
        <v/>
      </c>
      <c r="N2086">
        <f>AND(MONTH(F2086)=MONTH(Q2086), YEAR(F2086)=YEAR(Q2086))</f>
        <v/>
      </c>
      <c r="O2086">
        <f>"L001-902303751"=S2086</f>
        <v/>
      </c>
      <c r="P2086">
        <f>G2086-U2086</f>
        <v/>
      </c>
      <c r="Q2086" s="35" t="n">
        <v>45656</v>
      </c>
      <c r="R2086" t="n">
        <v>82492</v>
      </c>
      <c r="S2086" t="inlineStr">
        <is>
          <t>K002-901800477</t>
        </is>
      </c>
      <c r="T2086" t="inlineStr">
        <is>
          <t>អាយធីអាយ អ៊ិនធើណេសិនណល ត្រេនស័្ពរថេសិន (ខេមបូឌា) ឯ.ក</t>
        </is>
      </c>
      <c r="U2086" t="n">
        <v>82492</v>
      </c>
      <c r="V2086" t="n">
        <v>0</v>
      </c>
    </row>
    <row r="2087">
      <c r="A2087" t="n">
        <v>2086</v>
      </c>
      <c r="B2087" t="inlineStr">
        <is>
          <t>Export Administration Fee, Port Formalily and Service Charge</t>
        </is>
      </c>
      <c r="C2087" t="inlineStr">
        <is>
          <t>ឆាយ ដា ឡូយីស្ទីក</t>
        </is>
      </c>
      <c r="D2087" t="inlineStr">
        <is>
          <t>L001-100063098</t>
        </is>
      </c>
      <c r="E2087" t="inlineStr">
        <is>
          <t>2412018489</t>
        </is>
      </c>
      <c r="F2087" t="inlineStr">
        <is>
          <t>10-12-2024</t>
        </is>
      </c>
      <c r="G2087" t="n">
        <v>76073</v>
      </c>
      <c r="I2087">
        <f>G2087</f>
        <v/>
      </c>
      <c r="K2087">
        <f>I2087-G2087</f>
        <v/>
      </c>
      <c r="M2087">
        <f>R2087=E2087</f>
        <v/>
      </c>
      <c r="N2087">
        <f>AND(MONTH(F2087)=MONTH(Q2087), YEAR(F2087)=YEAR(Q2087))</f>
        <v/>
      </c>
      <c r="O2087">
        <f>"L001-902303751"=S2087</f>
        <v/>
      </c>
      <c r="P2087">
        <f>G2087-U2087</f>
        <v/>
      </c>
      <c r="Q2087" s="35" t="n">
        <v>45656</v>
      </c>
      <c r="R2087" t="n">
        <v>82492</v>
      </c>
      <c r="S2087" t="inlineStr">
        <is>
          <t>L001-107032791</t>
        </is>
      </c>
      <c r="T2087" t="inlineStr">
        <is>
          <t>នីបផន អិចប្រេស (ខេមបូឌា) ខូ អិលធីឌី</t>
        </is>
      </c>
      <c r="U2087" t="n">
        <v>82492</v>
      </c>
      <c r="V2087" t="n">
        <v>0</v>
      </c>
    </row>
    <row r="2088">
      <c r="A2088" t="n">
        <v>2087</v>
      </c>
      <c r="B2088" t="inlineStr">
        <is>
          <t>Export Administration Fee, Port Formalily and Service Charge</t>
        </is>
      </c>
      <c r="C2088" t="inlineStr">
        <is>
          <t>ឆាយ ដា ឡូយីស្ទីក</t>
        </is>
      </c>
      <c r="D2088" t="inlineStr">
        <is>
          <t>L001-100063098</t>
        </is>
      </c>
      <c r="E2088" t="inlineStr">
        <is>
          <t>2412018482</t>
        </is>
      </c>
      <c r="F2088" t="inlineStr">
        <is>
          <t>10-12-2024</t>
        </is>
      </c>
      <c r="G2088" t="n">
        <v>76073</v>
      </c>
      <c r="I2088">
        <f>G2088</f>
        <v/>
      </c>
      <c r="K2088">
        <f>I2088-G2088</f>
        <v/>
      </c>
      <c r="M2088">
        <f>R2088=E2088</f>
        <v/>
      </c>
      <c r="N2088">
        <f>AND(MONTH(F2088)=MONTH(Q2088), YEAR(F2088)=YEAR(Q2088))</f>
        <v/>
      </c>
      <c r="O2088">
        <f>"L001-902303751"=S2088</f>
        <v/>
      </c>
      <c r="P2088">
        <f>G2088-U2088</f>
        <v/>
      </c>
      <c r="Q2088" s="35" t="n">
        <v>45649</v>
      </c>
      <c r="R2088" t="inlineStr"/>
      <c r="S2088" t="inlineStr">
        <is>
          <t>L001-107032791</t>
        </is>
      </c>
      <c r="T2088" t="inlineStr">
        <is>
          <t>នីបផន អិចប្រេស (ខេមបូឌា) ខូ អិលធីឌី</t>
        </is>
      </c>
      <c r="U2088" t="n">
        <v>0</v>
      </c>
      <c r="V2088" t="n">
        <v>0</v>
      </c>
    </row>
    <row r="2089">
      <c r="A2089" t="n">
        <v>2088</v>
      </c>
      <c r="B2089" t="inlineStr">
        <is>
          <t>Export Administration Fee, Port Formalily, Service Charge and Overtime Inspection</t>
        </is>
      </c>
      <c r="C2089" t="inlineStr">
        <is>
          <t>ឆាយ ដា ឡូយីស្ទីក</t>
        </is>
      </c>
      <c r="D2089" t="inlineStr">
        <is>
          <t>L001-100063098</t>
        </is>
      </c>
      <c r="E2089" t="inlineStr">
        <is>
          <t>2412019236</t>
        </is>
      </c>
      <c r="F2089" t="inlineStr">
        <is>
          <t>24-12-2024</t>
        </is>
      </c>
      <c r="G2089" t="n">
        <v>136244</v>
      </c>
      <c r="I2089">
        <f>G2089</f>
        <v/>
      </c>
      <c r="K2089">
        <f>I2089-G2089</f>
        <v/>
      </c>
      <c r="M2089">
        <f>R2089=E2089</f>
        <v/>
      </c>
      <c r="N2089">
        <f>AND(MONTH(F2089)=MONTH(Q2089), YEAR(F2089)=YEAR(Q2089))</f>
        <v/>
      </c>
      <c r="O2089">
        <f>"L001-902303751"=S2089</f>
        <v/>
      </c>
      <c r="P2089">
        <f>G2089-U2089</f>
        <v/>
      </c>
      <c r="Q2089" s="35" t="n">
        <v>45649</v>
      </c>
      <c r="R2089" t="n">
        <v>84822</v>
      </c>
      <c r="S2089" t="inlineStr">
        <is>
          <t>K005-901805913</t>
        </is>
      </c>
      <c r="T2089" t="inlineStr">
        <is>
          <t>ស្តារ ខង់ខដ (ខេមបូឌា) ឯ.ក</t>
        </is>
      </c>
      <c r="U2089" t="n">
        <v>84822</v>
      </c>
      <c r="V2089" t="n">
        <v>0</v>
      </c>
    </row>
    <row r="2090">
      <c r="A2090" t="n">
        <v>2089</v>
      </c>
      <c r="B2090" t="inlineStr">
        <is>
          <t>Export Administration Fee, Port Formalily and Service Charge</t>
        </is>
      </c>
      <c r="C2090" t="inlineStr">
        <is>
          <t>ឆាយ ដា ឡូយីស្ទីក</t>
        </is>
      </c>
      <c r="D2090" t="inlineStr">
        <is>
          <t>L001-100063098</t>
        </is>
      </c>
      <c r="E2090" t="inlineStr">
        <is>
          <t>2412018870</t>
        </is>
      </c>
      <c r="F2090" t="inlineStr">
        <is>
          <t>17-12-2024</t>
        </is>
      </c>
      <c r="G2090" t="n">
        <v>75959</v>
      </c>
      <c r="I2090">
        <f>G2090</f>
        <v/>
      </c>
      <c r="K2090">
        <f>I2090-G2090</f>
        <v/>
      </c>
      <c r="M2090">
        <f>R2090=E2090</f>
        <v/>
      </c>
      <c r="N2090">
        <f>AND(MONTH(F2090)=MONTH(Q2090), YEAR(F2090)=YEAR(Q2090))</f>
        <v/>
      </c>
      <c r="O2090">
        <f>"L001-902303751"=S2090</f>
        <v/>
      </c>
      <c r="P2090">
        <f>G2090-U2090</f>
        <v/>
      </c>
      <c r="Q2090" s="35" t="n">
        <v>45656</v>
      </c>
      <c r="R2090" t="inlineStr"/>
      <c r="S2090" t="inlineStr">
        <is>
          <t>L001-107032791</t>
        </is>
      </c>
      <c r="T2090" t="inlineStr">
        <is>
          <t>នីបផន អិចប្រេស (ខេមបូឌា) ខូ អិលធីឌី</t>
        </is>
      </c>
      <c r="U2090" t="n">
        <v>0</v>
      </c>
      <c r="V2090" t="n">
        <v>0</v>
      </c>
    </row>
    <row r="2091">
      <c r="A2091" t="n">
        <v>2090</v>
      </c>
      <c r="B2091" t="inlineStr">
        <is>
          <t>Stationery</t>
        </is>
      </c>
      <c r="C2091" t="inlineStr">
        <is>
          <t>ស៊ី &amp; ជី ត្រេឌីង ឯ.ក</t>
        </is>
      </c>
      <c r="D2091" t="inlineStr">
        <is>
          <t>K010-902205065</t>
        </is>
      </c>
      <c r="E2091" t="inlineStr">
        <is>
          <t>2024-0107</t>
        </is>
      </c>
      <c r="F2091" t="inlineStr">
        <is>
          <t>26-12-2024</t>
        </is>
      </c>
      <c r="G2091" t="n">
        <v>2704</v>
      </c>
      <c r="I2091">
        <f>G2091</f>
        <v/>
      </c>
      <c r="K2091">
        <f>I2091-G2091</f>
        <v/>
      </c>
      <c r="M2091">
        <f>R2091=E2091</f>
        <v/>
      </c>
      <c r="N2091">
        <f>AND(MONTH(F2091)=MONTH(Q2091), YEAR(F2091)=YEAR(Q2091))</f>
        <v/>
      </c>
      <c r="O2091">
        <f>"L001-902303751"=S2091</f>
        <v/>
      </c>
      <c r="P2091">
        <f>G2091-U2091</f>
        <v/>
      </c>
      <c r="Q2091" s="35" t="n">
        <v>45656</v>
      </c>
      <c r="R2091" t="inlineStr"/>
      <c r="S2091" t="inlineStr">
        <is>
          <t>L001-107032791</t>
        </is>
      </c>
      <c r="T2091" t="inlineStr">
        <is>
          <t>នីបផន អិចប្រេស (ខេមបូឌា) ខូ អិលធីឌី</t>
        </is>
      </c>
      <c r="U2091" t="n">
        <v>0</v>
      </c>
      <c r="V2091" t="n">
        <v>0</v>
      </c>
    </row>
    <row r="2092">
      <c r="A2092" t="n">
        <v>2091</v>
      </c>
      <c r="B2092" t="inlineStr">
        <is>
          <t>Stationery</t>
        </is>
      </c>
      <c r="C2092" t="inlineStr">
        <is>
          <t>ស៊ី &amp; ជី ត្រេឌីង ឯ.ក</t>
        </is>
      </c>
      <c r="D2092" t="inlineStr">
        <is>
          <t>K010-902205065</t>
        </is>
      </c>
      <c r="E2092" t="inlineStr">
        <is>
          <t>2024-0108</t>
        </is>
      </c>
      <c r="F2092" t="inlineStr">
        <is>
          <t>26-12-2024</t>
        </is>
      </c>
      <c r="G2092" t="n">
        <v>2009755</v>
      </c>
      <c r="I2092">
        <f>G2092</f>
        <v/>
      </c>
      <c r="K2092">
        <f>I2092-G2092</f>
        <v/>
      </c>
      <c r="M2092">
        <f>R2092=E2092</f>
        <v/>
      </c>
      <c r="N2092">
        <f>AND(MONTH(F2092)=MONTH(Q2092), YEAR(F2092)=YEAR(Q2092))</f>
        <v/>
      </c>
      <c r="O2092">
        <f>"L001-902303751"=S2092</f>
        <v/>
      </c>
      <c r="P2092">
        <f>G2092-U2092</f>
        <v/>
      </c>
      <c r="Q2092" s="35" t="n">
        <v>45649</v>
      </c>
      <c r="R2092" t="n">
        <v>110550</v>
      </c>
      <c r="S2092" t="inlineStr">
        <is>
          <t>K005-100150195</t>
        </is>
      </c>
      <c r="T2092" t="inlineStr">
        <is>
          <t>អេស អ វី ស៊ី ហ្វ្រេត សឺវីស (ខេមបូឌា) ខូ អិលធីឌី</t>
        </is>
      </c>
      <c r="U2092" t="n">
        <v>110550</v>
      </c>
      <c r="V2092" t="n">
        <v>0</v>
      </c>
    </row>
    <row r="2093">
      <c r="A2093" t="n">
        <v>2092</v>
      </c>
      <c r="B2093" t="inlineStr">
        <is>
          <t>Handling Charges Origin, VGM Processing Fee, Seal Surcharge, Documentation Origin, Entry Summary Declaration and Teminal Handling Charge Origin</t>
        </is>
      </c>
      <c r="C2093" t="inlineStr">
        <is>
          <t>ឌីប៊ី សេនឃើរ (ខេមបូឌា) លីមីធីត</t>
        </is>
      </c>
      <c r="D2093" t="inlineStr">
        <is>
          <t>L001-107041723</t>
        </is>
      </c>
      <c r="E2093" t="inlineStr">
        <is>
          <t>2400009976</t>
        </is>
      </c>
      <c r="F2093" t="inlineStr">
        <is>
          <t>20-12-2024</t>
        </is>
      </c>
      <c r="G2093" t="n">
        <v>142675</v>
      </c>
      <c r="I2093">
        <f>G2093</f>
        <v/>
      </c>
      <c r="K2093">
        <f>I2093-G2093</f>
        <v/>
      </c>
      <c r="M2093">
        <f>R2093=E2093</f>
        <v/>
      </c>
      <c r="N2093">
        <f>AND(MONTH(F2093)=MONTH(Q2093), YEAR(F2093)=YEAR(Q2093))</f>
        <v/>
      </c>
      <c r="O2093">
        <f>"L001-902303751"=S2093</f>
        <v/>
      </c>
      <c r="P2093">
        <f>G2093-U2093</f>
        <v/>
      </c>
      <c r="Q2093" s="35" t="n">
        <v>45642</v>
      </c>
      <c r="R2093" t="n">
        <v>82390</v>
      </c>
      <c r="S2093" t="inlineStr">
        <is>
          <t>L001-107032791</t>
        </is>
      </c>
      <c r="T2093" t="inlineStr">
        <is>
          <t>នីបផន អិចប្រេស (ខេមបូឌា) ខូ អិលធីឌី</t>
        </is>
      </c>
      <c r="U2093" t="n">
        <v>82390</v>
      </c>
      <c r="V2093" t="n">
        <v>0</v>
      </c>
    </row>
    <row r="2094">
      <c r="A2094" t="n">
        <v>2093</v>
      </c>
      <c r="B2094" t="inlineStr">
        <is>
          <t>Template design software</t>
        </is>
      </c>
      <c r="C2094" t="inlineStr">
        <is>
          <t>ក្លាក ហ៊ូ ឯ.ក</t>
        </is>
      </c>
      <c r="D2094" t="inlineStr">
        <is>
          <t>K007-901639199</t>
        </is>
      </c>
      <c r="E2094" t="inlineStr">
        <is>
          <t>IN3017</t>
        </is>
      </c>
      <c r="F2094" t="inlineStr">
        <is>
          <t>31-12-2024</t>
        </is>
      </c>
      <c r="G2094" t="n">
        <v>241500</v>
      </c>
      <c r="I2094">
        <f>G2094</f>
        <v/>
      </c>
      <c r="K2094">
        <f>I2094-G2094</f>
        <v/>
      </c>
      <c r="M2094">
        <f>R2094=E2094</f>
        <v/>
      </c>
      <c r="N2094">
        <f>AND(MONTH(F2094)=MONTH(Q2094), YEAR(F2094)=YEAR(Q2094))</f>
        <v/>
      </c>
      <c r="O2094">
        <f>"L001-902303751"=S2094</f>
        <v/>
      </c>
      <c r="P2094">
        <f>G2094-U2094</f>
        <v/>
      </c>
      <c r="Q2094" s="35" t="n">
        <v>45628</v>
      </c>
      <c r="R2094" t="n">
        <v>199436</v>
      </c>
      <c r="S2094" t="inlineStr">
        <is>
          <t>K005-100150195</t>
        </is>
      </c>
      <c r="T2094" t="inlineStr">
        <is>
          <t>អេស អ វី ស៊ី ហ្វ្រេត សឺវីស (ខេមបូឌា) ខូ អិលធីឌី</t>
        </is>
      </c>
      <c r="U2094" t="n">
        <v>199436</v>
      </c>
      <c r="V2094" t="n">
        <v>0</v>
      </c>
    </row>
    <row r="2095">
      <c r="A2095" t="n">
        <v>2094</v>
      </c>
      <c r="B2095" t="inlineStr">
        <is>
          <t>BL Amendment Fee</t>
        </is>
      </c>
      <c r="C2095" t="inlineStr">
        <is>
          <t>ឌីប៊ី សេនឃើរ (ខេមបូឌា) លីមីធីត</t>
        </is>
      </c>
      <c r="D2095" t="inlineStr">
        <is>
          <t>L001-107041723</t>
        </is>
      </c>
      <c r="E2095" t="inlineStr">
        <is>
          <t>2400009958</t>
        </is>
      </c>
      <c r="F2095" t="inlineStr">
        <is>
          <t>20-12-2024</t>
        </is>
      </c>
      <c r="G2095" t="n">
        <v>24114</v>
      </c>
      <c r="I2095">
        <f>G2095</f>
        <v/>
      </c>
      <c r="K2095">
        <f>I2095-G2095</f>
        <v/>
      </c>
      <c r="M2095">
        <f>R2095=E2095</f>
        <v/>
      </c>
      <c r="N2095">
        <f>AND(MONTH(F2095)=MONTH(Q2095), YEAR(F2095)=YEAR(Q2095))</f>
        <v/>
      </c>
      <c r="O2095">
        <f>"L001-902303751"=S2095</f>
        <v/>
      </c>
      <c r="P2095">
        <f>G2095-U2095</f>
        <v/>
      </c>
      <c r="Q2095" s="35" t="n">
        <v>45656</v>
      </c>
      <c r="R2095" t="n">
        <v>110660</v>
      </c>
      <c r="S2095" t="inlineStr">
        <is>
          <t>L001-107032791</t>
        </is>
      </c>
      <c r="T2095" t="inlineStr">
        <is>
          <t>នីបផន អិចប្រេស (ខេមបូឌា) ខូ អិលធីឌី</t>
        </is>
      </c>
      <c r="U2095" t="n">
        <v>110660</v>
      </c>
      <c r="V2095" t="n">
        <v>0</v>
      </c>
    </row>
    <row r="2096">
      <c r="A2096" t="n">
        <v>2095</v>
      </c>
      <c r="B2096" t="inlineStr">
        <is>
          <t>Teminal Handling Charge, EMF, Container Imbalance Charge, Document Fee, Handling Charge and D/O</t>
        </is>
      </c>
      <c r="C2096" t="inlineStr">
        <is>
          <t>ខេអិលអិន ហ្វ្រេត (ខេមបូឌា) ឯ.ក</t>
        </is>
      </c>
      <c r="D2096" t="inlineStr">
        <is>
          <t>L001-100074669</t>
        </is>
      </c>
      <c r="E2096" t="inlineStr">
        <is>
          <t>IVO20125</t>
        </is>
      </c>
      <c r="F2096" t="inlineStr">
        <is>
          <t>24-12-2024</t>
        </is>
      </c>
      <c r="G2096" t="n">
        <v>79050</v>
      </c>
      <c r="I2096">
        <f>G2096</f>
        <v/>
      </c>
      <c r="K2096">
        <f>I2096-G2096</f>
        <v/>
      </c>
      <c r="M2096">
        <f>R2096=E2096</f>
        <v/>
      </c>
      <c r="N2096">
        <f>AND(MONTH(F2096)=MONTH(Q2096), YEAR(F2096)=YEAR(Q2096))</f>
        <v/>
      </c>
      <c r="O2096">
        <f>"L001-902303751"=S2096</f>
        <v/>
      </c>
      <c r="P2096">
        <f>G2096-U2096</f>
        <v/>
      </c>
      <c r="Q2096" s="35" t="n">
        <v>45656</v>
      </c>
      <c r="R2096" t="n">
        <v>110660</v>
      </c>
      <c r="S2096" t="inlineStr">
        <is>
          <t>L001-107032791</t>
        </is>
      </c>
      <c r="T2096" t="inlineStr">
        <is>
          <t>នីបផន អិចប្រេស (ខេមបូឌា) ខូ អិលធីឌី</t>
        </is>
      </c>
      <c r="U2096" t="n">
        <v>110660</v>
      </c>
      <c r="V2096" t="n">
        <v>0</v>
      </c>
    </row>
    <row r="2097">
      <c r="A2097" t="n">
        <v>2096</v>
      </c>
      <c r="B2097" t="inlineStr">
        <is>
          <t>Customs Clearance Fee and Trucking Fee</t>
        </is>
      </c>
      <c r="C2097" t="inlineStr">
        <is>
          <t>ត្រាយអ៊ែងហ្គល ឡូជីស្ទីក (ខេមបូឌា) ឯ.ក</t>
        </is>
      </c>
      <c r="D2097" t="inlineStr">
        <is>
          <t>K010-902101743</t>
        </is>
      </c>
      <c r="E2097" t="inlineStr">
        <is>
          <t>TAG-24-00938</t>
        </is>
      </c>
      <c r="F2097" t="inlineStr">
        <is>
          <t>25-12-2024</t>
        </is>
      </c>
      <c r="G2097" t="n">
        <v>28133</v>
      </c>
      <c r="I2097">
        <f>G2097</f>
        <v/>
      </c>
      <c r="K2097">
        <f>I2097-G2097</f>
        <v/>
      </c>
      <c r="M2097">
        <f>R2097=E2097</f>
        <v/>
      </c>
      <c r="N2097">
        <f>AND(MONTH(F2097)=MONTH(Q2097), YEAR(F2097)=YEAR(Q2097))</f>
        <v/>
      </c>
      <c r="O2097">
        <f>"L001-902303751"=S2097</f>
        <v/>
      </c>
      <c r="P2097">
        <f>G2097-U2097</f>
        <v/>
      </c>
      <c r="Q2097" s="35" t="n">
        <v>45656</v>
      </c>
      <c r="R2097" t="n">
        <v>82492</v>
      </c>
      <c r="S2097" t="inlineStr">
        <is>
          <t>L001-107032791</t>
        </is>
      </c>
      <c r="T2097" t="inlineStr">
        <is>
          <t>នីបផន អិចប្រេស (ខេមបូឌា) ខូ អិលធីឌី</t>
        </is>
      </c>
      <c r="U2097" t="n">
        <v>82492</v>
      </c>
      <c r="V2097" t="n">
        <v>0</v>
      </c>
    </row>
    <row r="2098">
      <c r="A2098" t="n">
        <v>2097</v>
      </c>
      <c r="B2098" t="inlineStr">
        <is>
          <t>THC Fee, LCL Fee, Scanner Fee, Document Fee, Agency Fee, DO Fee and CIC</t>
        </is>
      </c>
      <c r="C2098" t="inlineStr">
        <is>
          <t>ខ្វនធើម ឡូជីស្ទីក (ខេមបូឌា) ឯ.ក</t>
        </is>
      </c>
      <c r="D2098" t="inlineStr">
        <is>
          <t>K002-901900921</t>
        </is>
      </c>
      <c r="E2098" t="inlineStr">
        <is>
          <t>QT241893</t>
        </is>
      </c>
      <c r="F2098" t="inlineStr">
        <is>
          <t>18-12-2024</t>
        </is>
      </c>
      <c r="G2098" t="n">
        <v>65743</v>
      </c>
      <c r="I2098">
        <f>G2098</f>
        <v/>
      </c>
      <c r="K2098">
        <f>I2098-G2098</f>
        <v/>
      </c>
      <c r="M2098">
        <f>R2098=E2098</f>
        <v/>
      </c>
      <c r="N2098">
        <f>AND(MONTH(F2098)=MONTH(Q2098), YEAR(F2098)=YEAR(Q2098))</f>
        <v/>
      </c>
      <c r="O2098">
        <f>"L001-902303751"=S2098</f>
        <v/>
      </c>
      <c r="P2098">
        <f>G2098-U2098</f>
        <v/>
      </c>
      <c r="Q2098" s="35" t="n">
        <v>45642</v>
      </c>
      <c r="R2098" t="n">
        <v>110523</v>
      </c>
      <c r="S2098" t="inlineStr">
        <is>
          <t>L001-107041723</t>
        </is>
      </c>
      <c r="T2098" t="inlineStr">
        <is>
          <t>ឌីប៊ី សេនឃើរ (ខេមបូឌា) លីមីធីត</t>
        </is>
      </c>
      <c r="U2098" t="n">
        <v>110523</v>
      </c>
      <c r="V2098" t="n">
        <v>0</v>
      </c>
    </row>
    <row r="2099">
      <c r="A2099" t="n">
        <v>2098</v>
      </c>
      <c r="B2099" t="inlineStr">
        <is>
          <t>Customs Clearance Fee and Trucking Fee</t>
        </is>
      </c>
      <c r="C2099" t="inlineStr">
        <is>
          <t>ត្រាយអ៊ែងហ្គល ឡូជីស្ទីក (ខេមបូឌា) ឯ.ក</t>
        </is>
      </c>
      <c r="D2099" t="inlineStr">
        <is>
          <t>K010-902101743</t>
        </is>
      </c>
      <c r="E2099" t="inlineStr">
        <is>
          <t>TAG-24-00935</t>
        </is>
      </c>
      <c r="F2099" t="inlineStr">
        <is>
          <t>24-12-2024</t>
        </is>
      </c>
      <c r="G2099" t="n">
        <v>28133</v>
      </c>
      <c r="I2099">
        <f>G2099</f>
        <v/>
      </c>
      <c r="K2099">
        <f>I2099-G2099</f>
        <v/>
      </c>
      <c r="M2099">
        <f>R2099=E2099</f>
        <v/>
      </c>
      <c r="N2099">
        <f>AND(MONTH(F2099)=MONTH(Q2099), YEAR(F2099)=YEAR(Q2099))</f>
        <v/>
      </c>
      <c r="O2099">
        <f>"L001-902303751"=S2099</f>
        <v/>
      </c>
      <c r="P2099">
        <f>G2099-U2099</f>
        <v/>
      </c>
      <c r="Q2099" s="35" t="n">
        <v>45642</v>
      </c>
      <c r="R2099" t="n">
        <v>82390</v>
      </c>
      <c r="S2099" t="inlineStr">
        <is>
          <t>L001-100045995</t>
        </is>
      </c>
      <c r="T2099" t="inlineStr">
        <is>
          <t>ឌីអេចអិល ឡូជីស្ទីក (ខេមបូឌា)</t>
        </is>
      </c>
      <c r="U2099" t="n">
        <v>82390</v>
      </c>
      <c r="V2099" t="n">
        <v>0</v>
      </c>
    </row>
    <row r="2100">
      <c r="A2100" t="n">
        <v>2099</v>
      </c>
      <c r="B2100" t="inlineStr">
        <is>
          <t>THC, CFS, Scan Fee, CIC-Imbalance, Agency Fee, Document Fee, D.O Fee LSS, Handling Fee, Importer Security Filing, Fuel Surcharge and Iinbound Manifest Filing</t>
        </is>
      </c>
      <c r="C2100" t="inlineStr">
        <is>
          <t>ហ្វ្រេតាស (ខេមបូឌា) ឯ.ក</t>
        </is>
      </c>
      <c r="D2100" t="inlineStr">
        <is>
          <t>K007-901638107</t>
        </is>
      </c>
      <c r="E2100" t="inlineStr">
        <is>
          <t>Y24-163</t>
        </is>
      </c>
      <c r="F2100" t="inlineStr">
        <is>
          <t>17-12-2024</t>
        </is>
      </c>
      <c r="G2100" t="n">
        <v>165583</v>
      </c>
      <c r="I2100">
        <f>G2100</f>
        <v/>
      </c>
      <c r="K2100">
        <f>I2100-G2100</f>
        <v/>
      </c>
      <c r="M2100">
        <f>R2100=E2100</f>
        <v/>
      </c>
      <c r="N2100">
        <f>AND(MONTH(F2100)=MONTH(Q2100), YEAR(F2100)=YEAR(Q2100))</f>
        <v/>
      </c>
      <c r="O2100">
        <f>"L001-902303751"=S2100</f>
        <v/>
      </c>
      <c r="P2100">
        <f>G2100-U2100</f>
        <v/>
      </c>
      <c r="Q2100" s="35" t="n">
        <v>45649</v>
      </c>
      <c r="R2100" t="inlineStr"/>
      <c r="S2100" t="inlineStr">
        <is>
          <t>K005-901902888</t>
        </is>
      </c>
      <c r="T2100" t="inlineStr">
        <is>
          <t>អឹឡាយអិន ហ្វ័រវើឌីង (ខេមបូឌា) ឯ.ក</t>
        </is>
      </c>
      <c r="U2100" t="n">
        <v>0</v>
      </c>
      <c r="V2100" t="n">
        <v>0</v>
      </c>
    </row>
    <row r="2101">
      <c r="A2101" t="n">
        <v>2100</v>
      </c>
      <c r="B2101" t="inlineStr">
        <is>
          <t>Customs Clearance Fee and Trucking Fee</t>
        </is>
      </c>
      <c r="C2101" t="inlineStr">
        <is>
          <t>ត្រាយអ៊ែងហ្គល ឡូជីស្ទីក (ខេមបូឌា) ឯ.ក</t>
        </is>
      </c>
      <c r="D2101" t="inlineStr">
        <is>
          <t>K010-902101743</t>
        </is>
      </c>
      <c r="E2101" t="inlineStr">
        <is>
          <t>TAG-24-00936</t>
        </is>
      </c>
      <c r="F2101" t="inlineStr">
        <is>
          <t>24-12-2024</t>
        </is>
      </c>
      <c r="G2101" t="n">
        <v>28133</v>
      </c>
      <c r="I2101">
        <f>G2101</f>
        <v/>
      </c>
      <c r="K2101">
        <f>I2101-G2101</f>
        <v/>
      </c>
      <c r="M2101">
        <f>R2101=E2101</f>
        <v/>
      </c>
      <c r="N2101">
        <f>AND(MONTH(F2101)=MONTH(Q2101), YEAR(F2101)=YEAR(Q2101))</f>
        <v/>
      </c>
      <c r="O2101">
        <f>"L001-902303751"=S2101</f>
        <v/>
      </c>
      <c r="P2101">
        <f>G2101-U2101</f>
        <v/>
      </c>
      <c r="Q2101" s="35" t="n">
        <v>45649</v>
      </c>
      <c r="R2101" t="inlineStr"/>
      <c r="S2101" t="inlineStr">
        <is>
          <t>K005-901805913</t>
        </is>
      </c>
      <c r="T2101" t="inlineStr">
        <is>
          <t>ស្តារ ខង់ខដ (ខេមបូឌា) ឯ.ក</t>
        </is>
      </c>
      <c r="U2101" t="n">
        <v>0</v>
      </c>
      <c r="V2101" t="n">
        <v>0</v>
      </c>
    </row>
    <row r="2102">
      <c r="A2102" t="n">
        <v>2101</v>
      </c>
      <c r="B2102" t="inlineStr">
        <is>
          <t>Terminal Handling Charge, EMF, 3 Party Trucking, Container Imbalance Charge, D/O Fee, Document Fee and Handling Charge</t>
        </is>
      </c>
      <c r="C2102" t="inlineStr">
        <is>
          <t>ខេអិលអិន ហ្វ្រេត (ខេមបូឌា) ឯ.ក</t>
        </is>
      </c>
      <c r="D2102" t="inlineStr">
        <is>
          <t>L001-100074669</t>
        </is>
      </c>
      <c r="E2102" t="inlineStr">
        <is>
          <t>IVO19771</t>
        </is>
      </c>
      <c r="F2102" t="inlineStr">
        <is>
          <t>16-12-2024</t>
        </is>
      </c>
      <c r="G2102" t="n">
        <v>91232</v>
      </c>
      <c r="I2102">
        <f>G2102</f>
        <v/>
      </c>
      <c r="K2102">
        <f>I2102-G2102</f>
        <v/>
      </c>
      <c r="M2102">
        <f>R2102=E2102</f>
        <v/>
      </c>
      <c r="N2102">
        <f>AND(MONTH(F2102)=MONTH(Q2102), YEAR(F2102)=YEAR(Q2102))</f>
        <v/>
      </c>
      <c r="O2102">
        <f>"L001-902303751"=S2102</f>
        <v/>
      </c>
      <c r="P2102">
        <f>G2102-U2102</f>
        <v/>
      </c>
      <c r="Q2102" s="35" t="n">
        <v>45642</v>
      </c>
      <c r="R2102" t="inlineStr"/>
      <c r="S2102" t="inlineStr">
        <is>
          <t>L001-107032791</t>
        </is>
      </c>
      <c r="T2102" t="inlineStr">
        <is>
          <t>នីបផន អិចប្រេស (ខេមបូឌា) ខូ អិលធីឌី</t>
        </is>
      </c>
      <c r="U2102" t="n">
        <v>0</v>
      </c>
      <c r="V2102" t="n">
        <v>0</v>
      </c>
    </row>
    <row r="2103">
      <c r="A2103" t="n">
        <v>2102</v>
      </c>
      <c r="B2103" t="inlineStr">
        <is>
          <t>Customs Clearance Fee and Trucking Fee</t>
        </is>
      </c>
      <c r="C2103" t="inlineStr">
        <is>
          <t>ត្រាយអ៊ែងហ្គល ឡូជីស្ទីក (ខេមបូឌា) ឯ.ក</t>
        </is>
      </c>
      <c r="D2103" t="inlineStr">
        <is>
          <t>K010-902101743</t>
        </is>
      </c>
      <c r="E2103" t="inlineStr">
        <is>
          <t>TAG-24-00945</t>
        </is>
      </c>
      <c r="F2103" t="inlineStr">
        <is>
          <t>25-12-2024</t>
        </is>
      </c>
      <c r="G2103" t="n">
        <v>108513</v>
      </c>
      <c r="I2103">
        <f>G2103</f>
        <v/>
      </c>
      <c r="K2103">
        <f>I2103-G2103</f>
        <v/>
      </c>
      <c r="M2103">
        <f>R2103=E2103</f>
        <v/>
      </c>
      <c r="N2103">
        <f>AND(MONTH(F2103)=MONTH(Q2103), YEAR(F2103)=YEAR(Q2103))</f>
        <v/>
      </c>
      <c r="O2103">
        <f>"L001-902303751"=S2103</f>
        <v/>
      </c>
      <c r="P2103">
        <f>G2103-U2103</f>
        <v/>
      </c>
      <c r="Q2103" s="35" t="n">
        <v>45628</v>
      </c>
      <c r="R2103" t="inlineStr"/>
      <c r="S2103" t="inlineStr">
        <is>
          <t>K005-901805913</t>
        </is>
      </c>
      <c r="T2103" t="inlineStr">
        <is>
          <t>ស្តារ ខង់ខដ (ខេមបូឌា) ឯ.ក</t>
        </is>
      </c>
      <c r="U2103" t="n">
        <v>0</v>
      </c>
      <c r="V2103" t="n">
        <v>0</v>
      </c>
    </row>
    <row r="2104">
      <c r="A2104" t="n">
        <v>2103</v>
      </c>
      <c r="B2104" t="inlineStr">
        <is>
          <t>Cargo Terminal</t>
        </is>
      </c>
      <c r="C2104" t="inlineStr">
        <is>
          <t>សូស៊ីយេតេ កុងសេស្យូនែរ ដឺ ឡាអេរ៉ូព័រ</t>
        </is>
      </c>
      <c r="D2104" t="inlineStr">
        <is>
          <t>L001-100047300</t>
        </is>
      </c>
      <c r="E2104" t="inlineStr">
        <is>
          <t>2400100200</t>
        </is>
      </c>
      <c r="F2104" t="inlineStr">
        <is>
          <t>10-12-2024</t>
        </is>
      </c>
      <c r="G2104" t="n">
        <v>6374</v>
      </c>
      <c r="I2104">
        <f>G2104</f>
        <v/>
      </c>
      <c r="K2104">
        <f>I2104-G2104</f>
        <v/>
      </c>
      <c r="M2104">
        <f>R2104=E2104</f>
        <v/>
      </c>
      <c r="N2104">
        <f>AND(MONTH(F2104)=MONTH(Q2104), YEAR(F2104)=YEAR(Q2104))</f>
        <v/>
      </c>
      <c r="O2104">
        <f>"L001-902303751"=S2104</f>
        <v/>
      </c>
      <c r="P2104">
        <f>G2104-U2104</f>
        <v/>
      </c>
      <c r="Q2104" s="35" t="n">
        <v>45628</v>
      </c>
      <c r="R2104" t="n">
        <v>2507247</v>
      </c>
      <c r="S2104" t="inlineStr">
        <is>
          <t>K004-105012505</t>
        </is>
      </c>
      <c r="T2104" t="inlineStr">
        <is>
          <t>អេស៊ាន ហ្វ្រេត (ខេមបូឌា)</t>
        </is>
      </c>
      <c r="U2104" t="n">
        <v>2507247</v>
      </c>
      <c r="V2104" t="n">
        <v>0</v>
      </c>
    </row>
    <row r="2105">
      <c r="A2105" t="n">
        <v>2104</v>
      </c>
      <c r="B2105" t="inlineStr">
        <is>
          <t>Terminal Handling Charge, EMF, 3 Party Trucking, Container Imbalance Charge, D/O Fee, Document Fee and Handling Charge</t>
        </is>
      </c>
      <c r="C2105" t="inlineStr">
        <is>
          <t>ខេអិលអិន ហ្វ្រេត (ខេមបូឌា) ឯ.ក</t>
        </is>
      </c>
      <c r="D2105" t="inlineStr">
        <is>
          <t>L001-100074669</t>
        </is>
      </c>
      <c r="E2105" t="inlineStr">
        <is>
          <t>IVO18940</t>
        </is>
      </c>
      <c r="F2105" t="inlineStr">
        <is>
          <t>06-12-2024</t>
        </is>
      </c>
      <c r="G2105" t="n">
        <v>115820</v>
      </c>
      <c r="I2105">
        <f>G2105</f>
        <v/>
      </c>
      <c r="K2105">
        <f>I2105-G2105</f>
        <v/>
      </c>
      <c r="M2105">
        <f>R2105=E2105</f>
        <v/>
      </c>
      <c r="N2105">
        <f>AND(MONTH(F2105)=MONTH(Q2105), YEAR(F2105)=YEAR(Q2105))</f>
        <v/>
      </c>
      <c r="O2105">
        <f>"L001-902303751"=S2105</f>
        <v/>
      </c>
      <c r="P2105">
        <f>G2105-U2105</f>
        <v/>
      </c>
      <c r="Q2105" s="35" t="n">
        <v>45628</v>
      </c>
      <c r="R2105" t="inlineStr"/>
      <c r="S2105" t="inlineStr">
        <is>
          <t>K005-100150195</t>
        </is>
      </c>
      <c r="T2105" t="inlineStr">
        <is>
          <t>អេស អ វី ស៊ី ហ្វ្រេត សឺវីស (ខេមបូឌា) ខូ អិលធីឌី</t>
        </is>
      </c>
      <c r="U2105" t="n">
        <v>0</v>
      </c>
      <c r="V2105" t="n">
        <v>0</v>
      </c>
    </row>
    <row r="2106">
      <c r="A2106" t="n">
        <v>2105</v>
      </c>
      <c r="B2106" t="inlineStr">
        <is>
          <t>Cargo Terminal</t>
        </is>
      </c>
      <c r="C2106" t="inlineStr">
        <is>
          <t>សូស៊ីយេតេ កុងសេស្យូនែរ ដឺ ឡាអេរ៉ូព័រ</t>
        </is>
      </c>
      <c r="D2106" t="inlineStr">
        <is>
          <t>L001-100047300</t>
        </is>
      </c>
      <c r="E2106" t="inlineStr">
        <is>
          <t>2400102483</t>
        </is>
      </c>
      <c r="F2106" t="inlineStr">
        <is>
          <t>17-12-2024</t>
        </is>
      </c>
      <c r="G2106" t="n">
        <v>16624</v>
      </c>
      <c r="I2106">
        <f>G2106</f>
        <v/>
      </c>
      <c r="K2106">
        <f>I2106-G2106</f>
        <v/>
      </c>
      <c r="M2106">
        <f>R2106=E2106</f>
        <v/>
      </c>
      <c r="N2106">
        <f>AND(MONTH(F2106)=MONTH(Q2106), YEAR(F2106)=YEAR(Q2106))</f>
        <v/>
      </c>
      <c r="O2106">
        <f>"L001-902303751"=S2106</f>
        <v/>
      </c>
      <c r="P2106">
        <f>G2106-U2106</f>
        <v/>
      </c>
      <c r="Q2106" s="35" t="n">
        <v>45656</v>
      </c>
      <c r="R2106" t="inlineStr"/>
      <c r="S2106" t="inlineStr">
        <is>
          <t>L001-107032791</t>
        </is>
      </c>
      <c r="T2106" t="inlineStr">
        <is>
          <t>នីបផន អិចប្រេស (ខេមបូឌា) ខូ អិលធីឌី</t>
        </is>
      </c>
      <c r="U2106" t="n">
        <v>0</v>
      </c>
      <c r="V2106" t="n">
        <v>0</v>
      </c>
    </row>
    <row r="2107">
      <c r="A2107" t="n">
        <v>2106</v>
      </c>
      <c r="B2107" t="inlineStr">
        <is>
          <t>Customs Clearance Fee and Trucking Fee</t>
        </is>
      </c>
      <c r="C2107" t="inlineStr">
        <is>
          <t>ត្រាយអ៊ែងហ្គល ឡូជីស្ទីក (ខេមបូឌា) ឯ.ក</t>
        </is>
      </c>
      <c r="D2107" t="inlineStr">
        <is>
          <t>K010-902101743</t>
        </is>
      </c>
      <c r="E2107" t="inlineStr">
        <is>
          <t>TAG-24-00949</t>
        </is>
      </c>
      <c r="F2107" t="inlineStr">
        <is>
          <t>25-12-2024</t>
        </is>
      </c>
      <c r="G2107" t="n">
        <v>28133</v>
      </c>
      <c r="I2107">
        <f>G2107</f>
        <v/>
      </c>
      <c r="K2107">
        <f>I2107-G2107</f>
        <v/>
      </c>
      <c r="M2107">
        <f>R2107=E2107</f>
        <v/>
      </c>
      <c r="N2107">
        <f>AND(MONTH(F2107)=MONTH(Q2107), YEAR(F2107)=YEAR(Q2107))</f>
        <v/>
      </c>
      <c r="O2107">
        <f>"L001-902303751"=S2107</f>
        <v/>
      </c>
      <c r="P2107">
        <f>G2107-U2107</f>
        <v/>
      </c>
      <c r="Q2107" s="35" t="n">
        <v>45656</v>
      </c>
      <c r="R2107" t="inlineStr"/>
      <c r="S2107" t="inlineStr">
        <is>
          <t>L001-107041723</t>
        </is>
      </c>
      <c r="T2107" t="inlineStr">
        <is>
          <t>ឌីប៊ី សេនឃើរ (ខេមបូឌា) លីមីធីត</t>
        </is>
      </c>
      <c r="U2107" t="n">
        <v>0</v>
      </c>
      <c r="V2107" t="n">
        <v>0</v>
      </c>
    </row>
    <row r="2108">
      <c r="A2108" t="n">
        <v>2107</v>
      </c>
      <c r="B2108" t="inlineStr">
        <is>
          <t>Customs Clearance Fee and Trucking Fee</t>
        </is>
      </c>
      <c r="C2108" t="inlineStr">
        <is>
          <t>ត្រាយអ៊ែងហ្គល ឡូជីស្ទីក (ខេមបូឌា) ឯ.ក</t>
        </is>
      </c>
      <c r="D2108" t="inlineStr">
        <is>
          <t>K010-902101743</t>
        </is>
      </c>
      <c r="E2108" t="inlineStr">
        <is>
          <t>TAG-24-00953</t>
        </is>
      </c>
      <c r="F2108" t="inlineStr">
        <is>
          <t>25-12-2024</t>
        </is>
      </c>
      <c r="G2108" t="n">
        <v>108513</v>
      </c>
      <c r="I2108">
        <f>G2108</f>
        <v/>
      </c>
      <c r="K2108">
        <f>I2108-G2108</f>
        <v/>
      </c>
      <c r="M2108">
        <f>R2108=E2108</f>
        <v/>
      </c>
      <c r="N2108">
        <f>AND(MONTH(F2108)=MONTH(Q2108), YEAR(F2108)=YEAR(Q2108))</f>
        <v/>
      </c>
      <c r="O2108">
        <f>"L001-902303751"=S2108</f>
        <v/>
      </c>
      <c r="P2108">
        <f>G2108-U2108</f>
        <v/>
      </c>
      <c r="Q2108" s="35" t="n">
        <v>45656</v>
      </c>
      <c r="R2108" t="inlineStr"/>
      <c r="S2108" t="inlineStr">
        <is>
          <t>K005-901805913</t>
        </is>
      </c>
      <c r="T2108" t="inlineStr">
        <is>
          <t>ស្តារ ខង់ខដ (ខេមបូឌា) ឯ.ក</t>
        </is>
      </c>
      <c r="U2108" t="n">
        <v>0</v>
      </c>
      <c r="V2108" t="n">
        <v>0</v>
      </c>
    </row>
    <row r="2109">
      <c r="A2109" t="n">
        <v>2108</v>
      </c>
      <c r="B2109" t="inlineStr">
        <is>
          <t>DOC Fee and Agency Fee</t>
        </is>
      </c>
      <c r="C2109" t="inlineStr">
        <is>
          <t>អ៊ែតវ៉ានស៍ គ្លរី ឡូជីស្ទីក (ខេមបូឌា) (អេ ជី អិល)</t>
        </is>
      </c>
      <c r="D2109" t="inlineStr">
        <is>
          <t>K005-100059945</t>
        </is>
      </c>
      <c r="E2109" t="inlineStr">
        <is>
          <t>AGL2401978</t>
        </is>
      </c>
      <c r="F2109" t="inlineStr">
        <is>
          <t>20-12-2024</t>
        </is>
      </c>
      <c r="G2109" t="n">
        <v>44209</v>
      </c>
      <c r="I2109">
        <f>G2109</f>
        <v/>
      </c>
      <c r="K2109">
        <f>I2109-G2109</f>
        <v/>
      </c>
      <c r="M2109">
        <f>R2109=E2109</f>
        <v/>
      </c>
      <c r="N2109">
        <f>AND(MONTH(F2109)=MONTH(Q2109), YEAR(F2109)=YEAR(Q2109))</f>
        <v/>
      </c>
      <c r="O2109">
        <f>"L001-902303751"=S2109</f>
        <v/>
      </c>
      <c r="P2109">
        <f>G2109-U2109</f>
        <v/>
      </c>
      <c r="Q2109" s="35" t="n">
        <v>45643</v>
      </c>
      <c r="R2109" t="inlineStr"/>
      <c r="S2109" t="inlineStr">
        <is>
          <t>K002-901800477</t>
        </is>
      </c>
      <c r="T2109" t="inlineStr">
        <is>
          <t>អាយធីអាយ អ៊ិនធើណេសិនណល ត្រេនស័្ពរថេសិន (ខេមបូឌា) ឯ.ក</t>
        </is>
      </c>
      <c r="U2109" t="n">
        <v>0</v>
      </c>
      <c r="V2109" t="n">
        <v>0</v>
      </c>
    </row>
    <row r="2110">
      <c r="A2110" t="n">
        <v>2109</v>
      </c>
      <c r="B2110" t="inlineStr">
        <is>
          <t>Cargo Terminal</t>
        </is>
      </c>
      <c r="C2110" t="inlineStr">
        <is>
          <t>សូស៊ីយេតេ កុងសេស្យូនែរ ដឺ ឡាអេរ៉ូព័រ</t>
        </is>
      </c>
      <c r="D2110" t="inlineStr">
        <is>
          <t>L001-100047300</t>
        </is>
      </c>
      <c r="E2110" t="inlineStr">
        <is>
          <t>2400103817</t>
        </is>
      </c>
      <c r="F2110" t="inlineStr">
        <is>
          <t>21-12-2024</t>
        </is>
      </c>
      <c r="G2110" t="n">
        <v>2492</v>
      </c>
      <c r="I2110">
        <f>G2110</f>
        <v/>
      </c>
      <c r="K2110">
        <f>I2110-G2110</f>
        <v/>
      </c>
      <c r="M2110">
        <f>R2110=E2110</f>
        <v/>
      </c>
      <c r="N2110">
        <f>AND(MONTH(F2110)=MONTH(Q2110), YEAR(F2110)=YEAR(Q2110))</f>
        <v/>
      </c>
      <c r="O2110">
        <f>"L001-902303751"=S2110</f>
        <v/>
      </c>
      <c r="P2110">
        <f>G2110-U2110</f>
        <v/>
      </c>
      <c r="Q2110" s="35" t="n">
        <v>45645</v>
      </c>
      <c r="R2110" t="n">
        <v>848833</v>
      </c>
      <c r="S2110" t="inlineStr">
        <is>
          <t>K004-105012505</t>
        </is>
      </c>
      <c r="T2110" t="inlineStr">
        <is>
          <t>អេស៊ាន ហ្វ្រេត (ខេមបូឌា)</t>
        </is>
      </c>
      <c r="U2110" t="n">
        <v>848833</v>
      </c>
      <c r="V2110" t="n">
        <v>0</v>
      </c>
    </row>
    <row r="2111">
      <c r="A2111" t="n">
        <v>2110</v>
      </c>
      <c r="B2111" t="inlineStr">
        <is>
          <t>Document Fee, Agency Fee, Delivery Order Fee, THC Fee, Scan Fee and CIC Fee</t>
        </is>
      </c>
      <c r="C2111" t="inlineStr">
        <is>
          <t>អូរៀនថល ឡូជីស្ទីក &amp; ឌីស្ទ្រីប៊្យូសិន (ខេមបូឌា)</t>
        </is>
      </c>
      <c r="D2111" t="inlineStr">
        <is>
          <t>L001-103007369</t>
        </is>
      </c>
      <c r="E2111" t="inlineStr">
        <is>
          <t>24-13900</t>
        </is>
      </c>
      <c r="F2111" t="inlineStr">
        <is>
          <t>20-12-2024</t>
        </is>
      </c>
      <c r="G2111" t="n">
        <v>116357</v>
      </c>
      <c r="I2111">
        <f>G2111</f>
        <v/>
      </c>
      <c r="K2111">
        <f>I2111-G2111</f>
        <v/>
      </c>
      <c r="M2111">
        <f>R2111=E2111</f>
        <v/>
      </c>
      <c r="N2111">
        <f>AND(MONTH(F2111)=MONTH(Q2111), YEAR(F2111)=YEAR(Q2111))</f>
        <v/>
      </c>
      <c r="O2111">
        <f>"L001-902303751"=S2111</f>
        <v/>
      </c>
      <c r="P2111">
        <f>G2111-U2111</f>
        <v/>
      </c>
      <c r="Q2111" s="35" t="n">
        <v>45649</v>
      </c>
      <c r="R2111" t="n">
        <v>110550</v>
      </c>
      <c r="S2111" t="inlineStr">
        <is>
          <t>L001-107032791</t>
        </is>
      </c>
      <c r="T2111" t="inlineStr">
        <is>
          <t>នីបផន អិចប្រេស (ខេមបូឌា) ខូ អិលធីឌី</t>
        </is>
      </c>
      <c r="U2111" t="n">
        <v>110550</v>
      </c>
      <c r="V2111" t="n">
        <v>0</v>
      </c>
    </row>
    <row r="2112">
      <c r="A2112" t="n">
        <v>2111</v>
      </c>
      <c r="B2112" t="inlineStr">
        <is>
          <t>DOC Fee and Agency Fee</t>
        </is>
      </c>
      <c r="C2112" t="inlineStr">
        <is>
          <t>អ៊ែតវ៉ានស៍ គ្លរី ឡូជីស្ទីក (ខេមបូឌា) (អេ ជី អិល)</t>
        </is>
      </c>
      <c r="D2112" t="inlineStr">
        <is>
          <t>K005-100059945</t>
        </is>
      </c>
      <c r="E2112" t="inlineStr">
        <is>
          <t>AGL2401949</t>
        </is>
      </c>
      <c r="F2112" t="inlineStr">
        <is>
          <t>16-12-2024</t>
        </is>
      </c>
      <c r="G2112" t="n">
        <v>44209</v>
      </c>
      <c r="I2112">
        <f>G2112</f>
        <v/>
      </c>
      <c r="K2112">
        <f>I2112-G2112</f>
        <v/>
      </c>
      <c r="M2112">
        <f>R2112=E2112</f>
        <v/>
      </c>
      <c r="N2112">
        <f>AND(MONTH(F2112)=MONTH(Q2112), YEAR(F2112)=YEAR(Q2112))</f>
        <v/>
      </c>
      <c r="O2112">
        <f>"L001-902303751"=S2112</f>
        <v/>
      </c>
      <c r="P2112">
        <f>G2112-U2112</f>
        <v/>
      </c>
      <c r="Q2112" s="35" t="n">
        <v>45636</v>
      </c>
      <c r="R2112" t="n">
        <v>113103</v>
      </c>
      <c r="S2112" t="inlineStr">
        <is>
          <t>L001-100045340</t>
        </is>
      </c>
      <c r="T2112" t="inlineStr">
        <is>
          <t xml:space="preserve">ស៊ីវ៉ា អ៊ែរ អ៊ែន អូសៀន (ខេមបូឌា) ឯ.ក </t>
        </is>
      </c>
      <c r="U2112" t="n">
        <v>113103</v>
      </c>
      <c r="V2112" t="n">
        <v>0</v>
      </c>
    </row>
    <row r="2113">
      <c r="A2113" t="n">
        <v>2112</v>
      </c>
      <c r="B2113" t="inlineStr">
        <is>
          <t>Charge from Warehouse/cy to trucks</t>
        </is>
      </c>
      <c r="C2113" t="inlineStr">
        <is>
          <t>កំពង់ផែស្វយ័តក្រុងព្រះសីហនុ</t>
        </is>
      </c>
      <c r="D2113" t="inlineStr">
        <is>
          <t>L001-100044638</t>
        </is>
      </c>
      <c r="E2113" t="inlineStr">
        <is>
          <t>270667</t>
        </is>
      </c>
      <c r="F2113" t="inlineStr">
        <is>
          <t>25-12-2024</t>
        </is>
      </c>
      <c r="G2113" t="n">
        <v>1231</v>
      </c>
      <c r="I2113">
        <f>G2113</f>
        <v/>
      </c>
      <c r="K2113">
        <f>I2113-G2113</f>
        <v/>
      </c>
      <c r="M2113">
        <f>R2113=E2113</f>
        <v/>
      </c>
      <c r="N2113">
        <f>AND(MONTH(F2113)=MONTH(Q2113), YEAR(F2113)=YEAR(Q2113))</f>
        <v/>
      </c>
      <c r="O2113">
        <f>"L001-902303751"=S2113</f>
        <v/>
      </c>
      <c r="P2113">
        <f>G2113-U2113</f>
        <v/>
      </c>
      <c r="Q2113" s="35" t="n">
        <v>45636</v>
      </c>
      <c r="R2113" t="n">
        <v>98613</v>
      </c>
      <c r="S2113" t="inlineStr">
        <is>
          <t>L001-107032791</t>
        </is>
      </c>
      <c r="T2113" t="inlineStr">
        <is>
          <t>នីបផន អិចប្រេស (ខេមបូឌា) ខូ អិលធីឌី</t>
        </is>
      </c>
      <c r="U2113" t="n">
        <v>98613</v>
      </c>
      <c r="V2113" t="n">
        <v>0</v>
      </c>
    </row>
    <row r="2114">
      <c r="A2114" t="n">
        <v>2113</v>
      </c>
      <c r="B2114" t="inlineStr">
        <is>
          <t>Customs Clearance Fee and Trucking Fee</t>
        </is>
      </c>
      <c r="C2114" t="inlineStr">
        <is>
          <t>ត្រាយអ៊ែងហ្គល ឡូជីស្ទីក (ខេមបូឌា) ឯ.ក</t>
        </is>
      </c>
      <c r="D2114" t="inlineStr">
        <is>
          <t>K010-902101743</t>
        </is>
      </c>
      <c r="E2114" t="inlineStr">
        <is>
          <t>TAG-24-00952</t>
        </is>
      </c>
      <c r="F2114" t="inlineStr">
        <is>
          <t>25-12-2024</t>
        </is>
      </c>
      <c r="G2114" t="n">
        <v>55711</v>
      </c>
      <c r="I2114">
        <f>G2114</f>
        <v/>
      </c>
      <c r="K2114">
        <f>I2114-G2114</f>
        <v/>
      </c>
      <c r="M2114">
        <f>R2114=E2114</f>
        <v/>
      </c>
      <c r="N2114">
        <f>AND(MONTH(F2114)=MONTH(Q2114), YEAR(F2114)=YEAR(Q2114))</f>
        <v/>
      </c>
      <c r="O2114">
        <f>"L001-902303751"=S2114</f>
        <v/>
      </c>
      <c r="P2114">
        <f>G2114-U2114</f>
        <v/>
      </c>
      <c r="Q2114" s="35" t="n">
        <v>45639</v>
      </c>
      <c r="R2114" t="n">
        <v>110578</v>
      </c>
      <c r="S2114" t="inlineStr">
        <is>
          <t>K002-901800477</t>
        </is>
      </c>
      <c r="T2114" t="inlineStr">
        <is>
          <t>អាយធីអាយ អ៊ិនធើណេសិនណល ត្រេនស័្ពរថេសិន (ខេមបូឌា) ឯ.ក</t>
        </is>
      </c>
      <c r="U2114" t="n">
        <v>110578</v>
      </c>
      <c r="V2114" t="n">
        <v>0</v>
      </c>
    </row>
    <row r="2115">
      <c r="A2115" t="n">
        <v>2114</v>
      </c>
      <c r="B2115" t="inlineStr">
        <is>
          <t>Customs Clearance Fee</t>
        </is>
      </c>
      <c r="C2115" t="inlineStr">
        <is>
          <t>ត្រាយអ៊ែងហ្គល ឡូជីស្ទីក (ខេមបូឌា) ឯ.ក</t>
        </is>
      </c>
      <c r="D2115" t="inlineStr">
        <is>
          <t>K010-902101743</t>
        </is>
      </c>
      <c r="E2115" t="inlineStr">
        <is>
          <t>TAG-24-00940</t>
        </is>
      </c>
      <c r="F2115" t="inlineStr">
        <is>
          <t>25-12-2024</t>
        </is>
      </c>
      <c r="G2115" t="n">
        <v>8038</v>
      </c>
      <c r="I2115">
        <f>G2115</f>
        <v/>
      </c>
      <c r="K2115">
        <f>I2115-G2115</f>
        <v/>
      </c>
      <c r="M2115">
        <f>R2115=E2115</f>
        <v/>
      </c>
      <c r="N2115">
        <f>AND(MONTH(F2115)=MONTH(Q2115), YEAR(F2115)=YEAR(Q2115))</f>
        <v/>
      </c>
      <c r="O2115">
        <f>"L001-902303751"=S2115</f>
        <v/>
      </c>
      <c r="P2115">
        <f>G2115-U2115</f>
        <v/>
      </c>
      <c r="Q2115" s="35" t="n">
        <v>45628</v>
      </c>
      <c r="R2115" t="n">
        <v>82595</v>
      </c>
      <c r="S2115" t="inlineStr">
        <is>
          <t>L001-107032791</t>
        </is>
      </c>
      <c r="T2115" t="inlineStr">
        <is>
          <t>នីបផន អិចប្រេស (ខេមបូឌា) ខូ អិលធីឌី</t>
        </is>
      </c>
      <c r="U2115" t="n">
        <v>82595</v>
      </c>
      <c r="V2115" t="n">
        <v>0</v>
      </c>
    </row>
    <row r="2116">
      <c r="A2116" t="n">
        <v>2115</v>
      </c>
      <c r="B2116" t="inlineStr">
        <is>
          <t>Customs Clearance Fee and Trucking Fee</t>
        </is>
      </c>
      <c r="C2116" t="inlineStr">
        <is>
          <t>ត្រាយអ៊ែងហ្គល ឡូជីស្ទីក (ខេមបូឌា) ឯ.ក</t>
        </is>
      </c>
      <c r="D2116" t="inlineStr">
        <is>
          <t>K010-902101743</t>
        </is>
      </c>
      <c r="E2116" t="inlineStr">
        <is>
          <t>TAG-24-00923</t>
        </is>
      </c>
      <c r="F2116" t="inlineStr">
        <is>
          <t>20-12-2024</t>
        </is>
      </c>
      <c r="G2116" t="n">
        <v>108513</v>
      </c>
      <c r="I2116">
        <f>G2116</f>
        <v/>
      </c>
      <c r="K2116">
        <f>I2116-G2116</f>
        <v/>
      </c>
      <c r="M2116">
        <f>R2116=E2116</f>
        <v/>
      </c>
      <c r="N2116">
        <f>AND(MONTH(F2116)=MONTH(Q2116), YEAR(F2116)=YEAR(Q2116))</f>
        <v/>
      </c>
      <c r="O2116">
        <f>"L001-902303751"=S2116</f>
        <v/>
      </c>
      <c r="P2116">
        <f>G2116-U2116</f>
        <v/>
      </c>
      <c r="Q2116" s="35" t="n">
        <v>45656</v>
      </c>
      <c r="R2116" t="n">
        <v>82492</v>
      </c>
      <c r="S2116" t="inlineStr">
        <is>
          <t>L001-100182259</t>
        </is>
      </c>
      <c r="T2116" t="inlineStr">
        <is>
          <t>សាខាក្រុមហ៊ុន ប៊ី ឡូជីស្ទីក ខបភើរេសិន (ខេមបូឌា)</t>
        </is>
      </c>
      <c r="U2116" t="n">
        <v>82492</v>
      </c>
      <c r="V2116" t="n">
        <v>0</v>
      </c>
    </row>
    <row r="2117">
      <c r="A2117" t="n">
        <v>2116</v>
      </c>
      <c r="B2117" t="inlineStr">
        <is>
          <t>Docmentation Origin, Handling Charges Origin, PLACI fee and HAWB Transmission Fee</t>
        </is>
      </c>
      <c r="C2117" t="inlineStr">
        <is>
          <t>ឌីប៊ី សេនឃើរ (ខេមបូឌា) លីមីធីត</t>
        </is>
      </c>
      <c r="D2117" t="inlineStr">
        <is>
          <t>L001-107041723</t>
        </is>
      </c>
      <c r="E2117" t="inlineStr">
        <is>
          <t>2400009498</t>
        </is>
      </c>
      <c r="F2117" t="inlineStr">
        <is>
          <t>02-12-2024</t>
        </is>
      </c>
      <c r="G2117" t="n">
        <v>49557</v>
      </c>
      <c r="I2117">
        <f>G2117</f>
        <v/>
      </c>
      <c r="K2117">
        <f>I2117-G2117</f>
        <v/>
      </c>
      <c r="M2117">
        <f>R2117=E2117</f>
        <v/>
      </c>
      <c r="N2117">
        <f>AND(MONTH(F2117)=MONTH(Q2117), YEAR(F2117)=YEAR(Q2117))</f>
        <v/>
      </c>
      <c r="O2117">
        <f>"L001-902303751"=S2117</f>
        <v/>
      </c>
      <c r="P2117">
        <f>G2117-U2117</f>
        <v/>
      </c>
      <c r="Q2117" s="35" t="n">
        <v>45636</v>
      </c>
      <c r="R2117" t="inlineStr"/>
      <c r="S2117" t="inlineStr">
        <is>
          <t>L001-100045995</t>
        </is>
      </c>
      <c r="T2117" t="inlineStr">
        <is>
          <t>ឌីអេចអិល ឡូជីស្ទីក (ខេមបូឌា)</t>
        </is>
      </c>
      <c r="U2117" t="n">
        <v>0</v>
      </c>
      <c r="V2117" t="n">
        <v>0</v>
      </c>
    </row>
    <row r="2118">
      <c r="A2118" t="n">
        <v>2117</v>
      </c>
      <c r="B2118" t="inlineStr">
        <is>
          <t>Send Materials</t>
        </is>
      </c>
      <c r="C2118" t="inlineStr">
        <is>
          <t>ឌី អេច អិល អិចប្រេស (ខេមបូឌា)</t>
        </is>
      </c>
      <c r="D2118" t="inlineStr">
        <is>
          <t>L001-100045197</t>
        </is>
      </c>
      <c r="E2118" t="inlineStr">
        <is>
          <t>PNHIR00262142</t>
        </is>
      </c>
      <c r="F2118" t="inlineStr">
        <is>
          <t>19-12-2024</t>
        </is>
      </c>
      <c r="G2118" t="n">
        <v>16599</v>
      </c>
      <c r="I2118">
        <f>G2118</f>
        <v/>
      </c>
      <c r="K2118">
        <f>I2118-G2118</f>
        <v/>
      </c>
      <c r="M2118">
        <f>R2118=E2118</f>
        <v/>
      </c>
      <c r="N2118">
        <f>AND(MONTH(F2118)=MONTH(Q2118), YEAR(F2118)=YEAR(Q2118))</f>
        <v/>
      </c>
      <c r="O2118">
        <f>"L001-902303751"=S2118</f>
        <v/>
      </c>
      <c r="P2118">
        <f>G2118-U2118</f>
        <v/>
      </c>
      <c r="Q2118" s="35" t="n">
        <v>45636</v>
      </c>
      <c r="R2118" t="inlineStr"/>
      <c r="S2118" t="inlineStr">
        <is>
          <t>K005-100150195</t>
        </is>
      </c>
      <c r="T2118" t="inlineStr">
        <is>
          <t>អេស អ វី ស៊ី ហ្វ្រេត សឺវីស (ខេមបូឌា) ខូ អិលធីឌី</t>
        </is>
      </c>
      <c r="U2118" t="n">
        <v>0</v>
      </c>
      <c r="V2118" t="n">
        <v>0</v>
      </c>
    </row>
    <row r="2119">
      <c r="A2119" t="n">
        <v>2118</v>
      </c>
      <c r="B2119" t="inlineStr">
        <is>
          <t>Send Materials</t>
        </is>
      </c>
      <c r="C2119" t="inlineStr">
        <is>
          <t>ឌី អេច អិល អិចប្រេស (ខេមបូឌា)</t>
        </is>
      </c>
      <c r="D2119" t="inlineStr">
        <is>
          <t>L001-100045197</t>
        </is>
      </c>
      <c r="E2119" t="inlineStr">
        <is>
          <t>PNHIR00261813</t>
        </is>
      </c>
      <c r="F2119" t="inlineStr">
        <is>
          <t>18-12-2024</t>
        </is>
      </c>
      <c r="G2119" t="n">
        <v>8042</v>
      </c>
      <c r="I2119">
        <f>G2119</f>
        <v/>
      </c>
      <c r="K2119">
        <f>I2119-G2119</f>
        <v/>
      </c>
      <c r="M2119">
        <f>R2119=E2119</f>
        <v/>
      </c>
      <c r="N2119">
        <f>AND(MONTH(F2119)=MONTH(Q2119), YEAR(F2119)=YEAR(Q2119))</f>
        <v/>
      </c>
      <c r="O2119">
        <f>"L001-902303751"=S2119</f>
        <v/>
      </c>
      <c r="P2119">
        <f>G2119-U2119</f>
        <v/>
      </c>
      <c r="Q2119" s="35" t="n">
        <v>45636</v>
      </c>
      <c r="R2119" t="inlineStr"/>
      <c r="S2119" t="inlineStr">
        <is>
          <t>L001-107041723</t>
        </is>
      </c>
      <c r="T2119" t="inlineStr">
        <is>
          <t>ឌីប៊ី សេនឃើរ (ខេមបូឌា) លីមីធីត</t>
        </is>
      </c>
      <c r="U2119" t="n">
        <v>0</v>
      </c>
      <c r="V2119" t="n">
        <v>0</v>
      </c>
    </row>
    <row r="2120">
      <c r="A2120" t="n">
        <v>2119</v>
      </c>
      <c r="B2120" t="inlineStr">
        <is>
          <t>Send Materials</t>
        </is>
      </c>
      <c r="C2120" t="inlineStr">
        <is>
          <t>ឌី អេច អិល អិចប្រេស (ខេមបូឌា)</t>
        </is>
      </c>
      <c r="D2120" t="inlineStr">
        <is>
          <t>L001-100045197</t>
        </is>
      </c>
      <c r="E2120" t="inlineStr">
        <is>
          <t>PNHIR00260252</t>
        </is>
      </c>
      <c r="F2120" t="inlineStr">
        <is>
          <t>12-12-2024</t>
        </is>
      </c>
      <c r="G2120" t="n">
        <v>7205</v>
      </c>
      <c r="I2120">
        <f>G2120</f>
        <v/>
      </c>
      <c r="K2120">
        <f>I2120-G2120</f>
        <v/>
      </c>
      <c r="M2120">
        <f>R2120=E2120</f>
        <v/>
      </c>
      <c r="N2120">
        <f>AND(MONTH(F2120)=MONTH(Q2120), YEAR(F2120)=YEAR(Q2120))</f>
        <v/>
      </c>
      <c r="O2120">
        <f>"L001-902303751"=S2120</f>
        <v/>
      </c>
      <c r="P2120">
        <f>G2120-U2120</f>
        <v/>
      </c>
      <c r="Q2120" s="35" t="n">
        <v>45628</v>
      </c>
      <c r="R2120" t="inlineStr"/>
      <c r="S2120" t="inlineStr">
        <is>
          <t>L001-107041723</t>
        </is>
      </c>
      <c r="T2120" t="inlineStr">
        <is>
          <t>ឌីប៊ី សេនឃើរ (ខេមបូឌា) លីមីធីត</t>
        </is>
      </c>
      <c r="U2120" t="n">
        <v>0</v>
      </c>
      <c r="V2120" t="n">
        <v>0</v>
      </c>
    </row>
    <row r="2121">
      <c r="A2121" t="n">
        <v>2120</v>
      </c>
      <c r="B2121" t="inlineStr">
        <is>
          <t>Non Woven Interlining</t>
        </is>
      </c>
      <c r="C2121" t="inlineStr">
        <is>
          <t>ដេលី ហ្គាមេន អេកសេសឺរី</t>
        </is>
      </c>
      <c r="D2121" t="inlineStr">
        <is>
          <t>L001-108012794</t>
        </is>
      </c>
      <c r="E2121" t="inlineStr">
        <is>
          <t>00542</t>
        </is>
      </c>
      <c r="F2121" t="inlineStr">
        <is>
          <t>26-12-2024</t>
        </is>
      </c>
      <c r="G2121" t="n">
        <v>9084</v>
      </c>
      <c r="I2121">
        <f>G2121</f>
        <v/>
      </c>
      <c r="K2121">
        <f>I2121-G2121</f>
        <v/>
      </c>
      <c r="M2121">
        <f>R2121=E2121</f>
        <v/>
      </c>
      <c r="N2121">
        <f>AND(MONTH(F2121)=MONTH(Q2121), YEAR(F2121)=YEAR(Q2121))</f>
        <v/>
      </c>
      <c r="O2121">
        <f>"L001-902303751"=S2121</f>
        <v/>
      </c>
      <c r="P2121">
        <f>G2121-U2121</f>
        <v/>
      </c>
      <c r="Q2121" s="35" t="n">
        <v>45628</v>
      </c>
      <c r="R2121" t="inlineStr"/>
      <c r="S2121" t="inlineStr">
        <is>
          <t>L001-107032791</t>
        </is>
      </c>
      <c r="T2121" t="inlineStr">
        <is>
          <t>នីបផន អិចប្រេស (ខេមបូឌា) ខូ អិលធីឌី</t>
        </is>
      </c>
      <c r="U2121" t="n">
        <v>0</v>
      </c>
      <c r="V2121" t="n">
        <v>0</v>
      </c>
    </row>
    <row r="2122">
      <c r="A2122" t="n">
        <v>2121</v>
      </c>
      <c r="B2122" t="inlineStr">
        <is>
          <t>Documentation Origin, Handling Charges Origin, Airfreight, PLACI Fee and HAWB Transmission Fee</t>
        </is>
      </c>
      <c r="C2122" t="inlineStr">
        <is>
          <t>ឌីប៊ី សេនឃើរ (ខេមបូឌា) លីមីធីត</t>
        </is>
      </c>
      <c r="D2122" t="inlineStr">
        <is>
          <t>L001-107041723</t>
        </is>
      </c>
      <c r="E2122" t="inlineStr">
        <is>
          <t>2400010051</t>
        </is>
      </c>
      <c r="F2122" t="inlineStr">
        <is>
          <t>24-12-2024</t>
        </is>
      </c>
      <c r="G2122" t="n">
        <v>49434</v>
      </c>
      <c r="I2122">
        <f>G2122</f>
        <v/>
      </c>
      <c r="K2122">
        <f>I2122-G2122</f>
        <v/>
      </c>
      <c r="M2122">
        <f>R2122=E2122</f>
        <v/>
      </c>
      <c r="N2122">
        <f>AND(MONTH(F2122)=MONTH(Q2122), YEAR(F2122)=YEAR(Q2122))</f>
        <v/>
      </c>
      <c r="O2122">
        <f>"L001-902303751"=S2122</f>
        <v/>
      </c>
      <c r="P2122">
        <f>G2122-U2122</f>
        <v/>
      </c>
      <c r="Q2122" s="35" t="n">
        <v>45643</v>
      </c>
      <c r="R2122" t="n">
        <v>110523</v>
      </c>
      <c r="S2122" t="inlineStr">
        <is>
          <t>K002-901800477</t>
        </is>
      </c>
      <c r="T2122" t="inlineStr">
        <is>
          <t>អាយធីអាយ អ៊ិនធើណេសិនណល ត្រេនស័្ពរថេសិន (ខេមបូឌា) ឯ.ក</t>
        </is>
      </c>
      <c r="U2122" t="n">
        <v>110523</v>
      </c>
      <c r="V2122" t="n">
        <v>0</v>
      </c>
    </row>
    <row r="2123">
      <c r="A2123" t="n">
        <v>2122</v>
      </c>
      <c r="B2123" t="inlineStr">
        <is>
          <t>Documentation Origin, Handling Charges, Entry Summary Declaration, Terminal Handling Charge Origin, Seal Surcharge and VGM Processing Fee</t>
        </is>
      </c>
      <c r="C2123" t="inlineStr">
        <is>
          <t>ឌីប៊ី សេនឃើរ (ខេមបូឌា) លីមីធីត</t>
        </is>
      </c>
      <c r="D2123" t="inlineStr">
        <is>
          <t>L001-107041723</t>
        </is>
      </c>
      <c r="E2123" t="inlineStr">
        <is>
          <t>2400009802</t>
        </is>
      </c>
      <c r="F2123" t="inlineStr">
        <is>
          <t>16-12-2024</t>
        </is>
      </c>
      <c r="G2123" t="n">
        <v>194922</v>
      </c>
      <c r="I2123">
        <f>G2123</f>
        <v/>
      </c>
      <c r="K2123">
        <f>I2123-G2123</f>
        <v/>
      </c>
      <c r="M2123">
        <f>R2123=E2123</f>
        <v/>
      </c>
      <c r="N2123">
        <f>AND(MONTH(F2123)=MONTH(Q2123), YEAR(F2123)=YEAR(Q2123))</f>
        <v/>
      </c>
      <c r="O2123">
        <f>"L001-902303751"=S2123</f>
        <v/>
      </c>
      <c r="P2123">
        <f>G2123-U2123</f>
        <v/>
      </c>
      <c r="Q2123" s="35" t="n">
        <v>45645</v>
      </c>
      <c r="R2123" t="inlineStr"/>
      <c r="S2123" t="inlineStr">
        <is>
          <t>L001-107000385</t>
        </is>
      </c>
      <c r="T2123" t="inlineStr">
        <is>
          <t>អិចស្ពោលាំងកា ហ្រ្វេត (ខេមបូឌា) លីមីធីត</t>
        </is>
      </c>
      <c r="U2123" t="n">
        <v>0</v>
      </c>
      <c r="V2123" t="n">
        <v>0</v>
      </c>
    </row>
    <row r="2124">
      <c r="A2124" t="n">
        <v>2123</v>
      </c>
      <c r="B2124" t="inlineStr">
        <is>
          <t>Documentation Origin, Handling Charges, Entry Summary Declaration, Terminal Handling Charge Origin, Seal Surcharge and VGM Processing Fee</t>
        </is>
      </c>
      <c r="C2124" t="inlineStr">
        <is>
          <t>ឌីប៊ី សេនឃើរ (ខេមបូឌា) លីមីធីត</t>
        </is>
      </c>
      <c r="D2124" t="inlineStr">
        <is>
          <t>L001-107041723</t>
        </is>
      </c>
      <c r="E2124" t="inlineStr">
        <is>
          <t>2400009803</t>
        </is>
      </c>
      <c r="F2124" t="inlineStr">
        <is>
          <t>16-12-2024</t>
        </is>
      </c>
      <c r="G2124" t="n">
        <v>142675</v>
      </c>
      <c r="I2124">
        <f>G2124</f>
        <v/>
      </c>
      <c r="K2124">
        <f>I2124-G2124</f>
        <v/>
      </c>
      <c r="M2124">
        <f>R2124=E2124</f>
        <v/>
      </c>
      <c r="N2124">
        <f>AND(MONTH(F2124)=MONTH(Q2124), YEAR(F2124)=YEAR(Q2124))</f>
        <v/>
      </c>
      <c r="O2124">
        <f>"L001-902303751"=S2124</f>
        <v/>
      </c>
      <c r="P2124">
        <f>G2124-U2124</f>
        <v/>
      </c>
      <c r="Q2124" s="35" t="n">
        <v>45649</v>
      </c>
      <c r="R2124" t="n">
        <v>82410</v>
      </c>
      <c r="S2124" t="inlineStr">
        <is>
          <t>L001-107032791</t>
        </is>
      </c>
      <c r="T2124" t="inlineStr">
        <is>
          <t>នីបផន អិចប្រេស (ខេមបូឌា) ខូ អិលធីឌី</t>
        </is>
      </c>
      <c r="U2124" t="n">
        <v>82410</v>
      </c>
      <c r="V2124" t="n">
        <v>0</v>
      </c>
    </row>
    <row r="2125">
      <c r="A2125" t="n">
        <v>2124</v>
      </c>
      <c r="B2125" t="inlineStr">
        <is>
          <t>Documentation Origin, Handling Charges, PLACI Fee and HAWB Transmission Fee</t>
        </is>
      </c>
      <c r="C2125" t="inlineStr">
        <is>
          <t>ឌីប៊ី សេនឃើរ (ខេមបូឌា) លីមីធីត</t>
        </is>
      </c>
      <c r="D2125" t="inlineStr">
        <is>
          <t>L001-107041723</t>
        </is>
      </c>
      <c r="E2125" t="inlineStr">
        <is>
          <t>2400009974</t>
        </is>
      </c>
      <c r="F2125" t="inlineStr">
        <is>
          <t>20-12-2024</t>
        </is>
      </c>
      <c r="G2125" t="n">
        <v>49434</v>
      </c>
      <c r="I2125">
        <f>G2125</f>
        <v/>
      </c>
      <c r="K2125">
        <f>I2125-G2125</f>
        <v/>
      </c>
      <c r="M2125">
        <f>R2125=E2125</f>
        <v/>
      </c>
      <c r="N2125">
        <f>AND(MONTH(F2125)=MONTH(Q2125), YEAR(F2125)=YEAR(Q2125))</f>
        <v/>
      </c>
      <c r="O2125">
        <f>"L001-902303751"=S2125</f>
        <v/>
      </c>
      <c r="P2125">
        <f>G2125-U2125</f>
        <v/>
      </c>
      <c r="Q2125" s="35" t="n">
        <v>45649</v>
      </c>
      <c r="R2125" t="n">
        <v>84822</v>
      </c>
      <c r="S2125" t="inlineStr">
        <is>
          <t>L001-100045340</t>
        </is>
      </c>
      <c r="T2125" t="inlineStr">
        <is>
          <t xml:space="preserve">ស៊ីវ៉ា អ៊ែរ អ៊ែន អូសៀន (ខេមបូឌា) ឯ.ក </t>
        </is>
      </c>
      <c r="U2125" t="n">
        <v>84822</v>
      </c>
      <c r="V2125" t="n">
        <v>0</v>
      </c>
    </row>
    <row r="2126">
      <c r="A2126" t="n">
        <v>2125</v>
      </c>
      <c r="B2126" t="inlineStr">
        <is>
          <t>Documentation Origin, Handling Charges Origin, Airfreight, PLACI Fee and HAWB Transmission Fee</t>
        </is>
      </c>
      <c r="C2126" t="inlineStr">
        <is>
          <t>ឌីប៊ី សេនឃើរ (ខេមបូឌា) លីមីធីត</t>
        </is>
      </c>
      <c r="D2126" t="inlineStr">
        <is>
          <t>L001-107041723</t>
        </is>
      </c>
      <c r="E2126" t="inlineStr">
        <is>
          <t>2400009685</t>
        </is>
      </c>
      <c r="F2126" t="inlineStr">
        <is>
          <t>10-12-2024</t>
        </is>
      </c>
      <c r="G2126" t="n">
        <v>444108</v>
      </c>
      <c r="I2126">
        <f>G2126</f>
        <v/>
      </c>
      <c r="K2126">
        <f>I2126-G2126</f>
        <v/>
      </c>
      <c r="M2126">
        <f>R2126=E2126</f>
        <v/>
      </c>
      <c r="N2126">
        <f>AND(MONTH(F2126)=MONTH(Q2126), YEAR(F2126)=YEAR(Q2126))</f>
        <v/>
      </c>
      <c r="O2126">
        <f>"L001-902303751"=S2126</f>
        <v/>
      </c>
      <c r="P2126">
        <f>G2126-U2126</f>
        <v/>
      </c>
      <c r="Q2126" s="35" t="n">
        <v>45636</v>
      </c>
      <c r="R2126" t="inlineStr"/>
      <c r="S2126" t="inlineStr">
        <is>
          <t>K005-901805913</t>
        </is>
      </c>
      <c r="T2126" t="inlineStr">
        <is>
          <t>ស្តារ ខង់ខដ (ខេមបូឌា) ឯ.ក</t>
        </is>
      </c>
      <c r="U2126" t="n">
        <v>0</v>
      </c>
      <c r="V2126" t="n">
        <v>0</v>
      </c>
    </row>
    <row r="2127">
      <c r="A2127" t="n">
        <v>2126</v>
      </c>
      <c r="B2127" t="inlineStr">
        <is>
          <t>VGM Processing Fee, Late SI/VGM, Seal Surcharge, Handling Chargies Origin, Terminal Handling Charge Origin, Documentation Origin and Entry Summary Declaration</t>
        </is>
      </c>
      <c r="C2127" t="inlineStr">
        <is>
          <t>ឌីប៊ី សេនឃើរ (ខេមបូឌា) លីមីធីត</t>
        </is>
      </c>
      <c r="D2127" t="inlineStr">
        <is>
          <t>L001-107041723</t>
        </is>
      </c>
      <c r="E2127" t="inlineStr">
        <is>
          <t>2400009665</t>
        </is>
      </c>
      <c r="F2127" t="inlineStr">
        <is>
          <t>09-12-2024</t>
        </is>
      </c>
      <c r="G2127" t="n">
        <v>195310</v>
      </c>
      <c r="I2127">
        <f>G2127</f>
        <v/>
      </c>
      <c r="K2127">
        <f>I2127-G2127</f>
        <v/>
      </c>
      <c r="M2127">
        <f>R2127=E2127</f>
        <v/>
      </c>
      <c r="N2127">
        <f>AND(MONTH(F2127)=MONTH(Q2127), YEAR(F2127)=YEAR(Q2127))</f>
        <v/>
      </c>
      <c r="O2127">
        <f>"L001-902303751"=S2127</f>
        <v/>
      </c>
      <c r="P2127">
        <f>G2127-U2127</f>
        <v/>
      </c>
      <c r="Q2127" s="35" t="n">
        <v>45636</v>
      </c>
      <c r="R2127" t="n">
        <v>98613</v>
      </c>
      <c r="S2127" t="inlineStr">
        <is>
          <t>L001-107032791</t>
        </is>
      </c>
      <c r="T2127" t="inlineStr">
        <is>
          <t>នីបផន អិចប្រេស (ខេមបូឌា) ខូ អិលធីឌី</t>
        </is>
      </c>
      <c r="U2127" t="n">
        <v>98613</v>
      </c>
      <c r="V2127" t="n">
        <v>0</v>
      </c>
    </row>
    <row r="2128">
      <c r="A2128" t="n">
        <v>2127</v>
      </c>
      <c r="B2128" t="inlineStr">
        <is>
          <t>Docmentation Origin, Handling Charges Origin, Entry Summary Declaration, Terminal Handling Charge Origin, Seal Surcharge and VGM Processing Fee</t>
        </is>
      </c>
      <c r="C2128" t="inlineStr">
        <is>
          <t>ឌីប៊ី សេនឃើរ (ខេមបូឌា) លីមីធីត</t>
        </is>
      </c>
      <c r="D2128" t="inlineStr">
        <is>
          <t>L001-107041723</t>
        </is>
      </c>
      <c r="E2128" t="inlineStr">
        <is>
          <t>2400010103</t>
        </is>
      </c>
      <c r="F2128" t="inlineStr">
        <is>
          <t>26-12-2024</t>
        </is>
      </c>
      <c r="G2128" t="n">
        <v>142639</v>
      </c>
      <c r="I2128">
        <f>G2128</f>
        <v/>
      </c>
      <c r="K2128">
        <f>I2128-G2128</f>
        <v/>
      </c>
      <c r="M2128">
        <f>R2128=E2128</f>
        <v/>
      </c>
      <c r="N2128">
        <f>AND(MONTH(F2128)=MONTH(Q2128), YEAR(F2128)=YEAR(Q2128))</f>
        <v/>
      </c>
      <c r="O2128">
        <f>"L001-902303751"=S2128</f>
        <v/>
      </c>
      <c r="P2128">
        <f>G2128-U2128</f>
        <v/>
      </c>
      <c r="Q2128" s="35" t="n">
        <v>45628</v>
      </c>
      <c r="R2128" t="n">
        <v>82595</v>
      </c>
      <c r="S2128" t="inlineStr">
        <is>
          <t>L001-107041723</t>
        </is>
      </c>
      <c r="T2128" t="inlineStr">
        <is>
          <t>ឌីប៊ី សេនឃើរ (ខេមបូឌា) លីមីធីត</t>
        </is>
      </c>
      <c r="U2128" t="n">
        <v>82595</v>
      </c>
      <c r="V2128" t="n">
        <v>0</v>
      </c>
    </row>
    <row r="2129">
      <c r="A2129" t="n">
        <v>2128</v>
      </c>
      <c r="B2129" t="inlineStr">
        <is>
          <t>Seal Surcharge, Terminal Handling Charge Origin, Documentation Origin, Handling Charges Origin, Entry Summary Declaration and VGM Processing Fee</t>
        </is>
      </c>
      <c r="C2129" t="inlineStr">
        <is>
          <t>ឌីប៊ី សេនឃើរ (ខេមបូឌា) លីមីធីត</t>
        </is>
      </c>
      <c r="D2129" t="inlineStr">
        <is>
          <t>L001-107041723</t>
        </is>
      </c>
      <c r="E2129" t="inlineStr">
        <is>
          <t>2400009403</t>
        </is>
      </c>
      <c r="F2129" t="inlineStr">
        <is>
          <t>28-12-2024</t>
        </is>
      </c>
      <c r="G2129" t="n">
        <v>143065</v>
      </c>
      <c r="I2129">
        <f>G2129</f>
        <v/>
      </c>
      <c r="K2129">
        <f>I2129-G2129</f>
        <v/>
      </c>
      <c r="M2129">
        <f>R2129=E2129</f>
        <v/>
      </c>
      <c r="N2129">
        <f>AND(MONTH(F2129)=MONTH(Q2129), YEAR(F2129)=YEAR(Q2129))</f>
        <v/>
      </c>
      <c r="O2129">
        <f>"L001-902303751"=S2129</f>
        <v/>
      </c>
      <c r="P2129">
        <f>G2129-U2129</f>
        <v/>
      </c>
      <c r="Q2129" s="35" t="n">
        <v>45649</v>
      </c>
      <c r="R2129" t="inlineStr"/>
      <c r="S2129" t="inlineStr">
        <is>
          <t>L001-107032791</t>
        </is>
      </c>
      <c r="T2129" t="inlineStr">
        <is>
          <t>នីបផន អិចប្រេស (ខេមបូឌា) ខូ អិលធីឌី</t>
        </is>
      </c>
      <c r="U2129" t="n">
        <v>0</v>
      </c>
      <c r="V2129" t="n">
        <v>0</v>
      </c>
    </row>
    <row r="2130">
      <c r="A2130" t="n">
        <v>2129</v>
      </c>
      <c r="B2130" t="inlineStr">
        <is>
          <t>Docmentation Origin, Handling Charges Origin, PLACI fee and HAWB Transmission Fee</t>
        </is>
      </c>
      <c r="C2130" t="inlineStr">
        <is>
          <t>ឌីប៊ី សេនឃើរ (ខេមបូឌា) លីមីធីត</t>
        </is>
      </c>
      <c r="D2130" t="inlineStr">
        <is>
          <t>L001-107041723</t>
        </is>
      </c>
      <c r="E2130" t="inlineStr">
        <is>
          <t>2400009787</t>
        </is>
      </c>
      <c r="F2130" t="inlineStr">
        <is>
          <t>14-12-2024</t>
        </is>
      </c>
      <c r="G2130" t="n">
        <v>69563</v>
      </c>
      <c r="I2130">
        <f>G2130</f>
        <v/>
      </c>
      <c r="K2130">
        <f>I2130-G2130</f>
        <v/>
      </c>
      <c r="M2130">
        <f>R2130=E2130</f>
        <v/>
      </c>
      <c r="N2130">
        <f>AND(MONTH(F2130)=MONTH(Q2130), YEAR(F2130)=YEAR(Q2130))</f>
        <v/>
      </c>
      <c r="O2130">
        <f>"L001-902303751"=S2130</f>
        <v/>
      </c>
      <c r="P2130">
        <f>G2130-U2130</f>
        <v/>
      </c>
      <c r="Q2130" s="35" t="n">
        <v>45636</v>
      </c>
      <c r="R2130" t="inlineStr"/>
      <c r="S2130" t="inlineStr">
        <is>
          <t>L001-107032791</t>
        </is>
      </c>
      <c r="T2130" t="inlineStr">
        <is>
          <t>នីបផន អិចប្រេស (ខេមបូឌា) ខូ អិលធីឌី</t>
        </is>
      </c>
      <c r="U2130" t="n">
        <v>0</v>
      </c>
      <c r="V2130" t="n">
        <v>0</v>
      </c>
    </row>
    <row r="2131">
      <c r="A2131" t="n">
        <v>2130</v>
      </c>
      <c r="B2131" t="inlineStr">
        <is>
          <t>Send Materials</t>
        </is>
      </c>
      <c r="C2131" t="inlineStr">
        <is>
          <t>ឌី អេច អិល អិចប្រេស (ខេមបូឌា)</t>
        </is>
      </c>
      <c r="D2131" t="inlineStr">
        <is>
          <t>L001-100045197</t>
        </is>
      </c>
      <c r="E2131" t="inlineStr">
        <is>
          <t>PNHIR00262877</t>
        </is>
      </c>
      <c r="F2131" t="inlineStr">
        <is>
          <t>23-12-2024</t>
        </is>
      </c>
      <c r="G2131" t="n">
        <v>8040</v>
      </c>
      <c r="I2131">
        <f>G2131</f>
        <v/>
      </c>
      <c r="K2131">
        <f>I2131-G2131</f>
        <v/>
      </c>
      <c r="M2131">
        <f>R2131=E2131</f>
        <v/>
      </c>
      <c r="N2131">
        <f>AND(MONTH(F2131)=MONTH(Q2131), YEAR(F2131)=YEAR(Q2131))</f>
        <v/>
      </c>
      <c r="O2131">
        <f>"L001-902303751"=S2131</f>
        <v/>
      </c>
      <c r="P2131">
        <f>G2131-U2131</f>
        <v/>
      </c>
      <c r="Q2131" s="35" t="n">
        <v>45642</v>
      </c>
      <c r="R2131" t="n">
        <v>110523</v>
      </c>
      <c r="S2131" t="inlineStr">
        <is>
          <t>L001-107032791</t>
        </is>
      </c>
      <c r="T2131" t="inlineStr">
        <is>
          <t>នីបផន អិចប្រេស (ខេមបូឌា) ខូ អិលធីឌី</t>
        </is>
      </c>
      <c r="U2131" t="n">
        <v>110523</v>
      </c>
      <c r="V2131" t="n">
        <v>0</v>
      </c>
    </row>
    <row r="2132">
      <c r="A2132" t="n">
        <v>2131</v>
      </c>
      <c r="B2132" t="inlineStr">
        <is>
          <t>Send Materials</t>
        </is>
      </c>
      <c r="C2132" t="inlineStr">
        <is>
          <t>ឌី អេច អិល អិចប្រេស (ខេមបូឌា)</t>
        </is>
      </c>
      <c r="D2132" t="inlineStr">
        <is>
          <t>L001-100045197</t>
        </is>
      </c>
      <c r="E2132" t="inlineStr">
        <is>
          <t>PNHIR00263401</t>
        </is>
      </c>
      <c r="F2132" t="inlineStr">
        <is>
          <t>25-12-2024</t>
        </is>
      </c>
      <c r="G2132" t="n">
        <v>8038</v>
      </c>
      <c r="I2132">
        <f>G2132</f>
        <v/>
      </c>
      <c r="K2132">
        <f>I2132-G2132</f>
        <v/>
      </c>
      <c r="M2132">
        <f>R2132=E2132</f>
        <v/>
      </c>
      <c r="N2132">
        <f>AND(MONTH(F2132)=MONTH(Q2132), YEAR(F2132)=YEAR(Q2132))</f>
        <v/>
      </c>
      <c r="O2132">
        <f>"L001-902303751"=S2132</f>
        <v/>
      </c>
      <c r="P2132">
        <f>G2132-U2132</f>
        <v/>
      </c>
      <c r="Q2132" s="35" t="n">
        <v>45628</v>
      </c>
      <c r="R2132" t="n">
        <v>113215</v>
      </c>
      <c r="S2132" t="inlineStr">
        <is>
          <t>K005-901805913</t>
        </is>
      </c>
      <c r="T2132" t="inlineStr">
        <is>
          <t>ស្តារ ខង់ខដ (ខេមបូឌា) ឯ.ក</t>
        </is>
      </c>
      <c r="U2132" t="n">
        <v>113215</v>
      </c>
      <c r="V2132" t="n">
        <v>0</v>
      </c>
    </row>
    <row r="2133">
      <c r="A2133" t="n">
        <v>2132</v>
      </c>
      <c r="B2133" t="inlineStr">
        <is>
          <t>Send Materials</t>
        </is>
      </c>
      <c r="C2133" t="inlineStr">
        <is>
          <t>ឌី អេច អិល អិចប្រេស (ខេមបូឌា)</t>
        </is>
      </c>
      <c r="D2133" t="inlineStr">
        <is>
          <t>L001-100045197</t>
        </is>
      </c>
      <c r="E2133" t="inlineStr">
        <is>
          <t>PNHIR00264223</t>
        </is>
      </c>
      <c r="F2133" t="inlineStr">
        <is>
          <t>27-12-2024</t>
        </is>
      </c>
      <c r="G2133" t="n">
        <v>6031</v>
      </c>
      <c r="I2133">
        <f>G2133</f>
        <v/>
      </c>
      <c r="K2133">
        <f>I2133-G2133</f>
        <v/>
      </c>
      <c r="M2133">
        <f>R2133=E2133</f>
        <v/>
      </c>
      <c r="N2133">
        <f>AND(MONTH(F2133)=MONTH(Q2133), YEAR(F2133)=YEAR(Q2133))</f>
        <v/>
      </c>
      <c r="O2133">
        <f>"L001-902303751"=S2133</f>
        <v/>
      </c>
      <c r="P2133">
        <f>G2133-U2133</f>
        <v/>
      </c>
      <c r="Q2133" s="35" t="n">
        <v>45651</v>
      </c>
      <c r="R2133" t="n">
        <v>16076</v>
      </c>
      <c r="S2133" t="inlineStr">
        <is>
          <t>L001-100045340</t>
        </is>
      </c>
      <c r="T2133" t="inlineStr">
        <is>
          <t xml:space="preserve">ស៊ីវ៉ា អ៊ែរ អ៊ែន អូសៀន (ខេមបូឌា) ឯ.ក </t>
        </is>
      </c>
      <c r="U2133" t="n">
        <v>16076</v>
      </c>
      <c r="V2133" t="n">
        <v>0</v>
      </c>
    </row>
    <row r="2134">
      <c r="A2134" t="n">
        <v>2133</v>
      </c>
      <c r="B2134" t="inlineStr">
        <is>
          <t>Terminal Handling Charge, EMF, 3 Party Trucking, Container Imbalance Charge, D/O Fee, Document Fee and Handling Charge</t>
        </is>
      </c>
      <c r="C2134" t="inlineStr">
        <is>
          <t>ខេអិលអិន ហ្វ្រេត (ខេមបូឌា) ឯ.ក</t>
        </is>
      </c>
      <c r="D2134" t="inlineStr">
        <is>
          <t>L001-100074669</t>
        </is>
      </c>
      <c r="E2134" t="inlineStr">
        <is>
          <t>IVO18939</t>
        </is>
      </c>
      <c r="F2134" t="inlineStr">
        <is>
          <t>02-12-2024</t>
        </is>
      </c>
      <c r="G2134" t="n">
        <v>111052</v>
      </c>
      <c r="I2134">
        <f>G2134</f>
        <v/>
      </c>
      <c r="K2134">
        <f>I2134-G2134</f>
        <v/>
      </c>
      <c r="M2134">
        <f>R2134=E2134</f>
        <v/>
      </c>
      <c r="N2134">
        <f>AND(MONTH(F2134)=MONTH(Q2134), YEAR(F2134)=YEAR(Q2134))</f>
        <v/>
      </c>
      <c r="O2134">
        <f>"L001-902303751"=S2134</f>
        <v/>
      </c>
      <c r="P2134">
        <f>G2134-U2134</f>
        <v/>
      </c>
      <c r="Q2134" s="35" t="n">
        <v>45656</v>
      </c>
      <c r="R2134" t="inlineStr"/>
      <c r="S2134" t="inlineStr">
        <is>
          <t>L001-107032791</t>
        </is>
      </c>
      <c r="T2134" t="inlineStr">
        <is>
          <t>នីបផន អិចប្រេស (ខេមបូឌា) ខូ អិលធីឌី</t>
        </is>
      </c>
      <c r="U2134" t="n">
        <v>0</v>
      </c>
      <c r="V2134" t="n">
        <v>0</v>
      </c>
    </row>
    <row r="2135">
      <c r="A2135" t="n">
        <v>2134</v>
      </c>
      <c r="B2135" t="inlineStr">
        <is>
          <t>Customs Clearance Fee</t>
        </is>
      </c>
      <c r="C2135" t="inlineStr">
        <is>
          <t>ត្រាយអ៊ែងហ្គល ឡូជីស្ទីក (ខេមបូឌា) ឯ.ក</t>
        </is>
      </c>
      <c r="D2135" t="inlineStr">
        <is>
          <t>K010-902101743</t>
        </is>
      </c>
      <c r="E2135" t="inlineStr">
        <is>
          <t>TAG-24-00906</t>
        </is>
      </c>
      <c r="F2135" t="inlineStr">
        <is>
          <t>16-12-2024</t>
        </is>
      </c>
      <c r="G2135" t="n">
        <v>8038</v>
      </c>
      <c r="I2135">
        <f>G2135</f>
        <v/>
      </c>
      <c r="K2135">
        <f>I2135-G2135</f>
        <v/>
      </c>
      <c r="M2135">
        <f>R2135=E2135</f>
        <v/>
      </c>
      <c r="N2135">
        <f>AND(MONTH(F2135)=MONTH(Q2135), YEAR(F2135)=YEAR(Q2135))</f>
        <v/>
      </c>
      <c r="O2135">
        <f>"L001-902303751"=S2135</f>
        <v/>
      </c>
      <c r="P2135">
        <f>G2135-U2135</f>
        <v/>
      </c>
      <c r="Q2135" s="35" t="n">
        <v>45656</v>
      </c>
      <c r="R2135" t="inlineStr"/>
      <c r="S2135" t="inlineStr">
        <is>
          <t>L001-107032791</t>
        </is>
      </c>
      <c r="T2135" t="inlineStr">
        <is>
          <t>នីបផន អិចប្រេស (ខេមបូឌា) ខូ អិលធីឌី</t>
        </is>
      </c>
      <c r="U2135" t="n">
        <v>0</v>
      </c>
      <c r="V2135" t="n">
        <v>0</v>
      </c>
    </row>
    <row r="2136">
      <c r="A2136" t="n">
        <v>2135</v>
      </c>
      <c r="B2136" t="inlineStr">
        <is>
          <t>Terminal Handling Charge, Container Freight Station, Scanning Fee, Delivery Order Fee, Document Fee, Agency Fee, Co-Loader Fee and Container Imbalance Charge</t>
        </is>
      </c>
      <c r="C2136" t="inlineStr">
        <is>
          <t>ផេនដា គ្លូប៊ល ឡូជីស្ទីក (ខេមបូឌា)</t>
        </is>
      </c>
      <c r="D2136" t="inlineStr">
        <is>
          <t>K005-901501155</t>
        </is>
      </c>
      <c r="E2136" t="inlineStr">
        <is>
          <t>PD240485</t>
        </is>
      </c>
      <c r="F2136" t="inlineStr">
        <is>
          <t>03-12-2024</t>
        </is>
      </c>
      <c r="G2136" t="n">
        <v>114611</v>
      </c>
      <c r="I2136">
        <f>G2136</f>
        <v/>
      </c>
      <c r="K2136">
        <f>I2136-G2136</f>
        <v/>
      </c>
      <c r="M2136">
        <f>R2136=E2136</f>
        <v/>
      </c>
      <c r="N2136">
        <f>AND(MONTH(F2136)=MONTH(Q2136), YEAR(F2136)=YEAR(Q2136))</f>
        <v/>
      </c>
      <c r="O2136">
        <f>"L001-902303751"=S2136</f>
        <v/>
      </c>
      <c r="P2136">
        <f>G2136-U2136</f>
        <v/>
      </c>
      <c r="Q2136" s="35" t="n">
        <v>45642</v>
      </c>
      <c r="R2136" t="n">
        <v>110523</v>
      </c>
      <c r="S2136" t="inlineStr">
        <is>
          <t>L001-107041723</t>
        </is>
      </c>
      <c r="T2136" t="inlineStr">
        <is>
          <t>ឌីប៊ី សេនឃើរ (ខេមបូឌា) លីមីធីត</t>
        </is>
      </c>
      <c r="U2136" t="n">
        <v>110523</v>
      </c>
      <c r="V2136" t="n">
        <v>0</v>
      </c>
    </row>
    <row r="2137">
      <c r="A2137" t="n">
        <v>2136</v>
      </c>
      <c r="B2137" t="inlineStr">
        <is>
          <t>Charge from Warehouse/cy to trucks and Storage Charges</t>
        </is>
      </c>
      <c r="C2137" t="inlineStr">
        <is>
          <t>កំពង់ផែស្វយ័តក្រុងព្រះសីហនុ</t>
        </is>
      </c>
      <c r="D2137" t="inlineStr">
        <is>
          <t>L001-100044638</t>
        </is>
      </c>
      <c r="E2137" t="inlineStr">
        <is>
          <t>258934</t>
        </is>
      </c>
      <c r="F2137" t="inlineStr">
        <is>
          <t>11-12-2024</t>
        </is>
      </c>
      <c r="G2137" t="n">
        <v>1393</v>
      </c>
      <c r="I2137">
        <f>G2137</f>
        <v/>
      </c>
      <c r="K2137">
        <f>I2137-G2137</f>
        <v/>
      </c>
      <c r="M2137">
        <f>R2137=E2137</f>
        <v/>
      </c>
      <c r="N2137">
        <f>AND(MONTH(F2137)=MONTH(Q2137), YEAR(F2137)=YEAR(Q2137))</f>
        <v/>
      </c>
      <c r="O2137">
        <f>"L001-902303751"=S2137</f>
        <v/>
      </c>
      <c r="P2137">
        <f>G2137-U2137</f>
        <v/>
      </c>
      <c r="Q2137" s="35" t="n">
        <v>45628</v>
      </c>
      <c r="R2137" t="n">
        <v>110798</v>
      </c>
      <c r="S2137" t="inlineStr">
        <is>
          <t>L001-107032791</t>
        </is>
      </c>
      <c r="T2137" t="inlineStr">
        <is>
          <t>នីបផន អិចប្រេស (ខេមបូឌា) ខូ អិលធីឌី</t>
        </is>
      </c>
      <c r="U2137" t="n">
        <v>110798</v>
      </c>
      <c r="V2137" t="n">
        <v>0</v>
      </c>
    </row>
    <row r="2138">
      <c r="A2138" t="n">
        <v>2137</v>
      </c>
      <c r="B2138" t="inlineStr">
        <is>
          <t>Customs Clearance Fee and Trucking Fee</t>
        </is>
      </c>
      <c r="C2138" t="inlineStr">
        <is>
          <t>ត្រាយអ៊ែងហ្គល ឡូជីស្ទីក (ខេមបូឌា) ឯ.ក</t>
        </is>
      </c>
      <c r="D2138" t="inlineStr">
        <is>
          <t>K010-902101743</t>
        </is>
      </c>
      <c r="E2138" t="inlineStr">
        <is>
          <t>TAG-24-00933</t>
        </is>
      </c>
      <c r="F2138" t="inlineStr">
        <is>
          <t>24-12-2024</t>
        </is>
      </c>
      <c r="G2138" t="n">
        <v>32152</v>
      </c>
      <c r="I2138">
        <f>G2138</f>
        <v/>
      </c>
      <c r="K2138">
        <f>I2138-G2138</f>
        <v/>
      </c>
      <c r="M2138">
        <f>R2138=E2138</f>
        <v/>
      </c>
      <c r="N2138">
        <f>AND(MONTH(F2138)=MONTH(Q2138), YEAR(F2138)=YEAR(Q2138))</f>
        <v/>
      </c>
      <c r="O2138">
        <f>"L001-902303751"=S2138</f>
        <v/>
      </c>
      <c r="P2138">
        <f>G2138-U2138</f>
        <v/>
      </c>
      <c r="Q2138" s="35" t="n">
        <v>45651</v>
      </c>
      <c r="R2138" t="n">
        <v>16076</v>
      </c>
      <c r="S2138" t="inlineStr">
        <is>
          <t>L001-100045340</t>
        </is>
      </c>
      <c r="T2138" t="inlineStr">
        <is>
          <t xml:space="preserve">ស៊ីវ៉ា អ៊ែរ អ៊ែន អូសៀន (ខេមបូឌា) ឯ.ក </t>
        </is>
      </c>
      <c r="U2138" t="n">
        <v>16076</v>
      </c>
      <c r="V2138" t="n">
        <v>0</v>
      </c>
    </row>
    <row r="2139">
      <c r="A2139" t="n">
        <v>2138</v>
      </c>
      <c r="B2139" t="inlineStr">
        <is>
          <t>Send Doc</t>
        </is>
      </c>
      <c r="C2139" t="inlineStr">
        <is>
          <t>ឌី អេច អិល អិចប្រេស (ខេមបូឌា)</t>
        </is>
      </c>
      <c r="D2139" t="inlineStr">
        <is>
          <t>L001-100045197</t>
        </is>
      </c>
      <c r="E2139" t="inlineStr">
        <is>
          <t>PNHIR00264760</t>
        </is>
      </c>
      <c r="F2139" t="inlineStr">
        <is>
          <t>31-12-2024</t>
        </is>
      </c>
      <c r="G2139" t="n">
        <v>27354</v>
      </c>
      <c r="I2139">
        <f>G2139</f>
        <v/>
      </c>
      <c r="K2139">
        <f>I2139-G2139</f>
        <v/>
      </c>
      <c r="M2139">
        <f>R2139=E2139</f>
        <v/>
      </c>
      <c r="N2139">
        <f>AND(MONTH(F2139)=MONTH(Q2139), YEAR(F2139)=YEAR(Q2139))</f>
        <v/>
      </c>
      <c r="O2139">
        <f>"L001-902303751"=S2139</f>
        <v/>
      </c>
      <c r="P2139">
        <f>G2139-U2139</f>
        <v/>
      </c>
      <c r="Q2139" s="35" t="n">
        <v>45656</v>
      </c>
      <c r="R2139" t="n">
        <v>82492</v>
      </c>
      <c r="S2139" t="inlineStr">
        <is>
          <t>L001-107041723</t>
        </is>
      </c>
      <c r="T2139" t="inlineStr">
        <is>
          <t>ឌីប៊ី សេនឃើរ (ខេមបូឌា) លីមីធីត</t>
        </is>
      </c>
      <c r="U2139" t="n">
        <v>82492</v>
      </c>
      <c r="V2139" t="n">
        <v>0</v>
      </c>
    </row>
    <row r="2140">
      <c r="A2140" t="n">
        <v>2139</v>
      </c>
      <c r="B2140" t="inlineStr">
        <is>
          <t>Customs Clearance Fee and Trucking Fee</t>
        </is>
      </c>
      <c r="C2140" t="inlineStr">
        <is>
          <t>ត្រាយអ៊ែងហ្គល ឡូជីស្ទីក (ខេមបូឌា) ឯ.ក</t>
        </is>
      </c>
      <c r="D2140" t="inlineStr">
        <is>
          <t>K010-902101743</t>
        </is>
      </c>
      <c r="E2140" t="inlineStr">
        <is>
          <t>TAG-24-00928</t>
        </is>
      </c>
      <c r="F2140" t="inlineStr">
        <is>
          <t>24-12-2024</t>
        </is>
      </c>
      <c r="G2140" t="n">
        <v>108513</v>
      </c>
      <c r="I2140">
        <f>G2140</f>
        <v/>
      </c>
      <c r="K2140">
        <f>I2140-G2140</f>
        <v/>
      </c>
      <c r="M2140">
        <f>R2140=E2140</f>
        <v/>
      </c>
      <c r="N2140">
        <f>AND(MONTH(F2140)=MONTH(Q2140), YEAR(F2140)=YEAR(Q2140))</f>
        <v/>
      </c>
      <c r="O2140">
        <f>"L001-902303751"=S2140</f>
        <v/>
      </c>
      <c r="P2140">
        <f>G2140-U2140</f>
        <v/>
      </c>
      <c r="Q2140" s="35" t="n">
        <v>45656</v>
      </c>
      <c r="R2140" t="inlineStr"/>
      <c r="S2140" t="inlineStr">
        <is>
          <t>L001-100182259</t>
        </is>
      </c>
      <c r="T2140" t="inlineStr">
        <is>
          <t>សាខាក្រុមហ៊ុន ប៊ី ឡូជីស្ទីក ខបភើរេសិន (ខេមបូឌា)</t>
        </is>
      </c>
      <c r="U2140" t="n">
        <v>0</v>
      </c>
      <c r="V2140" t="n">
        <v>0</v>
      </c>
    </row>
    <row r="2141">
      <c r="A2141" t="n">
        <v>2140</v>
      </c>
      <c r="B2141" t="inlineStr">
        <is>
          <t>Send Materials</t>
        </is>
      </c>
      <c r="C2141" t="inlineStr">
        <is>
          <t>ឌី អេច អិល អិចប្រេស (ខេមបូឌា)</t>
        </is>
      </c>
      <c r="D2141" t="inlineStr">
        <is>
          <t>L001-100045197</t>
        </is>
      </c>
      <c r="E2141" t="inlineStr">
        <is>
          <t>PNHR000514135</t>
        </is>
      </c>
      <c r="F2141" t="inlineStr">
        <is>
          <t>31-12-2024</t>
        </is>
      </c>
      <c r="G2141" t="n">
        <v>73629</v>
      </c>
      <c r="I2141">
        <f>G2141</f>
        <v/>
      </c>
      <c r="K2141">
        <f>I2141-G2141</f>
        <v/>
      </c>
      <c r="M2141">
        <f>R2141=E2141</f>
        <v/>
      </c>
      <c r="N2141">
        <f>AND(MONTH(F2141)=MONTH(Q2141), YEAR(F2141)=YEAR(Q2141))</f>
        <v/>
      </c>
      <c r="O2141">
        <f>"L001-902303751"=S2141</f>
        <v/>
      </c>
      <c r="P2141">
        <f>G2141-U2141</f>
        <v/>
      </c>
      <c r="Q2141" s="35" t="n">
        <v>45656</v>
      </c>
      <c r="R2141" t="n">
        <v>110660</v>
      </c>
      <c r="S2141" t="inlineStr">
        <is>
          <t>L001-107032791</t>
        </is>
      </c>
      <c r="T2141" t="inlineStr">
        <is>
          <t>នីបផន អិចប្រេស (ខេមបូឌា) ខូ អិលធីឌី</t>
        </is>
      </c>
      <c r="U2141" t="n">
        <v>110660</v>
      </c>
      <c r="V2141" t="n">
        <v>0</v>
      </c>
    </row>
    <row r="2142">
      <c r="A2142" t="n">
        <v>2141</v>
      </c>
      <c r="B2142" t="inlineStr">
        <is>
          <t>Send Doc</t>
        </is>
      </c>
      <c r="C2142" t="inlineStr">
        <is>
          <t>ឌី អេច អិល អិចប្រេស (ខេមបូឌា)</t>
        </is>
      </c>
      <c r="D2142" t="inlineStr">
        <is>
          <t>L001-100045197</t>
        </is>
      </c>
      <c r="E2142" t="inlineStr">
        <is>
          <t>PNHR000513620</t>
        </is>
      </c>
      <c r="F2142" t="inlineStr">
        <is>
          <t>26-12-2024</t>
        </is>
      </c>
      <c r="G2142" t="n">
        <v>38882</v>
      </c>
      <c r="I2142">
        <f>G2142</f>
        <v/>
      </c>
      <c r="K2142">
        <f>I2142-G2142</f>
        <v/>
      </c>
      <c r="M2142">
        <f>R2142=E2142</f>
        <v/>
      </c>
      <c r="N2142">
        <f>AND(MONTH(F2142)=MONTH(Q2142), YEAR(F2142)=YEAR(Q2142))</f>
        <v/>
      </c>
      <c r="O2142">
        <f>"L001-902303751"=S2142</f>
        <v/>
      </c>
      <c r="P2142">
        <f>G2142-U2142</f>
        <v/>
      </c>
      <c r="Q2142" s="35" t="n">
        <v>45649</v>
      </c>
      <c r="R2142" t="inlineStr"/>
      <c r="S2142" t="inlineStr">
        <is>
          <t>L001-107032791</t>
        </is>
      </c>
      <c r="T2142" t="inlineStr">
        <is>
          <t>នីបផន អិចប្រេស (ខេមបូឌា) ខូ អិលធីឌី</t>
        </is>
      </c>
      <c r="U2142" t="n">
        <v>0</v>
      </c>
      <c r="V2142" t="n">
        <v>0</v>
      </c>
    </row>
    <row r="2143">
      <c r="A2143" t="n">
        <v>2142</v>
      </c>
      <c r="B2143" t="inlineStr">
        <is>
          <t>Send Doc</t>
        </is>
      </c>
      <c r="C2143" t="inlineStr">
        <is>
          <t>ឌី អេច អិល អិចប្រេស (ខេមបូឌា)</t>
        </is>
      </c>
      <c r="D2143" t="inlineStr">
        <is>
          <t>L001-100045197</t>
        </is>
      </c>
      <c r="E2143" t="inlineStr">
        <is>
          <t>PNHR000512991</t>
        </is>
      </c>
      <c r="F2143" t="inlineStr">
        <is>
          <t>19-12-2024</t>
        </is>
      </c>
      <c r="G2143" t="n">
        <v>80999</v>
      </c>
      <c r="I2143">
        <f>G2143</f>
        <v/>
      </c>
      <c r="K2143">
        <f>I2143-G2143</f>
        <v/>
      </c>
      <c r="M2143">
        <f>R2143=E2143</f>
        <v/>
      </c>
      <c r="N2143">
        <f>AND(MONTH(F2143)=MONTH(Q2143), YEAR(F2143)=YEAR(Q2143))</f>
        <v/>
      </c>
      <c r="O2143">
        <f>"L001-902303751"=S2143</f>
        <v/>
      </c>
      <c r="P2143">
        <f>G2143-U2143</f>
        <v/>
      </c>
      <c r="Q2143" s="35" t="n">
        <v>45656</v>
      </c>
      <c r="R2143" t="inlineStr"/>
      <c r="S2143" t="inlineStr">
        <is>
          <t>K002-901800477</t>
        </is>
      </c>
      <c r="T2143" t="inlineStr">
        <is>
          <t>អាយធីអាយ អ៊ិនធើណេសិនណល ត្រេនស័្ពរថេសិន (ខេមបូឌា) ឯ.ក</t>
        </is>
      </c>
      <c r="U2143" t="n">
        <v>0</v>
      </c>
      <c r="V2143" t="n">
        <v>0</v>
      </c>
    </row>
    <row r="2144">
      <c r="A2144" t="n">
        <v>2143</v>
      </c>
      <c r="B2144" t="inlineStr">
        <is>
          <t>Send Materials</t>
        </is>
      </c>
      <c r="C2144" t="inlineStr">
        <is>
          <t>ឌី អេច អិល អិចប្រេស (ខេមបូឌា)</t>
        </is>
      </c>
      <c r="D2144" t="inlineStr">
        <is>
          <t>L001-100045197</t>
        </is>
      </c>
      <c r="E2144" t="inlineStr">
        <is>
          <t>PNHR000512324</t>
        </is>
      </c>
      <c r="F2144" t="inlineStr">
        <is>
          <t>12-12-2024</t>
        </is>
      </c>
      <c r="G2144" t="n">
        <v>109753</v>
      </c>
      <c r="I2144">
        <f>G2144</f>
        <v/>
      </c>
      <c r="K2144">
        <f>I2144-G2144</f>
        <v/>
      </c>
      <c r="M2144">
        <f>R2144=E2144</f>
        <v/>
      </c>
      <c r="N2144">
        <f>AND(MONTH(F2144)=MONTH(Q2144), YEAR(F2144)=YEAR(Q2144))</f>
        <v/>
      </c>
      <c r="O2144">
        <f>"L001-902303751"=S2144</f>
        <v/>
      </c>
      <c r="P2144">
        <f>G2144-U2144</f>
        <v/>
      </c>
      <c r="Q2144" s="35" t="n">
        <v>45636</v>
      </c>
      <c r="R2144" t="n">
        <v>110688</v>
      </c>
      <c r="S2144" t="inlineStr">
        <is>
          <t>L001-100045995</t>
        </is>
      </c>
      <c r="T2144" t="inlineStr">
        <is>
          <t>ឌីអេចអិល ឡូជីស្ទីក (ខេមបូឌា)</t>
        </is>
      </c>
      <c r="U2144" t="n">
        <v>110688</v>
      </c>
      <c r="V2144" t="n">
        <v>0</v>
      </c>
    </row>
    <row r="2145">
      <c r="A2145" t="n">
        <v>2144</v>
      </c>
      <c r="B2145" t="inlineStr">
        <is>
          <t>Send Materials</t>
        </is>
      </c>
      <c r="C2145" t="inlineStr">
        <is>
          <t>ឌី អេច អិល អិចប្រេស (ខេមបូឌា)</t>
        </is>
      </c>
      <c r="D2145" t="inlineStr">
        <is>
          <t>L001-100045197</t>
        </is>
      </c>
      <c r="E2145" t="inlineStr">
        <is>
          <t>PNHR000511749</t>
        </is>
      </c>
      <c r="F2145" t="inlineStr">
        <is>
          <t>05-12-2024</t>
        </is>
      </c>
      <c r="G2145" t="n">
        <v>68694</v>
      </c>
      <c r="I2145">
        <f>G2145</f>
        <v/>
      </c>
      <c r="K2145">
        <f>I2145-G2145</f>
        <v/>
      </c>
      <c r="M2145">
        <f>R2145=E2145</f>
        <v/>
      </c>
      <c r="N2145">
        <f>AND(MONTH(F2145)=MONTH(Q2145), YEAR(F2145)=YEAR(Q2145))</f>
        <v/>
      </c>
      <c r="O2145">
        <f>"L001-902303751"=S2145</f>
        <v/>
      </c>
      <c r="P2145">
        <f>G2145-U2145</f>
        <v/>
      </c>
      <c r="Q2145" s="35" t="n">
        <v>45636</v>
      </c>
      <c r="R2145" t="n">
        <v>171063</v>
      </c>
      <c r="S2145" t="inlineStr">
        <is>
          <t>L001-107032791</t>
        </is>
      </c>
      <c r="T2145" t="inlineStr">
        <is>
          <t>នីបផន អិចប្រេស (ខេមបូឌា) ខូ អិលធីឌី</t>
        </is>
      </c>
      <c r="U2145" t="n">
        <v>171063</v>
      </c>
      <c r="V2145" t="n">
        <v>0</v>
      </c>
    </row>
    <row r="2146">
      <c r="A2146" t="n">
        <v>2145</v>
      </c>
      <c r="B2146" t="inlineStr">
        <is>
          <t>Decoration</t>
        </is>
      </c>
      <c r="C2146" t="inlineStr">
        <is>
          <t>ដឹ សាយ អេឡិកត្រូមេឃែនីខល អេនជីនារីង ឯ.ក</t>
        </is>
      </c>
      <c r="D2146" t="inlineStr">
        <is>
          <t>K009-902303599</t>
        </is>
      </c>
      <c r="E2146" t="inlineStr">
        <is>
          <t>00049</t>
        </is>
      </c>
      <c r="F2146" t="inlineStr">
        <is>
          <t>19-12-2024</t>
        </is>
      </c>
      <c r="G2146" t="n">
        <v>949453</v>
      </c>
      <c r="I2146">
        <f>G2146</f>
        <v/>
      </c>
      <c r="K2146">
        <f>I2146-G2146</f>
        <v/>
      </c>
      <c r="M2146">
        <f>R2146=E2146</f>
        <v/>
      </c>
      <c r="N2146">
        <f>AND(MONTH(F2146)=MONTH(Q2146), YEAR(F2146)=YEAR(Q2146))</f>
        <v/>
      </c>
      <c r="O2146">
        <f>"L001-902303751"=S2146</f>
        <v/>
      </c>
      <c r="P2146">
        <f>G2146-U2146</f>
        <v/>
      </c>
      <c r="Q2146" s="35" t="n">
        <v>45642</v>
      </c>
      <c r="R2146" t="inlineStr"/>
      <c r="S2146" t="inlineStr">
        <is>
          <t>L001-100045995</t>
        </is>
      </c>
      <c r="T2146" t="inlineStr">
        <is>
          <t>ឌីអេចអិល ឡូជីស្ទីក (ខេមបូឌា)</t>
        </is>
      </c>
      <c r="U2146" t="n">
        <v>0</v>
      </c>
      <c r="V2146" t="n">
        <v>0</v>
      </c>
    </row>
    <row r="2147">
      <c r="I2147">
        <f>G2147</f>
        <v/>
      </c>
      <c r="K2147">
        <f>I2147-G2147</f>
        <v/>
      </c>
      <c r="M2147">
        <f>R2147=E2147</f>
        <v/>
      </c>
      <c r="N2147">
        <f>AND(MONTH(F2147)=MONTH(Q2147), YEAR(F2147)=YEAR(Q2147))</f>
        <v/>
      </c>
      <c r="O2147">
        <f>"L001-902303751"=S2147</f>
        <v/>
      </c>
      <c r="P2147">
        <f>G2147-U2147</f>
        <v/>
      </c>
      <c r="Q2147" s="35" t="n">
        <v>45628</v>
      </c>
      <c r="R2147" t="n">
        <v>82595</v>
      </c>
      <c r="S2147" t="inlineStr">
        <is>
          <t>K005-100150195</t>
        </is>
      </c>
      <c r="T2147" t="inlineStr">
        <is>
          <t>អេស អ វី ស៊ី ហ្វ្រេត សឺវីស (ខេមបូឌា) ខូ អិលធីឌី</t>
        </is>
      </c>
      <c r="U2147" t="n">
        <v>82595</v>
      </c>
      <c r="V2147" t="n">
        <v>0</v>
      </c>
    </row>
    <row r="2148">
      <c r="I2148">
        <f>G2148</f>
        <v/>
      </c>
      <c r="K2148">
        <f>I2148-G2148</f>
        <v/>
      </c>
      <c r="M2148">
        <f>R2148=E2148</f>
        <v/>
      </c>
      <c r="N2148">
        <f>AND(MONTH(F2148)=MONTH(Q2148), YEAR(F2148)=YEAR(Q2148))</f>
        <v/>
      </c>
      <c r="O2148">
        <f>"L001-902303751"=S2148</f>
        <v/>
      </c>
      <c r="P2148">
        <f>G2148-U2148</f>
        <v/>
      </c>
      <c r="Q2148" s="35" t="n">
        <v>45628</v>
      </c>
      <c r="R2148" t="inlineStr"/>
      <c r="S2148" t="inlineStr">
        <is>
          <t>K005-901805913</t>
        </is>
      </c>
      <c r="T2148" t="inlineStr">
        <is>
          <t>ស្តារ ខង់ខដ (ខេមបូឌា) ឯ.ក</t>
        </is>
      </c>
      <c r="U2148" t="n">
        <v>0</v>
      </c>
      <c r="V2148" t="n">
        <v>0</v>
      </c>
    </row>
    <row r="2149">
      <c r="I2149">
        <f>G2149</f>
        <v/>
      </c>
      <c r="K2149">
        <f>I2149-G2149</f>
        <v/>
      </c>
      <c r="M2149">
        <f>R2149=E2149</f>
        <v/>
      </c>
      <c r="N2149">
        <f>AND(MONTH(F2149)=MONTH(Q2149), YEAR(F2149)=YEAR(Q2149))</f>
        <v/>
      </c>
      <c r="O2149">
        <f>"L001-902303751"=S2149</f>
        <v/>
      </c>
      <c r="P2149">
        <f>G2149-U2149</f>
        <v/>
      </c>
      <c r="Q2149" s="35" t="n">
        <v>45656</v>
      </c>
      <c r="R2149" t="n">
        <v>110660</v>
      </c>
      <c r="S2149" t="inlineStr">
        <is>
          <t>L001-107032791</t>
        </is>
      </c>
      <c r="T2149" t="inlineStr">
        <is>
          <t>នីបផន អិចប្រេស (ខេមបូឌា) ខូ អិលធីឌី</t>
        </is>
      </c>
      <c r="U2149" t="n">
        <v>110660</v>
      </c>
      <c r="V2149" t="n">
        <v>0</v>
      </c>
    </row>
    <row r="2150">
      <c r="I2150">
        <f>G2150</f>
        <v/>
      </c>
      <c r="K2150">
        <f>I2150-G2150</f>
        <v/>
      </c>
      <c r="M2150">
        <f>R2150=E2150</f>
        <v/>
      </c>
      <c r="N2150">
        <f>AND(MONTH(F2150)=MONTH(Q2150), YEAR(F2150)=YEAR(Q2150))</f>
        <v/>
      </c>
      <c r="O2150">
        <f>"L001-902303751"=S2150</f>
        <v/>
      </c>
      <c r="P2150">
        <f>G2150-U2150</f>
        <v/>
      </c>
      <c r="Q2150" s="35" t="n">
        <v>45656</v>
      </c>
      <c r="R2150" t="n">
        <v>113074</v>
      </c>
      <c r="S2150" t="inlineStr">
        <is>
          <t>K005-901805913</t>
        </is>
      </c>
      <c r="T2150" t="inlineStr">
        <is>
          <t>ស្តារ ខង់ខដ (ខេមបូឌា) ឯ.ក</t>
        </is>
      </c>
      <c r="U2150" t="n">
        <v>113074</v>
      </c>
      <c r="V2150" t="n">
        <v>0</v>
      </c>
    </row>
    <row r="2151">
      <c r="I2151">
        <f>G2151</f>
        <v/>
      </c>
      <c r="K2151">
        <f>I2151-G2151</f>
        <v/>
      </c>
      <c r="M2151">
        <f>R2151=E2151</f>
        <v/>
      </c>
      <c r="N2151">
        <f>AND(MONTH(F2151)=MONTH(Q2151), YEAR(F2151)=YEAR(Q2151))</f>
        <v/>
      </c>
      <c r="O2151">
        <f>"L001-902303751"=S2151</f>
        <v/>
      </c>
      <c r="P2151">
        <f>G2151-U2151</f>
        <v/>
      </c>
      <c r="Q2151" s="35" t="n">
        <v>45636</v>
      </c>
      <c r="R2151" t="inlineStr"/>
      <c r="S2151" t="inlineStr">
        <is>
          <t>L001-107032791</t>
        </is>
      </c>
      <c r="T2151" t="inlineStr">
        <is>
          <t>នីបផន អិចប្រេស (ខេមបូឌា) ខូ អិលធីឌី</t>
        </is>
      </c>
      <c r="U2151" t="n">
        <v>0</v>
      </c>
      <c r="V2151" t="n">
        <v>0</v>
      </c>
    </row>
    <row r="2152">
      <c r="I2152">
        <f>G2152</f>
        <v/>
      </c>
      <c r="K2152">
        <f>I2152-G2152</f>
        <v/>
      </c>
      <c r="M2152">
        <f>R2152=E2152</f>
        <v/>
      </c>
      <c r="N2152">
        <f>AND(MONTH(F2152)=MONTH(Q2152), YEAR(F2152)=YEAR(Q2152))</f>
        <v/>
      </c>
      <c r="O2152">
        <f>"L001-902303751"=S2152</f>
        <v/>
      </c>
      <c r="P2152">
        <f>G2152-U2152</f>
        <v/>
      </c>
      <c r="Q2152" s="35" t="n">
        <v>45642</v>
      </c>
      <c r="R2152" t="inlineStr"/>
      <c r="S2152" t="inlineStr">
        <is>
          <t>L001-107032791</t>
        </is>
      </c>
      <c r="T2152" t="inlineStr">
        <is>
          <t>នីបផន អិចប្រេស (ខេមបូឌា) ខូ អិលធីឌី</t>
        </is>
      </c>
      <c r="U2152" t="n">
        <v>0</v>
      </c>
      <c r="V2152" t="n">
        <v>0</v>
      </c>
    </row>
    <row r="2153">
      <c r="I2153">
        <f>G2153</f>
        <v/>
      </c>
      <c r="K2153">
        <f>I2153-G2153</f>
        <v/>
      </c>
      <c r="M2153">
        <f>R2153=E2153</f>
        <v/>
      </c>
      <c r="N2153">
        <f>AND(MONTH(F2153)=MONTH(Q2153), YEAR(F2153)=YEAR(Q2153))</f>
        <v/>
      </c>
      <c r="O2153">
        <f>"L001-902303751"=S2153</f>
        <v/>
      </c>
      <c r="P2153">
        <f>G2153-U2153</f>
        <v/>
      </c>
      <c r="Q2153" s="35" t="n">
        <v>45628</v>
      </c>
      <c r="R2153" t="n">
        <v>110798</v>
      </c>
      <c r="S2153" t="inlineStr">
        <is>
          <t>L001-107032791</t>
        </is>
      </c>
      <c r="T2153" t="inlineStr">
        <is>
          <t>នីបផន អិចប្រេស (ខេមបូឌា) ខូ អិលធីឌី</t>
        </is>
      </c>
      <c r="U2153" t="n">
        <v>110798</v>
      </c>
      <c r="V2153" t="n">
        <v>0</v>
      </c>
    </row>
    <row r="2154">
      <c r="I2154">
        <f>G2154</f>
        <v/>
      </c>
      <c r="K2154">
        <f>I2154-G2154</f>
        <v/>
      </c>
      <c r="M2154">
        <f>R2154=E2154</f>
        <v/>
      </c>
      <c r="N2154">
        <f>AND(MONTH(F2154)=MONTH(Q2154), YEAR(F2154)=YEAR(Q2154))</f>
        <v/>
      </c>
      <c r="O2154">
        <f>"L001-902303751"=S2154</f>
        <v/>
      </c>
      <c r="P2154">
        <f>G2154-U2154</f>
        <v/>
      </c>
      <c r="Q2154" s="35" t="n">
        <v>45628</v>
      </c>
      <c r="R2154" t="n">
        <v>110798</v>
      </c>
      <c r="S2154" t="inlineStr">
        <is>
          <t>L001-107032791</t>
        </is>
      </c>
      <c r="T2154" t="inlineStr">
        <is>
          <t>នីបផន អិចប្រេស (ខេមបូឌា) ខូ អិលធីឌី</t>
        </is>
      </c>
      <c r="U2154" t="n">
        <v>110798</v>
      </c>
      <c r="V2154" t="n">
        <v>0</v>
      </c>
    </row>
    <row r="2155">
      <c r="I2155">
        <f>G2155</f>
        <v/>
      </c>
      <c r="K2155">
        <f>I2155-G2155</f>
        <v/>
      </c>
      <c r="M2155">
        <f>R2155=E2155</f>
        <v/>
      </c>
      <c r="N2155">
        <f>AND(MONTH(F2155)=MONTH(Q2155), YEAR(F2155)=YEAR(Q2155))</f>
        <v/>
      </c>
      <c r="O2155">
        <f>"L001-902303751"=S2155</f>
        <v/>
      </c>
      <c r="P2155">
        <f>G2155-U2155</f>
        <v/>
      </c>
      <c r="Q2155" s="35" t="n">
        <v>45653</v>
      </c>
      <c r="R2155" t="n">
        <v>96906</v>
      </c>
      <c r="S2155" t="inlineStr">
        <is>
          <t>L001-100045340</t>
        </is>
      </c>
      <c r="T2155" t="inlineStr">
        <is>
          <t xml:space="preserve">ស៊ីវ៉ា អ៊ែរ អ៊ែន អូសៀន (ខេមបូឌា) ឯ.ក </t>
        </is>
      </c>
      <c r="U2155" t="n">
        <v>96906</v>
      </c>
      <c r="V2155" t="n">
        <v>0</v>
      </c>
    </row>
    <row r="2156">
      <c r="I2156">
        <f>G2156</f>
        <v/>
      </c>
      <c r="K2156">
        <f>I2156-G2156</f>
        <v/>
      </c>
      <c r="M2156">
        <f>R2156=E2156</f>
        <v/>
      </c>
      <c r="N2156">
        <f>AND(MONTH(F2156)=MONTH(Q2156), YEAR(F2156)=YEAR(Q2156))</f>
        <v/>
      </c>
      <c r="O2156">
        <f>"L001-902303751"=S2156</f>
        <v/>
      </c>
      <c r="P2156">
        <f>G2156-U2156</f>
        <v/>
      </c>
      <c r="Q2156" s="35" t="n">
        <v>45656</v>
      </c>
      <c r="R2156" t="n">
        <v>110660</v>
      </c>
      <c r="S2156" t="inlineStr">
        <is>
          <t>L001-107032791</t>
        </is>
      </c>
      <c r="T2156" t="inlineStr">
        <is>
          <t>នីបផន អិចប្រេស (ខេមបូឌា) ខូ អិលធីឌី</t>
        </is>
      </c>
      <c r="U2156" t="n">
        <v>110660</v>
      </c>
      <c r="V2156" t="n">
        <v>0</v>
      </c>
    </row>
    <row r="2157">
      <c r="I2157">
        <f>G2157</f>
        <v/>
      </c>
      <c r="K2157">
        <f>I2157-G2157</f>
        <v/>
      </c>
      <c r="M2157">
        <f>R2157=E2157</f>
        <v/>
      </c>
      <c r="N2157">
        <f>AND(MONTH(F2157)=MONTH(Q2157), YEAR(F2157)=YEAR(Q2157))</f>
        <v/>
      </c>
      <c r="O2157">
        <f>"L001-902303751"=S2157</f>
        <v/>
      </c>
      <c r="P2157">
        <f>G2157-U2157</f>
        <v/>
      </c>
      <c r="Q2157" s="35" t="n">
        <v>45656</v>
      </c>
      <c r="R2157" t="inlineStr"/>
      <c r="S2157" t="inlineStr">
        <is>
          <t>L001-107032791</t>
        </is>
      </c>
      <c r="T2157" t="inlineStr">
        <is>
          <t>នីបផន អិចប្រេស (ខេមបូឌា) ខូ អិលធីឌី</t>
        </is>
      </c>
      <c r="U2157" t="n">
        <v>0</v>
      </c>
      <c r="V2157" t="n">
        <v>0</v>
      </c>
    </row>
    <row r="2158">
      <c r="I2158">
        <f>G2158</f>
        <v/>
      </c>
      <c r="K2158">
        <f>I2158-G2158</f>
        <v/>
      </c>
      <c r="M2158">
        <f>R2158=E2158</f>
        <v/>
      </c>
      <c r="N2158">
        <f>AND(MONTH(F2158)=MONTH(Q2158), YEAR(F2158)=YEAR(Q2158))</f>
        <v/>
      </c>
      <c r="O2158">
        <f>"L001-902303751"=S2158</f>
        <v/>
      </c>
      <c r="P2158">
        <f>G2158-U2158</f>
        <v/>
      </c>
      <c r="Q2158" s="35" t="n">
        <v>45656</v>
      </c>
      <c r="R2158" t="n">
        <v>82492</v>
      </c>
      <c r="S2158" t="inlineStr">
        <is>
          <t>L001-107032791</t>
        </is>
      </c>
      <c r="T2158" t="inlineStr">
        <is>
          <t>នីបផន អិចប្រេស (ខេមបូឌា) ខូ អិលធីឌី</t>
        </is>
      </c>
      <c r="U2158" t="n">
        <v>82492</v>
      </c>
      <c r="V2158" t="n">
        <v>0</v>
      </c>
    </row>
    <row r="2159">
      <c r="I2159">
        <f>G2159</f>
        <v/>
      </c>
      <c r="K2159">
        <f>I2159-G2159</f>
        <v/>
      </c>
      <c r="M2159">
        <f>R2159=E2159</f>
        <v/>
      </c>
      <c r="N2159">
        <f>AND(MONTH(F2159)=MONTH(Q2159), YEAR(F2159)=YEAR(Q2159))</f>
        <v/>
      </c>
      <c r="O2159">
        <f>"L001-902303751"=S2159</f>
        <v/>
      </c>
      <c r="P2159">
        <f>G2159-U2159</f>
        <v/>
      </c>
      <c r="Q2159" s="35" t="n">
        <v>45656</v>
      </c>
      <c r="R2159" t="n">
        <v>82492</v>
      </c>
      <c r="S2159" t="inlineStr">
        <is>
          <t>L001-107032791</t>
        </is>
      </c>
      <c r="T2159" t="inlineStr">
        <is>
          <t>នីបផន អិចប្រេស (ខេមបូឌា) ខូ អិលធីឌី</t>
        </is>
      </c>
      <c r="U2159" t="n">
        <v>82492</v>
      </c>
      <c r="V2159" t="n">
        <v>0</v>
      </c>
    </row>
    <row r="2160">
      <c r="I2160">
        <f>G2160</f>
        <v/>
      </c>
      <c r="K2160">
        <f>I2160-G2160</f>
        <v/>
      </c>
      <c r="M2160">
        <f>R2160=E2160</f>
        <v/>
      </c>
      <c r="N2160">
        <f>AND(MONTH(F2160)=MONTH(Q2160), YEAR(F2160)=YEAR(Q2160))</f>
        <v/>
      </c>
      <c r="O2160">
        <f>"L001-902303751"=S2160</f>
        <v/>
      </c>
      <c r="P2160">
        <f>G2160-U2160</f>
        <v/>
      </c>
      <c r="Q2160" s="35" t="n">
        <v>45642</v>
      </c>
      <c r="R2160" t="inlineStr"/>
      <c r="S2160" t="inlineStr">
        <is>
          <t>L001-107041723</t>
        </is>
      </c>
      <c r="T2160" t="inlineStr">
        <is>
          <t>ឌីប៊ី សេនឃើរ (ខេមបូឌា) លីមីធីត</t>
        </is>
      </c>
      <c r="U2160" t="n">
        <v>0</v>
      </c>
      <c r="V2160" t="n">
        <v>0</v>
      </c>
    </row>
    <row r="2161">
      <c r="I2161">
        <f>G2161</f>
        <v/>
      </c>
      <c r="K2161">
        <f>I2161-G2161</f>
        <v/>
      </c>
      <c r="M2161">
        <f>R2161=E2161</f>
        <v/>
      </c>
      <c r="N2161">
        <f>AND(MONTH(F2161)=MONTH(Q2161), YEAR(F2161)=YEAR(Q2161))</f>
        <v/>
      </c>
      <c r="O2161">
        <f>"L001-902303751"=S2161</f>
        <v/>
      </c>
      <c r="P2161">
        <f>G2161-U2161</f>
        <v/>
      </c>
      <c r="Q2161" s="35" t="n">
        <v>45642</v>
      </c>
      <c r="R2161" t="n">
        <v>112934</v>
      </c>
      <c r="S2161" t="inlineStr">
        <is>
          <t>K005-901805913</t>
        </is>
      </c>
      <c r="T2161" t="inlineStr">
        <is>
          <t>ស្តារ ខង់ខដ (ខេមបូឌា) ឯ.ក</t>
        </is>
      </c>
      <c r="U2161" t="n">
        <v>112934</v>
      </c>
      <c r="V2161" t="n">
        <v>0</v>
      </c>
    </row>
    <row r="2162">
      <c r="I2162">
        <f>G2162</f>
        <v/>
      </c>
      <c r="K2162">
        <f>I2162-G2162</f>
        <v/>
      </c>
      <c r="M2162">
        <f>R2162=E2162</f>
        <v/>
      </c>
      <c r="N2162">
        <f>AND(MONTH(F2162)=MONTH(Q2162), YEAR(F2162)=YEAR(Q2162))</f>
        <v/>
      </c>
      <c r="O2162">
        <f>"L001-902303751"=S2162</f>
        <v/>
      </c>
      <c r="P2162">
        <f>G2162-U2162</f>
        <v/>
      </c>
      <c r="Q2162" s="35" t="n">
        <v>45649</v>
      </c>
      <c r="R2162" t="n">
        <v>125022</v>
      </c>
      <c r="S2162" t="inlineStr">
        <is>
          <t>L001-100045340</t>
        </is>
      </c>
      <c r="T2162" t="inlineStr">
        <is>
          <t xml:space="preserve">ស៊ីវ៉ា អ៊ែរ អ៊ែន អូសៀន (ខេមបូឌា) ឯ.ក </t>
        </is>
      </c>
      <c r="U2162" t="n">
        <v>125022</v>
      </c>
      <c r="V2162" t="n">
        <v>0</v>
      </c>
    </row>
    <row r="2163">
      <c r="I2163">
        <f>G2163</f>
        <v/>
      </c>
      <c r="K2163">
        <f>I2163-G2163</f>
        <v/>
      </c>
      <c r="M2163">
        <f>R2163=E2163</f>
        <v/>
      </c>
      <c r="N2163">
        <f>AND(MONTH(F2163)=MONTH(Q2163), YEAR(F2163)=YEAR(Q2163))</f>
        <v/>
      </c>
      <c r="O2163">
        <f>"L001-902303751"=S2163</f>
        <v/>
      </c>
      <c r="P2163">
        <f>G2163-U2163</f>
        <v/>
      </c>
      <c r="Q2163" s="35" t="n">
        <v>45649</v>
      </c>
      <c r="R2163" t="n">
        <v>110550</v>
      </c>
      <c r="S2163" t="inlineStr">
        <is>
          <t>L001-100045995</t>
        </is>
      </c>
      <c r="T2163" t="inlineStr">
        <is>
          <t>ឌីអេចអិល ឡូជីស្ទីក (ខេមបូឌា)</t>
        </is>
      </c>
      <c r="U2163" t="n">
        <v>110550</v>
      </c>
      <c r="V2163" t="n">
        <v>0</v>
      </c>
    </row>
    <row r="2164">
      <c r="I2164">
        <f>G2164</f>
        <v/>
      </c>
      <c r="K2164">
        <f>I2164-G2164</f>
        <v/>
      </c>
      <c r="M2164">
        <f>R2164=E2164</f>
        <v/>
      </c>
      <c r="N2164">
        <f>AND(MONTH(F2164)=MONTH(Q2164), YEAR(F2164)=YEAR(Q2164))</f>
        <v/>
      </c>
      <c r="O2164">
        <f>"L001-902303751"=S2164</f>
        <v/>
      </c>
      <c r="P2164">
        <f>G2164-U2164</f>
        <v/>
      </c>
      <c r="Q2164" s="35" t="n">
        <v>45351</v>
      </c>
      <c r="R2164" t="n">
        <v>13337202</v>
      </c>
      <c r="S2164" t="inlineStr">
        <is>
          <t>L001-100047149</t>
        </is>
      </c>
      <c r="T2164" t="inlineStr">
        <is>
          <t>ធនាគារ អេស៊ីលីដា ភីអិលស៊ី</t>
        </is>
      </c>
      <c r="U2164" t="n">
        <v>13337202</v>
      </c>
      <c r="V2164" t="n">
        <v>0</v>
      </c>
    </row>
    <row r="2165">
      <c r="I2165">
        <f>G2165</f>
        <v/>
      </c>
      <c r="K2165">
        <f>I2165-G2165</f>
        <v/>
      </c>
      <c r="M2165">
        <f>R2165=E2165</f>
        <v/>
      </c>
      <c r="N2165">
        <f>AND(MONTH(F2165)=MONTH(Q2165), YEAR(F2165)=YEAR(Q2165))</f>
        <v/>
      </c>
      <c r="O2165">
        <f>"L001-902303751"=S2165</f>
        <v/>
      </c>
      <c r="P2165">
        <f>G2165-U2165</f>
        <v/>
      </c>
      <c r="Q2165" s="35" t="n">
        <v>45324</v>
      </c>
      <c r="R2165" t="n">
        <v>36774</v>
      </c>
      <c r="S2165" t="inlineStr">
        <is>
          <t>L001-100129250</t>
        </is>
      </c>
      <c r="T2165" t="inlineStr">
        <is>
          <t>អេស.អាយ គ្រុប</t>
        </is>
      </c>
      <c r="U2165" t="n">
        <v>36774</v>
      </c>
      <c r="V2165" t="n">
        <v>0</v>
      </c>
    </row>
    <row r="2166">
      <c r="I2166">
        <f>G2166</f>
        <v/>
      </c>
      <c r="K2166">
        <f>I2166-G2166</f>
        <v/>
      </c>
      <c r="M2166">
        <f>R2166=E2166</f>
        <v/>
      </c>
      <c r="N2166">
        <f>AND(MONTH(F2166)=MONTH(Q2166), YEAR(F2166)=YEAR(Q2166))</f>
        <v/>
      </c>
      <c r="O2166">
        <f>"L001-902303751"=S2166</f>
        <v/>
      </c>
      <c r="P2166">
        <f>G2166-U2166</f>
        <v/>
      </c>
      <c r="Q2166" s="35" t="n">
        <v>45324</v>
      </c>
      <c r="R2166" t="n">
        <v>36774</v>
      </c>
      <c r="S2166" t="inlineStr">
        <is>
          <t>L001-100078885</t>
        </is>
      </c>
      <c r="T2166" t="inlineStr">
        <is>
          <t>អង្គរ ដាតា ខមម្ញូនីខេសិន គ្រុប (អេ ឌី​ ស៊ី)</t>
        </is>
      </c>
      <c r="U2166" t="n">
        <v>36774</v>
      </c>
      <c r="V2166" t="n">
        <v>0</v>
      </c>
    </row>
    <row r="2167">
      <c r="I2167">
        <f>G2167</f>
        <v/>
      </c>
      <c r="K2167">
        <f>I2167-G2167</f>
        <v/>
      </c>
      <c r="M2167">
        <f>R2167=E2167</f>
        <v/>
      </c>
      <c r="N2167">
        <f>AND(MONTH(F2167)=MONTH(Q2167), YEAR(F2167)=YEAR(Q2167))</f>
        <v/>
      </c>
      <c r="O2167">
        <f>"L001-902303751"=S2167</f>
        <v/>
      </c>
      <c r="P2167">
        <f>G2167-U2167</f>
        <v/>
      </c>
      <c r="Q2167" s="35" t="n">
        <v>45324</v>
      </c>
      <c r="R2167" t="n">
        <v>18387</v>
      </c>
      <c r="S2167" t="inlineStr">
        <is>
          <t>L001-100078885</t>
        </is>
      </c>
      <c r="T2167" t="inlineStr">
        <is>
          <t>អង្គរ ដាតា ខមម្ញូនីខេសិន គ្រុប (អេ ឌី​ ស៊ី)</t>
        </is>
      </c>
      <c r="U2167" t="n">
        <v>18387</v>
      </c>
      <c r="V2167" t="n">
        <v>0</v>
      </c>
    </row>
    <row r="2168">
      <c r="I2168">
        <f>G2168</f>
        <v/>
      </c>
      <c r="K2168">
        <f>I2168-G2168</f>
        <v/>
      </c>
      <c r="M2168">
        <f>R2168=E2168</f>
        <v/>
      </c>
      <c r="N2168">
        <f>AND(MONTH(F2168)=MONTH(Q2168), YEAR(F2168)=YEAR(Q2168))</f>
        <v/>
      </c>
      <c r="O2168">
        <f>"L001-902303751"=S2168</f>
        <v/>
      </c>
      <c r="P2168">
        <f>G2168-U2168</f>
        <v/>
      </c>
      <c r="Q2168" s="35" t="n">
        <v>45380</v>
      </c>
      <c r="R2168" t="n">
        <v>13103034</v>
      </c>
      <c r="S2168" t="inlineStr">
        <is>
          <t>L001-100047149</t>
        </is>
      </c>
      <c r="T2168" t="inlineStr">
        <is>
          <t>ធនាគារ អេស៊ីលីដា ភីអិលស៊ី</t>
        </is>
      </c>
      <c r="U2168" t="n">
        <v>13103034</v>
      </c>
      <c r="V2168" t="n">
        <v>0</v>
      </c>
    </row>
    <row r="2169">
      <c r="I2169">
        <f>G2169</f>
        <v/>
      </c>
      <c r="K2169">
        <f>I2169-G2169</f>
        <v/>
      </c>
      <c r="M2169">
        <f>R2169=E2169</f>
        <v/>
      </c>
      <c r="N2169">
        <f>AND(MONTH(F2169)=MONTH(Q2169), YEAR(F2169)=YEAR(Q2169))</f>
        <v/>
      </c>
      <c r="O2169">
        <f>"L001-902303751"=S2169</f>
        <v/>
      </c>
      <c r="P2169">
        <f>G2169-U2169</f>
        <v/>
      </c>
      <c r="Q2169" s="35" t="n">
        <v>45358</v>
      </c>
      <c r="R2169" t="n">
        <v>18261</v>
      </c>
      <c r="S2169" t="inlineStr">
        <is>
          <t>L001-100078885</t>
        </is>
      </c>
      <c r="T2169" t="inlineStr">
        <is>
          <t>អង្គរ ដាតា ខមម្ញូនីខេសិន គ្រុប (អេ ឌី​ ស៊ី)</t>
        </is>
      </c>
      <c r="U2169" t="n">
        <v>18261</v>
      </c>
      <c r="V2169" t="n">
        <v>0</v>
      </c>
    </row>
    <row r="2170">
      <c r="I2170">
        <f>G2170</f>
        <v/>
      </c>
      <c r="K2170">
        <f>I2170-G2170</f>
        <v/>
      </c>
      <c r="M2170">
        <f>R2170=E2170</f>
        <v/>
      </c>
      <c r="N2170">
        <f>AND(MONTH(F2170)=MONTH(Q2170), YEAR(F2170)=YEAR(Q2170))</f>
        <v/>
      </c>
      <c r="O2170">
        <f>"L001-902303751"=S2170</f>
        <v/>
      </c>
      <c r="P2170">
        <f>G2170-U2170</f>
        <v/>
      </c>
      <c r="Q2170" s="35" t="n">
        <v>45357</v>
      </c>
      <c r="R2170" t="n">
        <v>36585</v>
      </c>
      <c r="S2170" t="inlineStr">
        <is>
          <t>L001-100078885</t>
        </is>
      </c>
      <c r="T2170" t="inlineStr">
        <is>
          <t>អង្គរ ដាតា ខមម្ញូនីខេសិន គ្រុប (អេ ឌី​ ស៊ី)</t>
        </is>
      </c>
      <c r="U2170" t="n">
        <v>36585</v>
      </c>
      <c r="V2170" t="n">
        <v>0</v>
      </c>
    </row>
    <row r="2171">
      <c r="I2171">
        <f>G2171</f>
        <v/>
      </c>
      <c r="K2171">
        <f>I2171-G2171</f>
        <v/>
      </c>
      <c r="M2171">
        <f>R2171=E2171</f>
        <v/>
      </c>
      <c r="N2171">
        <f>AND(MONTH(F2171)=MONTH(Q2171), YEAR(F2171)=YEAR(Q2171))</f>
        <v/>
      </c>
      <c r="O2171">
        <f>"L001-902303751"=S2171</f>
        <v/>
      </c>
      <c r="P2171">
        <f>G2171-U2171</f>
        <v/>
      </c>
      <c r="Q2171" s="35" t="n">
        <v>45358</v>
      </c>
      <c r="R2171" t="n">
        <v>504369</v>
      </c>
      <c r="S2171" t="inlineStr">
        <is>
          <t>L001-100078885</t>
        </is>
      </c>
      <c r="T2171" t="inlineStr">
        <is>
          <t>អង្គរ ដាតា ខមម្ញូនីខេសិន គ្រុប (អេ ឌី​ ស៊ី)</t>
        </is>
      </c>
      <c r="U2171" t="n">
        <v>504369</v>
      </c>
      <c r="V2171" t="n">
        <v>0</v>
      </c>
    </row>
    <row r="2172">
      <c r="I2172">
        <f>G2172</f>
        <v/>
      </c>
      <c r="K2172">
        <f>I2172-G2172</f>
        <v/>
      </c>
      <c r="M2172">
        <f>R2172=E2172</f>
        <v/>
      </c>
      <c r="N2172">
        <f>AND(MONTH(F2172)=MONTH(Q2172), YEAR(F2172)=YEAR(Q2172))</f>
        <v/>
      </c>
      <c r="O2172">
        <f>"L001-902303751"=S2172</f>
        <v/>
      </c>
      <c r="P2172">
        <f>G2172-U2172</f>
        <v/>
      </c>
      <c r="Q2172" s="35" t="n">
        <v>45357</v>
      </c>
      <c r="R2172" t="n">
        <v>36585</v>
      </c>
      <c r="S2172" t="inlineStr">
        <is>
          <t>L001-100129250</t>
        </is>
      </c>
      <c r="T2172" t="inlineStr">
        <is>
          <t>អេស.អាយ គ្រុប</t>
        </is>
      </c>
      <c r="U2172" t="n">
        <v>36585</v>
      </c>
      <c r="V2172" t="n">
        <v>0</v>
      </c>
    </row>
    <row r="2173">
      <c r="I2173">
        <f>G2173</f>
        <v/>
      </c>
      <c r="K2173">
        <f>I2173-G2173</f>
        <v/>
      </c>
      <c r="M2173">
        <f>R2173=E2173</f>
        <v/>
      </c>
      <c r="N2173">
        <f>AND(MONTH(F2173)=MONTH(Q2173), YEAR(F2173)=YEAR(Q2173))</f>
        <v/>
      </c>
      <c r="O2173">
        <f>"L001-902303751"=S2173</f>
        <v/>
      </c>
      <c r="P2173">
        <f>G2173-U2173</f>
        <v/>
      </c>
      <c r="Q2173" s="35" t="n">
        <v>45363</v>
      </c>
      <c r="R2173" t="n">
        <v>9097</v>
      </c>
      <c r="S2173" t="inlineStr">
        <is>
          <t>L001-100078885</t>
        </is>
      </c>
      <c r="T2173" t="inlineStr">
        <is>
          <t>អង្គរ ដាតា ខមម្ញូនីខេសិន គ្រុប (អេ ឌី​ ស៊ី)</t>
        </is>
      </c>
      <c r="U2173" t="n">
        <v>9097</v>
      </c>
      <c r="V2173" t="n">
        <v>0</v>
      </c>
    </row>
    <row r="2174">
      <c r="I2174">
        <f>G2174</f>
        <v/>
      </c>
      <c r="K2174">
        <f>I2174-G2174</f>
        <v/>
      </c>
      <c r="M2174">
        <f>R2174=E2174</f>
        <v/>
      </c>
      <c r="N2174">
        <f>AND(MONTH(F2174)=MONTH(Q2174), YEAR(F2174)=YEAR(Q2174))</f>
        <v/>
      </c>
      <c r="O2174">
        <f>"L001-902303751"=S2174</f>
        <v/>
      </c>
      <c r="P2174">
        <f>G2174-U2174</f>
        <v/>
      </c>
      <c r="Q2174" s="35" t="n">
        <v>45386</v>
      </c>
      <c r="R2174" t="n">
        <v>572960</v>
      </c>
      <c r="S2174" t="inlineStr">
        <is>
          <t>L001-100078885</t>
        </is>
      </c>
      <c r="T2174" t="inlineStr">
        <is>
          <t>អង្គរ ដាតា ខមម្ញូនីខេសិន គ្រុប (អេ ឌី​ ស៊ី)</t>
        </is>
      </c>
      <c r="U2174" t="n">
        <v>572960</v>
      </c>
      <c r="V2174" t="n">
        <v>0</v>
      </c>
    </row>
    <row r="2175">
      <c r="I2175">
        <f>G2175</f>
        <v/>
      </c>
      <c r="K2175">
        <f>I2175-G2175</f>
        <v/>
      </c>
      <c r="M2175">
        <f>R2175=E2175</f>
        <v/>
      </c>
      <c r="N2175">
        <f>AND(MONTH(F2175)=MONTH(Q2175), YEAR(F2175)=YEAR(Q2175))</f>
        <v/>
      </c>
      <c r="O2175">
        <f>"L001-902303751"=S2175</f>
        <v/>
      </c>
      <c r="P2175">
        <f>G2175-U2175</f>
        <v/>
      </c>
      <c r="Q2175" s="35" t="n">
        <v>45384</v>
      </c>
      <c r="R2175" t="n">
        <v>36351</v>
      </c>
      <c r="S2175" t="inlineStr">
        <is>
          <t>L001-100078885</t>
        </is>
      </c>
      <c r="T2175" t="inlineStr">
        <is>
          <t>អង្គរ ដាតា ខមម្ញូនីខេសិន គ្រុប (អេ ឌី​ ស៊ី)</t>
        </is>
      </c>
      <c r="U2175" t="n">
        <v>36351</v>
      </c>
      <c r="V2175" t="n">
        <v>0</v>
      </c>
    </row>
    <row r="2176">
      <c r="I2176">
        <f>G2176</f>
        <v/>
      </c>
      <c r="K2176">
        <f>I2176-G2176</f>
        <v/>
      </c>
      <c r="M2176">
        <f>R2176=E2176</f>
        <v/>
      </c>
      <c r="N2176">
        <f>AND(MONTH(F2176)=MONTH(Q2176), YEAR(F2176)=YEAR(Q2176))</f>
        <v/>
      </c>
      <c r="O2176">
        <f>"L001-902303751"=S2176</f>
        <v/>
      </c>
      <c r="P2176">
        <f>G2176-U2176</f>
        <v/>
      </c>
      <c r="Q2176" s="35" t="n">
        <v>45385</v>
      </c>
      <c r="R2176" t="n">
        <v>274788</v>
      </c>
      <c r="S2176" t="inlineStr">
        <is>
          <t>K005-100150195</t>
        </is>
      </c>
      <c r="T2176" t="inlineStr">
        <is>
          <t>អេស អ វី ស៊ី ហ្វ្រេត សឺវីស (ខេមបូឌា) ខូ អិលធីឌី</t>
        </is>
      </c>
      <c r="U2176" t="n">
        <v>274788</v>
      </c>
      <c r="V2176" t="n">
        <v>0</v>
      </c>
    </row>
    <row r="2177">
      <c r="I2177">
        <f>G2177</f>
        <v/>
      </c>
      <c r="K2177">
        <f>I2177-G2177</f>
        <v/>
      </c>
      <c r="M2177">
        <f>R2177=E2177</f>
        <v/>
      </c>
      <c r="N2177">
        <f>AND(MONTH(F2177)=MONTH(Q2177), YEAR(F2177)=YEAR(Q2177))</f>
        <v/>
      </c>
      <c r="O2177">
        <f>"L001-902303751"=S2177</f>
        <v/>
      </c>
      <c r="P2177">
        <f>G2177-U2177</f>
        <v/>
      </c>
      <c r="Q2177" s="35" t="n">
        <v>45412</v>
      </c>
      <c r="R2177" t="n">
        <v>13456525</v>
      </c>
      <c r="S2177" t="inlineStr">
        <is>
          <t>L001-100047149</t>
        </is>
      </c>
      <c r="T2177" t="inlineStr">
        <is>
          <t>ធនាគារ អេស៊ីលីដា ភីអិលស៊ី</t>
        </is>
      </c>
      <c r="U2177" t="n">
        <v>13456525</v>
      </c>
      <c r="V2177" t="n">
        <v>0</v>
      </c>
    </row>
    <row r="2178">
      <c r="I2178">
        <f>G2178</f>
        <v/>
      </c>
      <c r="K2178">
        <f>I2178-G2178</f>
        <v/>
      </c>
      <c r="M2178">
        <f>R2178=E2178</f>
        <v/>
      </c>
      <c r="N2178">
        <f>AND(MONTH(F2178)=MONTH(Q2178), YEAR(F2178)=YEAR(Q2178))</f>
        <v/>
      </c>
      <c r="O2178">
        <f>"L001-902303751"=S2178</f>
        <v/>
      </c>
      <c r="P2178">
        <f>G2178-U2178</f>
        <v/>
      </c>
      <c r="Q2178" s="35" t="n">
        <v>45384</v>
      </c>
      <c r="R2178" t="n">
        <v>36351</v>
      </c>
      <c r="S2178" t="inlineStr">
        <is>
          <t>L001-100129250</t>
        </is>
      </c>
      <c r="T2178" t="inlineStr">
        <is>
          <t>អេស.អាយ គ្រុប</t>
        </is>
      </c>
      <c r="U2178" t="n">
        <v>36351</v>
      </c>
      <c r="V2178" t="n">
        <v>0</v>
      </c>
    </row>
    <row r="2179">
      <c r="I2179">
        <f>G2179</f>
        <v/>
      </c>
      <c r="K2179">
        <f>I2179-G2179</f>
        <v/>
      </c>
      <c r="M2179">
        <f>R2179=E2179</f>
        <v/>
      </c>
      <c r="N2179">
        <f>AND(MONTH(F2179)=MONTH(Q2179), YEAR(F2179)=YEAR(Q2179))</f>
        <v/>
      </c>
      <c r="O2179">
        <f>"L001-902303751"=S2179</f>
        <v/>
      </c>
      <c r="P2179">
        <f>G2179-U2179</f>
        <v/>
      </c>
      <c r="Q2179" s="35" t="n">
        <v>45415</v>
      </c>
      <c r="R2179" t="n">
        <v>36648</v>
      </c>
      <c r="S2179" t="inlineStr">
        <is>
          <t>L001-100129250</t>
        </is>
      </c>
      <c r="T2179" t="inlineStr">
        <is>
          <t>អេស.អាយ គ្រុប</t>
        </is>
      </c>
      <c r="U2179" t="n">
        <v>36648</v>
      </c>
      <c r="V2179" t="n">
        <v>0</v>
      </c>
    </row>
    <row r="2180">
      <c r="I2180">
        <f>G2180</f>
        <v/>
      </c>
      <c r="K2180">
        <f>I2180-G2180</f>
        <v/>
      </c>
      <c r="M2180">
        <f>R2180=E2180</f>
        <v/>
      </c>
      <c r="N2180">
        <f>AND(MONTH(F2180)=MONTH(Q2180), YEAR(F2180)=YEAR(Q2180))</f>
        <v/>
      </c>
      <c r="O2180">
        <f>"L001-902303751"=S2180</f>
        <v/>
      </c>
      <c r="P2180">
        <f>G2180-U2180</f>
        <v/>
      </c>
      <c r="Q2180" s="35" t="n">
        <v>45443</v>
      </c>
      <c r="R2180" t="n">
        <v>14153192</v>
      </c>
      <c r="S2180" t="inlineStr">
        <is>
          <t>L001-100047149</t>
        </is>
      </c>
      <c r="T2180" t="inlineStr">
        <is>
          <t>ធនាគារ អេស៊ីលីដា ភីអិលស៊ី</t>
        </is>
      </c>
      <c r="U2180" t="n">
        <v>14153192</v>
      </c>
      <c r="V2180" t="n">
        <v>0</v>
      </c>
    </row>
    <row r="2181">
      <c r="I2181">
        <f>G2181</f>
        <v/>
      </c>
      <c r="K2181">
        <f>I2181-G2181</f>
        <v/>
      </c>
      <c r="M2181">
        <f>R2181=E2181</f>
        <v/>
      </c>
      <c r="N2181">
        <f>AND(MONTH(F2181)=MONTH(Q2181), YEAR(F2181)=YEAR(Q2181))</f>
        <v/>
      </c>
      <c r="O2181">
        <f>"L001-902303751"=S2181</f>
        <v/>
      </c>
      <c r="P2181">
        <f>G2181-U2181</f>
        <v/>
      </c>
      <c r="Q2181" s="35" t="n">
        <v>45418</v>
      </c>
      <c r="R2181" t="n">
        <v>579812</v>
      </c>
      <c r="S2181" t="inlineStr">
        <is>
          <t>L001-100078885</t>
        </is>
      </c>
      <c r="T2181" t="inlineStr">
        <is>
          <t>អង្គរ ដាតា ខមម្ញូនីខេសិន គ្រុប (អេ ឌី​ ស៊ី)</t>
        </is>
      </c>
      <c r="U2181" t="n">
        <v>579812</v>
      </c>
      <c r="V2181" t="n">
        <v>0</v>
      </c>
    </row>
    <row r="2182">
      <c r="I2182">
        <f>G2182</f>
        <v/>
      </c>
      <c r="K2182">
        <f>I2182-G2182</f>
        <v/>
      </c>
      <c r="M2182">
        <f>R2182=E2182</f>
        <v/>
      </c>
      <c r="N2182">
        <f>AND(MONTH(F2182)=MONTH(Q2182), YEAR(F2182)=YEAR(Q2182))</f>
        <v/>
      </c>
      <c r="O2182">
        <f>"L001-902303751"=S2182</f>
        <v/>
      </c>
      <c r="P2182">
        <f>G2182-U2182</f>
        <v/>
      </c>
      <c r="Q2182" s="35" t="n">
        <v>45415</v>
      </c>
      <c r="R2182" t="n">
        <v>36648</v>
      </c>
      <c r="S2182" t="inlineStr">
        <is>
          <t>L001-100078885</t>
        </is>
      </c>
      <c r="T2182" t="inlineStr">
        <is>
          <t>អង្គរ ដាតា ខមម្ញូនីខេសិន គ្រុប (អេ ឌី​ ស៊ី)</t>
        </is>
      </c>
      <c r="U2182" t="n">
        <v>36648</v>
      </c>
      <c r="V2182" t="n">
        <v>0</v>
      </c>
    </row>
    <row r="2183">
      <c r="I2183">
        <f>G2183</f>
        <v/>
      </c>
      <c r="K2183">
        <f>I2183-G2183</f>
        <v/>
      </c>
      <c r="M2183">
        <f>R2183=E2183</f>
        <v/>
      </c>
      <c r="N2183">
        <f>AND(MONTH(F2183)=MONTH(Q2183), YEAR(F2183)=YEAR(Q2183))</f>
        <v/>
      </c>
      <c r="O2183">
        <f>"L001-902303751"=S2183</f>
        <v/>
      </c>
      <c r="P2183">
        <f>G2183-U2183</f>
        <v/>
      </c>
      <c r="Q2183" s="35" t="n">
        <v>45471</v>
      </c>
      <c r="R2183" t="n">
        <v>11690151</v>
      </c>
      <c r="S2183" t="inlineStr">
        <is>
          <t>L001-100047149</t>
        </is>
      </c>
      <c r="T2183" t="inlineStr">
        <is>
          <t>ធនាគារ អេស៊ីលីដា ភីអិលស៊ី</t>
        </is>
      </c>
      <c r="U2183" t="n">
        <v>11690151</v>
      </c>
      <c r="V2183" t="n">
        <v>0</v>
      </c>
    </row>
    <row r="2184">
      <c r="I2184">
        <f>G2184</f>
        <v/>
      </c>
      <c r="K2184">
        <f>I2184-G2184</f>
        <v/>
      </c>
      <c r="M2184">
        <f>R2184=E2184</f>
        <v/>
      </c>
      <c r="N2184">
        <f>AND(MONTH(F2184)=MONTH(Q2184), YEAR(F2184)=YEAR(Q2184))</f>
        <v/>
      </c>
      <c r="O2184">
        <f>"L001-902303751"=S2184</f>
        <v/>
      </c>
      <c r="P2184">
        <f>G2184-U2184</f>
        <v/>
      </c>
      <c r="Q2184" s="35" t="n">
        <v>45447</v>
      </c>
      <c r="R2184" t="n">
        <v>36936</v>
      </c>
      <c r="S2184" t="inlineStr">
        <is>
          <t>L001-100129250</t>
        </is>
      </c>
      <c r="T2184" t="inlineStr">
        <is>
          <t>អេស.អាយ គ្រុប</t>
        </is>
      </c>
      <c r="U2184" t="n">
        <v>36936</v>
      </c>
      <c r="V2184" t="n">
        <v>0</v>
      </c>
    </row>
    <row r="2185">
      <c r="I2185">
        <f>G2185</f>
        <v/>
      </c>
      <c r="K2185">
        <f>I2185-G2185</f>
        <v/>
      </c>
      <c r="M2185">
        <f>R2185=E2185</f>
        <v/>
      </c>
      <c r="N2185">
        <f>AND(MONTH(F2185)=MONTH(Q2185), YEAR(F2185)=YEAR(Q2185))</f>
        <v/>
      </c>
      <c r="O2185">
        <f>"L001-902303751"=S2185</f>
        <v/>
      </c>
      <c r="P2185">
        <f>G2185-U2185</f>
        <v/>
      </c>
      <c r="Q2185" s="35" t="n">
        <v>45448</v>
      </c>
      <c r="R2185" t="n">
        <v>283331</v>
      </c>
      <c r="S2185" t="inlineStr">
        <is>
          <t>L001-100078885</t>
        </is>
      </c>
      <c r="T2185" t="inlineStr">
        <is>
          <t>អង្គរ ដាតា ខមម្ញូនីខេសិន គ្រុប (អេ ឌី​ ស៊ី)</t>
        </is>
      </c>
      <c r="U2185" t="n">
        <v>283331</v>
      </c>
      <c r="V2185" t="n">
        <v>0</v>
      </c>
    </row>
    <row r="2186">
      <c r="I2186">
        <f>G2186</f>
        <v/>
      </c>
      <c r="K2186">
        <f>I2186-G2186</f>
        <v/>
      </c>
      <c r="M2186">
        <f>R2186=E2186</f>
        <v/>
      </c>
      <c r="N2186">
        <f>AND(MONTH(F2186)=MONTH(Q2186), YEAR(F2186)=YEAR(Q2186))</f>
        <v/>
      </c>
      <c r="O2186">
        <f>"L001-902303751"=S2186</f>
        <v/>
      </c>
      <c r="P2186">
        <f>G2186-U2186</f>
        <v/>
      </c>
      <c r="Q2186" s="35" t="n">
        <v>45447</v>
      </c>
      <c r="R2186" t="n">
        <v>36936</v>
      </c>
      <c r="S2186" t="inlineStr">
        <is>
          <t>L001-100078885</t>
        </is>
      </c>
      <c r="T2186" t="inlineStr">
        <is>
          <t>អង្គរ ដាតា ខមម្ញូនីខេសិន គ្រុប (អេ ឌី​ ស៊ី)</t>
        </is>
      </c>
      <c r="U2186" t="n">
        <v>36936</v>
      </c>
      <c r="V2186" t="n">
        <v>0</v>
      </c>
    </row>
    <row r="2187">
      <c r="I2187">
        <f>G2187</f>
        <v/>
      </c>
      <c r="K2187">
        <f>I2187-G2187</f>
        <v/>
      </c>
      <c r="M2187">
        <f>R2187=E2187</f>
        <v/>
      </c>
      <c r="N2187">
        <f>AND(MONTH(F2187)=MONTH(Q2187), YEAR(F2187)=YEAR(Q2187))</f>
        <v/>
      </c>
      <c r="O2187">
        <f>"L001-902303751"=S2187</f>
        <v/>
      </c>
      <c r="P2187">
        <f>G2187-U2187</f>
        <v/>
      </c>
      <c r="Q2187" s="35" t="n">
        <v>45478</v>
      </c>
      <c r="R2187" t="n">
        <v>37053</v>
      </c>
      <c r="S2187" t="inlineStr">
        <is>
          <t>L001-100129250</t>
        </is>
      </c>
      <c r="T2187" t="inlineStr">
        <is>
          <t>អេស.អាយ គ្រុប</t>
        </is>
      </c>
      <c r="U2187" t="n">
        <v>37053</v>
      </c>
      <c r="V2187" t="n">
        <v>0</v>
      </c>
    </row>
    <row r="2188">
      <c r="I2188">
        <f>G2188</f>
        <v/>
      </c>
      <c r="K2188">
        <f>I2188-G2188</f>
        <v/>
      </c>
      <c r="M2188">
        <f>R2188=E2188</f>
        <v/>
      </c>
      <c r="N2188">
        <f>AND(MONTH(F2188)=MONTH(Q2188), YEAR(F2188)=YEAR(Q2188))</f>
        <v/>
      </c>
      <c r="O2188">
        <f>"L001-902303751"=S2188</f>
        <v/>
      </c>
      <c r="P2188">
        <f>G2188-U2188</f>
        <v/>
      </c>
      <c r="Q2188" s="35" t="n">
        <v>45482</v>
      </c>
      <c r="R2188" t="n">
        <v>195630</v>
      </c>
      <c r="S2188" t="inlineStr">
        <is>
          <t>L001-100078885</t>
        </is>
      </c>
      <c r="T2188" t="inlineStr">
        <is>
          <t>អង្គរ ដាតា ខមម្ញូនីខេសិន គ្រុប (អេ ឌី​ ស៊ី)</t>
        </is>
      </c>
      <c r="U2188" t="n">
        <v>195630</v>
      </c>
      <c r="V2188" t="n">
        <v>0</v>
      </c>
    </row>
    <row r="2189">
      <c r="I2189">
        <f>G2189</f>
        <v/>
      </c>
      <c r="K2189">
        <f>I2189-G2189</f>
        <v/>
      </c>
      <c r="M2189">
        <f>R2189=E2189</f>
        <v/>
      </c>
      <c r="N2189">
        <f>AND(MONTH(F2189)=MONTH(Q2189), YEAR(F2189)=YEAR(Q2189))</f>
        <v/>
      </c>
      <c r="O2189">
        <f>"L001-902303751"=S2189</f>
        <v/>
      </c>
      <c r="P2189">
        <f>G2189-U2189</f>
        <v/>
      </c>
      <c r="Q2189" s="35" t="n">
        <v>45504</v>
      </c>
      <c r="R2189" t="n">
        <v>15124147</v>
      </c>
      <c r="S2189" t="inlineStr">
        <is>
          <t>L001-100047149</t>
        </is>
      </c>
      <c r="T2189" t="inlineStr">
        <is>
          <t>ធនាគារ អេស៊ីលីដា ភីអិលស៊ី</t>
        </is>
      </c>
      <c r="U2189" t="n">
        <v>15124147</v>
      </c>
      <c r="V2189" t="n">
        <v>0</v>
      </c>
    </row>
    <row r="2190">
      <c r="I2190">
        <f>G2190</f>
        <v/>
      </c>
      <c r="K2190">
        <f>I2190-G2190</f>
        <v/>
      </c>
      <c r="M2190">
        <f>R2190=E2190</f>
        <v/>
      </c>
      <c r="N2190">
        <f>AND(MONTH(F2190)=MONTH(Q2190), YEAR(F2190)=YEAR(Q2190))</f>
        <v/>
      </c>
      <c r="O2190">
        <f>"L001-902303751"=S2190</f>
        <v/>
      </c>
      <c r="P2190">
        <f>G2190-U2190</f>
        <v/>
      </c>
      <c r="Q2190" s="35" t="n">
        <v>45478</v>
      </c>
      <c r="R2190" t="n">
        <v>37053</v>
      </c>
      <c r="S2190" t="inlineStr">
        <is>
          <t>L001-100078885</t>
        </is>
      </c>
      <c r="T2190" t="inlineStr">
        <is>
          <t>អង្គរ ដាតា ខមម្ញូនីខេសិន គ្រុប (អេ ឌី​ ស៊ី)</t>
        </is>
      </c>
      <c r="U2190" t="n">
        <v>37053</v>
      </c>
      <c r="V2190" t="n">
        <v>0</v>
      </c>
    </row>
    <row r="2191">
      <c r="I2191">
        <f>G2191</f>
        <v/>
      </c>
      <c r="K2191">
        <f>I2191-G2191</f>
        <v/>
      </c>
      <c r="M2191">
        <f>R2191=E2191</f>
        <v/>
      </c>
      <c r="N2191">
        <f>AND(MONTH(F2191)=MONTH(Q2191), YEAR(F2191)=YEAR(Q2191))</f>
        <v/>
      </c>
      <c r="O2191">
        <f>"L001-902303751"=S2191</f>
        <v/>
      </c>
      <c r="P2191">
        <f>G2191-U2191</f>
        <v/>
      </c>
      <c r="Q2191" s="35" t="n">
        <v>45497</v>
      </c>
      <c r="R2191" t="n">
        <v>458110</v>
      </c>
      <c r="S2191" t="inlineStr">
        <is>
          <t>L001-100047149</t>
        </is>
      </c>
      <c r="T2191" t="inlineStr">
        <is>
          <t>ធនាគារ អេស៊ីលីដា ភីអិលស៊ី</t>
        </is>
      </c>
      <c r="U2191" t="n">
        <v>458110</v>
      </c>
      <c r="V2191" t="n">
        <v>0</v>
      </c>
    </row>
    <row r="2192">
      <c r="I2192">
        <f>G2192</f>
        <v/>
      </c>
      <c r="K2192">
        <f>I2192-G2192</f>
        <v/>
      </c>
      <c r="M2192">
        <f>R2192=E2192</f>
        <v/>
      </c>
      <c r="N2192">
        <f>AND(MONTH(F2192)=MONTH(Q2192), YEAR(F2192)=YEAR(Q2192))</f>
        <v/>
      </c>
      <c r="O2192">
        <f>"L001-902303751"=S2192</f>
        <v/>
      </c>
      <c r="P2192">
        <f>G2192-U2192</f>
        <v/>
      </c>
      <c r="Q2192" s="35" t="n">
        <v>45534</v>
      </c>
      <c r="R2192" t="n">
        <v>12370295</v>
      </c>
      <c r="S2192" t="inlineStr">
        <is>
          <t>L001-100047149</t>
        </is>
      </c>
      <c r="T2192" t="inlineStr">
        <is>
          <t>ធនាគារ អេស៊ីលីដា ភីអិលស៊ី</t>
        </is>
      </c>
      <c r="U2192" t="n">
        <v>12370295</v>
      </c>
      <c r="V2192" t="n">
        <v>0</v>
      </c>
    </row>
    <row r="2193">
      <c r="I2193">
        <f>G2193</f>
        <v/>
      </c>
      <c r="K2193">
        <f>I2193-G2193</f>
        <v/>
      </c>
      <c r="M2193">
        <f>R2193=E2193</f>
        <v/>
      </c>
      <c r="N2193">
        <f>AND(MONTH(F2193)=MONTH(Q2193), YEAR(F2193)=YEAR(Q2193))</f>
        <v/>
      </c>
      <c r="O2193">
        <f>"L001-902303751"=S2193</f>
        <v/>
      </c>
      <c r="P2193">
        <f>G2193-U2193</f>
        <v/>
      </c>
      <c r="Q2193" s="35" t="n">
        <v>45511</v>
      </c>
      <c r="R2193" t="n">
        <v>36972</v>
      </c>
      <c r="S2193" t="inlineStr">
        <is>
          <t>L001-100078885</t>
        </is>
      </c>
      <c r="T2193" t="inlineStr">
        <is>
          <t>អង្គរ ដាតា ខមម្ញូនីខេសិន គ្រុប (អេ ឌី​ ស៊ី)</t>
        </is>
      </c>
      <c r="U2193" t="n">
        <v>36972</v>
      </c>
      <c r="V2193" t="n">
        <v>0</v>
      </c>
    </row>
    <row r="2194">
      <c r="I2194">
        <f>G2194</f>
        <v/>
      </c>
      <c r="K2194">
        <f>I2194-G2194</f>
        <v/>
      </c>
      <c r="M2194">
        <f>R2194=E2194</f>
        <v/>
      </c>
      <c r="N2194">
        <f>AND(MONTH(F2194)=MONTH(Q2194), YEAR(F2194)=YEAR(Q2194))</f>
        <v/>
      </c>
      <c r="O2194">
        <f>"L001-902303751"=S2194</f>
        <v/>
      </c>
      <c r="P2194">
        <f>G2194-U2194</f>
        <v/>
      </c>
      <c r="Q2194" s="35" t="n">
        <v>45510</v>
      </c>
      <c r="R2194" t="n">
        <v>210926</v>
      </c>
      <c r="S2194" t="inlineStr">
        <is>
          <t>L001-100078885</t>
        </is>
      </c>
      <c r="T2194" t="inlineStr">
        <is>
          <t>អង្គរ ដាតា ខមម្ញូនីខេសិន គ្រុប (អេ ឌី​ ស៊ី)</t>
        </is>
      </c>
      <c r="U2194" t="n">
        <v>210926</v>
      </c>
      <c r="V2194" t="n">
        <v>0</v>
      </c>
    </row>
    <row r="2195">
      <c r="I2195">
        <f>G2195</f>
        <v/>
      </c>
      <c r="K2195">
        <f>I2195-G2195</f>
        <v/>
      </c>
      <c r="M2195">
        <f>R2195=E2195</f>
        <v/>
      </c>
      <c r="N2195">
        <f>AND(MONTH(F2195)=MONTH(Q2195), YEAR(F2195)=YEAR(Q2195))</f>
        <v/>
      </c>
      <c r="O2195">
        <f>"L001-902303751"=S2195</f>
        <v/>
      </c>
      <c r="P2195">
        <f>G2195-U2195</f>
        <v/>
      </c>
      <c r="Q2195" s="35" t="n">
        <v>45565</v>
      </c>
      <c r="R2195" t="n">
        <v>12206041</v>
      </c>
      <c r="S2195" t="inlineStr">
        <is>
          <t>L001-100047149</t>
        </is>
      </c>
      <c r="T2195" t="inlineStr">
        <is>
          <t>ធនាគារ អេស៊ីលីដា ភីអិលស៊ី</t>
        </is>
      </c>
      <c r="U2195" t="n">
        <v>12206041</v>
      </c>
      <c r="V2195" t="n">
        <v>0</v>
      </c>
    </row>
    <row r="2196">
      <c r="I2196">
        <f>G2196</f>
        <v/>
      </c>
      <c r="K2196">
        <f>I2196-G2196</f>
        <v/>
      </c>
      <c r="M2196">
        <f>R2196=E2196</f>
        <v/>
      </c>
      <c r="N2196">
        <f>AND(MONTH(F2196)=MONTH(Q2196), YEAR(F2196)=YEAR(Q2196))</f>
        <v/>
      </c>
      <c r="O2196">
        <f>"L001-902303751"=S2196</f>
        <v/>
      </c>
      <c r="P2196">
        <f>G2196-U2196</f>
        <v/>
      </c>
      <c r="Q2196" s="35" t="n">
        <v>45545</v>
      </c>
      <c r="R2196" t="n">
        <v>193970</v>
      </c>
      <c r="S2196" t="inlineStr">
        <is>
          <t>L001-100078885</t>
        </is>
      </c>
      <c r="T2196" t="inlineStr">
        <is>
          <t>អង្គរ ដាតា ខមម្ញូនីខេសិន គ្រុប (អេ ឌី​ ស៊ី)</t>
        </is>
      </c>
      <c r="U2196" t="n">
        <v>193970</v>
      </c>
      <c r="V2196" t="n">
        <v>0</v>
      </c>
    </row>
    <row r="2197">
      <c r="I2197">
        <f>G2197</f>
        <v/>
      </c>
      <c r="K2197">
        <f>I2197-G2197</f>
        <v/>
      </c>
      <c r="M2197">
        <f>R2197=E2197</f>
        <v/>
      </c>
      <c r="N2197">
        <f>AND(MONTH(F2197)=MONTH(Q2197), YEAR(F2197)=YEAR(Q2197))</f>
        <v/>
      </c>
      <c r="O2197">
        <f>"L001-902303751"=S2197</f>
        <v/>
      </c>
      <c r="P2197">
        <f>G2197-U2197</f>
        <v/>
      </c>
      <c r="Q2197" s="35" t="n">
        <v>45538</v>
      </c>
      <c r="R2197" t="n">
        <v>36558</v>
      </c>
      <c r="S2197" t="inlineStr">
        <is>
          <t>L001-100078885</t>
        </is>
      </c>
      <c r="T2197" t="inlineStr">
        <is>
          <t>អង្គរ ដាតា ខមម្ញូនីខេសិន គ្រុប (អេ ឌី​ ស៊ី)</t>
        </is>
      </c>
      <c r="U2197" t="n">
        <v>36558</v>
      </c>
      <c r="V2197" t="n">
        <v>0</v>
      </c>
    </row>
    <row r="2198">
      <c r="I2198">
        <f>G2198</f>
        <v/>
      </c>
      <c r="K2198">
        <f>I2198-G2198</f>
        <v/>
      </c>
      <c r="M2198">
        <f>R2198=E2198</f>
        <v/>
      </c>
      <c r="N2198">
        <f>AND(MONTH(F2198)=MONTH(Q2198), YEAR(F2198)=YEAR(Q2198))</f>
        <v/>
      </c>
      <c r="O2198">
        <f>"L001-902303751"=S2198</f>
        <v/>
      </c>
      <c r="P2198">
        <f>G2198-U2198</f>
        <v/>
      </c>
      <c r="Q2198" s="35" t="n">
        <v>45203</v>
      </c>
      <c r="R2198" t="n">
        <v>18567</v>
      </c>
      <c r="S2198" t="inlineStr">
        <is>
          <t>L001-100078885</t>
        </is>
      </c>
      <c r="T2198" t="inlineStr">
        <is>
          <t>អង្គរ ដាតា ខមម្ញូនីខេសិន គ្រុប (អេ ឌី​ ស៊ី)</t>
        </is>
      </c>
      <c r="U2198" t="n">
        <v>18567</v>
      </c>
      <c r="V2198" t="n">
        <v>0</v>
      </c>
    </row>
    <row r="2199">
      <c r="I2199">
        <f>G2199</f>
        <v/>
      </c>
      <c r="K2199">
        <f>I2199-G2199</f>
        <v/>
      </c>
      <c r="M2199">
        <f>R2199=E2199</f>
        <v/>
      </c>
      <c r="N2199">
        <f>AND(MONTH(F2199)=MONTH(Q2199), YEAR(F2199)=YEAR(Q2199))</f>
        <v/>
      </c>
      <c r="O2199">
        <f>"L001-902303751"=S2199</f>
        <v/>
      </c>
      <c r="P2199">
        <f>G2199-U2199</f>
        <v/>
      </c>
      <c r="Q2199" s="35" t="n">
        <v>45203</v>
      </c>
      <c r="R2199" t="n">
        <v>37134</v>
      </c>
      <c r="S2199" t="inlineStr">
        <is>
          <t>L001-100078885</t>
        </is>
      </c>
      <c r="T2199" t="inlineStr">
        <is>
          <t>អង្គរ ដាតា ខមម្ញូនីខេសិន គ្រុប (អេ ឌី​ ស៊ី)</t>
        </is>
      </c>
      <c r="U2199" t="n">
        <v>37134</v>
      </c>
      <c r="V2199" t="n">
        <v>0</v>
      </c>
    </row>
    <row r="2200">
      <c r="I2200">
        <f>G2200</f>
        <v/>
      </c>
      <c r="K2200">
        <f>I2200-G2200</f>
        <v/>
      </c>
      <c r="M2200">
        <f>R2200=E2200</f>
        <v/>
      </c>
      <c r="N2200">
        <f>AND(MONTH(F2200)=MONTH(Q2200), YEAR(F2200)=YEAR(Q2200))</f>
        <v/>
      </c>
      <c r="O2200">
        <f>"L001-902303751"=S2200</f>
        <v/>
      </c>
      <c r="P2200">
        <f>G2200-U2200</f>
        <v/>
      </c>
      <c r="Q2200" s="35" t="n">
        <v>45208</v>
      </c>
      <c r="R2200" t="n">
        <v>1700775</v>
      </c>
      <c r="S2200" t="inlineStr">
        <is>
          <t>L001-100078885</t>
        </is>
      </c>
      <c r="T2200" t="inlineStr">
        <is>
          <t>អង្គរ ដាតា ខមម្ញូនីខេសិន គ្រុប (អេ ឌី​ ស៊ី)</t>
        </is>
      </c>
      <c r="U2200" t="n">
        <v>1700775</v>
      </c>
      <c r="V2200" t="n">
        <v>0</v>
      </c>
    </row>
    <row r="2201">
      <c r="I2201">
        <f>G2201</f>
        <v/>
      </c>
      <c r="K2201">
        <f>I2201-G2201</f>
        <v/>
      </c>
      <c r="M2201">
        <f>R2201=E2201</f>
        <v/>
      </c>
      <c r="N2201">
        <f>AND(MONTH(F2201)=MONTH(Q2201), YEAR(F2201)=YEAR(Q2201))</f>
        <v/>
      </c>
      <c r="O2201">
        <f>"L001-902303751"=S2201</f>
        <v/>
      </c>
      <c r="P2201">
        <f>G2201-U2201</f>
        <v/>
      </c>
      <c r="Q2201" s="35" t="n">
        <v>45202</v>
      </c>
      <c r="R2201" t="n">
        <v>37143</v>
      </c>
      <c r="S2201" t="inlineStr">
        <is>
          <t>L001-100129250</t>
        </is>
      </c>
      <c r="T2201" t="inlineStr">
        <is>
          <t>អេស.អាយ គ្រុប</t>
        </is>
      </c>
      <c r="U2201" t="n">
        <v>37143</v>
      </c>
      <c r="V2201" t="n">
        <v>0</v>
      </c>
    </row>
    <row r="2202">
      <c r="I2202">
        <f>G2202</f>
        <v/>
      </c>
      <c r="K2202">
        <f>I2202-G2202</f>
        <v/>
      </c>
      <c r="M2202">
        <f>R2202=E2202</f>
        <v/>
      </c>
      <c r="N2202">
        <f>AND(MONTH(F2202)=MONTH(Q2202), YEAR(F2202)=YEAR(Q2202))</f>
        <v/>
      </c>
      <c r="O2202">
        <f>"L001-902303751"=S2202</f>
        <v/>
      </c>
      <c r="P2202">
        <f>G2202-U2202</f>
        <v/>
      </c>
      <c r="Q2202" s="35" t="n">
        <v>45230</v>
      </c>
      <c r="R2202" t="n">
        <v>12475051</v>
      </c>
      <c r="S2202" t="inlineStr">
        <is>
          <t>L001-100047149</t>
        </is>
      </c>
      <c r="T2202" t="inlineStr">
        <is>
          <t>ធនាគារ អេស៊ីលីដា ភីអិលស៊ី</t>
        </is>
      </c>
      <c r="U2202" t="n">
        <v>12475051</v>
      </c>
      <c r="V2202" t="n">
        <v>0</v>
      </c>
    </row>
    <row r="2203">
      <c r="I2203">
        <f>G2203</f>
        <v/>
      </c>
      <c r="K2203">
        <f>I2203-G2203</f>
        <v/>
      </c>
      <c r="M2203">
        <f>R2203=E2203</f>
        <v/>
      </c>
      <c r="N2203">
        <f>AND(MONTH(F2203)=MONTH(Q2203), YEAR(F2203)=YEAR(Q2203))</f>
        <v/>
      </c>
      <c r="O2203">
        <f>"L001-902303751"=S2203</f>
        <v/>
      </c>
      <c r="P2203">
        <f>G2203-U2203</f>
        <v/>
      </c>
      <c r="Q2203" s="35" t="n">
        <v>45203</v>
      </c>
      <c r="R2203" t="n">
        <v>18567</v>
      </c>
      <c r="S2203" t="inlineStr">
        <is>
          <t>L001-100078885</t>
        </is>
      </c>
      <c r="T2203" t="inlineStr">
        <is>
          <t>អង្គរ ដាតា ខមម្ញូនីខេសិន គ្រុប (អេ ឌី​ ស៊ី)</t>
        </is>
      </c>
      <c r="U2203" t="n">
        <v>18567</v>
      </c>
      <c r="V2203" t="n">
        <v>0</v>
      </c>
    </row>
    <row r="2204">
      <c r="I2204">
        <f>G2204</f>
        <v/>
      </c>
      <c r="K2204">
        <f>I2204-G2204</f>
        <v/>
      </c>
      <c r="M2204">
        <f>R2204=E2204</f>
        <v/>
      </c>
      <c r="N2204">
        <f>AND(MONTH(F2204)=MONTH(Q2204), YEAR(F2204)=YEAR(Q2204))</f>
        <v/>
      </c>
      <c r="O2204">
        <f>"L001-902303751"=S2204</f>
        <v/>
      </c>
      <c r="P2204">
        <f>G2204-U2204</f>
        <v/>
      </c>
      <c r="Q2204" s="35" t="n">
        <v>45581</v>
      </c>
      <c r="R2204" t="n">
        <v>192064</v>
      </c>
      <c r="S2204" t="inlineStr">
        <is>
          <t>L001-100078885</t>
        </is>
      </c>
      <c r="T2204" t="inlineStr">
        <is>
          <t>អង្គរ ដាតា ខមម្ញូនីខេសិន គ្រុប (អេ ឌី​ ស៊ី)</t>
        </is>
      </c>
      <c r="U2204" t="n">
        <v>192064</v>
      </c>
      <c r="V2204" t="n">
        <v>0</v>
      </c>
    </row>
    <row r="2205">
      <c r="I2205">
        <f>G2205</f>
        <v/>
      </c>
      <c r="K2205">
        <f>I2205-G2205</f>
        <v/>
      </c>
      <c r="M2205">
        <f>R2205=E2205</f>
        <v/>
      </c>
      <c r="N2205">
        <f>AND(MONTH(F2205)=MONTH(Q2205), YEAR(F2205)=YEAR(Q2205))</f>
        <v/>
      </c>
      <c r="O2205">
        <f>"L001-902303751"=S2205</f>
        <v/>
      </c>
      <c r="P2205">
        <f>G2205-U2205</f>
        <v/>
      </c>
      <c r="Q2205" s="35" t="n">
        <v>45575</v>
      </c>
      <c r="R2205" t="n">
        <v>36594</v>
      </c>
      <c r="S2205" t="inlineStr">
        <is>
          <t>L001-100078885</t>
        </is>
      </c>
      <c r="T2205" t="inlineStr">
        <is>
          <t>អង្គរ ដាតា ខមម្ញូនីខេសិន គ្រុប (អេ ឌី​ ស៊ី)</t>
        </is>
      </c>
      <c r="U2205" t="n">
        <v>36594</v>
      </c>
      <c r="V2205" t="n">
        <v>0</v>
      </c>
    </row>
    <row r="2206">
      <c r="I2206">
        <f>G2206</f>
        <v/>
      </c>
      <c r="K2206">
        <f>I2206-G2206</f>
        <v/>
      </c>
      <c r="M2206">
        <f>R2206=E2206</f>
        <v/>
      </c>
      <c r="N2206">
        <f>AND(MONTH(F2206)=MONTH(Q2206), YEAR(F2206)=YEAR(Q2206))</f>
        <v/>
      </c>
      <c r="O2206">
        <f>"L001-902303751"=S2206</f>
        <v/>
      </c>
      <c r="P2206">
        <f>G2206-U2206</f>
        <v/>
      </c>
      <c r="Q2206" s="35" t="n">
        <v>45596</v>
      </c>
      <c r="R2206" t="n">
        <v>13725364</v>
      </c>
      <c r="S2206" t="inlineStr">
        <is>
          <t>L001-100047149</t>
        </is>
      </c>
      <c r="T2206" t="inlineStr">
        <is>
          <t>ធនាគារ អេស៊ីលីដា ភីអិលស៊ី</t>
        </is>
      </c>
      <c r="U2206" t="n">
        <v>13725364</v>
      </c>
      <c r="V2206" t="n">
        <v>0</v>
      </c>
    </row>
    <row r="2207">
      <c r="I2207">
        <f>G2207</f>
        <v/>
      </c>
      <c r="K2207">
        <f>I2207-G2207</f>
        <v/>
      </c>
      <c r="M2207">
        <f>R2207=E2207</f>
        <v/>
      </c>
      <c r="N2207">
        <f>AND(MONTH(F2207)=MONTH(Q2207), YEAR(F2207)=YEAR(Q2207))</f>
        <v/>
      </c>
      <c r="O2207">
        <f>"L001-902303751"=S2207</f>
        <v/>
      </c>
      <c r="P2207">
        <f>G2207-U2207</f>
        <v/>
      </c>
      <c r="Q2207" s="35" t="n">
        <v>45237</v>
      </c>
      <c r="R2207" t="n">
        <v>405242</v>
      </c>
      <c r="S2207" t="inlineStr">
        <is>
          <t>L001-100078885</t>
        </is>
      </c>
      <c r="T2207" t="inlineStr">
        <is>
          <t>អង្គរ ដាតា ខមម្ញូនីខេសិន គ្រុប (អេ ឌី​ ស៊ី)</t>
        </is>
      </c>
      <c r="U2207" t="n">
        <v>405242</v>
      </c>
      <c r="V2207" t="n">
        <v>0</v>
      </c>
    </row>
    <row r="2208">
      <c r="I2208">
        <f>G2208</f>
        <v/>
      </c>
      <c r="K2208">
        <f>I2208-G2208</f>
        <v/>
      </c>
      <c r="M2208">
        <f>R2208=E2208</f>
        <v/>
      </c>
      <c r="N2208">
        <f>AND(MONTH(F2208)=MONTH(Q2208), YEAR(F2208)=YEAR(Q2208))</f>
        <v/>
      </c>
      <c r="O2208">
        <f>"L001-902303751"=S2208</f>
        <v/>
      </c>
      <c r="P2208">
        <f>G2208-U2208</f>
        <v/>
      </c>
      <c r="Q2208" s="35" t="n">
        <v>45260</v>
      </c>
      <c r="R2208" t="n">
        <v>11614382</v>
      </c>
      <c r="S2208" t="inlineStr">
        <is>
          <t>L001-100047149</t>
        </is>
      </c>
      <c r="T2208" t="inlineStr">
        <is>
          <t>ធនាគារ អេស៊ីលីដា ភីអិលស៊ី</t>
        </is>
      </c>
      <c r="U2208" t="n">
        <v>11614382</v>
      </c>
      <c r="V2208" t="n">
        <v>0</v>
      </c>
    </row>
    <row r="2209">
      <c r="I2209">
        <f>G2209</f>
        <v/>
      </c>
      <c r="K2209">
        <f>I2209-G2209</f>
        <v/>
      </c>
      <c r="M2209">
        <f>R2209=E2209</f>
        <v/>
      </c>
      <c r="N2209">
        <f>AND(MONTH(F2209)=MONTH(Q2209), YEAR(F2209)=YEAR(Q2209))</f>
        <v/>
      </c>
      <c r="O2209">
        <f>"L001-902303751"=S2209</f>
        <v/>
      </c>
      <c r="P2209">
        <f>G2209-U2209</f>
        <v/>
      </c>
      <c r="Q2209" s="35" t="n">
        <v>45233</v>
      </c>
      <c r="R2209" t="n">
        <v>37179</v>
      </c>
      <c r="S2209" t="inlineStr">
        <is>
          <t>L001-100129250</t>
        </is>
      </c>
      <c r="T2209" t="inlineStr">
        <is>
          <t>អេស.អាយ គ្រុប</t>
        </is>
      </c>
      <c r="U2209" t="n">
        <v>37179</v>
      </c>
      <c r="V2209" t="n">
        <v>0</v>
      </c>
    </row>
    <row r="2210">
      <c r="I2210">
        <f>G2210</f>
        <v/>
      </c>
      <c r="K2210">
        <f>I2210-G2210</f>
        <v/>
      </c>
      <c r="M2210">
        <f>R2210=E2210</f>
        <v/>
      </c>
      <c r="N2210">
        <f>AND(MONTH(F2210)=MONTH(Q2210), YEAR(F2210)=YEAR(Q2210))</f>
        <v/>
      </c>
      <c r="O2210">
        <f>"L001-902303751"=S2210</f>
        <v/>
      </c>
      <c r="P2210">
        <f>G2210-U2210</f>
        <v/>
      </c>
      <c r="Q2210" s="35" t="n">
        <v>45233</v>
      </c>
      <c r="R2210" t="n">
        <v>18589</v>
      </c>
      <c r="S2210" t="inlineStr">
        <is>
          <t>L001-100078885</t>
        </is>
      </c>
      <c r="T2210" t="inlineStr">
        <is>
          <t>អង្គរ ដាតា ខមម្ញូនីខេសិន គ្រុប (អេ ឌី​ ស៊ី)</t>
        </is>
      </c>
      <c r="U2210" t="n">
        <v>18589</v>
      </c>
      <c r="V2210" t="n">
        <v>0</v>
      </c>
    </row>
    <row r="2211">
      <c r="I2211">
        <f>G2211</f>
        <v/>
      </c>
      <c r="K2211">
        <f>I2211-G2211</f>
        <v/>
      </c>
      <c r="M2211">
        <f>R2211=E2211</f>
        <v/>
      </c>
      <c r="N2211">
        <f>AND(MONTH(F2211)=MONTH(Q2211), YEAR(F2211)=YEAR(Q2211))</f>
        <v/>
      </c>
      <c r="O2211">
        <f>"L001-902303751"=S2211</f>
        <v/>
      </c>
      <c r="P2211">
        <f>G2211-U2211</f>
        <v/>
      </c>
      <c r="Q2211" s="35" t="n">
        <v>45233</v>
      </c>
      <c r="R2211" t="n">
        <v>18589</v>
      </c>
      <c r="S2211" t="inlineStr">
        <is>
          <t>L001-100078885</t>
        </is>
      </c>
      <c r="T2211" t="inlineStr">
        <is>
          <t>អង្គរ ដាតា ខមម្ញូនីខេសិន គ្រុប (អេ ឌី​ ស៊ី)</t>
        </is>
      </c>
      <c r="U2211" t="n">
        <v>18589</v>
      </c>
      <c r="V2211" t="n">
        <v>0</v>
      </c>
    </row>
    <row r="2212">
      <c r="I2212">
        <f>G2212</f>
        <v/>
      </c>
      <c r="K2212">
        <f>I2212-G2212</f>
        <v/>
      </c>
      <c r="M2212">
        <f>R2212=E2212</f>
        <v/>
      </c>
      <c r="N2212">
        <f>AND(MONTH(F2212)=MONTH(Q2212), YEAR(F2212)=YEAR(Q2212))</f>
        <v/>
      </c>
      <c r="O2212">
        <f>"L001-902303751"=S2212</f>
        <v/>
      </c>
      <c r="P2212">
        <f>G2212-U2212</f>
        <v/>
      </c>
      <c r="Q2212" s="35" t="n">
        <v>45233</v>
      </c>
      <c r="R2212" t="n">
        <v>37179</v>
      </c>
      <c r="S2212" t="inlineStr">
        <is>
          <t>L001-100078885</t>
        </is>
      </c>
      <c r="T2212" t="inlineStr">
        <is>
          <t>អង្គរ ដាតា ខមម្ញូនីខេសិន គ្រុប (អេ ឌី​ ស៊ី)</t>
        </is>
      </c>
      <c r="U2212" t="n">
        <v>37179</v>
      </c>
      <c r="V2212" t="n">
        <v>0</v>
      </c>
    </row>
    <row r="2213">
      <c r="I2213">
        <f>G2213</f>
        <v/>
      </c>
      <c r="K2213">
        <f>I2213-G2213</f>
        <v/>
      </c>
      <c r="M2213">
        <f>R2213=E2213</f>
        <v/>
      </c>
      <c r="N2213">
        <f>AND(MONTH(F2213)=MONTH(Q2213), YEAR(F2213)=YEAR(Q2213))</f>
        <v/>
      </c>
      <c r="O2213">
        <f>"L001-902303751"=S2213</f>
        <v/>
      </c>
      <c r="P2213">
        <f>G2213-U2213</f>
        <v/>
      </c>
      <c r="Q2213" s="35" t="n">
        <v>45608</v>
      </c>
      <c r="R2213" t="n">
        <v>197621</v>
      </c>
      <c r="S2213" t="inlineStr">
        <is>
          <t>L001-100078885</t>
        </is>
      </c>
      <c r="T2213" t="inlineStr">
        <is>
          <t>អង្គរ ដាតា ខមម្ញូនីខេសិន គ្រុប (អេ ឌី​ ស៊ី)</t>
        </is>
      </c>
      <c r="U2213" t="n">
        <v>197621</v>
      </c>
      <c r="V2213" t="n">
        <v>0</v>
      </c>
    </row>
    <row r="2214">
      <c r="I2214">
        <f>G2214</f>
        <v/>
      </c>
      <c r="K2214">
        <f>I2214-G2214</f>
        <v/>
      </c>
      <c r="M2214">
        <f>R2214=E2214</f>
        <v/>
      </c>
      <c r="N2214">
        <f>AND(MONTH(F2214)=MONTH(Q2214), YEAR(F2214)=YEAR(Q2214))</f>
        <v/>
      </c>
      <c r="O2214">
        <f>"L001-902303751"=S2214</f>
        <v/>
      </c>
      <c r="P2214">
        <f>G2214-U2214</f>
        <v/>
      </c>
      <c r="Q2214" s="35" t="n">
        <v>45601</v>
      </c>
      <c r="R2214" t="n">
        <v>36585</v>
      </c>
      <c r="S2214" t="inlineStr">
        <is>
          <t>L001-100078885</t>
        </is>
      </c>
      <c r="T2214" t="inlineStr">
        <is>
          <t>អង្គរ ដាតា ខមម្ញូនីខេសិន គ្រុប (អេ ឌី​ ស៊ី)</t>
        </is>
      </c>
      <c r="U2214" t="n">
        <v>36585</v>
      </c>
      <c r="V2214" t="n">
        <v>0</v>
      </c>
    </row>
    <row r="2215">
      <c r="I2215">
        <f>G2215</f>
        <v/>
      </c>
      <c r="K2215">
        <f>I2215-G2215</f>
        <v/>
      </c>
      <c r="M2215">
        <f>R2215=E2215</f>
        <v/>
      </c>
      <c r="N2215">
        <f>AND(MONTH(F2215)=MONTH(Q2215), YEAR(F2215)=YEAR(Q2215))</f>
        <v/>
      </c>
      <c r="O2215">
        <f>"L001-902303751"=S2215</f>
        <v/>
      </c>
      <c r="P2215">
        <f>G2215-U2215</f>
        <v/>
      </c>
      <c r="Q2215" s="35" t="n">
        <v>45625</v>
      </c>
      <c r="R2215" t="n">
        <v>9065494</v>
      </c>
      <c r="S2215" t="inlineStr">
        <is>
          <t>L001-100047149</t>
        </is>
      </c>
      <c r="T2215" t="inlineStr">
        <is>
          <t>ធនាគារ អេស៊ីលីដា ភីអិលស៊ី</t>
        </is>
      </c>
      <c r="U2215" t="n">
        <v>9065494</v>
      </c>
      <c r="V2215" t="n">
        <v>0</v>
      </c>
    </row>
    <row r="2216">
      <c r="I2216">
        <f>G2216</f>
        <v/>
      </c>
      <c r="K2216">
        <f>I2216-G2216</f>
        <v/>
      </c>
      <c r="M2216">
        <f>R2216=E2216</f>
        <v/>
      </c>
      <c r="N2216">
        <f>AND(MONTH(F2216)=MONTH(Q2216), YEAR(F2216)=YEAR(Q2216))</f>
        <v/>
      </c>
      <c r="O2216">
        <f>"L001-902303751"=S2216</f>
        <v/>
      </c>
      <c r="P2216">
        <f>G2216-U2216</f>
        <v/>
      </c>
      <c r="Q2216" s="35" t="n">
        <v>45602</v>
      </c>
      <c r="R2216" t="n">
        <v>365760</v>
      </c>
      <c r="S2216" t="inlineStr">
        <is>
          <t>L001-100181244</t>
        </is>
      </c>
      <c r="T2216" t="inlineStr">
        <is>
          <t>ខ្វាន់ទុម ហ្គាមេន ឯ.ក</t>
        </is>
      </c>
      <c r="U2216" t="n">
        <v>365760</v>
      </c>
      <c r="V2216" t="n">
        <v>0</v>
      </c>
    </row>
    <row r="2217">
      <c r="I2217">
        <f>G2217</f>
        <v/>
      </c>
      <c r="K2217">
        <f>I2217-G2217</f>
        <v/>
      </c>
      <c r="M2217">
        <f>R2217=E2217</f>
        <v/>
      </c>
      <c r="N2217">
        <f>AND(MONTH(F2217)=MONTH(Q2217), YEAR(F2217)=YEAR(Q2217))</f>
        <v/>
      </c>
      <c r="O2217">
        <f>"L001-902303751"=S2217</f>
        <v/>
      </c>
      <c r="P2217">
        <f>G2217-U2217</f>
        <v/>
      </c>
      <c r="Q2217" s="35" t="n">
        <v>45265</v>
      </c>
      <c r="R2217" t="n">
        <v>18504</v>
      </c>
      <c r="S2217" t="inlineStr">
        <is>
          <t>L001-100078885</t>
        </is>
      </c>
      <c r="T2217" t="inlineStr">
        <is>
          <t>អង្គរ ដាតា ខមម្ញូនីខេសិន គ្រុប (អេ ឌី​ ស៊ី)</t>
        </is>
      </c>
      <c r="U2217" t="n">
        <v>18504</v>
      </c>
      <c r="V2217" t="n">
        <v>0</v>
      </c>
    </row>
    <row r="2218">
      <c r="I2218">
        <f>G2218</f>
        <v/>
      </c>
      <c r="K2218">
        <f>I2218-G2218</f>
        <v/>
      </c>
      <c r="M2218">
        <f>R2218=E2218</f>
        <v/>
      </c>
      <c r="N2218">
        <f>AND(MONTH(F2218)=MONTH(Q2218), YEAR(F2218)=YEAR(Q2218))</f>
        <v/>
      </c>
      <c r="O2218">
        <f>"L001-902303751"=S2218</f>
        <v/>
      </c>
      <c r="P2218">
        <f>G2218-U2218</f>
        <v/>
      </c>
      <c r="Q2218" s="35" t="n">
        <v>45289</v>
      </c>
      <c r="R2218" t="n">
        <v>13635544</v>
      </c>
      <c r="S2218" t="inlineStr">
        <is>
          <t>L001-100047149</t>
        </is>
      </c>
      <c r="T2218" t="inlineStr">
        <is>
          <t>ធនាគារ អេស៊ីលីដា ភីអិលស៊ី</t>
        </is>
      </c>
      <c r="U2218" t="n">
        <v>13635544</v>
      </c>
      <c r="V2218" t="n">
        <v>0</v>
      </c>
    </row>
    <row r="2219">
      <c r="I2219">
        <f>G2219</f>
        <v/>
      </c>
      <c r="K2219">
        <f>I2219-G2219</f>
        <v/>
      </c>
      <c r="M2219">
        <f>R2219=E2219</f>
        <v/>
      </c>
      <c r="N2219">
        <f>AND(MONTH(F2219)=MONTH(Q2219), YEAR(F2219)=YEAR(Q2219))</f>
        <v/>
      </c>
      <c r="O2219">
        <f>"L001-902303751"=S2219</f>
        <v/>
      </c>
      <c r="P2219">
        <f>G2219-U2219</f>
        <v/>
      </c>
      <c r="Q2219" s="35" t="n">
        <v>45265</v>
      </c>
      <c r="R2219" t="n">
        <v>37008</v>
      </c>
      <c r="S2219" t="inlineStr">
        <is>
          <t>L001-100129250</t>
        </is>
      </c>
      <c r="T2219" t="inlineStr">
        <is>
          <t>អេស.អាយ គ្រុប</t>
        </is>
      </c>
      <c r="U2219" t="n">
        <v>37008</v>
      </c>
      <c r="V2219" t="n">
        <v>0</v>
      </c>
    </row>
    <row r="2220">
      <c r="I2220">
        <f>G2220</f>
        <v/>
      </c>
      <c r="K2220">
        <f>I2220-G2220</f>
        <v/>
      </c>
      <c r="M2220">
        <f>R2220=E2220</f>
        <v/>
      </c>
      <c r="N2220">
        <f>AND(MONTH(F2220)=MONTH(Q2220), YEAR(F2220)=YEAR(Q2220))</f>
        <v/>
      </c>
      <c r="O2220">
        <f>"L001-902303751"=S2220</f>
        <v/>
      </c>
      <c r="P2220">
        <f>G2220-U2220</f>
        <v/>
      </c>
      <c r="Q2220" s="35" t="n">
        <v>45265</v>
      </c>
      <c r="R2220" t="n">
        <v>37008</v>
      </c>
      <c r="S2220" t="inlineStr">
        <is>
          <t>L001-100078885</t>
        </is>
      </c>
      <c r="T2220" t="inlineStr">
        <is>
          <t>អង្គរ ដាតា ខមម្ញូនីខេសិន គ្រុប (អេ ឌី​ ស៊ី)</t>
        </is>
      </c>
      <c r="U2220" t="n">
        <v>37008</v>
      </c>
      <c r="V2220" t="n">
        <v>0</v>
      </c>
    </row>
    <row r="2221">
      <c r="I2221">
        <f>G2221</f>
        <v/>
      </c>
      <c r="K2221">
        <f>I2221-G2221</f>
        <v/>
      </c>
      <c r="M2221">
        <f>R2221=E2221</f>
        <v/>
      </c>
      <c r="N2221">
        <f>AND(MONTH(F2221)=MONTH(Q2221), YEAR(F2221)=YEAR(Q2221))</f>
        <v/>
      </c>
      <c r="O2221">
        <f>"L001-902303751"=S2221</f>
        <v/>
      </c>
      <c r="P2221">
        <f>G2221-U2221</f>
        <v/>
      </c>
      <c r="Q2221" s="35" t="n">
        <v>45265</v>
      </c>
      <c r="R2221" t="n">
        <v>18504</v>
      </c>
      <c r="S2221" t="inlineStr">
        <is>
          <t>L001-100078885</t>
        </is>
      </c>
      <c r="T2221" t="inlineStr">
        <is>
          <t>អង្គរ ដាតា ខមម្ញូនីខេសិន គ្រុប (អេ ឌី​ ស៊ី)</t>
        </is>
      </c>
      <c r="U2221" t="n">
        <v>18504</v>
      </c>
      <c r="V2221" t="n">
        <v>0</v>
      </c>
    </row>
    <row r="2222">
      <c r="I2222">
        <f>G2222</f>
        <v/>
      </c>
      <c r="K2222">
        <f>I2222-G2222</f>
        <v/>
      </c>
      <c r="M2222">
        <f>R2222=E2222</f>
        <v/>
      </c>
      <c r="N2222">
        <f>AND(MONTH(F2222)=MONTH(Q2222), YEAR(F2222)=YEAR(Q2222))</f>
        <v/>
      </c>
      <c r="O2222">
        <f>"L001-902303751"=S2222</f>
        <v/>
      </c>
      <c r="P2222">
        <f>G2222-U2222</f>
        <v/>
      </c>
      <c r="Q2222" s="35" t="n">
        <v>45265</v>
      </c>
      <c r="R2222" t="n">
        <v>426246</v>
      </c>
      <c r="S2222" t="inlineStr">
        <is>
          <t>L001-100078885</t>
        </is>
      </c>
      <c r="T2222" t="inlineStr">
        <is>
          <t>អង្គរ ដាតា ខមម្ញូនីខេសិន គ្រុប (អេ ឌី​ ស៊ី)</t>
        </is>
      </c>
      <c r="U2222" t="n">
        <v>426246</v>
      </c>
      <c r="V2222" t="n">
        <v>0</v>
      </c>
    </row>
    <row r="2223">
      <c r="I2223">
        <f>G2223</f>
        <v/>
      </c>
      <c r="K2223">
        <f>I2223-G2223</f>
        <v/>
      </c>
      <c r="M2223">
        <f>R2223=E2223</f>
        <v/>
      </c>
      <c r="N2223">
        <f>AND(MONTH(F2223)=MONTH(Q2223), YEAR(F2223)=YEAR(Q2223))</f>
        <v/>
      </c>
      <c r="O2223">
        <f>"L001-902303751"=S2223</f>
        <v/>
      </c>
      <c r="P2223">
        <f>G2223-U2223</f>
        <v/>
      </c>
      <c r="Q2223" s="35" t="n">
        <v>45631</v>
      </c>
      <c r="R2223" t="n">
        <v>193886</v>
      </c>
      <c r="S2223" t="inlineStr">
        <is>
          <t>L001-100078885</t>
        </is>
      </c>
      <c r="T2223" t="inlineStr">
        <is>
          <t>អង្គរ ដាតា ខមម្ញូនីខេសិន គ្រុប (អេ ឌី​ ស៊ី)</t>
        </is>
      </c>
      <c r="U2223" t="n">
        <v>193886</v>
      </c>
      <c r="V2223" t="n">
        <v>0</v>
      </c>
    </row>
    <row r="2224">
      <c r="I2224">
        <f>G2224</f>
        <v/>
      </c>
      <c r="K2224">
        <f>I2224-G2224</f>
        <v/>
      </c>
      <c r="M2224">
        <f>R2224=E2224</f>
        <v/>
      </c>
      <c r="N2224">
        <f>AND(MONTH(F2224)=MONTH(Q2224), YEAR(F2224)=YEAR(Q2224))</f>
        <v/>
      </c>
      <c r="O2224">
        <f>"L001-902303751"=S2224</f>
        <v/>
      </c>
      <c r="P2224">
        <f>G2224-U2224</f>
        <v/>
      </c>
      <c r="Q2224" s="35" t="n">
        <v>45657</v>
      </c>
      <c r="R2224" t="n">
        <v>12695809</v>
      </c>
      <c r="S2224" t="inlineStr">
        <is>
          <t>L001-100047149</t>
        </is>
      </c>
      <c r="T2224" t="inlineStr">
        <is>
          <t>ធនាគារ អេស៊ីលីដា ភីអិលស៊ី</t>
        </is>
      </c>
      <c r="U2224" t="n">
        <v>12695809</v>
      </c>
      <c r="V2224" t="n">
        <v>0</v>
      </c>
    </row>
    <row r="2225">
      <c r="I2225">
        <f>G2225</f>
        <v/>
      </c>
      <c r="K2225">
        <f>I2225-G2225</f>
        <v/>
      </c>
      <c r="M2225">
        <f>R2225=E2225</f>
        <v/>
      </c>
      <c r="N2225">
        <f>AND(MONTH(F2225)=MONTH(Q2225), YEAR(F2225)=YEAR(Q2225))</f>
        <v/>
      </c>
      <c r="O2225">
        <f>"L001-902303751"=S2225</f>
        <v/>
      </c>
      <c r="P2225">
        <f>G2225-U2225</f>
        <v/>
      </c>
      <c r="Q2225" s="35" t="n">
        <v>45629</v>
      </c>
      <c r="R2225" t="n">
        <v>36288</v>
      </c>
      <c r="S2225" t="inlineStr">
        <is>
          <t>L001-100078885</t>
        </is>
      </c>
      <c r="T2225" t="inlineStr">
        <is>
          <t>អង្គរ ដាតា ខមម្ញូនីខេសិន គ្រុប (អេ ឌី​ ស៊ី)</t>
        </is>
      </c>
      <c r="U2225" t="n">
        <v>36288</v>
      </c>
      <c r="V2225" t="n">
        <v>0</v>
      </c>
    </row>
    <row r="2226">
      <c r="I2226">
        <f>G2226</f>
        <v/>
      </c>
      <c r="K2226">
        <f>I2226-G2226</f>
        <v/>
      </c>
      <c r="M2226">
        <f>R2226=E2226</f>
        <v/>
      </c>
      <c r="N2226">
        <f>AND(MONTH(F2226)=MONTH(Q2226), YEAR(F2226)=YEAR(Q2226))</f>
        <v/>
      </c>
      <c r="O2226">
        <f>"L001-902303751"=S2226</f>
        <v/>
      </c>
      <c r="P2226">
        <f>G2226-U2226</f>
        <v/>
      </c>
      <c r="Q2226" s="35" t="n">
        <v>45532</v>
      </c>
      <c r="R2226" t="n">
        <v>1743094</v>
      </c>
      <c r="S2226" t="inlineStr">
        <is>
          <t>L001-100181244</t>
        </is>
      </c>
      <c r="T2226" t="inlineStr">
        <is>
          <t>ខ្វាន់ទុម ហ្គាមេន ឯ.ក</t>
        </is>
      </c>
      <c r="U2226" t="n">
        <v>1743094</v>
      </c>
      <c r="V2226" t="n">
        <v>0</v>
      </c>
    </row>
    <row r="2227">
      <c r="I2227">
        <f>G2227</f>
        <v/>
      </c>
      <c r="K2227">
        <f>I2227-G2227</f>
        <v/>
      </c>
      <c r="M2227">
        <f>R2227=E2227</f>
        <v/>
      </c>
      <c r="N2227">
        <f>AND(MONTH(F2227)=MONTH(Q2227), YEAR(F2227)=YEAR(Q2227))</f>
        <v/>
      </c>
      <c r="O2227">
        <f>"L001-902303751"=S2227</f>
        <v/>
      </c>
      <c r="P2227">
        <f>G2227-U2227</f>
        <v/>
      </c>
      <c r="Q2227" s="35" t="n">
        <v>45369</v>
      </c>
      <c r="R2227" t="n">
        <v>46006</v>
      </c>
      <c r="S2227" t="inlineStr">
        <is>
          <t>L001-107027232</t>
        </is>
      </c>
      <c r="T2227" t="inlineStr">
        <is>
          <t>បូវឃើរ ហ្គាមេន ព្រីនធីង (ខេមបូឌា) ខមភេនី លីមីធីត</t>
        </is>
      </c>
      <c r="U2227" t="n">
        <v>46006</v>
      </c>
      <c r="V2227" t="n">
        <v>0</v>
      </c>
    </row>
    <row r="2228">
      <c r="I2228">
        <f>G2228</f>
        <v/>
      </c>
      <c r="K2228">
        <f>I2228-G2228</f>
        <v/>
      </c>
      <c r="M2228">
        <f>R2228=E2228</f>
        <v/>
      </c>
      <c r="N2228">
        <f>AND(MONTH(F2228)=MONTH(Q2228), YEAR(F2228)=YEAR(Q2228))</f>
        <v/>
      </c>
      <c r="O2228">
        <f>"L001-902303751"=S2228</f>
        <v/>
      </c>
      <c r="P2228">
        <f>G2228-U2228</f>
        <v/>
      </c>
      <c r="Q2228" s="35" t="n">
        <v>45369</v>
      </c>
      <c r="R2228" t="n">
        <v>46006</v>
      </c>
      <c r="S2228" t="inlineStr">
        <is>
          <t>L001-107027232</t>
        </is>
      </c>
      <c r="T2228" t="inlineStr">
        <is>
          <t>បូវឃើរ ហ្គាមេន ព្រីនធីង (ខេមបូឌា) ខមភេនី លីមីធីត</t>
        </is>
      </c>
      <c r="U2228" t="n">
        <v>46006</v>
      </c>
      <c r="V2228" t="n">
        <v>0</v>
      </c>
    </row>
    <row r="2229">
      <c r="I2229">
        <f>G2229</f>
        <v/>
      </c>
      <c r="K2229">
        <f>I2229-G2229</f>
        <v/>
      </c>
      <c r="M2229">
        <f>R2229=E2229</f>
        <v/>
      </c>
      <c r="N2229">
        <f>AND(MONTH(F2229)=MONTH(Q2229), YEAR(F2229)=YEAR(Q2229))</f>
        <v/>
      </c>
      <c r="O2229">
        <f>"L001-902303751"=S2229</f>
        <v/>
      </c>
      <c r="P2229">
        <f>G2229-U2229</f>
        <v/>
      </c>
      <c r="Q2229" s="35" t="n">
        <v>45378</v>
      </c>
      <c r="R2229" t="n">
        <v>262730</v>
      </c>
      <c r="S2229" t="inlineStr">
        <is>
          <t>L001-100128718</t>
        </is>
      </c>
      <c r="T2229" t="inlineStr">
        <is>
          <t>ផែស្ងួត តេង ឡាយ</t>
        </is>
      </c>
      <c r="U2229" t="n">
        <v>262730</v>
      </c>
      <c r="V2229" t="n">
        <v>0</v>
      </c>
    </row>
    <row r="2230">
      <c r="I2230">
        <f>G2230</f>
        <v/>
      </c>
      <c r="K2230">
        <f>I2230-G2230</f>
        <v/>
      </c>
      <c r="M2230">
        <f>R2230=E2230</f>
        <v/>
      </c>
      <c r="N2230">
        <f>AND(MONTH(F2230)=MONTH(Q2230), YEAR(F2230)=YEAR(Q2230))</f>
        <v/>
      </c>
      <c r="O2230">
        <f>"L001-902303751"=S2230</f>
        <v/>
      </c>
      <c r="P2230">
        <f>G2230-U2230</f>
        <v/>
      </c>
      <c r="Q2230" s="35" t="n">
        <v>45443</v>
      </c>
      <c r="R2230" t="n">
        <v>225115</v>
      </c>
      <c r="S2230" t="inlineStr">
        <is>
          <t>L001-901900477</t>
        </is>
      </c>
      <c r="T2230" t="inlineStr">
        <is>
          <t>វីន សេង ហ្គាម៉ិន ប្រូសេស ហ្វីនីស ឯ.ក</t>
        </is>
      </c>
      <c r="U2230" t="n">
        <v>225115</v>
      </c>
      <c r="V2230" t="n">
        <v>0</v>
      </c>
    </row>
    <row r="2231">
      <c r="I2231">
        <f>G2231</f>
        <v/>
      </c>
      <c r="K2231">
        <f>I2231-G2231</f>
        <v/>
      </c>
      <c r="M2231">
        <f>R2231=E2231</f>
        <v/>
      </c>
      <c r="N2231">
        <f>AND(MONTH(F2231)=MONTH(Q2231), YEAR(F2231)=YEAR(Q2231))</f>
        <v/>
      </c>
      <c r="O2231">
        <f>"L001-902303751"=S2231</f>
        <v/>
      </c>
      <c r="P2231">
        <f>G2231-U2231</f>
        <v/>
      </c>
      <c r="Q2231" s="35" t="n">
        <v>45471</v>
      </c>
      <c r="R2231" t="n">
        <v>279480</v>
      </c>
      <c r="S2231" t="inlineStr">
        <is>
          <t>L001-100063098</t>
        </is>
      </c>
      <c r="T2231" t="inlineStr">
        <is>
          <t>ឆាយ ដា ឡូយីស្ទីក</t>
        </is>
      </c>
      <c r="U2231" t="n">
        <v>279480</v>
      </c>
      <c r="V2231" t="n">
        <v>0</v>
      </c>
    </row>
    <row r="2232">
      <c r="I2232">
        <f>G2232</f>
        <v/>
      </c>
      <c r="K2232">
        <f>I2232-G2232</f>
        <v/>
      </c>
      <c r="M2232">
        <f>R2232=E2232</f>
        <v/>
      </c>
      <c r="N2232">
        <f>AND(MONTH(F2232)=MONTH(Q2232), YEAR(F2232)=YEAR(Q2232))</f>
        <v/>
      </c>
      <c r="O2232">
        <f>"L001-902303751"=S2232</f>
        <v/>
      </c>
      <c r="P2232">
        <f>G2232-U2232</f>
        <v/>
      </c>
      <c r="Q2232" s="35" t="n">
        <v>45583</v>
      </c>
      <c r="R2232" t="n">
        <v>276216</v>
      </c>
      <c r="S2232" t="inlineStr">
        <is>
          <t>L001-100128718</t>
        </is>
      </c>
      <c r="T2232" t="inlineStr">
        <is>
          <t>ផែស្ងួត តេង ឡាយ</t>
        </is>
      </c>
      <c r="U2232" t="n">
        <v>276216</v>
      </c>
      <c r="V2232" t="n">
        <v>0</v>
      </c>
    </row>
    <row r="2233">
      <c r="I2233">
        <f>G2233</f>
        <v/>
      </c>
      <c r="K2233">
        <f>I2233-G2233</f>
        <v/>
      </c>
      <c r="M2233">
        <f>R2233=E2233</f>
        <v/>
      </c>
      <c r="N2233">
        <f>AND(MONTH(F2233)=MONTH(Q2233), YEAR(F2233)=YEAR(Q2233))</f>
        <v/>
      </c>
      <c r="O2233">
        <f>"L001-902303751"=S2233</f>
        <v/>
      </c>
      <c r="P2233">
        <f>G2233-U2233</f>
        <v/>
      </c>
      <c r="Q2233" s="35" t="n">
        <v>45279</v>
      </c>
      <c r="R2233" t="n">
        <v>93662</v>
      </c>
      <c r="S2233" t="inlineStr">
        <is>
          <t>L001-902000739</t>
        </is>
      </c>
      <c r="T2233" t="inlineStr">
        <is>
          <t>អាន រ៉ុង ហ្ស៊ី យី ឯ.ក</t>
        </is>
      </c>
      <c r="U2233" t="n">
        <v>93662</v>
      </c>
      <c r="V2233" t="n">
        <v>0</v>
      </c>
    </row>
  </sheetData>
  <printOptions horizontalCentered="1"/>
  <pageMargins left="0.2" right="0.2" top="0.5" bottom="0.45" header="0" footer="0"/>
  <pageSetup orientation="portrait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Sophara Rith</dc:creator>
  <dcterms:created xsi:type="dcterms:W3CDTF">2026-01-30T03:21:57Z</dcterms:created>
  <dcterms:modified xsi:type="dcterms:W3CDTF">2026-01-31T03:48:06Z</dcterms:modified>
  <cp:lastModifiedBy>Sophara Rith</cp:lastModifiedBy>
</cp:coreProperties>
</file>