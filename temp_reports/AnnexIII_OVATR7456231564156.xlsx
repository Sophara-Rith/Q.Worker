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nnexIII-Local Pur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Print_Area" localSheetId="0">'AnnexIII-Local Pur'!$A$1:$I$100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yyyy-mm-dd"/>
  </numFmts>
  <fonts count="10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Khmer OS Siemreap"/>
      <b val="1"/>
      <sz val="11"/>
    </font>
    <font>
      <name val="Khmer OS Siemreap"/>
      <b val="1"/>
      <color theme="1"/>
      <sz val="11"/>
    </font>
    <font>
      <name val="Khmer OS Siemreap"/>
      <color theme="1"/>
      <sz val="11"/>
    </font>
    <font>
      <name val="Khmer OS Siemreap"/>
      <sz val="11"/>
    </font>
    <font>
      <name val="Times New Roman"/>
      <family val="1"/>
      <sz val="12"/>
    </font>
    <font>
      <name val="Khmer OS Siemreap"/>
      <b val="1"/>
      <color rgb="FF2F303A"/>
      <sz val="11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6">
    <xf numFmtId="0" fontId="3" fillId="0" borderId="0" applyAlignment="1">
      <alignment vertical="top"/>
    </xf>
    <xf numFmtId="43" fontId="3" fillId="0" borderId="0"/>
    <xf numFmtId="0" fontId="3" fillId="0" borderId="0"/>
    <xf numFmtId="0" fontId="2" fillId="0" borderId="0"/>
    <xf numFmtId="43" fontId="2" fillId="0" borderId="0"/>
    <xf numFmtId="43" fontId="8" fillId="0" borderId="0"/>
  </cellStyleXfs>
  <cellXfs count="37">
    <xf numFmtId="0" fontId="0" fillId="0" borderId="0" applyAlignment="1" pivotButton="0" quotePrefix="0" xfId="0">
      <alignment vertical="top"/>
    </xf>
    <xf numFmtId="164" fontId="6" fillId="0" borderId="0" applyAlignment="1" pivotButton="0" quotePrefix="0" xfId="1">
      <alignment vertical="center"/>
    </xf>
    <xf numFmtId="0" fontId="6" fillId="0" borderId="0" applyAlignment="1" pivotButton="0" quotePrefix="0" xfId="3">
      <alignment vertical="center"/>
    </xf>
    <xf numFmtId="0" fontId="6" fillId="0" borderId="1" applyAlignment="1" pivotButton="0" quotePrefix="0" xfId="3">
      <alignment horizontal="center" vertical="center"/>
    </xf>
    <xf numFmtId="0" fontId="7" fillId="2" borderId="1" applyAlignment="1" pivotButton="0" quotePrefix="0" xfId="3">
      <alignment horizontal="left" vertical="center"/>
    </xf>
    <xf numFmtId="0" fontId="7" fillId="2" borderId="1" applyAlignment="1" pivotButton="0" quotePrefix="0" xfId="3">
      <alignment horizontal="center" vertical="center"/>
    </xf>
    <xf numFmtId="49" fontId="7" fillId="2" borderId="1" applyAlignment="1" pivotButton="0" quotePrefix="0" xfId="3">
      <alignment horizontal="center" vertical="center" wrapText="1"/>
    </xf>
    <xf numFmtId="15" fontId="7" fillId="2" borderId="1" applyAlignment="1" pivotButton="0" quotePrefix="0" xfId="3">
      <alignment horizontal="center" vertical="center"/>
    </xf>
    <xf numFmtId="164" fontId="6" fillId="2" borderId="1" applyAlignment="1" pivotButton="0" quotePrefix="0" xfId="4">
      <alignment vertical="center"/>
    </xf>
    <xf numFmtId="0" fontId="6" fillId="3" borderId="1" applyAlignment="1" pivotButton="0" quotePrefix="0" xfId="3">
      <alignment vertical="center"/>
    </xf>
    <xf numFmtId="1" fontId="7" fillId="2" borderId="1" applyAlignment="1" pivotButton="0" quotePrefix="0" xfId="3">
      <alignment horizontal="center" vertical="center" wrapText="1"/>
    </xf>
    <xf numFmtId="0" fontId="6" fillId="0" borderId="0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 wrapText="1"/>
    </xf>
    <xf numFmtId="0" fontId="4" fillId="6" borderId="1" applyAlignment="1" pivotButton="0" quotePrefix="0" xfId="3">
      <alignment horizontal="center" vertical="center"/>
    </xf>
    <xf numFmtId="164" fontId="4" fillId="6" borderId="1" applyAlignment="1" pivotButton="0" quotePrefix="0" xfId="4">
      <alignment horizontal="center" vertical="center"/>
    </xf>
    <xf numFmtId="0" fontId="5" fillId="6" borderId="1" applyAlignment="1" pivotButton="0" quotePrefix="0" xfId="3">
      <alignment horizontal="center" vertical="center"/>
    </xf>
    <xf numFmtId="164" fontId="5" fillId="6" borderId="0" applyAlignment="1" pivotButton="0" quotePrefix="0" xfId="1">
      <alignment horizontal="center" vertical="center"/>
    </xf>
    <xf numFmtId="0" fontId="4" fillId="6" borderId="3" applyAlignment="1" pivotButton="0" quotePrefix="0" xfId="3">
      <alignment horizontal="center" vertical="center" wrapText="1"/>
    </xf>
    <xf numFmtId="15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 wrapText="1"/>
    </xf>
    <xf numFmtId="0" fontId="6" fillId="4" borderId="1" applyAlignment="1" pivotButton="0" quotePrefix="0" xfId="1">
      <alignment vertical="center"/>
    </xf>
    <xf numFmtId="0" fontId="6" fillId="4" borderId="1" applyAlignment="1" pivotButton="0" quotePrefix="0" xfId="3">
      <alignment vertical="center"/>
    </xf>
    <xf numFmtId="0" fontId="9" fillId="6" borderId="5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/>
    </xf>
    <xf numFmtId="43" fontId="9" fillId="6" borderId="5" applyAlignment="1" pivotButton="0" quotePrefix="0" xfId="1">
      <alignment horizontal="center" vertical="center"/>
    </xf>
    <xf numFmtId="0" fontId="6" fillId="5" borderId="1" pivotButton="0" quotePrefix="0" xfId="0"/>
    <xf numFmtId="43" fontId="6" fillId="5" borderId="1" pivotButton="0" quotePrefix="0" xfId="1"/>
    <xf numFmtId="164" fontId="4" fillId="6" borderId="2" applyAlignment="1" pivotButton="0" quotePrefix="0" xfId="1">
      <alignment horizontal="center" vertical="center" wrapText="1"/>
    </xf>
    <xf numFmtId="164" fontId="6" fillId="4" borderId="1" applyAlignment="1" pivotButton="0" quotePrefix="0" xfId="1">
      <alignment vertical="center"/>
    </xf>
    <xf numFmtId="15" fontId="6" fillId="5" borderId="1" applyAlignment="1" pivotButton="0" quotePrefix="0" xfId="0">
      <alignment horizontal="center"/>
    </xf>
    <xf numFmtId="164" fontId="6" fillId="0" borderId="0" applyAlignment="1" pivotButton="0" quotePrefix="0" xfId="1">
      <alignment horizontal="center" vertical="center"/>
    </xf>
    <xf numFmtId="164" fontId="4" fillId="6" borderId="2" applyAlignment="1" pivotButton="0" quotePrefix="0" xfId="1">
      <alignment horizontal="center" vertical="center"/>
    </xf>
    <xf numFmtId="164" fontId="6" fillId="0" borderId="1" applyAlignment="1" pivotButton="0" quotePrefix="0" xfId="1">
      <alignment vertical="center"/>
    </xf>
    <xf numFmtId="164" fontId="5" fillId="6" borderId="0" applyAlignment="1" pivotButton="0" quotePrefix="0" xfId="1">
      <alignment horizontal="center" vertical="center" wrapText="1"/>
    </xf>
    <xf numFmtId="0" fontId="0" fillId="0" borderId="0" pivotButton="0" quotePrefix="0" xfId="0"/>
    <xf numFmtId="165" fontId="0" fillId="0" borderId="0" pivotButton="0" quotePrefix="0" xfId="0"/>
  </cellXfs>
  <cellStyles count="6">
    <cellStyle name="Normal" xfId="0" builtinId="0"/>
    <cellStyle name="Comma" xfId="1" builtinId="3"/>
    <cellStyle name="Normal 2 2" xfId="2"/>
    <cellStyle name="Normal 5" xfId="3"/>
    <cellStyle name="Comma 4" xfId="4"/>
    <cellStyle name="Comma 2 2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 t="str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233"/>
  <sheetViews>
    <sheetView tabSelected="1" zoomScale="55" zoomScaleNormal="55" zoomScaleSheetLayoutView="70" workbookViewId="0">
      <pane xSplit="1" ySplit="1" topLeftCell="B2" activePane="bottomRight" state="frozen"/>
      <selection pane="topRight" activeCell="B1" sqref="B1"/>
      <selection pane="bottomLeft" activeCell="A10" sqref="A10"/>
      <selection pane="bottomRight" activeCell="A1" sqref="A1:L1"/>
    </sheetView>
  </sheetViews>
  <sheetFormatPr baseColWidth="8" defaultColWidth="9.109375" defaultRowHeight="22.8"/>
  <cols>
    <col width="12.109375" customWidth="1" style="11" min="1" max="1"/>
    <col width="67.5546875" bestFit="1" customWidth="1" style="2" min="2" max="2"/>
    <col width="43" customWidth="1" style="2" min="3" max="3"/>
    <col width="23" bestFit="1" customWidth="1" style="11" min="4" max="4"/>
    <col width="20.44140625" customWidth="1" style="11" min="5" max="5"/>
    <col width="14" customWidth="1" style="2" min="6" max="6"/>
    <col width="18.6640625" customWidth="1" style="2" min="7" max="7"/>
    <col width="23.109375" bestFit="1" customWidth="1" style="2" min="8" max="8"/>
    <col width="18.77734375" customWidth="1" style="1" min="9" max="9"/>
    <col width="35.33203125" bestFit="1" customWidth="1" style="1" min="10" max="10"/>
    <col width="16.6640625" bestFit="1" customWidth="1" style="1" min="11" max="11"/>
    <col width="34.109375" customWidth="1" style="1" min="12" max="12"/>
    <col width="26.88671875" customWidth="1" style="1" min="13" max="13"/>
    <col width="24.21875" customWidth="1" style="1" min="14" max="14"/>
    <col width="15.77734375" bestFit="1" customWidth="1" style="2" min="15" max="15"/>
    <col width="23.21875" customWidth="1" style="2" min="16" max="16"/>
    <col width="26.33203125" customWidth="1" style="2" min="17" max="17"/>
    <col width="18.33203125" bestFit="1" customWidth="1" style="1" min="18" max="18"/>
    <col width="12.6640625" bestFit="1" customWidth="1" style="31" min="19" max="19"/>
    <col width="22" customWidth="1" style="1" min="20" max="20"/>
    <col width="27.33203125" customWidth="1" style="1" min="21" max="21"/>
    <col width="22.109375" customWidth="1" style="1" min="22" max="22"/>
    <col width="18.33203125" bestFit="1" customWidth="1" style="1" min="23" max="23"/>
    <col width="18.88671875" bestFit="1" customWidth="1" style="1" min="24" max="24"/>
    <col width="9.109375" customWidth="1" style="2" min="25" max="16384"/>
  </cols>
  <sheetData>
    <row r="1" ht="65.40000000000001" customHeight="1" s="35">
      <c r="A1" s="12" t="inlineStr">
        <is>
          <t>ល.រ</t>
        </is>
      </c>
      <c r="B1" s="12" t="inlineStr">
        <is>
          <t>បរិយាយ</t>
        </is>
      </c>
      <c r="C1" s="12" t="inlineStr">
        <is>
          <t>អ្នកផ្គត់ផ្គង់</t>
        </is>
      </c>
      <c r="D1" s="13" t="inlineStr">
        <is>
          <t>លេខ អតប</t>
        </is>
      </c>
      <c r="E1" s="14" t="inlineStr">
        <is>
          <t>លេខ</t>
        </is>
      </c>
      <c r="F1" s="14" t="inlineStr">
        <is>
          <t>ថ្ងៃ ខែ ឆ្នាំ</t>
        </is>
      </c>
      <c r="G1" s="15" t="inlineStr">
        <is>
          <t>ជារៀល</t>
        </is>
      </c>
      <c r="H1" s="13" t="inlineStr">
        <is>
          <t>ស្ថានភាព</t>
        </is>
      </c>
      <c r="I1" s="32" t="inlineStr">
        <is>
          <t>ផ្សេង (សម្គាល់)</t>
        </is>
      </c>
      <c r="J1" s="16" t="inlineStr">
        <is>
          <t>បានប្រកាស</t>
        </is>
      </c>
      <c r="K1" s="16" t="inlineStr">
        <is>
          <t>នៅខ្វះ</t>
        </is>
      </c>
      <c r="L1" s="17" t="inlineStr">
        <is>
          <t>Note</t>
        </is>
      </c>
      <c r="M1" s="34" t="inlineStr">
        <is>
          <t>P.invoice cleanup</t>
        </is>
      </c>
      <c r="N1" s="34" t="inlineStr">
        <is>
          <t>S.invoice cleanup</t>
        </is>
      </c>
      <c r="O1" s="18" t="inlineStr">
        <is>
          <t>VAR INVOICE
T/F</t>
        </is>
      </c>
      <c r="P1" s="18" t="inlineStr">
        <is>
          <t>VAR. DATE
T/F</t>
        </is>
      </c>
      <c r="Q1" s="18" t="inlineStr">
        <is>
          <t>VAR. SUPPLIER &amp; PUCHASER</t>
        </is>
      </c>
      <c r="R1" s="28" t="inlineStr">
        <is>
          <t>តេស្តទឹកប្រាក់លម្អៀង</t>
        </is>
      </c>
      <c r="S1" s="19" t="inlineStr">
        <is>
          <t xml:space="preserve">កាលបរិច្ឆេទ </t>
        </is>
      </c>
      <c r="T1" s="20" t="inlineStr">
        <is>
          <t xml:space="preserve">លេខវិក្កយបត្រ ឬប្រតិវេទគយ </t>
        </is>
      </c>
      <c r="U1" s="23" t="inlineStr">
        <is>
          <t>លេខសម្គាល់ចុះបញ្ជីពន្ធដា TIN/BIN/TID</t>
        </is>
      </c>
      <c r="V1" s="24" t="inlineStr">
        <is>
          <t>ឈ្មោះ</t>
        </is>
      </c>
      <c r="W1" s="25" t="inlineStr">
        <is>
          <t>ការលក់ក្នុងស្រុក</t>
        </is>
      </c>
      <c r="X1" s="24" t="inlineStr">
        <is>
          <t>អតបលើការនាំចេញ</t>
        </is>
      </c>
    </row>
    <row r="2">
      <c r="A2" s="3" t="n">
        <v>1</v>
      </c>
      <c r="B2" s="4" t="inlineStr">
        <is>
          <t>Security Guard</t>
        </is>
      </c>
      <c r="C2" s="4" t="inlineStr">
        <is>
          <t>សុខ វុទ្ធី ស៊ីឃ្យួរឹធី</t>
        </is>
      </c>
      <c r="D2" s="5" t="inlineStr">
        <is>
          <t>K010-108012816</t>
        </is>
      </c>
      <c r="E2" s="6" t="inlineStr">
        <is>
          <t>S0085</t>
        </is>
      </c>
      <c r="F2" s="7" t="inlineStr">
        <is>
          <t>02-10-2023</t>
        </is>
      </c>
      <c r="G2" s="8" t="n">
        <v>1302552</v>
      </c>
      <c r="H2" s="9" t="n"/>
      <c r="I2" s="33">
        <f>G2</f>
        <v/>
      </c>
      <c r="J2" s="21" t="n"/>
      <c r="K2" s="21">
        <f>I2-G2</f>
        <v/>
      </c>
      <c r="L2" s="22" t="n"/>
      <c r="M2" s="22" t="inlineStr">
        <is>
          <t>S0085</t>
        </is>
      </c>
      <c r="N2" s="22" t="inlineStr">
        <is>
          <t>2040500</t>
        </is>
      </c>
      <c r="O2" s="22">
        <f>M2=N2</f>
        <v/>
      </c>
      <c r="P2" s="22">
        <f>AND(MONTH(F2)=MONTH(S2), YEAR(F2)=YEAR(S2))</f>
        <v/>
      </c>
      <c r="Q2" s="22">
        <f>"L001-902303751"=U2</f>
        <v/>
      </c>
      <c r="R2" s="29">
        <f>G2-W2</f>
        <v/>
      </c>
      <c r="S2" s="30" t="n">
        <v>45293</v>
      </c>
      <c r="T2" s="26" t="n">
        <v>20405</v>
      </c>
      <c r="U2" s="26" t="inlineStr">
        <is>
          <t>K003-901635943</t>
        </is>
      </c>
      <c r="V2" s="26" t="inlineStr">
        <is>
          <t>អ៊ីឃ្យូឡាញ វើលវ៉ាយដ៍ ឡូជីស្ទីក</t>
        </is>
      </c>
      <c r="W2" s="27" t="n">
        <v>20405</v>
      </c>
      <c r="X2" s="26" t="n">
        <v>0</v>
      </c>
    </row>
    <row r="3">
      <c r="A3" s="3" t="n">
        <v>2</v>
      </c>
      <c r="B3" s="4" t="inlineStr">
        <is>
          <t>Automatic cutting blade,sponge strips,stencil pin</t>
        </is>
      </c>
      <c r="C3" s="4" t="inlineStr">
        <is>
          <t>យីស៊ូ ធេមផ្លេត ក្រាហ្វ ឯ.ក</t>
        </is>
      </c>
      <c r="D3" s="5" t="inlineStr">
        <is>
          <t>K010-902200360</t>
        </is>
      </c>
      <c r="E3" s="6" t="inlineStr">
        <is>
          <t>23-0236</t>
        </is>
      </c>
      <c r="F3" s="7" t="inlineStr">
        <is>
          <t>01-11-2023</t>
        </is>
      </c>
      <c r="G3" s="8" t="n">
        <v>95772</v>
      </c>
      <c r="H3" s="9" t="n"/>
      <c r="I3" s="33">
        <f>G3</f>
        <v/>
      </c>
      <c r="J3" s="21" t="n"/>
      <c r="K3" s="21">
        <f>I3-G3</f>
        <v/>
      </c>
      <c r="L3" s="22" t="n"/>
      <c r="M3" s="22" t="inlineStr">
        <is>
          <t>230236</t>
        </is>
      </c>
      <c r="N3" s="22" t="inlineStr"/>
      <c r="O3" s="22">
        <f>M3=N3</f>
        <v/>
      </c>
      <c r="P3" s="22">
        <f>AND(MONTH(F3)=MONTH(S3), YEAR(F3)=YEAR(S3))</f>
        <v/>
      </c>
      <c r="Q3" s="22">
        <f>"L001-902303751"=U3</f>
        <v/>
      </c>
      <c r="R3" s="29">
        <f>G3-W3</f>
        <v/>
      </c>
      <c r="S3" s="30" t="n">
        <v>45313</v>
      </c>
      <c r="T3" s="26" t="inlineStr"/>
      <c r="U3" s="26" t="inlineStr">
        <is>
          <t>K003-901635943</t>
        </is>
      </c>
      <c r="V3" s="26" t="inlineStr">
        <is>
          <t>អ៊ីឃ្យូឡាញ វើលវ៉ាយដ៍ ឡូជីស្ទីក</t>
        </is>
      </c>
      <c r="W3" s="27" t="n">
        <v>0</v>
      </c>
      <c r="X3" s="26" t="n">
        <v>0</v>
      </c>
    </row>
    <row r="4">
      <c r="A4" s="3" t="n">
        <v>3</v>
      </c>
      <c r="B4" s="4" t="inlineStr">
        <is>
          <t>Forklift wheel</t>
        </is>
      </c>
      <c r="C4" s="4" t="inlineStr">
        <is>
          <t>ដេកូស៍ អ៊ិនដាសស្ទ្រី ឯ.ក</t>
        </is>
      </c>
      <c r="D4" s="5" t="inlineStr">
        <is>
          <t>K007-901639102</t>
        </is>
      </c>
      <c r="E4" s="6" t="inlineStr">
        <is>
          <t>000160</t>
        </is>
      </c>
      <c r="F4" s="7" t="inlineStr">
        <is>
          <t>01-11-2023</t>
        </is>
      </c>
      <c r="G4" s="8" t="n">
        <v>70312</v>
      </c>
      <c r="H4" s="9" t="n"/>
      <c r="I4" s="33">
        <f>G4</f>
        <v/>
      </c>
      <c r="J4" s="21" t="n"/>
      <c r="K4" s="21">
        <f>I4-G4</f>
        <v/>
      </c>
      <c r="L4" s="22" t="n"/>
      <c r="M4" s="22" t="inlineStr">
        <is>
          <t>000160</t>
        </is>
      </c>
      <c r="N4" s="22" t="inlineStr"/>
      <c r="O4" s="22">
        <f>M4=N4</f>
        <v/>
      </c>
      <c r="P4" s="22">
        <f>AND(MONTH(F4)=MONTH(S4), YEAR(F4)=YEAR(S4))</f>
        <v/>
      </c>
      <c r="Q4" s="22">
        <f>"L001-902303751"=U4</f>
        <v/>
      </c>
      <c r="R4" s="29">
        <f>G4-W4</f>
        <v/>
      </c>
      <c r="S4" s="30" t="n">
        <v>45320</v>
      </c>
      <c r="T4" s="26" t="inlineStr"/>
      <c r="U4" s="26" t="inlineStr">
        <is>
          <t>L001-104015799</t>
        </is>
      </c>
      <c r="V4" s="26" t="inlineStr">
        <is>
          <t>យូសេន ឡូជីស្ទីក (ខេមបូឌា) ខូ អិលធីឌី</t>
        </is>
      </c>
      <c r="W4" s="27" t="n">
        <v>0</v>
      </c>
      <c r="X4" s="26" t="n">
        <v>0</v>
      </c>
    </row>
    <row r="5">
      <c r="A5" s="3" t="n">
        <v>4</v>
      </c>
      <c r="B5" s="4" t="inlineStr">
        <is>
          <t>PVC,sponge strips,automactic cutting blade)</t>
        </is>
      </c>
      <c r="C5" s="4" t="inlineStr">
        <is>
          <t>យីស៊ូ ធេមផ្លេត ក្រាហ្វ ឯ.ក</t>
        </is>
      </c>
      <c r="D5" s="5" t="inlineStr">
        <is>
          <t>K010-902200360</t>
        </is>
      </c>
      <c r="E5" s="6" t="inlineStr">
        <is>
          <t>23-0250</t>
        </is>
      </c>
      <c r="F5" s="7" t="inlineStr">
        <is>
          <t>20-11-2023</t>
        </is>
      </c>
      <c r="G5" s="8" t="n">
        <v>1182852</v>
      </c>
      <c r="H5" s="9" t="n"/>
      <c r="I5" s="33">
        <f>G5</f>
        <v/>
      </c>
      <c r="J5" s="21" t="n"/>
      <c r="K5" s="21">
        <f>I5-G5</f>
        <v/>
      </c>
      <c r="L5" s="22" t="n"/>
      <c r="M5" s="22" t="inlineStr">
        <is>
          <t>230250</t>
        </is>
      </c>
      <c r="N5" s="22" t="inlineStr">
        <is>
          <t>18772600</t>
        </is>
      </c>
      <c r="O5" s="22">
        <f>M5=N5</f>
        <v/>
      </c>
      <c r="P5" s="22">
        <f>AND(MONTH(F5)=MONTH(S5), YEAR(F5)=YEAR(S5))</f>
        <v/>
      </c>
      <c r="Q5" s="22">
        <f>"L001-902303751"=U5</f>
        <v/>
      </c>
      <c r="R5" s="29">
        <f>G5-W5</f>
        <v/>
      </c>
      <c r="S5" s="30" t="n">
        <v>45320</v>
      </c>
      <c r="T5" s="26" t="n">
        <v>187726</v>
      </c>
      <c r="U5" s="26" t="inlineStr">
        <is>
          <t>K009-901605081</t>
        </is>
      </c>
      <c r="V5" s="26" t="inlineStr">
        <is>
          <t>ទ្រូ ខមភែនៀន ឡូជីស្ទីក (ខេមបូឌា)</t>
        </is>
      </c>
      <c r="W5" s="27" t="n">
        <v>187726</v>
      </c>
      <c r="X5" s="26" t="n">
        <v>0</v>
      </c>
    </row>
    <row r="6">
      <c r="A6" s="3" t="n">
        <v>5</v>
      </c>
      <c r="B6" s="4" t="inlineStr">
        <is>
          <t>Internet fee</t>
        </is>
      </c>
      <c r="C6" s="4" t="inlineStr">
        <is>
          <t>សៅ អ៊ីស្ត អេស៊ា ធេលីខម (ខេមបូឌា)</t>
        </is>
      </c>
      <c r="D6" s="5" t="inlineStr">
        <is>
          <t>L001-100111467</t>
        </is>
      </c>
      <c r="E6" s="10" t="inlineStr">
        <is>
          <t>2137</t>
        </is>
      </c>
      <c r="F6" s="7" t="inlineStr">
        <is>
          <t>10-11-2023</t>
        </is>
      </c>
      <c r="G6" s="8" t="n">
        <v>368446</v>
      </c>
      <c r="H6" s="9" t="n"/>
      <c r="I6" s="33">
        <f>G6</f>
        <v/>
      </c>
      <c r="J6" s="21" t="n"/>
      <c r="K6" s="21">
        <f>I6-G6</f>
        <v/>
      </c>
      <c r="L6" s="22" t="n"/>
      <c r="M6" s="22" t="inlineStr">
        <is>
          <t>2137</t>
        </is>
      </c>
      <c r="N6" s="22" t="inlineStr">
        <is>
          <t>26975400</t>
        </is>
      </c>
      <c r="O6" s="22">
        <f>M6=N6</f>
        <v/>
      </c>
      <c r="P6" s="22">
        <f>AND(MONTH(F6)=MONTH(S6), YEAR(F6)=YEAR(S6))</f>
        <v/>
      </c>
      <c r="Q6" s="22">
        <f>"L001-902303751"=U6</f>
        <v/>
      </c>
      <c r="R6" s="29">
        <f>G6-W6</f>
        <v/>
      </c>
      <c r="S6" s="30" t="n">
        <v>45306</v>
      </c>
      <c r="T6" s="26" t="n">
        <v>269754</v>
      </c>
      <c r="U6" s="26" t="inlineStr">
        <is>
          <t>K003-901635943</t>
        </is>
      </c>
      <c r="V6" s="26" t="inlineStr">
        <is>
          <t>អ៊ីឃ្យូឡាញ វើលវ៉ាយដ៍ ឡូជីស្ទីក</t>
        </is>
      </c>
      <c r="W6" s="27" t="n">
        <v>269754</v>
      </c>
      <c r="X6" s="26" t="n">
        <v>0</v>
      </c>
    </row>
    <row r="7">
      <c r="A7" s="3" t="n">
        <v>6</v>
      </c>
      <c r="B7" s="4" t="inlineStr">
        <is>
          <t>Internet fee</t>
        </is>
      </c>
      <c r="C7" s="4" t="inlineStr">
        <is>
          <t>អេស.អាយ គ្រុប</t>
        </is>
      </c>
      <c r="D7" s="5" t="inlineStr">
        <is>
          <t>L001-100129250</t>
        </is>
      </c>
      <c r="E7" s="10" t="inlineStr">
        <is>
          <t>2310-0107-01523</t>
        </is>
      </c>
      <c r="F7" s="7" t="inlineStr">
        <is>
          <t>01-11-2023</t>
        </is>
      </c>
      <c r="G7" s="8" t="n">
        <v>206750</v>
      </c>
      <c r="H7" s="9" t="n"/>
      <c r="I7" s="33">
        <f>G7</f>
        <v/>
      </c>
      <c r="J7" s="21" t="n"/>
      <c r="K7" s="21">
        <f>I7-G7</f>
        <v/>
      </c>
      <c r="L7" s="22" t="n"/>
      <c r="M7" s="22" t="inlineStr">
        <is>
          <t>2310010701523</t>
        </is>
      </c>
      <c r="N7" s="22" t="inlineStr">
        <is>
          <t>18786400</t>
        </is>
      </c>
      <c r="O7" s="22">
        <f>M7=N7</f>
        <v/>
      </c>
      <c r="P7" s="22">
        <f>AND(MONTH(F7)=MONTH(S7), YEAR(F7)=YEAR(S7))</f>
        <v/>
      </c>
      <c r="Q7" s="22">
        <f>"L001-902303751"=U7</f>
        <v/>
      </c>
      <c r="R7" s="29">
        <f>G7-W7</f>
        <v/>
      </c>
      <c r="S7" s="30" t="n">
        <v>45308</v>
      </c>
      <c r="T7" s="26" t="n">
        <v>187864</v>
      </c>
      <c r="U7" s="26" t="inlineStr">
        <is>
          <t>K009-901605081</t>
        </is>
      </c>
      <c r="V7" s="26" t="inlineStr">
        <is>
          <t>ទ្រូ ខមភែនៀន ឡូជីស្ទីក (ខេមបូឌា)</t>
        </is>
      </c>
      <c r="W7" s="27" t="n">
        <v>187864</v>
      </c>
      <c r="X7" s="26" t="n">
        <v>0</v>
      </c>
    </row>
    <row r="8">
      <c r="A8" s="3" t="n">
        <v>7</v>
      </c>
      <c r="B8" s="4" t="inlineStr">
        <is>
          <t>Copy machine rental</t>
        </is>
      </c>
      <c r="C8" s="4" t="inlineStr">
        <is>
          <t>វី.អាយ.អេស ខភៀ ឯ.ក</t>
        </is>
      </c>
      <c r="D8" s="5" t="inlineStr">
        <is>
          <t>K007-901705195</t>
        </is>
      </c>
      <c r="E8" s="10" t="inlineStr">
        <is>
          <t>RNT231124</t>
        </is>
      </c>
      <c r="F8" s="7" t="inlineStr">
        <is>
          <t>06-11-2023</t>
        </is>
      </c>
      <c r="G8" s="8" t="n">
        <v>57834</v>
      </c>
      <c r="H8" s="9" t="n"/>
      <c r="I8" s="33">
        <f>G8</f>
        <v/>
      </c>
      <c r="J8" s="21" t="n"/>
      <c r="K8" s="21">
        <f>I8-G8</f>
        <v/>
      </c>
      <c r="L8" s="22" t="n"/>
      <c r="M8" s="22" t="inlineStr">
        <is>
          <t>RNT231124</t>
        </is>
      </c>
      <c r="N8" s="22" t="inlineStr">
        <is>
          <t>11312700</t>
        </is>
      </c>
      <c r="O8" s="22">
        <f>M8=N8</f>
        <v/>
      </c>
      <c r="P8" s="22">
        <f>AND(MONTH(F8)=MONTH(S8), YEAR(F8)=YEAR(S8))</f>
        <v/>
      </c>
      <c r="Q8" s="22">
        <f>"L001-902303751"=U8</f>
        <v/>
      </c>
      <c r="R8" s="29">
        <f>G8-W8</f>
        <v/>
      </c>
      <c r="S8" s="30" t="n">
        <v>45303</v>
      </c>
      <c r="T8" s="26" t="n">
        <v>113127</v>
      </c>
      <c r="U8" s="26" t="inlineStr">
        <is>
          <t>L001-107041723</t>
        </is>
      </c>
      <c r="V8" s="26" t="inlineStr">
        <is>
          <t>ឌីប៊ី សេនឃើរ (ខេមបូឌា) លីមីធីត</t>
        </is>
      </c>
      <c r="W8" s="27" t="n">
        <v>113127</v>
      </c>
      <c r="X8" s="26" t="n">
        <v>0</v>
      </c>
    </row>
    <row r="9">
      <c r="A9" s="3" t="n">
        <v>8</v>
      </c>
      <c r="B9" s="4" t="inlineStr">
        <is>
          <t>Copy machine rental</t>
        </is>
      </c>
      <c r="C9" s="4" t="inlineStr">
        <is>
          <t>វី.អាយ.អេស ខភៀ ឯ.ក</t>
        </is>
      </c>
      <c r="D9" s="5" t="inlineStr">
        <is>
          <t>K007-901705195</t>
        </is>
      </c>
      <c r="E9" s="10" t="inlineStr">
        <is>
          <t>RNT231125</t>
        </is>
      </c>
      <c r="F9" s="7" t="inlineStr">
        <is>
          <t>06-11-2023</t>
        </is>
      </c>
      <c r="G9" s="8" t="n">
        <v>26852</v>
      </c>
      <c r="H9" s="9" t="n"/>
      <c r="I9" s="33">
        <f>G9</f>
        <v/>
      </c>
      <c r="J9" s="21" t="n"/>
      <c r="K9" s="21">
        <f>I9-G9</f>
        <v/>
      </c>
      <c r="L9" s="22" t="n"/>
      <c r="M9" s="22" t="inlineStr">
        <is>
          <t>RNT231125</t>
        </is>
      </c>
      <c r="N9" s="22" t="inlineStr">
        <is>
          <t>18795600</t>
        </is>
      </c>
      <c r="O9" s="22">
        <f>M9=N9</f>
        <v/>
      </c>
      <c r="P9" s="22">
        <f>AND(MONTH(F9)=MONTH(S9), YEAR(F9)=YEAR(S9))</f>
        <v/>
      </c>
      <c r="Q9" s="22">
        <f>"L001-902303751"=U9</f>
        <v/>
      </c>
      <c r="R9" s="29">
        <f>G9-W9</f>
        <v/>
      </c>
      <c r="S9" s="30" t="n">
        <v>45295</v>
      </c>
      <c r="T9" s="26" t="n">
        <v>187956</v>
      </c>
      <c r="U9" s="26" t="inlineStr">
        <is>
          <t>K009-901605081</t>
        </is>
      </c>
      <c r="V9" s="26" t="inlineStr">
        <is>
          <t>ទ្រូ ខមភែនៀន ឡូជីស្ទីក (ខេមបូឌា)</t>
        </is>
      </c>
      <c r="W9" s="27" t="n">
        <v>187956</v>
      </c>
      <c r="X9" s="26" t="n">
        <v>0</v>
      </c>
    </row>
    <row r="10">
      <c r="A10" s="3" t="n">
        <v>9</v>
      </c>
      <c r="B10" s="4" t="inlineStr">
        <is>
          <t>Copy machine rental</t>
        </is>
      </c>
      <c r="C10" s="4" t="inlineStr">
        <is>
          <t>វី.អាយ.អេស ខភៀ ឯ.ក</t>
        </is>
      </c>
      <c r="D10" s="5" t="inlineStr">
        <is>
          <t>K007-901705195</t>
        </is>
      </c>
      <c r="E10" s="10" t="inlineStr">
        <is>
          <t>RNT231126</t>
        </is>
      </c>
      <c r="F10" s="7" t="inlineStr">
        <is>
          <t>06-11-2023</t>
        </is>
      </c>
      <c r="G10" s="8" t="n">
        <v>28917</v>
      </c>
      <c r="H10" s="9" t="n"/>
      <c r="I10" s="33">
        <f>G10</f>
        <v/>
      </c>
      <c r="J10" s="21" t="n"/>
      <c r="K10" s="21">
        <f>I10-G10</f>
        <v/>
      </c>
      <c r="L10" s="22" t="n"/>
      <c r="M10" s="22" t="inlineStr">
        <is>
          <t>RNT231126</t>
        </is>
      </c>
      <c r="N10" s="22" t="inlineStr">
        <is>
          <t>17689800</t>
        </is>
      </c>
      <c r="O10" s="22">
        <f>M10=N10</f>
        <v/>
      </c>
      <c r="P10" s="22">
        <f>AND(MONTH(F10)=MONTH(S10), YEAR(F10)=YEAR(S10))</f>
        <v/>
      </c>
      <c r="Q10" s="22">
        <f>"L001-902303751"=U10</f>
        <v/>
      </c>
      <c r="R10" s="29">
        <f>G10-W10</f>
        <v/>
      </c>
      <c r="S10" s="30" t="n">
        <v>45313</v>
      </c>
      <c r="T10" s="26" t="n">
        <v>176898</v>
      </c>
      <c r="U10" s="26" t="inlineStr">
        <is>
          <t>K003-901635943</t>
        </is>
      </c>
      <c r="V10" s="26" t="inlineStr">
        <is>
          <t>អ៊ីឃ្យូឡាញ វើលវ៉ាយដ៍ ឡូជីស្ទីក</t>
        </is>
      </c>
      <c r="W10" s="27" t="n">
        <v>176898</v>
      </c>
      <c r="X10" s="26" t="n">
        <v>0</v>
      </c>
    </row>
    <row r="11">
      <c r="A11" s="3" t="n">
        <v>10</v>
      </c>
      <c r="B11" s="4" t="inlineStr">
        <is>
          <t>Copy machine rental</t>
        </is>
      </c>
      <c r="C11" s="4" t="inlineStr">
        <is>
          <t>វី.អាយ.អេស ខភៀ ឯ.ក</t>
        </is>
      </c>
      <c r="D11" s="5" t="inlineStr">
        <is>
          <t>K007-901705195</t>
        </is>
      </c>
      <c r="E11" s="10" t="inlineStr">
        <is>
          <t>RNT231127</t>
        </is>
      </c>
      <c r="F11" s="7" t="inlineStr">
        <is>
          <t>06-11-2023</t>
        </is>
      </c>
      <c r="G11" s="8" t="n">
        <v>57834</v>
      </c>
      <c r="H11" s="9" t="n"/>
      <c r="I11" s="33">
        <f>G11</f>
        <v/>
      </c>
      <c r="J11" s="21" t="n"/>
      <c r="K11" s="21">
        <f>I11-G11</f>
        <v/>
      </c>
      <c r="L11" s="22" t="n"/>
      <c r="M11" s="22" t="inlineStr">
        <is>
          <t>RNT231127</t>
        </is>
      </c>
      <c r="N11" s="22" t="inlineStr">
        <is>
          <t>17711500</t>
        </is>
      </c>
      <c r="O11" s="22">
        <f>M11=N11</f>
        <v/>
      </c>
      <c r="P11" s="22">
        <f>AND(MONTH(F11)=MONTH(S11), YEAR(F11)=YEAR(S11))</f>
        <v/>
      </c>
      <c r="Q11" s="22">
        <f>"L001-902303751"=U11</f>
        <v/>
      </c>
      <c r="R11" s="29">
        <f>G11-W11</f>
        <v/>
      </c>
      <c r="S11" s="30" t="n">
        <v>45320</v>
      </c>
      <c r="T11" s="26" t="n">
        <v>177115</v>
      </c>
      <c r="U11" s="26" t="inlineStr">
        <is>
          <t>K003-901635943</t>
        </is>
      </c>
      <c r="V11" s="26" t="inlineStr">
        <is>
          <t>អ៊ីឃ្យូឡាញ វើលវ៉ាយដ៍ ឡូជីស្ទីក</t>
        </is>
      </c>
      <c r="W11" s="27" t="n">
        <v>177115</v>
      </c>
      <c r="X11" s="26" t="n">
        <v>0</v>
      </c>
    </row>
    <row r="12">
      <c r="A12" s="3" t="n">
        <v>11</v>
      </c>
      <c r="B12" s="4" t="inlineStr">
        <is>
          <t>Spare Part for Sewing Machine</t>
        </is>
      </c>
      <c r="C12" s="4" t="inlineStr">
        <is>
          <t>ក្លាក ហ៊ូ ឯ.ក</t>
        </is>
      </c>
      <c r="D12" s="5" t="inlineStr">
        <is>
          <t>K007-901639199</t>
        </is>
      </c>
      <c r="E12" s="10" t="inlineStr">
        <is>
          <t>IN1497</t>
        </is>
      </c>
      <c r="F12" s="7" t="inlineStr">
        <is>
          <t>01-11-2023</t>
        </is>
      </c>
      <c r="G12" s="8" t="n">
        <v>1303931</v>
      </c>
      <c r="H12" s="9" t="n"/>
      <c r="I12" s="33">
        <f>G12</f>
        <v/>
      </c>
      <c r="J12" s="21" t="n"/>
      <c r="K12" s="21">
        <f>I12-G12</f>
        <v/>
      </c>
      <c r="L12" s="22" t="n"/>
      <c r="M12" s="22" t="inlineStr">
        <is>
          <t>IN1497</t>
        </is>
      </c>
      <c r="N12" s="22" t="inlineStr">
        <is>
          <t>18758800</t>
        </is>
      </c>
      <c r="O12" s="22">
        <f>M12=N12</f>
        <v/>
      </c>
      <c r="P12" s="22">
        <f>AND(MONTH(F12)=MONTH(S12), YEAR(F12)=YEAR(S12))</f>
        <v/>
      </c>
      <c r="Q12" s="22">
        <f>"L001-902303751"=U12</f>
        <v/>
      </c>
      <c r="R12" s="29">
        <f>G12-W12</f>
        <v/>
      </c>
      <c r="S12" s="30" t="n">
        <v>45315</v>
      </c>
      <c r="T12" s="26" t="n">
        <v>187588</v>
      </c>
      <c r="U12" s="26" t="inlineStr">
        <is>
          <t>K009-901605081</t>
        </is>
      </c>
      <c r="V12" s="26" t="inlineStr">
        <is>
          <t>ទ្រូ ខមភែនៀន ឡូជីស្ទីក (ខេមបូឌា)</t>
        </is>
      </c>
      <c r="W12" s="27" t="n">
        <v>187588</v>
      </c>
      <c r="X12" s="26" t="n">
        <v>0</v>
      </c>
    </row>
    <row r="13">
      <c r="A13" s="3" t="n">
        <v>12</v>
      </c>
      <c r="B13" s="4" t="inlineStr">
        <is>
          <t>Abrasive tape.karft paper,under paper,marker paper</t>
        </is>
      </c>
      <c r="C13" s="4" t="inlineStr">
        <is>
          <t>អាន រ៉ុង ហ្ស៊ី យី ឯ.ក</t>
        </is>
      </c>
      <c r="D13" s="5" t="inlineStr">
        <is>
          <t>L001-902000739</t>
        </is>
      </c>
      <c r="E13" s="10" t="inlineStr">
        <is>
          <t>AR23000898</t>
        </is>
      </c>
      <c r="F13" s="7" t="inlineStr">
        <is>
          <t>01-11-2023</t>
        </is>
      </c>
      <c r="G13" s="8" t="n">
        <v>939099</v>
      </c>
      <c r="H13" s="9" t="n"/>
      <c r="I13" s="33">
        <f>G13</f>
        <v/>
      </c>
      <c r="J13" s="21" t="n"/>
      <c r="K13" s="21">
        <f>I13-G13</f>
        <v/>
      </c>
      <c r="L13" s="22" t="n"/>
      <c r="M13" s="22" t="inlineStr">
        <is>
          <t>AR23000898</t>
        </is>
      </c>
      <c r="N13" s="22" t="inlineStr">
        <is>
          <t>18795600</t>
        </is>
      </c>
      <c r="O13" s="22">
        <f>M13=N13</f>
        <v/>
      </c>
      <c r="P13" s="22">
        <f>AND(MONTH(F13)=MONTH(S13), YEAR(F13)=YEAR(S13))</f>
        <v/>
      </c>
      <c r="Q13" s="22">
        <f>"L001-902303751"=U13</f>
        <v/>
      </c>
      <c r="R13" s="29">
        <f>G13-W13</f>
        <v/>
      </c>
      <c r="S13" s="30" t="n">
        <v>45295</v>
      </c>
      <c r="T13" s="26" t="n">
        <v>187956</v>
      </c>
      <c r="U13" s="26" t="inlineStr">
        <is>
          <t>K009-901605081</t>
        </is>
      </c>
      <c r="V13" s="26" t="inlineStr">
        <is>
          <t>ទ្រូ ខមភែនៀន ឡូជីស្ទីក (ខេមបូឌា)</t>
        </is>
      </c>
      <c r="W13" s="27" t="n">
        <v>187956</v>
      </c>
      <c r="X13" s="26" t="n">
        <v>0</v>
      </c>
    </row>
    <row r="14">
      <c r="A14" s="3" t="n">
        <v>13</v>
      </c>
      <c r="B14" s="4" t="inlineStr">
        <is>
          <t>Thread</t>
        </is>
      </c>
      <c r="C14" s="4" t="inlineStr">
        <is>
          <t>គ្លូប៊ល សុីលីន ហ្គាមុិន អេកសេសឺរី ឯ.ក</t>
        </is>
      </c>
      <c r="D14" s="5" t="inlineStr">
        <is>
          <t>L001-902200857</t>
        </is>
      </c>
      <c r="E14" s="10" t="inlineStr">
        <is>
          <t>000695</t>
        </is>
      </c>
      <c r="F14" s="7" t="inlineStr">
        <is>
          <t>01-11-2023</t>
        </is>
      </c>
      <c r="G14" s="8" t="n">
        <v>107640</v>
      </c>
      <c r="H14" s="9" t="n"/>
      <c r="I14" s="33">
        <f>G14</f>
        <v/>
      </c>
      <c r="J14" s="21" t="n"/>
      <c r="K14" s="21">
        <f>I14-G14</f>
        <v/>
      </c>
      <c r="L14" s="22" t="n"/>
      <c r="M14" s="22" t="inlineStr">
        <is>
          <t>000695</t>
        </is>
      </c>
      <c r="N14" s="22" t="inlineStr">
        <is>
          <t>17776600</t>
        </is>
      </c>
      <c r="O14" s="22">
        <f>M14=N14</f>
        <v/>
      </c>
      <c r="P14" s="22">
        <f>AND(MONTH(F14)=MONTH(S14), YEAR(F14)=YEAR(S14))</f>
        <v/>
      </c>
      <c r="Q14" s="22">
        <f>"L001-902303751"=U14</f>
        <v/>
      </c>
      <c r="R14" s="29">
        <f>G14-W14</f>
        <v/>
      </c>
      <c r="S14" s="30" t="n">
        <v>45299</v>
      </c>
      <c r="T14" s="26" t="n">
        <v>177766</v>
      </c>
      <c r="U14" s="26" t="inlineStr">
        <is>
          <t>K003-901635943</t>
        </is>
      </c>
      <c r="V14" s="26" t="inlineStr">
        <is>
          <t>អ៊ីឃ្យូឡាញ វើលវ៉ាយដ៍ ឡូជីស្ទីក</t>
        </is>
      </c>
      <c r="W14" s="27" t="n">
        <v>177766</v>
      </c>
      <c r="X14" s="26" t="n">
        <v>0</v>
      </c>
    </row>
    <row r="15">
      <c r="A15" s="3" t="n">
        <v>14</v>
      </c>
      <c r="B15" s="4" t="inlineStr">
        <is>
          <t>Stationary</t>
        </is>
      </c>
      <c r="C15" s="4" t="inlineStr">
        <is>
          <t>ស៊ី &amp; ជី ត្រេឌីង ឯ.ក</t>
        </is>
      </c>
      <c r="D15" s="5" t="inlineStr">
        <is>
          <t>K010-902205065</t>
        </is>
      </c>
      <c r="E15" s="6" t="inlineStr">
        <is>
          <t>2023-0056</t>
        </is>
      </c>
      <c r="F15" s="7" t="inlineStr">
        <is>
          <t>01-11-2023</t>
        </is>
      </c>
      <c r="G15" s="8" t="n">
        <v>544577</v>
      </c>
      <c r="H15" s="9" t="n"/>
      <c r="I15" s="33">
        <f>G15</f>
        <v/>
      </c>
      <c r="J15" s="21" t="n"/>
      <c r="K15" s="21">
        <f>I15-G15</f>
        <v/>
      </c>
      <c r="L15" s="22" t="n"/>
      <c r="M15" s="22" t="inlineStr">
        <is>
          <t>20230056</t>
        </is>
      </c>
      <c r="N15" s="22" t="inlineStr">
        <is>
          <t>9672000</t>
        </is>
      </c>
      <c r="O15" s="22">
        <f>M15=N15</f>
        <v/>
      </c>
      <c r="P15" s="22">
        <f>AND(MONTH(F15)=MONTH(S15), YEAR(F15)=YEAR(S15))</f>
        <v/>
      </c>
      <c r="Q15" s="22">
        <f>"L001-902303751"=U15</f>
        <v/>
      </c>
      <c r="R15" s="29">
        <f>G15-W15</f>
        <v/>
      </c>
      <c r="S15" s="30" t="n">
        <v>45320</v>
      </c>
      <c r="T15" s="26" t="n">
        <v>96720</v>
      </c>
      <c r="U15" s="26" t="inlineStr">
        <is>
          <t>L001-104015799</t>
        </is>
      </c>
      <c r="V15" s="26" t="inlineStr">
        <is>
          <t>យូសេន ឡូជីស្ទីក (ខេមបូឌា) ខូ អិលធីឌី</t>
        </is>
      </c>
      <c r="W15" s="27" t="n">
        <v>96720</v>
      </c>
      <c r="X15" s="26" t="n">
        <v>0</v>
      </c>
    </row>
    <row r="16">
      <c r="A16" s="3" t="n">
        <v>15</v>
      </c>
      <c r="B16" s="4" t="inlineStr">
        <is>
          <t>DNS SERVICE</t>
        </is>
      </c>
      <c r="C16" s="4" t="inlineStr">
        <is>
          <t>អង្គរ ដាតា ខមម្ញូនីខេសិន គ្រុប (អេ ឌី​ ស៊ី)</t>
        </is>
      </c>
      <c r="D16" s="5" t="inlineStr">
        <is>
          <t>L001-100078885</t>
        </is>
      </c>
      <c r="E16" s="6" t="inlineStr">
        <is>
          <t>TIPP2366080</t>
        </is>
      </c>
      <c r="F16" s="7" t="inlineStr">
        <is>
          <t>01-12-2023</t>
        </is>
      </c>
      <c r="G16" s="8" t="n">
        <v>20635</v>
      </c>
      <c r="H16" s="9" t="n"/>
      <c r="I16" s="33">
        <f>G16</f>
        <v/>
      </c>
      <c r="J16" s="21" t="n"/>
      <c r="K16" s="21">
        <f>I16-G16</f>
        <v/>
      </c>
      <c r="L16" s="22" t="n"/>
      <c r="M16" s="22" t="inlineStr">
        <is>
          <t>TIPP2366080</t>
        </is>
      </c>
      <c r="N16" s="22" t="inlineStr">
        <is>
          <t>222251000</t>
        </is>
      </c>
      <c r="O16" s="22">
        <f>M16=N16</f>
        <v/>
      </c>
      <c r="P16" s="22">
        <f>AND(MONTH(F16)=MONTH(S16), YEAR(F16)=YEAR(S16))</f>
        <v/>
      </c>
      <c r="Q16" s="22">
        <f>"L001-902303751"=U16</f>
        <v/>
      </c>
      <c r="R16" s="29">
        <f>G16-W16</f>
        <v/>
      </c>
      <c r="S16" s="30" t="n">
        <v>45315</v>
      </c>
      <c r="T16" s="26" t="n">
        <v>2222510</v>
      </c>
      <c r="U16" s="26" t="inlineStr">
        <is>
          <t>K009-901605081</t>
        </is>
      </c>
      <c r="V16" s="26" t="inlineStr">
        <is>
          <t>ទ្រូ ខមភែនៀន ឡូជីស្ទីក (ខេមបូឌា)</t>
        </is>
      </c>
      <c r="W16" s="27" t="n">
        <v>2222510</v>
      </c>
      <c r="X16" s="26" t="n">
        <v>0</v>
      </c>
    </row>
    <row r="17">
      <c r="A17" s="3" t="n">
        <v>16</v>
      </c>
      <c r="B17" s="4" t="inlineStr">
        <is>
          <t>Machine rental</t>
        </is>
      </c>
      <c r="C17" s="4" t="inlineStr">
        <is>
          <t>ក្លាក ហ៊ូ ឯ.ក</t>
        </is>
      </c>
      <c r="D17" s="5" t="inlineStr">
        <is>
          <t>K007-901639199</t>
        </is>
      </c>
      <c r="E17" s="6" t="inlineStr">
        <is>
          <t>IN1842</t>
        </is>
      </c>
      <c r="F17" s="7" t="inlineStr">
        <is>
          <t>23-12-2023</t>
        </is>
      </c>
      <c r="G17" s="8" t="n">
        <v>50865</v>
      </c>
      <c r="H17" s="9" t="n"/>
      <c r="I17" s="33">
        <f>G17</f>
        <v/>
      </c>
      <c r="J17" s="21" t="n"/>
      <c r="K17" s="21">
        <f>I17-G17</f>
        <v/>
      </c>
      <c r="L17" s="22" t="n"/>
      <c r="M17" s="22" t="inlineStr">
        <is>
          <t>IN1842</t>
        </is>
      </c>
      <c r="N17" s="22" t="inlineStr">
        <is>
          <t>8478700</t>
        </is>
      </c>
      <c r="O17" s="22">
        <f>M17=N17</f>
        <v/>
      </c>
      <c r="P17" s="22">
        <f>AND(MONTH(F17)=MONTH(S17), YEAR(F17)=YEAR(S17))</f>
        <v/>
      </c>
      <c r="Q17" s="22">
        <f>"L001-902303751"=U17</f>
        <v/>
      </c>
      <c r="R17" s="29">
        <f>G17-W17</f>
        <v/>
      </c>
      <c r="S17" s="30" t="n">
        <v>45299</v>
      </c>
      <c r="T17" s="26" t="n">
        <v>84787</v>
      </c>
      <c r="U17" s="26" t="inlineStr">
        <is>
          <t>L001-104015799</t>
        </is>
      </c>
      <c r="V17" s="26" t="inlineStr">
        <is>
          <t>យូសេន ឡូជីស្ទីក (ខេមបូឌា) ខូ អិលធីឌី</t>
        </is>
      </c>
      <c r="W17" s="27" t="n">
        <v>84787</v>
      </c>
      <c r="X17" s="26" t="n">
        <v>0</v>
      </c>
    </row>
    <row r="18">
      <c r="A18" s="3" t="n">
        <v>17</v>
      </c>
      <c r="B18" s="4" t="inlineStr">
        <is>
          <t>Machine rental</t>
        </is>
      </c>
      <c r="C18" s="4" t="inlineStr">
        <is>
          <t>ក្លាក ហ៊ូ ឯ.ក</t>
        </is>
      </c>
      <c r="D18" s="5" t="inlineStr">
        <is>
          <t>K007-901639199</t>
        </is>
      </c>
      <c r="E18" s="6" t="inlineStr">
        <is>
          <t>IN1932</t>
        </is>
      </c>
      <c r="F18" s="7" t="inlineStr">
        <is>
          <t>30-12-2023</t>
        </is>
      </c>
      <c r="G18" s="8" t="n">
        <v>73530</v>
      </c>
      <c r="H18" s="9" t="n"/>
      <c r="I18" s="33">
        <f>G18</f>
        <v/>
      </c>
      <c r="J18" s="21" t="n"/>
      <c r="K18" s="21">
        <f>I18-G18</f>
        <v/>
      </c>
      <c r="L18" s="22" t="n"/>
      <c r="M18" s="22" t="inlineStr">
        <is>
          <t>IN1932</t>
        </is>
      </c>
      <c r="N18" s="22" t="inlineStr"/>
      <c r="O18" s="22">
        <f>M18=N18</f>
        <v/>
      </c>
      <c r="P18" s="22">
        <f>AND(MONTH(F18)=MONTH(S18), YEAR(F18)=YEAR(S18))</f>
        <v/>
      </c>
      <c r="Q18" s="22">
        <f>"L001-902303751"=U18</f>
        <v/>
      </c>
      <c r="R18" s="29">
        <f>G18-W18</f>
        <v/>
      </c>
      <c r="S18" s="30" t="n">
        <v>45306</v>
      </c>
      <c r="T18" s="26" t="inlineStr"/>
      <c r="U18" s="26" t="inlineStr">
        <is>
          <t>K003-901635943</t>
        </is>
      </c>
      <c r="V18" s="26" t="inlineStr">
        <is>
          <t>អ៊ីឃ្យូឡាញ វើលវ៉ាយដ៍ ឡូជីស្ទីក</t>
        </is>
      </c>
      <c r="W18" s="27" t="n">
        <v>0</v>
      </c>
      <c r="X18" s="26" t="n">
        <v>0</v>
      </c>
    </row>
    <row r="19">
      <c r="A19" s="3" t="n">
        <v>18</v>
      </c>
      <c r="B19" s="4" t="inlineStr">
        <is>
          <t>MACHINERY AND EQUIPMENT</t>
        </is>
      </c>
      <c r="C19" s="4" t="inlineStr">
        <is>
          <t>ខ្វាន់ទុម ហ្គាមេន ឯ.ក</t>
        </is>
      </c>
      <c r="D19" s="5" t="inlineStr">
        <is>
          <t>L001-100181244</t>
        </is>
      </c>
      <c r="E19" s="10" t="inlineStr">
        <is>
          <t>CBK-202300023</t>
        </is>
      </c>
      <c r="F19" s="7" t="inlineStr">
        <is>
          <t>25-12-2023</t>
        </is>
      </c>
      <c r="G19" s="8" t="n">
        <v>32573680</v>
      </c>
      <c r="H19" s="9" t="n"/>
      <c r="I19" s="33">
        <f>G19</f>
        <v/>
      </c>
      <c r="J19" s="21" t="n"/>
      <c r="K19" s="21">
        <f>I19-G19</f>
        <v/>
      </c>
      <c r="L19" s="22" t="n"/>
      <c r="M19" s="22" t="inlineStr">
        <is>
          <t>CBK202300023</t>
        </is>
      </c>
      <c r="N19" s="22" t="inlineStr">
        <is>
          <t>18763400</t>
        </is>
      </c>
      <c r="O19" s="22">
        <f>M19=N19</f>
        <v/>
      </c>
      <c r="P19" s="22">
        <f>AND(MONTH(F19)=MONTH(S19), YEAR(F19)=YEAR(S19))</f>
        <v/>
      </c>
      <c r="Q19" s="22">
        <f>"L001-902303751"=U19</f>
        <v/>
      </c>
      <c r="R19" s="29">
        <f>G19-W19</f>
        <v/>
      </c>
      <c r="S19" s="30" t="n">
        <v>45316</v>
      </c>
      <c r="T19" s="26" t="n">
        <v>187634</v>
      </c>
      <c r="U19" s="26" t="inlineStr">
        <is>
          <t>K009-901605081</t>
        </is>
      </c>
      <c r="V19" s="26" t="inlineStr">
        <is>
          <t>ទ្រូ ខមភែនៀន ឡូជីស្ទីក (ខេមបូឌា)</t>
        </is>
      </c>
      <c r="W19" s="27" t="n">
        <v>187634</v>
      </c>
      <c r="X19" s="26" t="n">
        <v>0</v>
      </c>
    </row>
    <row r="20">
      <c r="A20" s="3" t="n">
        <v>19</v>
      </c>
      <c r="B20" s="4" t="inlineStr">
        <is>
          <t>FACTORY DECORATION FEE</t>
        </is>
      </c>
      <c r="C20" s="4" t="inlineStr">
        <is>
          <t>ខ្វាន់ទុម ហ្គាមេន ឯ.ក</t>
        </is>
      </c>
      <c r="D20" s="5" t="inlineStr">
        <is>
          <t>L001-100181244</t>
        </is>
      </c>
      <c r="E20" s="10" t="inlineStr">
        <is>
          <t>CBK-202300024</t>
        </is>
      </c>
      <c r="F20" s="7" t="inlineStr">
        <is>
          <t>25-12-2023</t>
        </is>
      </c>
      <c r="G20" s="8" t="n">
        <v>40602535</v>
      </c>
      <c r="H20" s="9" t="n"/>
      <c r="I20" s="33">
        <f>G20</f>
        <v/>
      </c>
      <c r="J20" s="21" t="n"/>
      <c r="K20" s="21">
        <f>I20-G20</f>
        <v/>
      </c>
      <c r="L20" s="22" t="n"/>
      <c r="M20" s="22" t="inlineStr">
        <is>
          <t>CBK202300024</t>
        </is>
      </c>
      <c r="N20" s="22" t="inlineStr">
        <is>
          <t>8437300</t>
        </is>
      </c>
      <c r="O20" s="22">
        <f>M20=N20</f>
        <v/>
      </c>
      <c r="P20" s="22">
        <f>AND(MONTH(F20)=MONTH(S20), YEAR(F20)=YEAR(S20))</f>
        <v/>
      </c>
      <c r="Q20" s="22">
        <f>"L001-902303751"=U20</f>
        <v/>
      </c>
      <c r="R20" s="29">
        <f>G20-W20</f>
        <v/>
      </c>
      <c r="S20" s="30" t="n">
        <v>45313</v>
      </c>
      <c r="T20" s="26" t="n">
        <v>84373</v>
      </c>
      <c r="U20" s="26" t="inlineStr">
        <is>
          <t>L001-104015799</t>
        </is>
      </c>
      <c r="V20" s="26" t="inlineStr">
        <is>
          <t>យូសេន ឡូជីស្ទីក (ខេមបូឌា) ខូ អិលធីឌី</t>
        </is>
      </c>
      <c r="W20" s="27" t="n">
        <v>84373</v>
      </c>
      <c r="X20" s="26" t="n">
        <v>0</v>
      </c>
    </row>
    <row r="21">
      <c r="A21" s="3" t="n">
        <v>20</v>
      </c>
      <c r="B21" s="4" t="inlineStr">
        <is>
          <t>PVC thin film</t>
        </is>
      </c>
      <c r="C21" s="4" t="inlineStr">
        <is>
          <t>ដេកូស៍ អ៊ិនដាសស្ទ្រី ឯ.ក</t>
        </is>
      </c>
      <c r="D21" s="5" t="inlineStr">
        <is>
          <t>K007-901639102</t>
        </is>
      </c>
      <c r="E21" s="10" t="inlineStr">
        <is>
          <t>000178</t>
        </is>
      </c>
      <c r="F21" s="7" t="inlineStr">
        <is>
          <t>01-12-2023</t>
        </is>
      </c>
      <c r="G21" s="8" t="n">
        <v>90486</v>
      </c>
      <c r="H21" s="9" t="n"/>
      <c r="I21" s="33">
        <f>G21</f>
        <v/>
      </c>
      <c r="J21" s="21" t="n"/>
      <c r="K21" s="21">
        <f>I21-G21</f>
        <v/>
      </c>
      <c r="L21" s="22" t="n"/>
      <c r="M21" s="22" t="inlineStr">
        <is>
          <t>000178</t>
        </is>
      </c>
      <c r="N21" s="22" t="inlineStr">
        <is>
          <t>222142000</t>
        </is>
      </c>
      <c r="O21" s="22">
        <f>M21=N21</f>
        <v/>
      </c>
      <c r="P21" s="22">
        <f>AND(MONTH(F21)=MONTH(S21), YEAR(F21)=YEAR(S21))</f>
        <v/>
      </c>
      <c r="Q21" s="22">
        <f>"L001-902303751"=U21</f>
        <v/>
      </c>
      <c r="R21" s="29">
        <f>G21-W21</f>
        <v/>
      </c>
      <c r="S21" s="30" t="n">
        <v>45313</v>
      </c>
      <c r="T21" s="26" t="n">
        <v>2221420</v>
      </c>
      <c r="U21" s="26" t="inlineStr">
        <is>
          <t>K009-901605081</t>
        </is>
      </c>
      <c r="V21" s="26" t="inlineStr">
        <is>
          <t>ទ្រូ ខមភែនៀន ឡូជីស្ទីក (ខេមបូឌា)</t>
        </is>
      </c>
      <c r="W21" s="27" t="n">
        <v>2221420</v>
      </c>
      <c r="X21" s="26" t="n">
        <v>0</v>
      </c>
    </row>
    <row r="22">
      <c r="A22" s="3" t="n">
        <v>21</v>
      </c>
      <c r="B22" s="4" t="inlineStr">
        <is>
          <t>Stationary</t>
        </is>
      </c>
      <c r="C22" s="4" t="inlineStr">
        <is>
          <t>ស៊ី &amp; ជី ត្រេឌីង ឯ.ក</t>
        </is>
      </c>
      <c r="D22" s="5" t="inlineStr">
        <is>
          <t>K010-902205065</t>
        </is>
      </c>
      <c r="E22" s="10" t="inlineStr">
        <is>
          <t>2023-0062</t>
        </is>
      </c>
      <c r="F22" s="7" t="inlineStr">
        <is>
          <t>01-12-2023</t>
        </is>
      </c>
      <c r="G22" s="8" t="n">
        <v>362107</v>
      </c>
      <c r="H22" s="9" t="n"/>
      <c r="I22" s="33">
        <f>G22</f>
        <v/>
      </c>
      <c r="J22" s="21" t="n"/>
      <c r="K22" s="21">
        <f>I22-G22</f>
        <v/>
      </c>
      <c r="L22" s="22" t="n"/>
      <c r="M22" s="22" t="inlineStr">
        <is>
          <t>20230062</t>
        </is>
      </c>
      <c r="N22" s="22" t="inlineStr">
        <is>
          <t>222578000</t>
        </is>
      </c>
      <c r="O22" s="22">
        <f>M22=N22</f>
        <v/>
      </c>
      <c r="P22" s="22">
        <f>AND(MONTH(F22)=MONTH(S22), YEAR(F22)=YEAR(S22))</f>
        <v/>
      </c>
      <c r="Q22" s="22">
        <f>"L001-902303751"=U22</f>
        <v/>
      </c>
      <c r="R22" s="29">
        <f>G22-W22</f>
        <v/>
      </c>
      <c r="S22" s="30" t="n">
        <v>45308</v>
      </c>
      <c r="T22" s="26" t="n">
        <v>2225780</v>
      </c>
      <c r="U22" s="26" t="inlineStr">
        <is>
          <t>K009-901605081</t>
        </is>
      </c>
      <c r="V22" s="26" t="inlineStr">
        <is>
          <t>ទ្រូ ខមភែនៀន ឡូជីស្ទីក (ខេមបូឌា)</t>
        </is>
      </c>
      <c r="W22" s="27" t="n">
        <v>2225780</v>
      </c>
      <c r="X22" s="26" t="n">
        <v>0</v>
      </c>
    </row>
    <row r="23">
      <c r="A23" s="3" t="n">
        <v>22</v>
      </c>
      <c r="B23" s="4" t="inlineStr">
        <is>
          <t>PVC thin film</t>
        </is>
      </c>
      <c r="C23" s="4" t="inlineStr">
        <is>
          <t>ដេកូស៍ អ៊ិនដាសស្ទ្រី ឯ.ក</t>
        </is>
      </c>
      <c r="D23" s="5" t="inlineStr">
        <is>
          <t>K007-901639102</t>
        </is>
      </c>
      <c r="E23" s="10" t="inlineStr">
        <is>
          <t>000190</t>
        </is>
      </c>
      <c r="F23" s="7" t="inlineStr">
        <is>
          <t>18-12-2023</t>
        </is>
      </c>
      <c r="G23" s="8" t="n">
        <v>271128</v>
      </c>
      <c r="H23" s="9" t="n"/>
      <c r="I23" s="33">
        <f>G23</f>
        <v/>
      </c>
      <c r="J23" s="21" t="n"/>
      <c r="K23" s="21">
        <f>I23-G23</f>
        <v/>
      </c>
      <c r="L23" s="22" t="n"/>
      <c r="M23" s="22" t="inlineStr">
        <is>
          <t>000190</t>
        </is>
      </c>
      <c r="N23" s="22" t="inlineStr">
        <is>
          <t>222414500</t>
        </is>
      </c>
      <c r="O23" s="22">
        <f>M23=N23</f>
        <v/>
      </c>
      <c r="P23" s="22">
        <f>AND(MONTH(F23)=MONTH(S23), YEAR(F23)=YEAR(S23))</f>
        <v/>
      </c>
      <c r="Q23" s="22">
        <f>"L001-902303751"=U23</f>
        <v/>
      </c>
      <c r="R23" s="29">
        <f>G23-W23</f>
        <v/>
      </c>
      <c r="S23" s="30" t="n">
        <v>45320</v>
      </c>
      <c r="T23" s="26" t="n">
        <v>2224145</v>
      </c>
      <c r="U23" s="26" t="inlineStr">
        <is>
          <t>K009-901605081</t>
        </is>
      </c>
      <c r="V23" s="26" t="inlineStr">
        <is>
          <t>ទ្រូ ខមភែនៀន ឡូជីស្ទីក (ខេមបូឌា)</t>
        </is>
      </c>
      <c r="W23" s="27" t="n">
        <v>2224145</v>
      </c>
      <c r="X23" s="26" t="n">
        <v>0</v>
      </c>
    </row>
    <row r="24">
      <c r="A24" s="3" t="n">
        <v>23</v>
      </c>
      <c r="B24" s="4" t="inlineStr">
        <is>
          <t>FACTORY RENTAL AND DECORATION FEE</t>
        </is>
      </c>
      <c r="C24" s="4" t="inlineStr">
        <is>
          <t>ខ្វាន់ទុម ហ្គាមេន ឯ.ក</t>
        </is>
      </c>
      <c r="D24" s="5" t="inlineStr">
        <is>
          <t>L001-100181244</t>
        </is>
      </c>
      <c r="E24" s="10" t="inlineStr">
        <is>
          <t>CBK-202300025</t>
        </is>
      </c>
      <c r="F24" s="7" t="inlineStr">
        <is>
          <t>25-12-2023</t>
        </is>
      </c>
      <c r="G24" s="8" t="n">
        <v>14046183</v>
      </c>
      <c r="H24" s="9" t="n"/>
      <c r="I24" s="33">
        <f>G24</f>
        <v/>
      </c>
      <c r="J24" s="21" t="n"/>
      <c r="K24" s="21">
        <f>I24-G24</f>
        <v/>
      </c>
      <c r="L24" s="22" t="n"/>
      <c r="M24" s="22" t="inlineStr">
        <is>
          <t>CBK202300025</t>
        </is>
      </c>
      <c r="N24" s="22" t="inlineStr">
        <is>
          <t>222687000</t>
        </is>
      </c>
      <c r="O24" s="22">
        <f>M24=N24</f>
        <v/>
      </c>
      <c r="P24" s="22">
        <f>AND(MONTH(F24)=MONTH(S24), YEAR(F24)=YEAR(S24))</f>
        <v/>
      </c>
      <c r="Q24" s="22">
        <f>"L001-902303751"=U24</f>
        <v/>
      </c>
      <c r="R24" s="29">
        <f>G24-W24</f>
        <v/>
      </c>
      <c r="S24" s="30" t="n">
        <v>45295</v>
      </c>
      <c r="T24" s="26" t="n">
        <v>2226870</v>
      </c>
      <c r="U24" s="26" t="inlineStr">
        <is>
          <t>K009-901605081</t>
        </is>
      </c>
      <c r="V24" s="26" t="inlineStr">
        <is>
          <t>ទ្រូ ខមភែនៀន ឡូជីស្ទីក (ខេមបូឌា)</t>
        </is>
      </c>
      <c r="W24" s="27" t="n">
        <v>2226870</v>
      </c>
      <c r="X24" s="26" t="n">
        <v>0</v>
      </c>
    </row>
    <row r="25">
      <c r="A25" s="3" t="n">
        <v>24</v>
      </c>
      <c r="B25" s="4" t="inlineStr">
        <is>
          <t>IRON TABLE</t>
        </is>
      </c>
      <c r="C25" s="4" t="inlineStr">
        <is>
          <t>ខ្វាន់ទុម ខ្លូស៊ីង (ខេមបូឌា) លីមីធីត</t>
        </is>
      </c>
      <c r="D25" s="5" t="inlineStr">
        <is>
          <t>L001-100052436</t>
        </is>
      </c>
      <c r="E25" s="10" t="inlineStr">
        <is>
          <t>CBQ-20230016</t>
        </is>
      </c>
      <c r="F25" s="7" t="inlineStr">
        <is>
          <t>31-12-2023</t>
        </is>
      </c>
      <c r="G25" s="8" t="n">
        <v>625005</v>
      </c>
      <c r="H25" s="9" t="n"/>
      <c r="I25" s="33">
        <f>G25</f>
        <v/>
      </c>
      <c r="J25" s="21" t="n"/>
      <c r="K25" s="21">
        <f>I25-G25</f>
        <v/>
      </c>
      <c r="L25" s="22" t="n"/>
      <c r="M25" s="22" t="inlineStr">
        <is>
          <t>CBQ20230016</t>
        </is>
      </c>
      <c r="N25" s="22" t="inlineStr">
        <is>
          <t>2041500</t>
        </is>
      </c>
      <c r="O25" s="22">
        <f>M25=N25</f>
        <v/>
      </c>
      <c r="P25" s="22">
        <f>AND(MONTH(F25)=MONTH(S25), YEAR(F25)=YEAR(S25))</f>
        <v/>
      </c>
      <c r="Q25" s="22">
        <f>"L001-902303751"=U25</f>
        <v/>
      </c>
      <c r="R25" s="29">
        <f>G25-W25</f>
        <v/>
      </c>
      <c r="S25" s="30" t="n">
        <v>45322</v>
      </c>
      <c r="T25" s="26" t="n">
        <v>20415</v>
      </c>
      <c r="U25" s="26" t="inlineStr">
        <is>
          <t>L001-104015799</t>
        </is>
      </c>
      <c r="V25" s="26" t="inlineStr">
        <is>
          <t>យូសេន ឡូជីស្ទីក (ខេមបូឌា) ខូ អិលធីឌី</t>
        </is>
      </c>
      <c r="W25" s="27" t="n">
        <v>20415</v>
      </c>
      <c r="X25" s="26" t="n">
        <v>0</v>
      </c>
    </row>
    <row r="26">
      <c r="A26" s="3" t="n">
        <v>25</v>
      </c>
      <c r="B26" s="4" t="inlineStr">
        <is>
          <t>COATED PAPER, THERMAL TRANSFER RIBBON</t>
        </is>
      </c>
      <c r="C26" s="4" t="inlineStr">
        <is>
          <t>ហ្គូដញូ ភែកឃីជីង ថេកណឡជី ឯ.ក</t>
        </is>
      </c>
      <c r="D26" s="5" t="inlineStr">
        <is>
          <t>L001-901704919</t>
        </is>
      </c>
      <c r="E26" s="10" t="inlineStr">
        <is>
          <t>TI-GN-2023-62</t>
        </is>
      </c>
      <c r="F26" s="7" t="inlineStr">
        <is>
          <t>18-12-2023</t>
        </is>
      </c>
      <c r="G26" s="8" t="n">
        <v>258930</v>
      </c>
      <c r="H26" s="9" t="n"/>
      <c r="I26" s="33">
        <f>G26</f>
        <v/>
      </c>
      <c r="J26" s="21" t="n"/>
      <c r="K26" s="21">
        <f>I26-G26</f>
        <v/>
      </c>
      <c r="L26" s="22" t="n"/>
      <c r="M26" s="22" t="inlineStr">
        <is>
          <t>TIGN202362</t>
        </is>
      </c>
      <c r="N26" s="22" t="inlineStr">
        <is>
          <t>18749600</t>
        </is>
      </c>
      <c r="O26" s="22">
        <f>M26=N26</f>
        <v/>
      </c>
      <c r="P26" s="22">
        <f>AND(MONTH(F26)=MONTH(S26), YEAR(F26)=YEAR(S26))</f>
        <v/>
      </c>
      <c r="Q26" s="22">
        <f>"L001-902303751"=U26</f>
        <v/>
      </c>
      <c r="R26" s="29">
        <f>G26-W26</f>
        <v/>
      </c>
      <c r="S26" s="30" t="n">
        <v>45313</v>
      </c>
      <c r="T26" s="26" t="n">
        <v>187496</v>
      </c>
      <c r="U26" s="26" t="inlineStr">
        <is>
          <t>K009-901605081</t>
        </is>
      </c>
      <c r="V26" s="26" t="inlineStr">
        <is>
          <t>ទ្រូ ខមភែនៀន ឡូជីស្ទីក (ខេមបូឌា)</t>
        </is>
      </c>
      <c r="W26" s="27" t="n">
        <v>187496</v>
      </c>
      <c r="X26" s="26" t="n">
        <v>0</v>
      </c>
    </row>
    <row r="27">
      <c r="A27" s="3" t="n">
        <v>26</v>
      </c>
      <c r="B27" s="4" t="inlineStr">
        <is>
          <t>Stationary</t>
        </is>
      </c>
      <c r="C27" s="4" t="inlineStr">
        <is>
          <t>ស៊ី &amp; ជី ត្រេឌីង ឯ.ក</t>
        </is>
      </c>
      <c r="D27" s="5" t="inlineStr">
        <is>
          <t>K010-902205065</t>
        </is>
      </c>
      <c r="E27" s="10" t="inlineStr">
        <is>
          <t>2023-0070</t>
        </is>
      </c>
      <c r="F27" s="7" t="inlineStr">
        <is>
          <t>20-12-2023</t>
        </is>
      </c>
      <c r="G27" s="8" t="n">
        <v>57484</v>
      </c>
      <c r="H27" s="9" t="n"/>
      <c r="I27" s="33">
        <f>G27</f>
        <v/>
      </c>
      <c r="J27" s="21" t="n"/>
      <c r="K27" s="21">
        <f>I27-G27</f>
        <v/>
      </c>
      <c r="L27" s="22" t="n"/>
      <c r="M27" s="22" t="inlineStr">
        <is>
          <t>20230070</t>
        </is>
      </c>
      <c r="N27" s="22" t="inlineStr">
        <is>
          <t>9707500</t>
        </is>
      </c>
      <c r="O27" s="22">
        <f>M27=N27</f>
        <v/>
      </c>
      <c r="P27" s="22">
        <f>AND(MONTH(F27)=MONTH(S27), YEAR(F27)=YEAR(S27))</f>
        <v/>
      </c>
      <c r="Q27" s="22">
        <f>"L001-902303751"=U27</f>
        <v/>
      </c>
      <c r="R27" s="29">
        <f>G27-W27</f>
        <v/>
      </c>
      <c r="S27" s="30" t="n">
        <v>45299</v>
      </c>
      <c r="T27" s="26" t="n">
        <v>97075</v>
      </c>
      <c r="U27" s="26" t="inlineStr">
        <is>
          <t>L001-104015799</t>
        </is>
      </c>
      <c r="V27" s="26" t="inlineStr">
        <is>
          <t>យូសេន ឡូជីស្ទីក (ខេមបូឌា) ខូ អិលធីឌី</t>
        </is>
      </c>
      <c r="W27" s="27" t="n">
        <v>97075</v>
      </c>
      <c r="X27" s="26" t="n">
        <v>0</v>
      </c>
    </row>
    <row r="28">
      <c r="A28" s="3" t="n">
        <v>27</v>
      </c>
      <c r="B28" s="4" t="inlineStr">
        <is>
          <t>INTERNET SERVICE</t>
        </is>
      </c>
      <c r="C28" s="4" t="inlineStr">
        <is>
          <t>អេស.អាយ គ្រុប</t>
        </is>
      </c>
      <c r="D28" s="5" t="inlineStr">
        <is>
          <t>L001-100129250</t>
        </is>
      </c>
      <c r="E28" s="6" t="inlineStr">
        <is>
          <t>2312-1005-00008</t>
        </is>
      </c>
      <c r="F28" s="7" t="inlineStr">
        <is>
          <t>05-12-2023</t>
        </is>
      </c>
      <c r="G28" s="8" t="n">
        <v>20560</v>
      </c>
      <c r="H28" s="9" t="n"/>
      <c r="I28" s="33">
        <f>G28</f>
        <v/>
      </c>
      <c r="J28" s="21" t="n"/>
      <c r="K28" s="21">
        <f>I28-G28</f>
        <v/>
      </c>
      <c r="L28" s="22" t="n"/>
      <c r="M28" s="22" t="inlineStr">
        <is>
          <t>2312100500008</t>
        </is>
      </c>
      <c r="N28" s="22" t="inlineStr"/>
      <c r="O28" s="22">
        <f>M28=N28</f>
        <v/>
      </c>
      <c r="P28" s="22">
        <f>AND(MONTH(F28)=MONTH(S28), YEAR(F28)=YEAR(S28))</f>
        <v/>
      </c>
      <c r="Q28" s="22">
        <f>"L001-902303751"=U28</f>
        <v/>
      </c>
      <c r="R28" s="29">
        <f>G28-W28</f>
        <v/>
      </c>
      <c r="S28" s="30" t="n">
        <v>45299</v>
      </c>
      <c r="T28" s="26" t="inlineStr"/>
      <c r="U28" s="26" t="inlineStr">
        <is>
          <t>K003-901635943</t>
        </is>
      </c>
      <c r="V28" s="26" t="inlineStr">
        <is>
          <t>អ៊ីឃ្យូឡាញ វើលវ៉ាយដ៍ ឡូជីស្ទីក</t>
        </is>
      </c>
      <c r="W28" s="27" t="n">
        <v>0</v>
      </c>
      <c r="X28" s="26" t="n">
        <v>0</v>
      </c>
    </row>
    <row r="29">
      <c r="A29" s="3" t="n">
        <v>28</v>
      </c>
      <c r="B29" s="4" t="inlineStr">
        <is>
          <t>INTERNET SERVICE</t>
        </is>
      </c>
      <c r="C29" s="4" t="inlineStr">
        <is>
          <t>អេស.អាយ គ្រុប</t>
        </is>
      </c>
      <c r="D29" s="5" t="inlineStr">
        <is>
          <t>L001-100129250</t>
        </is>
      </c>
      <c r="E29" s="6" t="inlineStr">
        <is>
          <t>2312-1003-00117</t>
        </is>
      </c>
      <c r="F29" s="7" t="inlineStr">
        <is>
          <t>04-12-2023</t>
        </is>
      </c>
      <c r="G29" s="8" t="n">
        <v>1151176</v>
      </c>
      <c r="H29" s="9" t="n"/>
      <c r="I29" s="33">
        <f>G29</f>
        <v/>
      </c>
      <c r="J29" s="21" t="n"/>
      <c r="K29" s="21">
        <f>I29-G29</f>
        <v/>
      </c>
      <c r="L29" s="22" t="n"/>
      <c r="M29" s="22" t="inlineStr">
        <is>
          <t>2312100300117</t>
        </is>
      </c>
      <c r="N29" s="22" t="inlineStr"/>
      <c r="O29" s="22">
        <f>M29=N29</f>
        <v/>
      </c>
      <c r="P29" s="22">
        <f>AND(MONTH(F29)=MONTH(S29), YEAR(F29)=YEAR(S29))</f>
        <v/>
      </c>
      <c r="Q29" s="22">
        <f>"L001-902303751"=U29</f>
        <v/>
      </c>
      <c r="R29" s="29">
        <f>G29-W29</f>
        <v/>
      </c>
      <c r="S29" s="30" t="n">
        <v>45299</v>
      </c>
      <c r="T29" s="26" t="inlineStr"/>
      <c r="U29" s="26" t="inlineStr">
        <is>
          <t>L001-104015799</t>
        </is>
      </c>
      <c r="V29" s="26" t="inlineStr">
        <is>
          <t>យូសេន ឡូជីស្ទីក (ខេមបូឌា) ខូ អិលធីឌី</t>
        </is>
      </c>
      <c r="W29" s="27" t="n">
        <v>0</v>
      </c>
      <c r="X29" s="26" t="n">
        <v>0</v>
      </c>
    </row>
    <row r="30">
      <c r="A30" s="3" t="n">
        <v>29</v>
      </c>
      <c r="B30" s="4" t="inlineStr">
        <is>
          <t>Stationary</t>
        </is>
      </c>
      <c r="C30" s="4" t="inlineStr">
        <is>
          <t>ស៊ី &amp; ជី ត្រេឌីង ឯ.ក</t>
        </is>
      </c>
      <c r="D30" s="5" t="inlineStr">
        <is>
          <t>K010-902205065</t>
        </is>
      </c>
      <c r="E30" s="6" t="inlineStr">
        <is>
          <t>2023-0074</t>
        </is>
      </c>
      <c r="F30" s="7" t="inlineStr">
        <is>
          <t>20-12-2023</t>
        </is>
      </c>
      <c r="G30" s="8" t="n">
        <v>529727</v>
      </c>
      <c r="H30" s="9" t="n"/>
      <c r="I30" s="33">
        <f>G30</f>
        <v/>
      </c>
      <c r="J30" s="21" t="n"/>
      <c r="K30" s="21">
        <f>I30-G30</f>
        <v/>
      </c>
      <c r="L30" s="22" t="n"/>
      <c r="M30" s="22" t="inlineStr">
        <is>
          <t>20230074</t>
        </is>
      </c>
      <c r="N30" s="22" t="inlineStr">
        <is>
          <t>9672000</t>
        </is>
      </c>
      <c r="O30" s="22">
        <f>M30=N30</f>
        <v/>
      </c>
      <c r="P30" s="22">
        <f>AND(MONTH(F30)=MONTH(S30), YEAR(F30)=YEAR(S30))</f>
        <v/>
      </c>
      <c r="Q30" s="22">
        <f>"L001-902303751"=U30</f>
        <v/>
      </c>
      <c r="R30" s="29">
        <f>G30-W30</f>
        <v/>
      </c>
      <c r="S30" s="30" t="n">
        <v>45320</v>
      </c>
      <c r="T30" s="26" t="n">
        <v>96720</v>
      </c>
      <c r="U30" s="26" t="inlineStr">
        <is>
          <t>L001-104015799</t>
        </is>
      </c>
      <c r="V30" s="26" t="inlineStr">
        <is>
          <t>យូសេន ឡូជីស្ទីក (ខេមបូឌា) ខូ អិលធីឌី</t>
        </is>
      </c>
      <c r="W30" s="27" t="n">
        <v>96720</v>
      </c>
      <c r="X30" s="26" t="n">
        <v>0</v>
      </c>
    </row>
    <row r="31">
      <c r="A31" s="3" t="n">
        <v>30</v>
      </c>
      <c r="B31" s="4" t="inlineStr">
        <is>
          <t>SODIUM METABISULFITE, HYDROGEN PEROXIDE</t>
        </is>
      </c>
      <c r="C31" s="4" t="inlineStr">
        <is>
          <t>គី ស៊ីង អ៊ីមផត អិចផត ឯ.ក</t>
        </is>
      </c>
      <c r="D31" s="5" t="inlineStr">
        <is>
          <t>B108-901805414</t>
        </is>
      </c>
      <c r="E31" s="6" t="inlineStr">
        <is>
          <t>QX0326</t>
        </is>
      </c>
      <c r="F31" s="7" t="inlineStr">
        <is>
          <t>29-12-2023</t>
        </is>
      </c>
      <c r="G31" s="8" t="n">
        <v>130720</v>
      </c>
      <c r="H31" s="9" t="n"/>
      <c r="I31" s="33">
        <f>G31</f>
        <v/>
      </c>
      <c r="J31" s="21" t="n"/>
      <c r="K31" s="21">
        <f>I31-G31</f>
        <v/>
      </c>
      <c r="L31" s="22" t="n"/>
      <c r="M31" s="22" t="inlineStr">
        <is>
          <t>QX0326</t>
        </is>
      </c>
      <c r="N31" s="22" t="inlineStr"/>
      <c r="O31" s="22">
        <f>M31=N31</f>
        <v/>
      </c>
      <c r="P31" s="22">
        <f>AND(MONTH(F31)=MONTH(S31), YEAR(F31)=YEAR(S31))</f>
        <v/>
      </c>
      <c r="Q31" s="22">
        <f>"L001-902303751"=U31</f>
        <v/>
      </c>
      <c r="R31" s="29">
        <f>G31-W31</f>
        <v/>
      </c>
      <c r="S31" s="30" t="n">
        <v>45320</v>
      </c>
      <c r="T31" s="26" t="inlineStr"/>
      <c r="U31" s="26" t="inlineStr">
        <is>
          <t>K003-901635943</t>
        </is>
      </c>
      <c r="V31" s="26" t="inlineStr">
        <is>
          <t>អ៊ីឃ្យូឡាញ វើលវ៉ាយដ៍ ឡូជីស្ទីក</t>
        </is>
      </c>
      <c r="W31" s="27" t="n">
        <v>0</v>
      </c>
      <c r="X31" s="26" t="n">
        <v>0</v>
      </c>
    </row>
    <row r="32">
      <c r="A32" s="3" t="n">
        <v>31</v>
      </c>
      <c r="B32" s="4" t="inlineStr">
        <is>
          <t>DELL PE T150 E-2314 16GB</t>
        </is>
      </c>
      <c r="C32" s="4" t="inlineStr">
        <is>
          <t>ធី-អូ គ្រុប ខូ អិលធីឌី</t>
        </is>
      </c>
      <c r="D32" s="5" t="inlineStr">
        <is>
          <t>L001-100096832</t>
        </is>
      </c>
      <c r="E32" s="10" t="inlineStr">
        <is>
          <t>23-02218</t>
        </is>
      </c>
      <c r="F32" s="7" t="inlineStr">
        <is>
          <t>18-12-2023</t>
        </is>
      </c>
      <c r="G32" s="8" t="n">
        <v>596095</v>
      </c>
      <c r="H32" s="9" t="n"/>
      <c r="I32" s="33">
        <f>G32</f>
        <v/>
      </c>
      <c r="J32" s="21" t="n"/>
      <c r="K32" s="21">
        <f>I32-G32</f>
        <v/>
      </c>
      <c r="L32" s="22" t="n"/>
      <c r="M32" s="22" t="inlineStr">
        <is>
          <t>2302218</t>
        </is>
      </c>
      <c r="N32" s="22" t="inlineStr">
        <is>
          <t>8447700</t>
        </is>
      </c>
      <c r="O32" s="22">
        <f>M32=N32</f>
        <v/>
      </c>
      <c r="P32" s="22">
        <f>AND(MONTH(F32)=MONTH(S32), YEAR(F32)=YEAR(S32))</f>
        <v/>
      </c>
      <c r="Q32" s="22">
        <f>"L001-902303751"=U32</f>
        <v/>
      </c>
      <c r="R32" s="29">
        <f>G32-W32</f>
        <v/>
      </c>
      <c r="S32" s="30" t="n">
        <v>45320</v>
      </c>
      <c r="T32" s="26" t="n">
        <v>84477</v>
      </c>
      <c r="U32" s="26" t="inlineStr">
        <is>
          <t>L001-104015799</t>
        </is>
      </c>
      <c r="V32" s="26" t="inlineStr">
        <is>
          <t>យូសេន ឡូជីស្ទីក (ខេមបូឌា) ខូ អិលធីឌី</t>
        </is>
      </c>
      <c r="W32" s="27" t="n">
        <v>84477</v>
      </c>
      <c r="X32" s="26" t="n">
        <v>0</v>
      </c>
    </row>
    <row r="33">
      <c r="A33" s="3" t="n">
        <v>32</v>
      </c>
      <c r="B33" s="4" t="inlineStr">
        <is>
          <t>Stationary</t>
        </is>
      </c>
      <c r="C33" s="4" t="inlineStr">
        <is>
          <t>ស៊ី &amp; ជី ត្រេឌីង ឯ.ក</t>
        </is>
      </c>
      <c r="D33" s="5" t="inlineStr">
        <is>
          <t>K010-902205065</t>
        </is>
      </c>
      <c r="E33" s="10" t="inlineStr">
        <is>
          <t>2023-0065</t>
        </is>
      </c>
      <c r="F33" s="7" t="inlineStr">
        <is>
          <t>01-12-2023</t>
        </is>
      </c>
      <c r="G33" s="8" t="n">
        <v>1062960</v>
      </c>
      <c r="H33" s="9" t="n"/>
      <c r="I33" s="33">
        <f>G33</f>
        <v/>
      </c>
      <c r="J33" s="21" t="n"/>
      <c r="K33" s="21">
        <f>I33-G33</f>
        <v/>
      </c>
      <c r="L33" s="22" t="n"/>
      <c r="M33" s="22" t="inlineStr">
        <is>
          <t>20230065</t>
        </is>
      </c>
      <c r="N33" s="22" t="inlineStr"/>
      <c r="O33" s="22">
        <f>M33=N33</f>
        <v/>
      </c>
      <c r="P33" s="22">
        <f>AND(MONTH(F33)=MONTH(S33), YEAR(F33)=YEAR(S33))</f>
        <v/>
      </c>
      <c r="Q33" s="22">
        <f>"L001-902303751"=U33</f>
        <v/>
      </c>
      <c r="R33" s="29">
        <f>G33-W33</f>
        <v/>
      </c>
      <c r="S33" s="30" t="n">
        <v>45320</v>
      </c>
      <c r="T33" s="26" t="inlineStr"/>
      <c r="U33" s="26" t="inlineStr">
        <is>
          <t>L001-104015799</t>
        </is>
      </c>
      <c r="V33" s="26" t="inlineStr">
        <is>
          <t>យូសេន ឡូជីស្ទីក (ខេមបូឌា) ខូ អិលធីឌី</t>
        </is>
      </c>
      <c r="W33" s="27" t="n">
        <v>0</v>
      </c>
      <c r="X33" s="26" t="n">
        <v>0</v>
      </c>
    </row>
    <row r="34">
      <c r="A34" s="3" t="n">
        <v>33</v>
      </c>
      <c r="B34" s="4" t="inlineStr">
        <is>
          <t>MONTLY CHARGE OF PHOTO COPIER RENTAL</t>
        </is>
      </c>
      <c r="C34" s="4" t="inlineStr">
        <is>
          <t>វី.អាយ.អេស ខភៀ ឯ.ក</t>
        </is>
      </c>
      <c r="D34" s="5" t="inlineStr">
        <is>
          <t>K007-901705195</t>
        </is>
      </c>
      <c r="E34" s="10" t="inlineStr">
        <is>
          <t>RNT231227</t>
        </is>
      </c>
      <c r="F34" s="7" t="inlineStr">
        <is>
          <t>06-12-2023</t>
        </is>
      </c>
      <c r="G34" s="8" t="n">
        <v>57596</v>
      </c>
      <c r="H34" s="9" t="n"/>
      <c r="I34" s="33">
        <f>G34</f>
        <v/>
      </c>
      <c r="J34" s="21" t="n"/>
      <c r="K34" s="21">
        <f>I34-G34</f>
        <v/>
      </c>
      <c r="L34" s="22" t="n"/>
      <c r="M34" s="22" t="inlineStr">
        <is>
          <t>RNT231227</t>
        </is>
      </c>
      <c r="N34" s="22" t="inlineStr">
        <is>
          <t>222687000</t>
        </is>
      </c>
      <c r="O34" s="22">
        <f>M34=N34</f>
        <v/>
      </c>
      <c r="P34" s="22">
        <f>AND(MONTH(F34)=MONTH(S34), YEAR(F34)=YEAR(S34))</f>
        <v/>
      </c>
      <c r="Q34" s="22">
        <f>"L001-902303751"=U34</f>
        <v/>
      </c>
      <c r="R34" s="29">
        <f>G34-W34</f>
        <v/>
      </c>
      <c r="S34" s="30" t="n">
        <v>45295</v>
      </c>
      <c r="T34" s="26" t="n">
        <v>2226870</v>
      </c>
      <c r="U34" s="26" t="inlineStr">
        <is>
          <t>K009-901605081</t>
        </is>
      </c>
      <c r="V34" s="26" t="inlineStr">
        <is>
          <t>ទ្រូ ខមភែនៀន ឡូជីស្ទីក (ខេមបូឌា)</t>
        </is>
      </c>
      <c r="W34" s="27" t="n">
        <v>2226870</v>
      </c>
      <c r="X34" s="26" t="n">
        <v>0</v>
      </c>
    </row>
    <row r="35">
      <c r="A35" s="3" t="n">
        <v>34</v>
      </c>
      <c r="B35" s="4" t="inlineStr">
        <is>
          <t>MONTLY CHARGE OF PHOTO COPIER RENTAL</t>
        </is>
      </c>
      <c r="C35" s="4" t="inlineStr">
        <is>
          <t>វី.អាយ.អេស ខភៀ ឯ.ក</t>
        </is>
      </c>
      <c r="D35" s="5" t="inlineStr">
        <is>
          <t>K007-901705195</t>
        </is>
      </c>
      <c r="E35" s="10" t="inlineStr">
        <is>
          <t>RNT231226</t>
        </is>
      </c>
      <c r="F35" s="7" t="inlineStr">
        <is>
          <t>06-12-2023</t>
        </is>
      </c>
      <c r="G35" s="8" t="n">
        <v>28798</v>
      </c>
      <c r="H35" s="9" t="n"/>
      <c r="I35" s="33">
        <f>G35</f>
        <v/>
      </c>
      <c r="J35" s="21" t="n"/>
      <c r="K35" s="21">
        <f>I35-G35</f>
        <v/>
      </c>
      <c r="L35" s="22" t="n"/>
      <c r="M35" s="22" t="inlineStr">
        <is>
          <t>RNT231226</t>
        </is>
      </c>
      <c r="N35" s="22" t="inlineStr">
        <is>
          <t>222305500</t>
        </is>
      </c>
      <c r="O35" s="22">
        <f>M35=N35</f>
        <v/>
      </c>
      <c r="P35" s="22">
        <f>AND(MONTH(F35)=MONTH(S35), YEAR(F35)=YEAR(S35))</f>
        <v/>
      </c>
      <c r="Q35" s="22">
        <f>"L001-902303751"=U35</f>
        <v/>
      </c>
      <c r="R35" s="29">
        <f>G35-W35</f>
        <v/>
      </c>
      <c r="S35" s="30" t="n">
        <v>45316</v>
      </c>
      <c r="T35" s="26" t="n">
        <v>2223055</v>
      </c>
      <c r="U35" s="26" t="inlineStr">
        <is>
          <t>K009-901605081</t>
        </is>
      </c>
      <c r="V35" s="26" t="inlineStr">
        <is>
          <t>ទ្រូ ខមភែនៀន ឡូជីស្ទីក (ខេមបូឌា)</t>
        </is>
      </c>
      <c r="W35" s="27" t="n">
        <v>2223055</v>
      </c>
      <c r="X35" s="26" t="n">
        <v>0</v>
      </c>
    </row>
    <row r="36">
      <c r="A36" s="3" t="n">
        <v>35</v>
      </c>
      <c r="B36" s="4" t="inlineStr">
        <is>
          <t>MONTLY CHARGE OF PHOTO COPIER RENTAL</t>
        </is>
      </c>
      <c r="C36" s="4" t="inlineStr">
        <is>
          <t>វី.អាយ.អេស ខភៀ ឯ.ក</t>
        </is>
      </c>
      <c r="D36" s="5" t="inlineStr">
        <is>
          <t>K007-901705195</t>
        </is>
      </c>
      <c r="E36" s="10" t="inlineStr">
        <is>
          <t>RNT231225</t>
        </is>
      </c>
      <c r="F36" s="7" t="inlineStr">
        <is>
          <t>06-12-2023</t>
        </is>
      </c>
      <c r="G36" s="8" t="n">
        <v>26741</v>
      </c>
      <c r="H36" s="9" t="n"/>
      <c r="I36" s="33">
        <f>G36</f>
        <v/>
      </c>
      <c r="J36" s="21" t="n"/>
      <c r="K36" s="21">
        <f>I36-G36</f>
        <v/>
      </c>
      <c r="L36" s="22" t="n"/>
      <c r="M36" s="22" t="inlineStr">
        <is>
          <t>RNT231225</t>
        </is>
      </c>
      <c r="N36" s="22" t="inlineStr">
        <is>
          <t>8978200</t>
        </is>
      </c>
      <c r="O36" s="22">
        <f>M36=N36</f>
        <v/>
      </c>
      <c r="P36" s="22">
        <f>AND(MONTH(F36)=MONTH(S36), YEAR(F36)=YEAR(S36))</f>
        <v/>
      </c>
      <c r="Q36" s="22">
        <f>"L001-902303751"=U36</f>
        <v/>
      </c>
      <c r="R36" s="29">
        <f>G36-W36</f>
        <v/>
      </c>
      <c r="S36" s="30" t="n">
        <v>45329</v>
      </c>
      <c r="T36" s="26" t="n">
        <v>89782</v>
      </c>
      <c r="U36" s="26" t="inlineStr">
        <is>
          <t>L001-100098134</t>
        </is>
      </c>
      <c r="V36" s="26" t="inlineStr">
        <is>
          <t>បុងកាហ្វេ (ខេមបូឌា)</t>
        </is>
      </c>
      <c r="W36" s="27" t="n">
        <v>89782</v>
      </c>
      <c r="X36" s="26" t="n">
        <v>0</v>
      </c>
    </row>
    <row r="37">
      <c r="A37" s="3" t="n">
        <v>36</v>
      </c>
      <c r="B37" s="4" t="inlineStr">
        <is>
          <t>MONTLY CHARGE OF PHOTO COPIER RENTAL</t>
        </is>
      </c>
      <c r="C37" s="4" t="inlineStr">
        <is>
          <t>វី.អាយ.អេស ខភៀ ឯ.ក</t>
        </is>
      </c>
      <c r="D37" s="5" t="inlineStr">
        <is>
          <t>K007-901705195</t>
        </is>
      </c>
      <c r="E37" s="10" t="inlineStr">
        <is>
          <t>RNT231224</t>
        </is>
      </c>
      <c r="F37" s="7" t="inlineStr">
        <is>
          <t>06-12-2023</t>
        </is>
      </c>
      <c r="G37" s="8" t="n">
        <v>57596</v>
      </c>
      <c r="H37" s="9" t="n"/>
      <c r="I37" s="33">
        <f>G37</f>
        <v/>
      </c>
      <c r="J37" s="21" t="n"/>
      <c r="K37" s="21">
        <f>I37-G37</f>
        <v/>
      </c>
      <c r="L37" s="22" t="n"/>
      <c r="M37" s="22" t="inlineStr">
        <is>
          <t>RNT231224</t>
        </is>
      </c>
      <c r="N37" s="22" t="inlineStr">
        <is>
          <t>13036800</t>
        </is>
      </c>
      <c r="O37" s="22">
        <f>M37=N37</f>
        <v/>
      </c>
      <c r="P37" s="22">
        <f>AND(MONTH(F37)=MONTH(S37), YEAR(F37)=YEAR(S37))</f>
        <v/>
      </c>
      <c r="Q37" s="22">
        <f>"L001-902303751"=U37</f>
        <v/>
      </c>
      <c r="R37" s="29">
        <f>G37-W37</f>
        <v/>
      </c>
      <c r="S37" s="30" t="n">
        <v>45336</v>
      </c>
      <c r="T37" s="26" t="n">
        <v>130368</v>
      </c>
      <c r="U37" s="26" t="inlineStr">
        <is>
          <t>L001-105000965</t>
        </is>
      </c>
      <c r="V37" s="26" t="inlineStr">
        <is>
          <t>រែភីដ ហ្រ្វេត ឡូជីស្ទីក (ខេមបូឌា)</t>
        </is>
      </c>
      <c r="W37" s="27" t="n">
        <v>130368</v>
      </c>
      <c r="X37" s="26" t="n">
        <v>0</v>
      </c>
    </row>
    <row r="38">
      <c r="A38" s="3" t="n">
        <v>37</v>
      </c>
      <c r="B38" s="4" t="inlineStr">
        <is>
          <t>SPARE PART MACHINE</t>
        </is>
      </c>
      <c r="C38" s="4" t="inlineStr">
        <is>
          <t>ក្លាក ហ៊ូ ឯ.ក</t>
        </is>
      </c>
      <c r="D38" s="5" t="inlineStr">
        <is>
          <t>K007-901639199</t>
        </is>
      </c>
      <c r="E38" s="10" t="inlineStr">
        <is>
          <t>IN1725</t>
        </is>
      </c>
      <c r="F38" s="7" t="inlineStr">
        <is>
          <t>01-12-2023</t>
        </is>
      </c>
      <c r="G38" s="8" t="n">
        <v>796417</v>
      </c>
      <c r="H38" s="9" t="n"/>
      <c r="I38" s="33">
        <f>G38</f>
        <v/>
      </c>
      <c r="J38" s="21" t="n"/>
      <c r="K38" s="21">
        <f>I38-G38</f>
        <v/>
      </c>
      <c r="L38" s="22" t="n"/>
      <c r="M38" s="22" t="inlineStr">
        <is>
          <t>IN1725</t>
        </is>
      </c>
      <c r="N38" s="22" t="inlineStr">
        <is>
          <t>112227500</t>
        </is>
      </c>
      <c r="O38" s="22">
        <f>M38=N38</f>
        <v/>
      </c>
      <c r="P38" s="22">
        <f>AND(MONTH(F38)=MONTH(S38), YEAR(F38)=YEAR(S38))</f>
        <v/>
      </c>
      <c r="Q38" s="22">
        <f>"L001-902303751"=U38</f>
        <v/>
      </c>
      <c r="R38" s="29">
        <f>G38-W38</f>
        <v/>
      </c>
      <c r="S38" s="30" t="n">
        <v>45328</v>
      </c>
      <c r="T38" s="26" t="n">
        <v>1122275</v>
      </c>
      <c r="U38" s="26" t="inlineStr">
        <is>
          <t>K009-901605081</t>
        </is>
      </c>
      <c r="V38" s="26" t="inlineStr">
        <is>
          <t>ទ្រូ ខមភែនៀន ឡូជីស្ទីក (ខេមបូឌា)</t>
        </is>
      </c>
      <c r="W38" s="27" t="n">
        <v>1122275</v>
      </c>
      <c r="X38" s="26" t="n">
        <v>0</v>
      </c>
    </row>
    <row r="39">
      <c r="A39" s="3" t="n">
        <v>38</v>
      </c>
      <c r="B39" s="4" t="inlineStr">
        <is>
          <t>Security Guard</t>
        </is>
      </c>
      <c r="C39" s="4" t="inlineStr">
        <is>
          <t>សុខ វុទ្ធី ស៊ីឃ្យួរឹធី</t>
        </is>
      </c>
      <c r="D39" s="5" t="inlineStr">
        <is>
          <t>K010-108012816</t>
        </is>
      </c>
      <c r="E39" s="10" t="inlineStr">
        <is>
          <t>S0114</t>
        </is>
      </c>
      <c r="F39" s="7" t="inlineStr">
        <is>
          <t>01-12-2023</t>
        </is>
      </c>
      <c r="G39" s="8" t="n">
        <v>934928</v>
      </c>
      <c r="H39" s="9" t="n"/>
      <c r="I39" s="33">
        <f>G39</f>
        <v/>
      </c>
      <c r="J39" s="21" t="n"/>
      <c r="K39" s="21">
        <f>I39-G39</f>
        <v/>
      </c>
      <c r="L39" s="22" t="n"/>
      <c r="M39" s="22" t="inlineStr">
        <is>
          <t>S0114</t>
        </is>
      </c>
      <c r="N39" s="22" t="inlineStr">
        <is>
          <t>11312700</t>
        </is>
      </c>
      <c r="O39" s="22">
        <f>M39=N39</f>
        <v/>
      </c>
      <c r="P39" s="22">
        <f>AND(MONTH(F39)=MONTH(S39), YEAR(F39)=YEAR(S39))</f>
        <v/>
      </c>
      <c r="Q39" s="22">
        <f>"L001-902303751"=U39</f>
        <v/>
      </c>
      <c r="R39" s="29">
        <f>G39-W39</f>
        <v/>
      </c>
      <c r="S39" s="30" t="n">
        <v>45327</v>
      </c>
      <c r="T39" s="26" t="n">
        <v>113127</v>
      </c>
      <c r="U39" s="26" t="inlineStr">
        <is>
          <t>L001-107041723</t>
        </is>
      </c>
      <c r="V39" s="26" t="inlineStr">
        <is>
          <t>ឌីប៊ី សេនឃើរ (ខេមបូឌា) លីមីធីត</t>
        </is>
      </c>
      <c r="W39" s="27" t="n">
        <v>113127</v>
      </c>
      <c r="X39" s="26" t="n">
        <v>0</v>
      </c>
    </row>
    <row r="40">
      <c r="A40" s="3" t="n">
        <v>39</v>
      </c>
      <c r="B40" s="4" t="inlineStr">
        <is>
          <t>Security Guard</t>
        </is>
      </c>
      <c r="C40" s="4" t="inlineStr">
        <is>
          <t>សុខ វុទ្ធី ស៊ីឃ្យួរឹធី</t>
        </is>
      </c>
      <c r="D40" s="5" t="inlineStr">
        <is>
          <t>K010-108012816</t>
        </is>
      </c>
      <c r="E40" s="10" t="inlineStr">
        <is>
          <t>S0099</t>
        </is>
      </c>
      <c r="F40" s="7" t="inlineStr">
        <is>
          <t>01-12-2023</t>
        </is>
      </c>
      <c r="G40" s="8" t="n">
        <v>810460</v>
      </c>
      <c r="H40" s="9" t="n"/>
      <c r="I40" s="33">
        <f>G40</f>
        <v/>
      </c>
      <c r="J40" s="21" t="n"/>
      <c r="K40" s="21">
        <f>I40-G40</f>
        <v/>
      </c>
      <c r="L40" s="22" t="n"/>
      <c r="M40" s="22" t="inlineStr">
        <is>
          <t>S0099</t>
        </is>
      </c>
      <c r="N40" s="22" t="inlineStr">
        <is>
          <t>17724600</t>
        </is>
      </c>
      <c r="O40" s="22">
        <f>M40=N40</f>
        <v/>
      </c>
      <c r="P40" s="22">
        <f>AND(MONTH(F40)=MONTH(S40), YEAR(F40)=YEAR(S40))</f>
        <v/>
      </c>
      <c r="Q40" s="22">
        <f>"L001-902303751"=U40</f>
        <v/>
      </c>
      <c r="R40" s="29">
        <f>G40-W40</f>
        <v/>
      </c>
      <c r="S40" s="30" t="n">
        <v>45327</v>
      </c>
      <c r="T40" s="26" t="n">
        <v>177246</v>
      </c>
      <c r="U40" s="26" t="inlineStr">
        <is>
          <t>K003-901635943</t>
        </is>
      </c>
      <c r="V40" s="26" t="inlineStr">
        <is>
          <t>អ៊ីឃ្យូឡាញ វើលវ៉ាយដ៍ ឡូជីស្ទីក</t>
        </is>
      </c>
      <c r="W40" s="27" t="n">
        <v>177246</v>
      </c>
      <c r="X40" s="26" t="n">
        <v>0</v>
      </c>
    </row>
    <row r="41">
      <c r="A41" s="3" t="n">
        <v>40</v>
      </c>
      <c r="B41" s="4" t="inlineStr">
        <is>
          <t>Thread</t>
        </is>
      </c>
      <c r="C41" s="4" t="inlineStr">
        <is>
          <t>គ្លូប៊ល សុីលីន ហ្គាមុិន អេកសេសឺរី ឯ.ក</t>
        </is>
      </c>
      <c r="D41" s="5" t="inlineStr">
        <is>
          <t>L001-902200857</t>
        </is>
      </c>
      <c r="E41" s="6" t="inlineStr">
        <is>
          <t>000772</t>
        </is>
      </c>
      <c r="F41" s="7" t="inlineStr">
        <is>
          <t>01-12-2023</t>
        </is>
      </c>
      <c r="G41" s="8" t="n">
        <v>106990</v>
      </c>
      <c r="H41" s="9" t="n"/>
      <c r="I41" s="33">
        <f>G41</f>
        <v/>
      </c>
      <c r="J41" s="21" t="n"/>
      <c r="K41" s="21">
        <f>I41-G41</f>
        <v/>
      </c>
      <c r="L41" s="22" t="n"/>
      <c r="M41" s="22" t="inlineStr">
        <is>
          <t>000772</t>
        </is>
      </c>
      <c r="N41" s="22" t="inlineStr"/>
      <c r="O41" s="22">
        <f>M41=N41</f>
        <v/>
      </c>
      <c r="P41" s="22">
        <f>AND(MONTH(F41)=MONTH(S41), YEAR(F41)=YEAR(S41))</f>
        <v/>
      </c>
      <c r="Q41" s="22">
        <f>"L001-902303751"=U41</f>
        <v/>
      </c>
      <c r="R41" s="29">
        <f>G41-W41</f>
        <v/>
      </c>
      <c r="S41" s="30" t="n">
        <v>45334</v>
      </c>
      <c r="T41" s="26" t="inlineStr"/>
      <c r="U41" s="26" t="inlineStr">
        <is>
          <t>K003-901635943</t>
        </is>
      </c>
      <c r="V41" s="26" t="inlineStr">
        <is>
          <t>អ៊ីឃ្យូឡាញ វើលវ៉ាយដ៍ ឡូជីស្ទីក</t>
        </is>
      </c>
      <c r="W41" s="27" t="n">
        <v>0</v>
      </c>
      <c r="X41" s="26" t="n">
        <v>0</v>
      </c>
    </row>
    <row r="42">
      <c r="A42" s="3" t="n">
        <v>41</v>
      </c>
      <c r="B42" s="4" t="inlineStr">
        <is>
          <t>Hardware</t>
        </is>
      </c>
      <c r="C42" s="4" t="inlineStr">
        <is>
          <t>ភ្នំពេញ ថប វើលដ៍ ខនស្ត្រាក់សិន &amp; អេនជីនារីង ឯ.ក</t>
        </is>
      </c>
      <c r="D42" s="5" t="inlineStr">
        <is>
          <t>K005-901638261</t>
        </is>
      </c>
      <c r="E42" s="6" t="inlineStr">
        <is>
          <t>000003</t>
        </is>
      </c>
      <c r="F42" s="7" t="inlineStr">
        <is>
          <t>04-01-2024</t>
        </is>
      </c>
      <c r="G42" s="8" t="n">
        <v>2029189</v>
      </c>
      <c r="H42" s="9" t="n"/>
      <c r="I42" s="33">
        <f>G42</f>
        <v/>
      </c>
      <c r="J42" s="21" t="n"/>
      <c r="K42" s="21">
        <f>I42-G42</f>
        <v/>
      </c>
      <c r="L42" s="22" t="n"/>
      <c r="M42" s="22" t="inlineStr">
        <is>
          <t>000003</t>
        </is>
      </c>
      <c r="N42" s="22" t="inlineStr">
        <is>
          <t>8435300</t>
        </is>
      </c>
      <c r="O42" s="22">
        <f>M42=N42</f>
        <v/>
      </c>
      <c r="P42" s="22">
        <f>AND(MONTH(F42)=MONTH(S42), YEAR(F42)=YEAR(S42))</f>
        <v/>
      </c>
      <c r="Q42" s="22">
        <f>"L001-902303751"=U42</f>
        <v/>
      </c>
      <c r="R42" s="29">
        <f>G42-W42</f>
        <v/>
      </c>
      <c r="S42" s="30" t="n">
        <v>45348</v>
      </c>
      <c r="T42" s="26" t="n">
        <v>84353</v>
      </c>
      <c r="U42" s="26" t="inlineStr">
        <is>
          <t>K009-901605081</t>
        </is>
      </c>
      <c r="V42" s="26" t="inlineStr">
        <is>
          <t>ទ្រូ ខមភែនៀន ឡូជីស្ទីក (ខេមបូឌា)</t>
        </is>
      </c>
      <c r="W42" s="27" t="n">
        <v>84353</v>
      </c>
      <c r="X42" s="26" t="n">
        <v>0</v>
      </c>
    </row>
    <row r="43">
      <c r="A43" s="3" t="n">
        <v>42</v>
      </c>
      <c r="B43" s="4" t="inlineStr">
        <is>
          <t>Monthly Charge of Photo Copier Rental from 06-12-2023-06-01-2024</t>
        </is>
      </c>
      <c r="C43" s="4" t="inlineStr">
        <is>
          <t>វី.អាយ.អេស ខភៀ ឯ.ក</t>
        </is>
      </c>
      <c r="D43" s="5" t="inlineStr">
        <is>
          <t>K007-901705195</t>
        </is>
      </c>
      <c r="E43" s="6" t="inlineStr">
        <is>
          <t>RNT240124</t>
        </is>
      </c>
      <c r="F43" s="7" t="inlineStr">
        <is>
          <t>06-01-2024</t>
        </is>
      </c>
      <c r="G43" s="8" t="n">
        <v>57302</v>
      </c>
      <c r="H43" s="9" t="n"/>
      <c r="I43" s="33">
        <f>G43</f>
        <v/>
      </c>
      <c r="J43" s="21" t="n"/>
      <c r="K43" s="21">
        <f>I43-G43</f>
        <v/>
      </c>
      <c r="L43" s="22" t="n"/>
      <c r="M43" s="22" t="inlineStr">
        <is>
          <t>RNT240124</t>
        </is>
      </c>
      <c r="N43" s="22" t="inlineStr">
        <is>
          <t>18763400</t>
        </is>
      </c>
      <c r="O43" s="22">
        <f>M43=N43</f>
        <v/>
      </c>
      <c r="P43" s="22">
        <f>AND(MONTH(F43)=MONTH(S43), YEAR(F43)=YEAR(S43))</f>
        <v/>
      </c>
      <c r="Q43" s="22">
        <f>"L001-902303751"=U43</f>
        <v/>
      </c>
      <c r="R43" s="29">
        <f>G43-W43</f>
        <v/>
      </c>
      <c r="S43" s="30" t="n">
        <v>45344</v>
      </c>
      <c r="T43" s="26" t="n">
        <v>187634</v>
      </c>
      <c r="U43" s="26" t="inlineStr">
        <is>
          <t>K009-901605081</t>
        </is>
      </c>
      <c r="V43" s="26" t="inlineStr">
        <is>
          <t>ទ្រូ ខមភែនៀន ឡូជីស្ទីក (ខេមបូឌា)</t>
        </is>
      </c>
      <c r="W43" s="27" t="n">
        <v>187634</v>
      </c>
      <c r="X43" s="26" t="n">
        <v>0</v>
      </c>
    </row>
    <row r="44">
      <c r="A44" s="3" t="n">
        <v>43</v>
      </c>
      <c r="B44" s="4" t="inlineStr">
        <is>
          <t>Monthly Charge of Photo Copier Rental from 06-12-2023-06-01-2024</t>
        </is>
      </c>
      <c r="C44" s="4" t="inlineStr">
        <is>
          <t>វី.អាយ.អេស ខភៀ ឯ.ក</t>
        </is>
      </c>
      <c r="D44" s="5" t="inlineStr">
        <is>
          <t>K007-901705195</t>
        </is>
      </c>
      <c r="E44" s="6" t="inlineStr">
        <is>
          <t>RNT240125</t>
        </is>
      </c>
      <c r="F44" s="7" t="inlineStr">
        <is>
          <t>06-01-2024</t>
        </is>
      </c>
      <c r="G44" s="8" t="n">
        <v>26605</v>
      </c>
      <c r="H44" s="9" t="n"/>
      <c r="I44" s="33">
        <f>G44</f>
        <v/>
      </c>
      <c r="J44" s="21" t="n"/>
      <c r="K44" s="21">
        <f>I44-G44</f>
        <v/>
      </c>
      <c r="L44" s="22" t="n"/>
      <c r="M44" s="22" t="inlineStr">
        <is>
          <t>RNT240125</t>
        </is>
      </c>
      <c r="N44" s="22" t="inlineStr">
        <is>
          <t>8443500</t>
        </is>
      </c>
      <c r="O44" s="22">
        <f>M44=N44</f>
        <v/>
      </c>
      <c r="P44" s="22">
        <f>AND(MONTH(F44)=MONTH(S44), YEAR(F44)=YEAR(S44))</f>
        <v/>
      </c>
      <c r="Q44" s="22">
        <f>"L001-902303751"=U44</f>
        <v/>
      </c>
      <c r="R44" s="29">
        <f>G44-W44</f>
        <v/>
      </c>
      <c r="S44" s="30" t="n">
        <v>45332</v>
      </c>
      <c r="T44" s="26" t="n">
        <v>84435</v>
      </c>
      <c r="U44" s="26" t="inlineStr">
        <is>
          <t>L001-104015799</t>
        </is>
      </c>
      <c r="V44" s="26" t="inlineStr">
        <is>
          <t>យូសេន ឡូជីស្ទីក (ខេមបូឌា) ខូ អិលធីឌី</t>
        </is>
      </c>
      <c r="W44" s="27" t="n">
        <v>84435</v>
      </c>
      <c r="X44" s="26" t="n">
        <v>0</v>
      </c>
    </row>
    <row r="45">
      <c r="A45" s="3" t="n">
        <v>44</v>
      </c>
      <c r="B45" s="4" t="inlineStr">
        <is>
          <t>Motherboard, Host, Techincian service fee</t>
        </is>
      </c>
      <c r="C45" s="4" t="inlineStr">
        <is>
          <t>ក្លាក ហ៊ូ ឯ.ក</t>
        </is>
      </c>
      <c r="D45" s="5" t="inlineStr">
        <is>
          <t>K007-901639199</t>
        </is>
      </c>
      <c r="E45" s="10" t="inlineStr">
        <is>
          <t>IN0080</t>
        </is>
      </c>
      <c r="F45" s="7" t="inlineStr">
        <is>
          <t>18-01-2024</t>
        </is>
      </c>
      <c r="G45" s="8" t="n">
        <v>816200</v>
      </c>
      <c r="H45" s="9" t="n"/>
      <c r="I45" s="33">
        <f>G45</f>
        <v/>
      </c>
      <c r="J45" s="21" t="n"/>
      <c r="K45" s="21">
        <f>I45-G45</f>
        <v/>
      </c>
      <c r="L45" s="22" t="n"/>
      <c r="M45" s="22" t="inlineStr">
        <is>
          <t>IN0080</t>
        </is>
      </c>
      <c r="N45" s="22" t="inlineStr">
        <is>
          <t>9657800</t>
        </is>
      </c>
      <c r="O45" s="22">
        <f>M45=N45</f>
        <v/>
      </c>
      <c r="P45" s="22">
        <f>AND(MONTH(F45)=MONTH(S45), YEAR(F45)=YEAR(S45))</f>
        <v/>
      </c>
      <c r="Q45" s="22">
        <f>"L001-902303751"=U45</f>
        <v/>
      </c>
      <c r="R45" s="29">
        <f>G45-W45</f>
        <v/>
      </c>
      <c r="S45" s="30" t="n">
        <v>45348</v>
      </c>
      <c r="T45" s="26" t="n">
        <v>96578</v>
      </c>
      <c r="U45" s="26" t="inlineStr">
        <is>
          <t>L001-104015799</t>
        </is>
      </c>
      <c r="V45" s="26" t="inlineStr">
        <is>
          <t>យូសេន ឡូជីស្ទីក (ខេមបូឌា) ខូ អិលធីឌី</t>
        </is>
      </c>
      <c r="W45" s="27" t="n">
        <v>96578</v>
      </c>
      <c r="X45" s="26" t="n">
        <v>0</v>
      </c>
    </row>
    <row r="46">
      <c r="A46" s="3" t="n">
        <v>45</v>
      </c>
      <c r="B46" s="4" t="inlineStr">
        <is>
          <t>Monthly Charge of Photo Copier Rental from 06-12-2023-06-01-2024</t>
        </is>
      </c>
      <c r="C46" s="4" t="inlineStr">
        <is>
          <t>វី.អាយ.អេស ខភៀ ឯ.ក</t>
        </is>
      </c>
      <c r="D46" s="5" t="inlineStr">
        <is>
          <t>K007-901705195</t>
        </is>
      </c>
      <c r="E46" s="10" t="inlineStr">
        <is>
          <t>RNT240126</t>
        </is>
      </c>
      <c r="F46" s="7" t="inlineStr">
        <is>
          <t>06-01-2024</t>
        </is>
      </c>
      <c r="G46" s="8" t="n">
        <v>28651</v>
      </c>
      <c r="H46" s="9" t="n"/>
      <c r="I46" s="33">
        <f>G46</f>
        <v/>
      </c>
      <c r="J46" s="21" t="n"/>
      <c r="K46" s="21">
        <f>I46-G46</f>
        <v/>
      </c>
      <c r="L46" s="22" t="n"/>
      <c r="M46" s="22" t="inlineStr">
        <is>
          <t>RNT240126</t>
        </is>
      </c>
      <c r="N46" s="22" t="inlineStr">
        <is>
          <t>937000</t>
        </is>
      </c>
      <c r="O46" s="22">
        <f>M46=N46</f>
        <v/>
      </c>
      <c r="P46" s="22">
        <f>AND(MONTH(F46)=MONTH(S46), YEAR(F46)=YEAR(S46))</f>
        <v/>
      </c>
      <c r="Q46" s="22">
        <f>"L001-902303751"=U46</f>
        <v/>
      </c>
      <c r="R46" s="29">
        <f>G46-W46</f>
        <v/>
      </c>
      <c r="S46" s="30" t="n">
        <v>45336</v>
      </c>
      <c r="T46" s="26" t="n">
        <v>9370</v>
      </c>
      <c r="U46" s="26" t="inlineStr">
        <is>
          <t>L001-105000965</t>
        </is>
      </c>
      <c r="V46" s="26" t="inlineStr">
        <is>
          <t>រែភីដ ហ្រ្វេត ឡូជីស្ទីក (ខេមបូឌា)</t>
        </is>
      </c>
      <c r="W46" s="27" t="n">
        <v>9370</v>
      </c>
      <c r="X46" s="26" t="n">
        <v>0</v>
      </c>
    </row>
    <row r="47">
      <c r="A47" s="3" t="n">
        <v>46</v>
      </c>
      <c r="B47" s="4" t="inlineStr">
        <is>
          <t>Marchine Rental for January 2024 (Buckle wrapping and Hot melt buckle winding machine)</t>
        </is>
      </c>
      <c r="C47" s="4" t="inlineStr">
        <is>
          <t>ក្លាក ហ៊ូ ឯ.ក</t>
        </is>
      </c>
      <c r="D47" s="5" t="inlineStr">
        <is>
          <t>K007-901639199</t>
        </is>
      </c>
      <c r="E47" s="10" t="inlineStr">
        <is>
          <t>IN0122</t>
        </is>
      </c>
      <c r="F47" s="7" t="inlineStr">
        <is>
          <t>24-01-2024</t>
        </is>
      </c>
      <c r="G47" s="8" t="n">
        <v>47305</v>
      </c>
      <c r="H47" s="9" t="n"/>
      <c r="I47" s="33">
        <f>G47</f>
        <v/>
      </c>
      <c r="J47" s="21" t="n"/>
      <c r="K47" s="21">
        <f>I47-G47</f>
        <v/>
      </c>
      <c r="L47" s="22" t="n"/>
      <c r="M47" s="22" t="inlineStr">
        <is>
          <t>IN0122</t>
        </is>
      </c>
      <c r="N47" s="22" t="inlineStr">
        <is>
          <t>18745000</t>
        </is>
      </c>
      <c r="O47" s="22">
        <f>M47=N47</f>
        <v/>
      </c>
      <c r="P47" s="22">
        <f>AND(MONTH(F47)=MONTH(S47), YEAR(F47)=YEAR(S47))</f>
        <v/>
      </c>
      <c r="Q47" s="22">
        <f>"L001-902303751"=U47</f>
        <v/>
      </c>
      <c r="R47" s="29">
        <f>G47-W47</f>
        <v/>
      </c>
      <c r="S47" s="30" t="n">
        <v>45337</v>
      </c>
      <c r="T47" s="26" t="n">
        <v>187450</v>
      </c>
      <c r="U47" s="26" t="inlineStr">
        <is>
          <t>K009-901605081</t>
        </is>
      </c>
      <c r="V47" s="26" t="inlineStr">
        <is>
          <t>ទ្រូ ខមភែនៀន ឡូជីស្ទីក (ខេមបូឌា)</t>
        </is>
      </c>
      <c r="W47" s="27" t="n">
        <v>187450</v>
      </c>
      <c r="X47" s="26" t="n">
        <v>0</v>
      </c>
    </row>
    <row r="48">
      <c r="A48" s="3" t="n">
        <v>47</v>
      </c>
      <c r="B48" s="4" t="inlineStr">
        <is>
          <t>Monthly Charge of Photo Copier Rental from 06-12-2023-06-01-2024</t>
        </is>
      </c>
      <c r="C48" s="4" t="inlineStr">
        <is>
          <t>វី.អាយ.អេស ខភៀ ឯ.ក</t>
        </is>
      </c>
      <c r="D48" s="5" t="inlineStr">
        <is>
          <t>K007-901705195</t>
        </is>
      </c>
      <c r="E48" s="10" t="inlineStr">
        <is>
          <t>RNT240127</t>
        </is>
      </c>
      <c r="F48" s="7" t="inlineStr">
        <is>
          <t>06-01-2024</t>
        </is>
      </c>
      <c r="G48" s="8" t="n">
        <v>57302</v>
      </c>
      <c r="H48" s="9" t="n"/>
      <c r="I48" s="33">
        <f>G48</f>
        <v/>
      </c>
      <c r="J48" s="21" t="n"/>
      <c r="K48" s="21">
        <f>I48-G48</f>
        <v/>
      </c>
      <c r="L48" s="22" t="n"/>
      <c r="M48" s="22" t="inlineStr">
        <is>
          <t>RNT240127</t>
        </is>
      </c>
      <c r="N48" s="22" t="inlineStr"/>
      <c r="O48" s="22">
        <f>M48=N48</f>
        <v/>
      </c>
      <c r="P48" s="22">
        <f>AND(MONTH(F48)=MONTH(S48), YEAR(F48)=YEAR(S48))</f>
        <v/>
      </c>
      <c r="Q48" s="22">
        <f>"L001-902303751"=U48</f>
        <v/>
      </c>
      <c r="R48" s="29">
        <f>G48-W48</f>
        <v/>
      </c>
      <c r="S48" s="30" t="n">
        <v>45341</v>
      </c>
      <c r="T48" s="26" t="inlineStr"/>
      <c r="U48" s="26" t="inlineStr">
        <is>
          <t>K003-901635943</t>
        </is>
      </c>
      <c r="V48" s="26" t="inlineStr">
        <is>
          <t>អ៊ីឃ្យូឡាញ វើលវ៉ាយដ៍ ឡូជីស្ទីក</t>
        </is>
      </c>
      <c r="W48" s="27" t="n">
        <v>0</v>
      </c>
      <c r="X48" s="26" t="n">
        <v>0</v>
      </c>
    </row>
    <row r="49">
      <c r="A49" s="3" t="n">
        <v>48</v>
      </c>
      <c r="B49" s="4" t="inlineStr">
        <is>
          <t>Marchine Rental for January 2024 (Automatic thread trimming left cutter net machine)</t>
        </is>
      </c>
      <c r="C49" s="4" t="inlineStr">
        <is>
          <t>ក្លាក ហ៊ូ ឯ.ក</t>
        </is>
      </c>
      <c r="D49" s="5" t="inlineStr">
        <is>
          <t>K007-901639199</t>
        </is>
      </c>
      <c r="E49" s="10" t="inlineStr">
        <is>
          <t>IN0123</t>
        </is>
      </c>
      <c r="F49" s="7" t="inlineStr">
        <is>
          <t>24-01-2024</t>
        </is>
      </c>
      <c r="G49" s="8" t="n">
        <v>260992</v>
      </c>
      <c r="H49" s="9" t="n"/>
      <c r="I49" s="33">
        <f>G49</f>
        <v/>
      </c>
      <c r="J49" s="21" t="n"/>
      <c r="K49" s="21">
        <f>I49-G49</f>
        <v/>
      </c>
      <c r="L49" s="22" t="n"/>
      <c r="M49" s="22" t="inlineStr">
        <is>
          <t>IN0123</t>
        </is>
      </c>
      <c r="N49" s="22" t="inlineStr">
        <is>
          <t>222305500</t>
        </is>
      </c>
      <c r="O49" s="22">
        <f>M49=N49</f>
        <v/>
      </c>
      <c r="P49" s="22">
        <f>AND(MONTH(F49)=MONTH(S49), YEAR(F49)=YEAR(S49))</f>
        <v/>
      </c>
      <c r="Q49" s="22">
        <f>"L001-902303751"=U49</f>
        <v/>
      </c>
      <c r="R49" s="29">
        <f>G49-W49</f>
        <v/>
      </c>
      <c r="S49" s="30" t="n">
        <v>45344</v>
      </c>
      <c r="T49" s="26" t="n">
        <v>2223055</v>
      </c>
      <c r="U49" s="26" t="inlineStr">
        <is>
          <t>K009-901605081</t>
        </is>
      </c>
      <c r="V49" s="26" t="inlineStr">
        <is>
          <t>ទ្រូ ខមភែនៀន ឡូជីស្ទីក (ខេមបូឌា)</t>
        </is>
      </c>
      <c r="W49" s="27" t="n">
        <v>2223055</v>
      </c>
      <c r="X49" s="26" t="n">
        <v>0</v>
      </c>
    </row>
    <row r="50">
      <c r="A50" s="3" t="n">
        <v>49</v>
      </c>
      <c r="B50" s="4" t="inlineStr">
        <is>
          <t>PV (Template) 120x150, Sponge strips</t>
        </is>
      </c>
      <c r="C50" s="4" t="inlineStr">
        <is>
          <t>យីស៊ូ ធេមផ្លេត ក្រាហ្វ ឯ.ក</t>
        </is>
      </c>
      <c r="D50" s="5" t="inlineStr">
        <is>
          <t>K010-902200360</t>
        </is>
      </c>
      <c r="E50" s="10" t="inlineStr">
        <is>
          <t>24-0010</t>
        </is>
      </c>
      <c r="F50" s="7" t="inlineStr">
        <is>
          <t>17-01-2024</t>
        </is>
      </c>
      <c r="G50" s="8" t="n">
        <v>402682</v>
      </c>
      <c r="H50" s="9" t="n"/>
      <c r="I50" s="33">
        <f>G50</f>
        <v/>
      </c>
      <c r="J50" s="21" t="n"/>
      <c r="K50" s="21">
        <f>I50-G50</f>
        <v/>
      </c>
      <c r="L50" s="22" t="n"/>
      <c r="M50" s="22" t="inlineStr">
        <is>
          <t>240010</t>
        </is>
      </c>
      <c r="N50" s="22" t="inlineStr">
        <is>
          <t>17698500</t>
        </is>
      </c>
      <c r="O50" s="22">
        <f>M50=N50</f>
        <v/>
      </c>
      <c r="P50" s="22">
        <f>AND(MONTH(F50)=MONTH(S50), YEAR(F50)=YEAR(S50))</f>
        <v/>
      </c>
      <c r="Q50" s="22">
        <f>"L001-902303751"=U50</f>
        <v/>
      </c>
      <c r="R50" s="29">
        <f>G50-W50</f>
        <v/>
      </c>
      <c r="S50" s="30" t="n">
        <v>45334</v>
      </c>
      <c r="T50" s="26" t="n">
        <v>176985</v>
      </c>
      <c r="U50" s="26" t="inlineStr">
        <is>
          <t>K003-901635943</t>
        </is>
      </c>
      <c r="V50" s="26" t="inlineStr">
        <is>
          <t>អ៊ីឃ្យូឡាញ វើលវ៉ាយដ៍ ឡូជីស្ទីក</t>
        </is>
      </c>
      <c r="W50" s="27" t="n">
        <v>176985</v>
      </c>
      <c r="X50" s="26" t="n">
        <v>0</v>
      </c>
    </row>
    <row r="51">
      <c r="A51" s="3" t="n">
        <v>50</v>
      </c>
      <c r="B51" s="4" t="inlineStr">
        <is>
          <t>Non Woven Interlining (Paper) 50D-OW</t>
        </is>
      </c>
      <c r="C51" s="4" t="inlineStr">
        <is>
          <t>ដេលី ហ្គាមេន អេកសេសឺរី</t>
        </is>
      </c>
      <c r="D51" s="5" t="inlineStr">
        <is>
          <t>L001-108012794</t>
        </is>
      </c>
      <c r="E51" s="10" t="inlineStr">
        <is>
          <t>00036</t>
        </is>
      </c>
      <c r="F51" s="7" t="inlineStr">
        <is>
          <t>30-01-2024</t>
        </is>
      </c>
      <c r="G51" s="8" t="n">
        <v>73458</v>
      </c>
      <c r="H51" s="9" t="n"/>
      <c r="I51" s="33">
        <f>G51</f>
        <v/>
      </c>
      <c r="J51" s="21" t="n"/>
      <c r="K51" s="21">
        <f>I51-G51</f>
        <v/>
      </c>
      <c r="L51" s="22" t="n"/>
      <c r="M51" s="22" t="inlineStr">
        <is>
          <t>00036</t>
        </is>
      </c>
      <c r="N51" s="22" t="inlineStr">
        <is>
          <t>8453900</t>
        </is>
      </c>
      <c r="O51" s="22">
        <f>M51=N51</f>
        <v/>
      </c>
      <c r="P51" s="22">
        <f>AND(MONTH(F51)=MONTH(S51), YEAR(F51)=YEAR(S51))</f>
        <v/>
      </c>
      <c r="Q51" s="22">
        <f>"L001-902303751"=U51</f>
        <v/>
      </c>
      <c r="R51" s="29">
        <f>G51-W51</f>
        <v/>
      </c>
      <c r="S51" s="30" t="n">
        <v>45327</v>
      </c>
      <c r="T51" s="26" t="n">
        <v>84539</v>
      </c>
      <c r="U51" s="26" t="inlineStr">
        <is>
          <t>L001-104015799</t>
        </is>
      </c>
      <c r="V51" s="26" t="inlineStr">
        <is>
          <t>យូសេន ឡូជីស្ទីក (ខេមបូឌា) ខូ អិលធីឌី</t>
        </is>
      </c>
      <c r="W51" s="27" t="n">
        <v>84539</v>
      </c>
      <c r="X51" s="26" t="n">
        <v>0</v>
      </c>
    </row>
    <row r="52">
      <c r="A52" s="3" t="n">
        <v>51</v>
      </c>
      <c r="B52" s="4" t="inlineStr">
        <is>
          <t>Thread</t>
        </is>
      </c>
      <c r="C52" s="4" t="inlineStr">
        <is>
          <t>គ្លូប៊ល សុីលីន ហ្គាមុិន អេកសេសឺរី ឯ.ក</t>
        </is>
      </c>
      <c r="D52" s="5" t="inlineStr">
        <is>
          <t>L001-902200857</t>
        </is>
      </c>
      <c r="E52" s="10" t="inlineStr">
        <is>
          <t>000073</t>
        </is>
      </c>
      <c r="F52" s="7" t="inlineStr">
        <is>
          <t>30-01-2024</t>
        </is>
      </c>
      <c r="G52" s="8" t="n">
        <v>94238</v>
      </c>
      <c r="H52" s="9" t="n"/>
      <c r="I52" s="33">
        <f>G52</f>
        <v/>
      </c>
      <c r="J52" s="21" t="n"/>
      <c r="K52" s="21">
        <f>I52-G52</f>
        <v/>
      </c>
      <c r="L52" s="22" t="n"/>
      <c r="M52" s="22" t="inlineStr">
        <is>
          <t>000073</t>
        </is>
      </c>
      <c r="N52" s="22" t="inlineStr">
        <is>
          <t>20538000</t>
        </is>
      </c>
      <c r="O52" s="22">
        <f>M52=N52</f>
        <v/>
      </c>
      <c r="P52" s="22">
        <f>AND(MONTH(F52)=MONTH(S52), YEAR(F52)=YEAR(S52))</f>
        <v/>
      </c>
      <c r="Q52" s="22">
        <f>"L001-902303751"=U52</f>
        <v/>
      </c>
      <c r="R52" s="29">
        <f>G52-W52</f>
        <v/>
      </c>
      <c r="S52" s="30" t="n">
        <v>45348</v>
      </c>
      <c r="T52" s="26" t="n">
        <v>205380</v>
      </c>
      <c r="U52" s="26" t="inlineStr">
        <is>
          <t>K003-901635943</t>
        </is>
      </c>
      <c r="V52" s="26" t="inlineStr">
        <is>
          <t>អ៊ីឃ្យូឡាញ វើលវ៉ាយដ៍ ឡូជីស្ទីក</t>
        </is>
      </c>
      <c r="W52" s="27" t="n">
        <v>205380</v>
      </c>
      <c r="X52" s="26" t="n">
        <v>0</v>
      </c>
    </row>
    <row r="53">
      <c r="A53" s="3" t="n">
        <v>52</v>
      </c>
      <c r="B53" s="4" t="inlineStr">
        <is>
          <t>Security Fee for 01-Jan-2024 to 30-Jan-2024</t>
        </is>
      </c>
      <c r="C53" s="4" t="inlineStr">
        <is>
          <t>អិល.ប៊ី.អិល.អេច ស៊ីឃ្យូរឹធី ឯ.ក</t>
        </is>
      </c>
      <c r="D53" s="5" t="inlineStr">
        <is>
          <t>K010-902202247</t>
        </is>
      </c>
      <c r="E53" s="10" t="inlineStr">
        <is>
          <t>L.B.L.H00001</t>
        </is>
      </c>
      <c r="F53" s="7" t="inlineStr">
        <is>
          <t>01-01-2024</t>
        </is>
      </c>
      <c r="G53" s="8" t="n">
        <v>1402200</v>
      </c>
      <c r="H53" s="9" t="n"/>
      <c r="I53" s="33">
        <f>G53</f>
        <v/>
      </c>
      <c r="J53" s="21" t="n"/>
      <c r="K53" s="21">
        <f>I53-G53</f>
        <v/>
      </c>
      <c r="L53" s="22" t="n"/>
      <c r="M53" s="22" t="inlineStr">
        <is>
          <t>LBLH00001</t>
        </is>
      </c>
      <c r="N53" s="22" t="inlineStr"/>
      <c r="O53" s="22">
        <f>M53=N53</f>
        <v/>
      </c>
      <c r="P53" s="22">
        <f>AND(MONTH(F53)=MONTH(S53), YEAR(F53)=YEAR(S53))</f>
        <v/>
      </c>
      <c r="Q53" s="22">
        <f>"L001-902303751"=U53</f>
        <v/>
      </c>
      <c r="R53" s="29">
        <f>G53-W53</f>
        <v/>
      </c>
      <c r="S53" s="30" t="n">
        <v>45348</v>
      </c>
      <c r="T53" s="26" t="inlineStr"/>
      <c r="U53" s="26" t="inlineStr">
        <is>
          <t>K003-901635943</t>
        </is>
      </c>
      <c r="V53" s="26" t="inlineStr">
        <is>
          <t>អ៊ីឃ្យូឡាញ វើលវ៉ាយដ៍ ឡូជីស្ទីក</t>
        </is>
      </c>
      <c r="W53" s="27" t="n">
        <v>0</v>
      </c>
      <c r="X53" s="26" t="n">
        <v>0</v>
      </c>
    </row>
    <row r="54">
      <c r="A54" s="3" t="n">
        <v>53</v>
      </c>
      <c r="B54" s="4" t="inlineStr">
        <is>
          <t>Automatic cutting blade, Sponge strips</t>
        </is>
      </c>
      <c r="C54" s="4" t="inlineStr">
        <is>
          <t>យីស៊ូ ធេមផ្លេត ក្រាហ្វ ឯ.ក</t>
        </is>
      </c>
      <c r="D54" s="5" t="inlineStr">
        <is>
          <t>K010-902200360</t>
        </is>
      </c>
      <c r="E54" s="6" t="inlineStr">
        <is>
          <t>23-0298</t>
        </is>
      </c>
      <c r="F54" s="7" t="inlineStr">
        <is>
          <t>01-01-2024</t>
        </is>
      </c>
      <c r="G54" s="8" t="n">
        <v>354782</v>
      </c>
      <c r="H54" s="9" t="n"/>
      <c r="I54" s="33">
        <f>G54</f>
        <v/>
      </c>
      <c r="J54" s="21" t="n"/>
      <c r="K54" s="21">
        <f>I54-G54</f>
        <v/>
      </c>
      <c r="L54" s="22" t="n"/>
      <c r="M54" s="22" t="inlineStr">
        <is>
          <t>230298</t>
        </is>
      </c>
      <c r="N54" s="22" t="inlineStr">
        <is>
          <t>18740400</t>
        </is>
      </c>
      <c r="O54" s="22">
        <f>M54=N54</f>
        <v/>
      </c>
      <c r="P54" s="22">
        <f>AND(MONTH(F54)=MONTH(S54), YEAR(F54)=YEAR(S54))</f>
        <v/>
      </c>
      <c r="Q54" s="22">
        <f>"L001-902303751"=U54</f>
        <v/>
      </c>
      <c r="R54" s="29">
        <f>G54-W54</f>
        <v/>
      </c>
      <c r="S54" s="30" t="n">
        <v>45336</v>
      </c>
      <c r="T54" s="26" t="n">
        <v>187404</v>
      </c>
      <c r="U54" s="26" t="inlineStr">
        <is>
          <t>K009-901605081</t>
        </is>
      </c>
      <c r="V54" s="26" t="inlineStr">
        <is>
          <t>ទ្រូ ខមភែនៀន ឡូជីស្ទីក (ខេមបូឌា)</t>
        </is>
      </c>
      <c r="W54" s="27" t="n">
        <v>187404</v>
      </c>
      <c r="X54" s="26" t="n">
        <v>0</v>
      </c>
    </row>
    <row r="55">
      <c r="A55" s="3" t="n">
        <v>54</v>
      </c>
      <c r="B55" s="4" t="inlineStr">
        <is>
          <t>Import Shippment Expense</t>
        </is>
      </c>
      <c r="C55" s="4" t="inlineStr">
        <is>
          <t>អេស អ វី ស៊ី ហ្វ្រេត សឺវីស (ខេមបូឌា) ខូ អិលធីឌី</t>
        </is>
      </c>
      <c r="D55" s="5" t="inlineStr">
        <is>
          <t>K005-100150195</t>
        </is>
      </c>
      <c r="E55" s="6" t="inlineStr">
        <is>
          <t>SRVI2400392</t>
        </is>
      </c>
      <c r="F55" s="7" t="inlineStr">
        <is>
          <t>24-01-2024</t>
        </is>
      </c>
      <c r="G55" s="8" t="n">
        <v>50419</v>
      </c>
      <c r="H55" s="9" t="n"/>
      <c r="I55" s="33">
        <f>G55</f>
        <v/>
      </c>
      <c r="J55" s="21" t="n"/>
      <c r="K55" s="21">
        <f>I55-G55</f>
        <v/>
      </c>
      <c r="L55" s="22" t="n"/>
      <c r="M55" s="22" t="inlineStr">
        <is>
          <t>SRVI2400392</t>
        </is>
      </c>
      <c r="N55" s="22" t="inlineStr">
        <is>
          <t>938600</t>
        </is>
      </c>
      <c r="O55" s="22">
        <f>M55=N55</f>
        <v/>
      </c>
      <c r="P55" s="22">
        <f>AND(MONTH(F55)=MONTH(S55), YEAR(F55)=YEAR(S55))</f>
        <v/>
      </c>
      <c r="Q55" s="22">
        <f>"L001-902303751"=U55</f>
        <v/>
      </c>
      <c r="R55" s="29">
        <f>G55-W55</f>
        <v/>
      </c>
      <c r="S55" s="30" t="n">
        <v>45329</v>
      </c>
      <c r="T55" s="26" t="n">
        <v>9386</v>
      </c>
      <c r="U55" s="26" t="inlineStr">
        <is>
          <t>L001-100098134</t>
        </is>
      </c>
      <c r="V55" s="26" t="inlineStr">
        <is>
          <t>បុងកាហ្វេ (ខេមបូឌា)</t>
        </is>
      </c>
      <c r="W55" s="27" t="n">
        <v>9386</v>
      </c>
      <c r="X55" s="26" t="n">
        <v>0</v>
      </c>
    </row>
    <row r="56">
      <c r="A56" s="3" t="n">
        <v>55</v>
      </c>
      <c r="B56" s="4" t="inlineStr">
        <is>
          <t>Import Shippment Expense</t>
        </is>
      </c>
      <c r="C56" s="4" t="inlineStr">
        <is>
          <t>ខេអិលអិន ហ្វ្រេត (ខេមបូឌា) ឯ.ក</t>
        </is>
      </c>
      <c r="D56" s="5" t="inlineStr">
        <is>
          <t>L001-100074669</t>
        </is>
      </c>
      <c r="E56" s="6" t="inlineStr">
        <is>
          <t>IVO00505</t>
        </is>
      </c>
      <c r="F56" s="7" t="inlineStr">
        <is>
          <t>10-01-2024</t>
        </is>
      </c>
      <c r="G56" s="8" t="n">
        <v>103169</v>
      </c>
      <c r="H56" s="9" t="n"/>
      <c r="I56" s="33">
        <f>G56</f>
        <v/>
      </c>
      <c r="J56" s="21" t="n"/>
      <c r="K56" s="21">
        <f>I56-G56</f>
        <v/>
      </c>
      <c r="L56" s="22" t="n"/>
      <c r="M56" s="22" t="inlineStr">
        <is>
          <t>IVO00505</t>
        </is>
      </c>
      <c r="N56" s="22" t="inlineStr">
        <is>
          <t>222033000</t>
        </is>
      </c>
      <c r="O56" s="22">
        <f>M56=N56</f>
        <v/>
      </c>
      <c r="P56" s="22">
        <f>AND(MONTH(F56)=MONTH(S56), YEAR(F56)=YEAR(S56))</f>
        <v/>
      </c>
      <c r="Q56" s="22">
        <f>"L001-902303751"=U56</f>
        <v/>
      </c>
      <c r="R56" s="29">
        <f>G56-W56</f>
        <v/>
      </c>
      <c r="S56" s="30" t="n">
        <v>45336</v>
      </c>
      <c r="T56" s="26" t="n">
        <v>2220330</v>
      </c>
      <c r="U56" s="26" t="inlineStr">
        <is>
          <t>K009-901605081</t>
        </is>
      </c>
      <c r="V56" s="26" t="inlineStr">
        <is>
          <t>ទ្រូ ខមភែនៀន ឡូជីស្ទីក (ខេមបូឌា)</t>
        </is>
      </c>
      <c r="W56" s="27" t="n">
        <v>2220330</v>
      </c>
      <c r="X56" s="26" t="n">
        <v>0</v>
      </c>
    </row>
    <row r="57">
      <c r="A57" s="3" t="n">
        <v>56</v>
      </c>
      <c r="B57" s="4" t="inlineStr">
        <is>
          <t>LIFT-ON , Gate Fee 40'</t>
        </is>
      </c>
      <c r="C57" s="4" t="inlineStr">
        <is>
          <t>កំពង់ផែស្វយ័តភ្នំពេញ "ក.ស.ភ"</t>
        </is>
      </c>
      <c r="D57" s="5" t="inlineStr">
        <is>
          <t>L001-100044999</t>
        </is>
      </c>
      <c r="E57" s="6" t="inlineStr">
        <is>
          <t>INV20240103847</t>
        </is>
      </c>
      <c r="F57" s="7" t="inlineStr">
        <is>
          <t>20-01-2024</t>
        </is>
      </c>
      <c r="G57" s="8" t="n">
        <v>28532</v>
      </c>
      <c r="H57" s="9" t="n"/>
      <c r="I57" s="33">
        <f>G57</f>
        <v/>
      </c>
      <c r="J57" s="21" t="n"/>
      <c r="K57" s="21">
        <f>I57-G57</f>
        <v/>
      </c>
      <c r="L57" s="22" t="n"/>
      <c r="M57" s="22" t="inlineStr">
        <is>
          <t>INV20240103847</t>
        </is>
      </c>
      <c r="N57" s="22" t="inlineStr">
        <is>
          <t>11290500</t>
        </is>
      </c>
      <c r="O57" s="22">
        <f>M57=N57</f>
        <v/>
      </c>
      <c r="P57" s="22">
        <f>AND(MONTH(F57)=MONTH(S57), YEAR(F57)=YEAR(S57))</f>
        <v/>
      </c>
      <c r="Q57" s="22">
        <f>"L001-902303751"=U57</f>
        <v/>
      </c>
      <c r="R57" s="29">
        <f>G57-W57</f>
        <v/>
      </c>
      <c r="S57" s="30" t="n">
        <v>45338</v>
      </c>
      <c r="T57" s="26" t="n">
        <v>112905</v>
      </c>
      <c r="U57" s="26" t="inlineStr">
        <is>
          <t>L001-104015799</t>
        </is>
      </c>
      <c r="V57" s="26" t="inlineStr">
        <is>
          <t>យូសេន ឡូជីស្ទីក (ខេមបូឌា) ខូ អិលធីឌី</t>
        </is>
      </c>
      <c r="W57" s="27" t="n">
        <v>112905</v>
      </c>
      <c r="X57" s="26" t="n">
        <v>0</v>
      </c>
    </row>
    <row r="58">
      <c r="A58" s="3" t="n">
        <v>57</v>
      </c>
      <c r="B58" s="4" t="inlineStr">
        <is>
          <t>LOLO for Container 40'</t>
        </is>
      </c>
      <c r="C58" s="4" t="inlineStr">
        <is>
          <t>កំពង់ផែស្វយ័តភ្នំពេញ "ក.ស.ភ"</t>
        </is>
      </c>
      <c r="D58" s="5" t="inlineStr">
        <is>
          <t>L001-100044999</t>
        </is>
      </c>
      <c r="E58" s="10" t="inlineStr">
        <is>
          <t>INV20240103769</t>
        </is>
      </c>
      <c r="F58" s="7" t="inlineStr">
        <is>
          <t>20-01-2024</t>
        </is>
      </c>
      <c r="G58" s="8" t="n">
        <v>10190</v>
      </c>
      <c r="H58" s="9" t="n"/>
      <c r="I58" s="33">
        <f>G58</f>
        <v/>
      </c>
      <c r="J58" s="21" t="n"/>
      <c r="K58" s="21">
        <f>I58-G58</f>
        <v/>
      </c>
      <c r="L58" s="22" t="n"/>
      <c r="M58" s="22" t="inlineStr">
        <is>
          <t>INV20240103769</t>
        </is>
      </c>
      <c r="N58" s="22" t="inlineStr"/>
      <c r="O58" s="22">
        <f>M58=N58</f>
        <v/>
      </c>
      <c r="P58" s="22">
        <f>AND(MONTH(F58)=MONTH(S58), YEAR(F58)=YEAR(S58))</f>
        <v/>
      </c>
      <c r="Q58" s="22">
        <f>"L001-902303751"=U58</f>
        <v/>
      </c>
      <c r="R58" s="29">
        <f>G58-W58</f>
        <v/>
      </c>
      <c r="S58" s="30" t="n">
        <v>45348</v>
      </c>
      <c r="T58" s="26" t="inlineStr"/>
      <c r="U58" s="26" t="inlineStr">
        <is>
          <t>L001-104015799</t>
        </is>
      </c>
      <c r="V58" s="26" t="inlineStr">
        <is>
          <t>យូសេន ឡូជីស្ទីក (ខេមបូឌា) ខូ អិលធីឌី</t>
        </is>
      </c>
      <c r="W58" s="27" t="n">
        <v>0</v>
      </c>
      <c r="X58" s="26" t="n">
        <v>0</v>
      </c>
    </row>
    <row r="59">
      <c r="A59" s="3" t="n">
        <v>58</v>
      </c>
      <c r="B59" s="4" t="inlineStr">
        <is>
          <t>THC, DOC FEE, CONTAINER IMBALANCE</t>
        </is>
      </c>
      <c r="C59" s="4" t="inlineStr">
        <is>
          <t>សាខាក្រុមហ៊ុន ជីម៉ាឌីប ស៊ីបភីង ខមភេនី លីមីធីត</t>
        </is>
      </c>
      <c r="D59" s="5" t="inlineStr">
        <is>
          <t>L001-901704777</t>
        </is>
      </c>
      <c r="E59" s="10" t="inlineStr">
        <is>
          <t>24-00199</t>
        </is>
      </c>
      <c r="F59" s="7" t="inlineStr">
        <is>
          <t>19-01-2024</t>
        </is>
      </c>
      <c r="G59" s="8" t="n">
        <v>136546</v>
      </c>
      <c r="H59" s="9" t="n"/>
      <c r="I59" s="33">
        <f>G59</f>
        <v/>
      </c>
      <c r="J59" s="21" t="n"/>
      <c r="K59" s="21">
        <f>I59-G59</f>
        <v/>
      </c>
      <c r="L59" s="22" t="n"/>
      <c r="M59" s="22" t="inlineStr">
        <is>
          <t>2400199</t>
        </is>
      </c>
      <c r="N59" s="22" t="inlineStr">
        <is>
          <t>9386300</t>
        </is>
      </c>
      <c r="O59" s="22">
        <f>M59=N59</f>
        <v/>
      </c>
      <c r="P59" s="22">
        <f>AND(MONTH(F59)=MONTH(S59), YEAR(F59)=YEAR(S59))</f>
        <v/>
      </c>
      <c r="Q59" s="22">
        <f>"L001-902303751"=U59</f>
        <v/>
      </c>
      <c r="R59" s="29">
        <f>G59-W59</f>
        <v/>
      </c>
      <c r="S59" s="30" t="n">
        <v>45328</v>
      </c>
      <c r="T59" s="26" t="n">
        <v>93863</v>
      </c>
      <c r="U59" s="26" t="inlineStr">
        <is>
          <t>K009-901605081</t>
        </is>
      </c>
      <c r="V59" s="26" t="inlineStr">
        <is>
          <t>ទ្រូ ខមភែនៀន ឡូជីស្ទីក (ខេមបូឌា)</t>
        </is>
      </c>
      <c r="W59" s="27" t="n">
        <v>93863</v>
      </c>
      <c r="X59" s="26" t="n">
        <v>0</v>
      </c>
    </row>
    <row r="60">
      <c r="A60" s="3" t="n">
        <v>59</v>
      </c>
      <c r="B60" s="4" t="inlineStr">
        <is>
          <t>TRUCKING FEE, CUSTOMS CLEARANCE</t>
        </is>
      </c>
      <c r="C60" s="4" t="inlineStr">
        <is>
          <t>ត្រាយអ៊ែងហ្គល ឡូជីស្ទីក (ខេមបូឌា) ឯ.ក</t>
        </is>
      </c>
      <c r="D60" s="5" t="inlineStr">
        <is>
          <t>K010-902101743</t>
        </is>
      </c>
      <c r="E60" s="10" t="inlineStr">
        <is>
          <t>TAG-24-00012</t>
        </is>
      </c>
      <c r="F60" s="7" t="inlineStr">
        <is>
          <t>22-01-2024</t>
        </is>
      </c>
      <c r="G60" s="8" t="n">
        <v>69292</v>
      </c>
      <c r="H60" s="9" t="n"/>
      <c r="I60" s="33">
        <f>G60</f>
        <v/>
      </c>
      <c r="J60" s="21" t="n"/>
      <c r="K60" s="21">
        <f>I60-G60</f>
        <v/>
      </c>
      <c r="L60" s="22" t="n"/>
      <c r="M60" s="22" t="inlineStr">
        <is>
          <t>TAG2400012</t>
        </is>
      </c>
      <c r="N60" s="22" t="inlineStr">
        <is>
          <t>222087500</t>
        </is>
      </c>
      <c r="O60" s="22">
        <f>M60=N60</f>
        <v/>
      </c>
      <c r="P60" s="22">
        <f>AND(MONTH(F60)=MONTH(S60), YEAR(F60)=YEAR(S60))</f>
        <v/>
      </c>
      <c r="Q60" s="22">
        <f>"L001-902303751"=U60</f>
        <v/>
      </c>
      <c r="R60" s="29">
        <f>G60-W60</f>
        <v/>
      </c>
      <c r="S60" s="30" t="n">
        <v>45337</v>
      </c>
      <c r="T60" s="26" t="n">
        <v>2220875</v>
      </c>
      <c r="U60" s="26" t="inlineStr">
        <is>
          <t>K009-901605081</t>
        </is>
      </c>
      <c r="V60" s="26" t="inlineStr">
        <is>
          <t>ទ្រូ ខមភែនៀន ឡូជីស្ទីក (ខេមបូឌា)</t>
        </is>
      </c>
      <c r="W60" s="27" t="n">
        <v>2220875</v>
      </c>
      <c r="X60" s="26" t="n">
        <v>0</v>
      </c>
    </row>
    <row r="61">
      <c r="A61" s="3" t="n">
        <v>60</v>
      </c>
      <c r="B61" s="4" t="inlineStr">
        <is>
          <t>LIFT-ON , Gate Fee 40'</t>
        </is>
      </c>
      <c r="C61" s="4" t="inlineStr">
        <is>
          <t>កំពង់ផែស្វយ័តភ្នំពេញ "ក.ស.ភ"</t>
        </is>
      </c>
      <c r="D61" s="5" t="inlineStr">
        <is>
          <t>L001-100044999</t>
        </is>
      </c>
      <c r="E61" s="10" t="inlineStr">
        <is>
          <t>INV20240104872</t>
        </is>
      </c>
      <c r="F61" s="7" t="inlineStr">
        <is>
          <t>24-01-2024</t>
        </is>
      </c>
      <c r="G61" s="8" t="n">
        <v>28546</v>
      </c>
      <c r="H61" s="9" t="n"/>
      <c r="I61" s="33">
        <f>G61</f>
        <v/>
      </c>
      <c r="J61" s="21" t="n"/>
      <c r="K61" s="21">
        <f>I61-G61</f>
        <v/>
      </c>
      <c r="L61" s="22" t="n"/>
      <c r="M61" s="22" t="inlineStr">
        <is>
          <t>INV20240104872</t>
        </is>
      </c>
      <c r="N61" s="22" t="inlineStr">
        <is>
          <t>11312700</t>
        </is>
      </c>
      <c r="O61" s="22">
        <f>M61=N61</f>
        <v/>
      </c>
      <c r="P61" s="22">
        <f>AND(MONTH(F61)=MONTH(S61), YEAR(F61)=YEAR(S61))</f>
        <v/>
      </c>
      <c r="Q61" s="22">
        <f>"L001-902303751"=U61</f>
        <v/>
      </c>
      <c r="R61" s="29">
        <f>G61-W61</f>
        <v/>
      </c>
      <c r="S61" s="30" t="n">
        <v>45327</v>
      </c>
      <c r="T61" s="26" t="n">
        <v>113127</v>
      </c>
      <c r="U61" s="26" t="inlineStr">
        <is>
          <t>L001-104015799</t>
        </is>
      </c>
      <c r="V61" s="26" t="inlineStr">
        <is>
          <t>យូសេន ឡូជីស្ទីក (ខេមបូឌា) ខូ អិលធីឌី</t>
        </is>
      </c>
      <c r="W61" s="27" t="n">
        <v>113127</v>
      </c>
      <c r="X61" s="26" t="n">
        <v>0</v>
      </c>
    </row>
    <row r="62">
      <c r="A62" s="3" t="n">
        <v>61</v>
      </c>
      <c r="B62" s="4" t="inlineStr">
        <is>
          <t>LOLO for Container 40'</t>
        </is>
      </c>
      <c r="C62" s="4" t="inlineStr">
        <is>
          <t>កំពង់ផែស្វយ័តភ្នំពេញ "ក.ស.ភ"</t>
        </is>
      </c>
      <c r="D62" s="5" t="inlineStr">
        <is>
          <t>L001-100044999</t>
        </is>
      </c>
      <c r="E62" s="10" t="inlineStr">
        <is>
          <t>INV20240104891</t>
        </is>
      </c>
      <c r="F62" s="7" t="inlineStr">
        <is>
          <t>25-01-2024</t>
        </is>
      </c>
      <c r="G62" s="8" t="n">
        <v>10198</v>
      </c>
      <c r="H62" s="9" t="n"/>
      <c r="I62" s="33">
        <f>G62</f>
        <v/>
      </c>
      <c r="J62" s="21" t="n"/>
      <c r="K62" s="21">
        <f>I62-G62</f>
        <v/>
      </c>
      <c r="L62" s="22" t="n"/>
      <c r="M62" s="22" t="inlineStr">
        <is>
          <t>INV20240104891</t>
        </is>
      </c>
      <c r="N62" s="22" t="inlineStr"/>
      <c r="O62" s="22">
        <f>M62=N62</f>
        <v/>
      </c>
      <c r="P62" s="22">
        <f>AND(MONTH(F62)=MONTH(S62), YEAR(F62)=YEAR(S62))</f>
        <v/>
      </c>
      <c r="Q62" s="22">
        <f>"L001-902303751"=U62</f>
        <v/>
      </c>
      <c r="R62" s="29">
        <f>G62-W62</f>
        <v/>
      </c>
      <c r="S62" s="30" t="n">
        <v>45327</v>
      </c>
      <c r="T62" s="26" t="inlineStr"/>
      <c r="U62" s="26" t="inlineStr">
        <is>
          <t>K003-901635943</t>
        </is>
      </c>
      <c r="V62" s="26" t="inlineStr">
        <is>
          <t>អ៊ីឃ្យូឡាញ វើលវ៉ាយដ៍ ឡូជីស្ទីក</t>
        </is>
      </c>
      <c r="W62" s="27" t="n">
        <v>0</v>
      </c>
      <c r="X62" s="26" t="n">
        <v>0</v>
      </c>
    </row>
    <row r="63">
      <c r="A63" s="3" t="n">
        <v>62</v>
      </c>
      <c r="B63" s="4" t="inlineStr">
        <is>
          <t>THC, DOC FEE, CONTAINER IMBALANCE</t>
        </is>
      </c>
      <c r="C63" s="4" t="inlineStr">
        <is>
          <t>សាខាក្រុមហ៊ុន ជីម៉ាឌីប ស៊ីបភីង ខមភេនី លីមីធីត</t>
        </is>
      </c>
      <c r="D63" s="5" t="inlineStr">
        <is>
          <t>L001-901704777</t>
        </is>
      </c>
      <c r="E63" s="10" t="inlineStr">
        <is>
          <t>24-00225</t>
        </is>
      </c>
      <c r="F63" s="7" t="inlineStr">
        <is>
          <t>22-01-2024</t>
        </is>
      </c>
      <c r="G63" s="8" t="n">
        <v>136546</v>
      </c>
      <c r="H63" s="9" t="n"/>
      <c r="I63" s="33">
        <f>G63</f>
        <v/>
      </c>
      <c r="J63" s="21" t="n"/>
      <c r="K63" s="21">
        <f>I63-G63</f>
        <v/>
      </c>
      <c r="L63" s="22" t="n"/>
      <c r="M63" s="22" t="inlineStr">
        <is>
          <t>2400225</t>
        </is>
      </c>
      <c r="N63" s="22" t="inlineStr">
        <is>
          <t>2040500</t>
        </is>
      </c>
      <c r="O63" s="22">
        <f>M63=N63</f>
        <v/>
      </c>
      <c r="P63" s="22">
        <f>AND(MONTH(F63)=MONTH(S63), YEAR(F63)=YEAR(S63))</f>
        <v/>
      </c>
      <c r="Q63" s="22">
        <f>"L001-902303751"=U63</f>
        <v/>
      </c>
      <c r="R63" s="29">
        <f>G63-W63</f>
        <v/>
      </c>
      <c r="S63" s="30" t="n">
        <v>45329</v>
      </c>
      <c r="T63" s="26" t="n">
        <v>20405</v>
      </c>
      <c r="U63" s="26" t="inlineStr">
        <is>
          <t>K003-901635943</t>
        </is>
      </c>
      <c r="V63" s="26" t="inlineStr">
        <is>
          <t>អ៊ីឃ្យូឡាញ វើលវ៉ាយដ៍ ឡូជីស្ទីក</t>
        </is>
      </c>
      <c r="W63" s="27" t="n">
        <v>20405</v>
      </c>
      <c r="X63" s="26" t="n">
        <v>0</v>
      </c>
    </row>
    <row r="64">
      <c r="A64" s="3" t="n">
        <v>63</v>
      </c>
      <c r="B64" s="4" t="inlineStr">
        <is>
          <t>TRUCKING FEE, CUSTOMS CLEARANCE</t>
        </is>
      </c>
      <c r="C64" s="4" t="inlineStr">
        <is>
          <t>ត្រាយអ៊ែងហ្គល ឡូជីស្ទីក (ខេមបូឌា) ឯ.ក</t>
        </is>
      </c>
      <c r="D64" s="5" t="inlineStr">
        <is>
          <t>K010-902101743</t>
        </is>
      </c>
      <c r="E64" s="10" t="inlineStr">
        <is>
          <t>TAG-24-00017</t>
        </is>
      </c>
      <c r="F64" s="7" t="inlineStr">
        <is>
          <t>29-01-2024</t>
        </is>
      </c>
      <c r="G64" s="8" t="n">
        <v>69377</v>
      </c>
      <c r="H64" s="9" t="n"/>
      <c r="I64" s="33">
        <f>G64</f>
        <v/>
      </c>
      <c r="J64" s="21" t="n"/>
      <c r="K64" s="21">
        <f>I64-G64</f>
        <v/>
      </c>
      <c r="L64" s="22" t="n"/>
      <c r="M64" s="22" t="inlineStr">
        <is>
          <t>TAG2400017</t>
        </is>
      </c>
      <c r="N64" s="22" t="inlineStr">
        <is>
          <t>17698500</t>
        </is>
      </c>
      <c r="O64" s="22">
        <f>M64=N64</f>
        <v/>
      </c>
      <c r="P64" s="22">
        <f>AND(MONTH(F64)=MONTH(S64), YEAR(F64)=YEAR(S64))</f>
        <v/>
      </c>
      <c r="Q64" s="22">
        <f>"L001-902303751"=U64</f>
        <v/>
      </c>
      <c r="R64" s="29">
        <f>G64-W64</f>
        <v/>
      </c>
      <c r="S64" s="30" t="n">
        <v>45341</v>
      </c>
      <c r="T64" s="26" t="n">
        <v>176985</v>
      </c>
      <c r="U64" s="26" t="inlineStr">
        <is>
          <t>K003-901635943</t>
        </is>
      </c>
      <c r="V64" s="26" t="inlineStr">
        <is>
          <t>អ៊ីឃ្យូឡាញ វើលវ៉ាយដ៍ ឡូជីស្ទីក</t>
        </is>
      </c>
      <c r="W64" s="27" t="n">
        <v>176985</v>
      </c>
      <c r="X64" s="26" t="n">
        <v>0</v>
      </c>
    </row>
    <row r="65">
      <c r="A65" s="3" t="n">
        <v>64</v>
      </c>
      <c r="B65" s="4" t="inlineStr">
        <is>
          <t>Gate Fee Charge</t>
        </is>
      </c>
      <c r="C65" s="4" t="inlineStr">
        <is>
          <t>កំពង់ផែស្វយ័តភ្នំពេញ "ក.ស.ភ"</t>
        </is>
      </c>
      <c r="D65" s="5" t="inlineStr">
        <is>
          <t>L001-100044999</t>
        </is>
      </c>
      <c r="E65" s="10" t="inlineStr">
        <is>
          <t>INV20240104902</t>
        </is>
      </c>
      <c r="F65" s="7" t="inlineStr">
        <is>
          <t>25-01-2024</t>
        </is>
      </c>
      <c r="G65" s="8" t="n">
        <v>816</v>
      </c>
      <c r="H65" s="9" t="n"/>
      <c r="I65" s="33">
        <f>G65</f>
        <v/>
      </c>
      <c r="J65" s="21" t="n"/>
      <c r="K65" s="21">
        <f>I65-G65</f>
        <v/>
      </c>
      <c r="L65" s="22" t="n"/>
      <c r="M65" s="22" t="inlineStr">
        <is>
          <t>INV20240104902</t>
        </is>
      </c>
      <c r="N65" s="22" t="inlineStr">
        <is>
          <t>18588600</t>
        </is>
      </c>
      <c r="O65" s="22">
        <f>M65=N65</f>
        <v/>
      </c>
      <c r="P65" s="22">
        <f>AND(MONTH(F65)=MONTH(S65), YEAR(F65)=YEAR(S65))</f>
        <v/>
      </c>
      <c r="Q65" s="22">
        <f>"L001-902303751"=U65</f>
        <v/>
      </c>
      <c r="R65" s="29">
        <f>G65-W65</f>
        <v/>
      </c>
      <c r="S65" s="30" t="n">
        <v>45364</v>
      </c>
      <c r="T65" s="26" t="n">
        <v>185886</v>
      </c>
      <c r="U65" s="26" t="inlineStr">
        <is>
          <t>K009-901605081</t>
        </is>
      </c>
      <c r="V65" s="26" t="inlineStr">
        <is>
          <t>ទ្រូ ខមភែនៀន ឡូជីស្ទីក (ខេមបូឌា)</t>
        </is>
      </c>
      <c r="W65" s="27" t="n">
        <v>185886</v>
      </c>
      <c r="X65" s="26" t="n">
        <v>0</v>
      </c>
    </row>
    <row r="66">
      <c r="A66" s="3" t="n">
        <v>65</v>
      </c>
      <c r="B66" s="4" t="inlineStr">
        <is>
          <t>TRUCKING FEE, CUSTOMS CLEARANCE</t>
        </is>
      </c>
      <c r="C66" s="4" t="inlineStr">
        <is>
          <t>ត្រាយអ៊ែងហ្គល ឡូជីស្ទីក (ខេមបូឌា) ឯ.ក</t>
        </is>
      </c>
      <c r="D66" s="5" t="inlineStr">
        <is>
          <t>K010-902101743</t>
        </is>
      </c>
      <c r="E66" s="10" t="inlineStr">
        <is>
          <t>TAG-24-00016</t>
        </is>
      </c>
      <c r="F66" s="7" t="inlineStr">
        <is>
          <t>29-01-2024</t>
        </is>
      </c>
      <c r="G66" s="8" t="n">
        <v>64317</v>
      </c>
      <c r="H66" s="9" t="n"/>
      <c r="I66" s="33">
        <f>G66</f>
        <v/>
      </c>
      <c r="J66" s="21" t="n"/>
      <c r="K66" s="21">
        <f>I66-G66</f>
        <v/>
      </c>
      <c r="L66" s="22" t="n"/>
      <c r="M66" s="22" t="inlineStr">
        <is>
          <t>TAG2400016</t>
        </is>
      </c>
      <c r="N66" s="22" t="inlineStr">
        <is>
          <t>33959500</t>
        </is>
      </c>
      <c r="O66" s="22">
        <f>M66=N66</f>
        <v/>
      </c>
      <c r="P66" s="22">
        <f>AND(MONTH(F66)=MONTH(S66), YEAR(F66)=YEAR(S66))</f>
        <v/>
      </c>
      <c r="Q66" s="22">
        <f>"L001-902303751"=U66</f>
        <v/>
      </c>
      <c r="R66" s="29">
        <f>G66-W66</f>
        <v/>
      </c>
      <c r="S66" s="30" t="n">
        <v>45355</v>
      </c>
      <c r="T66" s="26" t="n">
        <v>339595</v>
      </c>
      <c r="U66" s="26" t="inlineStr">
        <is>
          <t>K002-901900264</t>
        </is>
      </c>
      <c r="V66" s="26" t="inlineStr">
        <is>
          <t>ហេកធ័រ ត្រេនស្ព័រថេសិន (ខេមបូឌា) ឯ.ក</t>
        </is>
      </c>
      <c r="W66" s="27" t="n">
        <v>339595</v>
      </c>
      <c r="X66" s="26" t="n">
        <v>0</v>
      </c>
    </row>
    <row r="67">
      <c r="A67" s="3" t="n">
        <v>66</v>
      </c>
      <c r="B67" s="4" t="inlineStr">
        <is>
          <t>TRUCKING FEE, CUSTOMS CLEARANCE</t>
        </is>
      </c>
      <c r="C67" s="4" t="inlineStr">
        <is>
          <t>ត្រាយអ៊ែងហ្គល ឡូជីស្ទីក (ខេមបូឌា) ឯ.ក</t>
        </is>
      </c>
      <c r="D67" s="5" t="inlineStr">
        <is>
          <t>K010-902101743</t>
        </is>
      </c>
      <c r="E67" s="6" t="inlineStr">
        <is>
          <t>TAG-24-00018</t>
        </is>
      </c>
      <c r="F67" s="7" t="inlineStr">
        <is>
          <t>29-01-2024</t>
        </is>
      </c>
      <c r="G67" s="8" t="n">
        <v>28567</v>
      </c>
      <c r="H67" s="9" t="n"/>
      <c r="I67" s="33">
        <f>G67</f>
        <v/>
      </c>
      <c r="J67" s="21" t="n"/>
      <c r="K67" s="21">
        <f>I67-G67</f>
        <v/>
      </c>
      <c r="L67" s="22" t="n"/>
      <c r="M67" s="22" t="inlineStr">
        <is>
          <t>TAG2400018</t>
        </is>
      </c>
      <c r="N67" s="22" t="inlineStr"/>
      <c r="O67" s="22">
        <f>M67=N67</f>
        <v/>
      </c>
      <c r="P67" s="22">
        <f>AND(MONTH(F67)=MONTH(S67), YEAR(F67)=YEAR(S67))</f>
        <v/>
      </c>
      <c r="Q67" s="22">
        <f>"L001-902303751"=U67</f>
        <v/>
      </c>
      <c r="R67" s="29">
        <f>G67-W67</f>
        <v/>
      </c>
      <c r="S67" s="30" t="n">
        <v>45355</v>
      </c>
      <c r="T67" s="26" t="inlineStr"/>
      <c r="U67" s="26" t="inlineStr">
        <is>
          <t>K003-901635943</t>
        </is>
      </c>
      <c r="V67" s="26" t="inlineStr">
        <is>
          <t>អ៊ីឃ្យូឡាញ វើលវ៉ាយដ៍ ឡូជីស្ទីក</t>
        </is>
      </c>
      <c r="W67" s="27" t="n">
        <v>0</v>
      </c>
      <c r="X67" s="26" t="n">
        <v>0</v>
      </c>
    </row>
    <row r="68">
      <c r="A68" s="3" t="n">
        <v>67</v>
      </c>
      <c r="B68" s="4" t="inlineStr">
        <is>
          <t>Import Shippment Expense</t>
        </is>
      </c>
      <c r="C68" s="4" t="inlineStr">
        <is>
          <t>អេស អ វី ស៊ី ហ្វ្រេត សឺវីស (ខេមបូឌា) ខូ អិលធីឌី</t>
        </is>
      </c>
      <c r="D68" s="5" t="inlineStr">
        <is>
          <t>K005-100150195</t>
        </is>
      </c>
      <c r="E68" s="6" t="inlineStr">
        <is>
          <t>SRVI2400532</t>
        </is>
      </c>
      <c r="F68" s="7" t="inlineStr">
        <is>
          <t>31-01-2024</t>
        </is>
      </c>
      <c r="G68" s="8" t="n">
        <v>86912</v>
      </c>
      <c r="H68" s="9" t="n"/>
      <c r="I68" s="33">
        <f>G68</f>
        <v/>
      </c>
      <c r="J68" s="21" t="n"/>
      <c r="K68" s="21">
        <f>I68-G68</f>
        <v/>
      </c>
      <c r="L68" s="22" t="n"/>
      <c r="M68" s="22" t="inlineStr">
        <is>
          <t>SRVI2400532</t>
        </is>
      </c>
      <c r="N68" s="22" t="inlineStr"/>
      <c r="O68" s="22">
        <f>M68=N68</f>
        <v/>
      </c>
      <c r="P68" s="22">
        <f>AND(MONTH(F68)=MONTH(S68), YEAR(F68)=YEAR(S68))</f>
        <v/>
      </c>
      <c r="Q68" s="22">
        <f>"L001-902303751"=U68</f>
        <v/>
      </c>
      <c r="R68" s="29">
        <f>G68-W68</f>
        <v/>
      </c>
      <c r="S68" s="30" t="n">
        <v>45376</v>
      </c>
      <c r="T68" s="26" t="inlineStr"/>
      <c r="U68" s="26" t="inlineStr">
        <is>
          <t>L001-104015799</t>
        </is>
      </c>
      <c r="V68" s="26" t="inlineStr">
        <is>
          <t>យូសេន ឡូជីស្ទីក (ខេមបូឌា) ខូ អិលធីឌី</t>
        </is>
      </c>
      <c r="W68" s="27" t="n">
        <v>0</v>
      </c>
      <c r="X68" s="26" t="n">
        <v>0</v>
      </c>
    </row>
    <row r="69">
      <c r="A69" s="3" t="n">
        <v>68</v>
      </c>
      <c r="B69" s="4" t="inlineStr">
        <is>
          <t>Import Shippment Expense</t>
        </is>
      </c>
      <c r="C69" s="4" t="inlineStr">
        <is>
          <t>ខេអិលអិន ហ្វ្រេត (ខេមបូឌា) ឯ.ក</t>
        </is>
      </c>
      <c r="D69" s="5" t="inlineStr">
        <is>
          <t>L001-100074669</t>
        </is>
      </c>
      <c r="E69" s="6" t="inlineStr">
        <is>
          <t>IVO01239</t>
        </is>
      </c>
      <c r="F69" s="7" t="inlineStr">
        <is>
          <t>25-01-2024</t>
        </is>
      </c>
      <c r="G69" s="8" t="n">
        <v>107734</v>
      </c>
      <c r="H69" s="9" t="n"/>
      <c r="I69" s="33">
        <f>G69</f>
        <v/>
      </c>
      <c r="J69" s="21" t="n"/>
      <c r="K69" s="21">
        <f>I69-G69</f>
        <v/>
      </c>
      <c r="L69" s="22" t="n"/>
      <c r="M69" s="22" t="inlineStr">
        <is>
          <t>IVO01239</t>
        </is>
      </c>
      <c r="N69" s="22" t="inlineStr"/>
      <c r="O69" s="22">
        <f>M69=N69</f>
        <v/>
      </c>
      <c r="P69" s="22">
        <f>AND(MONTH(F69)=MONTH(S69), YEAR(F69)=YEAR(S69))</f>
        <v/>
      </c>
      <c r="Q69" s="22">
        <f>"L001-902303751"=U69</f>
        <v/>
      </c>
      <c r="R69" s="29">
        <f>G69-W69</f>
        <v/>
      </c>
      <c r="S69" s="30" t="n">
        <v>45362</v>
      </c>
      <c r="T69" s="26" t="inlineStr"/>
      <c r="U69" s="26" t="inlineStr">
        <is>
          <t>K003-901635943</t>
        </is>
      </c>
      <c r="V69" s="26" t="inlineStr">
        <is>
          <t>អ៊ីឃ្យូឡាញ វើលវ៉ាយដ៍ ឡូជីស្ទីក</t>
        </is>
      </c>
      <c r="W69" s="27" t="n">
        <v>0</v>
      </c>
      <c r="X69" s="26" t="n">
        <v>0</v>
      </c>
    </row>
    <row r="70">
      <c r="A70" s="3" t="n">
        <v>69</v>
      </c>
      <c r="B70" s="4" t="inlineStr">
        <is>
          <t>TRUCKING FEE, CUSTOMS CLEARANCE</t>
        </is>
      </c>
      <c r="C70" s="4" t="inlineStr">
        <is>
          <t>ត្រាយអ៊ែងហ្គល ឡូជីស្ទីក (ខេមបូឌា) ឯ.ក</t>
        </is>
      </c>
      <c r="D70" s="5" t="inlineStr">
        <is>
          <t>K010-902101743</t>
        </is>
      </c>
      <c r="E70" s="6" t="inlineStr">
        <is>
          <t>TAG-24-00030</t>
        </is>
      </c>
      <c r="F70" s="7" t="inlineStr">
        <is>
          <t>31-01-2024</t>
        </is>
      </c>
      <c r="G70" s="8" t="n">
        <v>20560</v>
      </c>
      <c r="H70" s="9" t="n"/>
      <c r="I70" s="33">
        <f>G70</f>
        <v/>
      </c>
      <c r="J70" s="21" t="n"/>
      <c r="K70" s="21">
        <f>I70-G70</f>
        <v/>
      </c>
      <c r="L70" s="22" t="n"/>
      <c r="M70" s="22" t="inlineStr">
        <is>
          <t>TAG2400030</t>
        </is>
      </c>
      <c r="N70" s="22" t="inlineStr"/>
      <c r="O70" s="22">
        <f>M70=N70</f>
        <v/>
      </c>
      <c r="P70" s="22">
        <f>AND(MONTH(F70)=MONTH(S70), YEAR(F70)=YEAR(S70))</f>
        <v/>
      </c>
      <c r="Q70" s="22">
        <f>"L001-902303751"=U70</f>
        <v/>
      </c>
      <c r="R70" s="29">
        <f>G70-W70</f>
        <v/>
      </c>
      <c r="S70" s="30" t="n">
        <v>45382</v>
      </c>
      <c r="T70" s="26" t="inlineStr"/>
      <c r="U70" s="26" t="inlineStr">
        <is>
          <t>K003-901635943</t>
        </is>
      </c>
      <c r="V70" s="26" t="inlineStr">
        <is>
          <t>អ៊ីឃ្យូឡាញ វើលវ៉ាយដ៍ ឡូជីស្ទីក</t>
        </is>
      </c>
      <c r="W70" s="27" t="n">
        <v>0</v>
      </c>
      <c r="X70" s="26" t="n">
        <v>0</v>
      </c>
    </row>
    <row r="71">
      <c r="A71" s="3" t="n">
        <v>70</v>
      </c>
      <c r="B71" s="4" t="inlineStr">
        <is>
          <t>Cargo Terminal</t>
        </is>
      </c>
      <c r="C71" s="4" t="inlineStr">
        <is>
          <t>សូស៊ីយេតេ កុងសេស្យូនែរ ដឺ ឡាអេរ៉ូព័រ</t>
        </is>
      </c>
      <c r="D71" s="5" t="inlineStr">
        <is>
          <t>L001-100047300</t>
        </is>
      </c>
      <c r="E71" s="10" t="inlineStr">
        <is>
          <t>2400-007249</t>
        </is>
      </c>
      <c r="F71" s="7" t="inlineStr">
        <is>
          <t>30-01-2024</t>
        </is>
      </c>
      <c r="G71" s="8" t="n">
        <v>1992</v>
      </c>
      <c r="H71" s="9" t="n"/>
      <c r="I71" s="33">
        <f>G71</f>
        <v/>
      </c>
      <c r="J71" s="21" t="n"/>
      <c r="K71" s="21">
        <f>I71-G71</f>
        <v/>
      </c>
      <c r="L71" s="22" t="n"/>
      <c r="M71" s="22" t="inlineStr">
        <is>
          <t>2400007249</t>
        </is>
      </c>
      <c r="N71" s="22" t="inlineStr">
        <is>
          <t>11265600</t>
        </is>
      </c>
      <c r="O71" s="22">
        <f>M71=N71</f>
        <v/>
      </c>
      <c r="P71" s="22">
        <f>AND(MONTH(F71)=MONTH(S71), YEAR(F71)=YEAR(S71))</f>
        <v/>
      </c>
      <c r="Q71" s="22">
        <f>"L001-902303751"=U71</f>
        <v/>
      </c>
      <c r="R71" s="29">
        <f>G71-W71</f>
        <v/>
      </c>
      <c r="S71" s="30" t="n">
        <v>45355</v>
      </c>
      <c r="T71" s="26" t="n">
        <v>112656</v>
      </c>
      <c r="U71" s="26" t="inlineStr">
        <is>
          <t>K003-901635943</t>
        </is>
      </c>
      <c r="V71" s="26" t="inlineStr">
        <is>
          <t>អ៊ីឃ្យូឡាញ វើលវ៉ាយដ៍ ឡូជីស្ទីក</t>
        </is>
      </c>
      <c r="W71" s="27" t="n">
        <v>112656</v>
      </c>
      <c r="X71" s="26" t="n">
        <v>0</v>
      </c>
    </row>
    <row r="72">
      <c r="A72" s="3" t="n">
        <v>71</v>
      </c>
      <c r="B72" s="4" t="inlineStr">
        <is>
          <t>TRUCKING FEE, CUSTOMS CLEARANCE</t>
        </is>
      </c>
      <c r="C72" s="4" t="inlineStr">
        <is>
          <t>ត្រាយអ៊ែងហ្គល ឡូជីស្ទីក (ខេមបូឌា) ឯ.ក</t>
        </is>
      </c>
      <c r="D72" s="5" t="inlineStr">
        <is>
          <t>K010-902101743</t>
        </is>
      </c>
      <c r="E72" s="10" t="inlineStr">
        <is>
          <t>TAG-24-00025</t>
        </is>
      </c>
      <c r="F72" s="7" t="inlineStr">
        <is>
          <t>29-01-2024</t>
        </is>
      </c>
      <c r="G72" s="8" t="n">
        <v>32648</v>
      </c>
      <c r="H72" s="9" t="n"/>
      <c r="I72" s="33">
        <f>G72</f>
        <v/>
      </c>
      <c r="J72" s="21" t="n"/>
      <c r="K72" s="21">
        <f>I72-G72</f>
        <v/>
      </c>
      <c r="L72" s="22" t="n"/>
      <c r="M72" s="22" t="inlineStr">
        <is>
          <t>TAG2400025</t>
        </is>
      </c>
      <c r="N72" s="22" t="inlineStr">
        <is>
          <t>21053600</t>
        </is>
      </c>
      <c r="O72" s="22">
        <f>M72=N72</f>
        <v/>
      </c>
      <c r="P72" s="22">
        <f>AND(MONTH(F72)=MONTH(S72), YEAR(F72)=YEAR(S72))</f>
        <v/>
      </c>
      <c r="Q72" s="22">
        <f>"L001-902303751"=U72</f>
        <v/>
      </c>
      <c r="R72" s="29">
        <f>G72-W72</f>
        <v/>
      </c>
      <c r="S72" s="30" t="n">
        <v>45381</v>
      </c>
      <c r="T72" s="26" t="n">
        <v>210536</v>
      </c>
      <c r="U72" s="26" t="inlineStr">
        <is>
          <t>K002-901900264</t>
        </is>
      </c>
      <c r="V72" s="26" t="inlineStr">
        <is>
          <t>ហេកធ័រ ត្រេនស្ព័រថេសិន (ខេមបូឌា) ឯ.ក</t>
        </is>
      </c>
      <c r="W72" s="27" t="n">
        <v>210536</v>
      </c>
      <c r="X72" s="26" t="n">
        <v>0</v>
      </c>
    </row>
    <row r="73">
      <c r="A73" s="3" t="n">
        <v>72</v>
      </c>
      <c r="B73" s="4" t="inlineStr">
        <is>
          <t>TRUCKING FEE, CUSTOMS CLEARANCE</t>
        </is>
      </c>
      <c r="C73" s="4" t="inlineStr">
        <is>
          <t>ត្រាយអ៊ែងហ្គល ឡូជីស្ទីក (ខេមបូឌា) ឯ.ក</t>
        </is>
      </c>
      <c r="D73" s="5" t="inlineStr">
        <is>
          <t>K010-902101743</t>
        </is>
      </c>
      <c r="E73" s="10" t="inlineStr">
        <is>
          <t>TAG-24-00029</t>
        </is>
      </c>
      <c r="F73" s="7" t="inlineStr">
        <is>
          <t>31-01-2024</t>
        </is>
      </c>
      <c r="G73" s="8" t="n">
        <v>28784</v>
      </c>
      <c r="H73" s="9" t="n"/>
      <c r="I73" s="33">
        <f>G73</f>
        <v/>
      </c>
      <c r="J73" s="21" t="n"/>
      <c r="K73" s="21">
        <f>I73-G73</f>
        <v/>
      </c>
      <c r="L73" s="22" t="n"/>
      <c r="M73" s="22" t="inlineStr">
        <is>
          <t>TAG2400029</t>
        </is>
      </c>
      <c r="N73" s="22" t="inlineStr">
        <is>
          <t>8379400</t>
        </is>
      </c>
      <c r="O73" s="22">
        <f>M73=N73</f>
        <v/>
      </c>
      <c r="P73" s="22">
        <f>AND(MONTH(F73)=MONTH(S73), YEAR(F73)=YEAR(S73))</f>
        <v/>
      </c>
      <c r="Q73" s="22">
        <f>"L001-902303751"=U73</f>
        <v/>
      </c>
      <c r="R73" s="29">
        <f>G73-W73</f>
        <v/>
      </c>
      <c r="S73" s="30" t="n">
        <v>45367</v>
      </c>
      <c r="T73" s="26" t="n">
        <v>83794</v>
      </c>
      <c r="U73" s="26" t="inlineStr">
        <is>
          <t>L001-104015799</t>
        </is>
      </c>
      <c r="V73" s="26" t="inlineStr">
        <is>
          <t>យូសេន ឡូជីស្ទីក (ខេមបូឌា) ខូ អិលធីឌី</t>
        </is>
      </c>
      <c r="W73" s="27" t="n">
        <v>83794</v>
      </c>
      <c r="X73" s="26" t="n">
        <v>0</v>
      </c>
    </row>
    <row r="74">
      <c r="A74" s="3" t="n">
        <v>73</v>
      </c>
      <c r="B74" s="4" t="inlineStr">
        <is>
          <t>Cargo Terminal</t>
        </is>
      </c>
      <c r="C74" s="4" t="inlineStr">
        <is>
          <t>សូស៊ីយេតេ កុងសេស្យូនែរ ដឺ ឡាអេរ៉ូព័រ</t>
        </is>
      </c>
      <c r="D74" s="5" t="inlineStr">
        <is>
          <t>L001-100047300</t>
        </is>
      </c>
      <c r="E74" s="10" t="inlineStr">
        <is>
          <t>2400-007290</t>
        </is>
      </c>
      <c r="F74" s="7" t="inlineStr">
        <is>
          <t>30-01-2024</t>
        </is>
      </c>
      <c r="G74" s="8" t="n">
        <v>3265</v>
      </c>
      <c r="H74" s="9" t="n"/>
      <c r="I74" s="33">
        <f>G74</f>
        <v/>
      </c>
      <c r="J74" s="21" t="n"/>
      <c r="K74" s="21">
        <f>I74-G74</f>
        <v/>
      </c>
      <c r="L74" s="22" t="n"/>
      <c r="M74" s="22" t="inlineStr">
        <is>
          <t>2400007290</t>
        </is>
      </c>
      <c r="N74" s="22" t="inlineStr">
        <is>
          <t>220616000</t>
        </is>
      </c>
      <c r="O74" s="22">
        <f>M74=N74</f>
        <v/>
      </c>
      <c r="P74" s="22">
        <f>AND(MONTH(F74)=MONTH(S74), YEAR(F74)=YEAR(S74))</f>
        <v/>
      </c>
      <c r="Q74" s="22">
        <f>"L001-902303751"=U74</f>
        <v/>
      </c>
      <c r="R74" s="29">
        <f>G74-W74</f>
        <v/>
      </c>
      <c r="S74" s="30" t="n">
        <v>45371</v>
      </c>
      <c r="T74" s="26" t="n">
        <v>2206160</v>
      </c>
      <c r="U74" s="26" t="inlineStr">
        <is>
          <t>K009-901605081</t>
        </is>
      </c>
      <c r="V74" s="26" t="inlineStr">
        <is>
          <t>ទ្រូ ខមភែនៀន ឡូជីស្ទីក (ខេមបូឌា)</t>
        </is>
      </c>
      <c r="W74" s="27" t="n">
        <v>2206160</v>
      </c>
      <c r="X74" s="26" t="n">
        <v>0</v>
      </c>
    </row>
    <row r="75">
      <c r="A75" s="3" t="n">
        <v>74</v>
      </c>
      <c r="B75" s="4" t="inlineStr">
        <is>
          <t>TRUCKING FEE, CUSTOMS CLEARANCE</t>
        </is>
      </c>
      <c r="C75" s="4" t="inlineStr">
        <is>
          <t>ត្រាយអ៊ែងហ្គល ឡូជីស្ទីក (ខេមបូឌា) ឯ.ក</t>
        </is>
      </c>
      <c r="D75" s="5" t="inlineStr">
        <is>
          <t>K010-902101743</t>
        </is>
      </c>
      <c r="E75" s="10" t="inlineStr">
        <is>
          <t>TAG-24-00026</t>
        </is>
      </c>
      <c r="F75" s="7" t="inlineStr">
        <is>
          <t>29-01-2024</t>
        </is>
      </c>
      <c r="G75" s="8" t="n">
        <v>32648</v>
      </c>
      <c r="H75" s="9" t="n"/>
      <c r="I75" s="33">
        <f>G75</f>
        <v/>
      </c>
      <c r="J75" s="21" t="n"/>
      <c r="K75" s="21">
        <f>I75-G75</f>
        <v/>
      </c>
      <c r="L75" s="22" t="n"/>
      <c r="M75" s="22" t="inlineStr">
        <is>
          <t>TAG2400026</t>
        </is>
      </c>
      <c r="N75" s="22" t="inlineStr"/>
      <c r="O75" s="22">
        <f>M75=N75</f>
        <v/>
      </c>
      <c r="P75" s="22">
        <f>AND(MONTH(F75)=MONTH(S75), YEAR(F75)=YEAR(S75))</f>
        <v/>
      </c>
      <c r="Q75" s="22">
        <f>"L001-902303751"=U75</f>
        <v/>
      </c>
      <c r="R75" s="29">
        <f>G75-W75</f>
        <v/>
      </c>
      <c r="S75" s="30" t="n">
        <v>45370</v>
      </c>
      <c r="T75" s="26" t="inlineStr"/>
      <c r="U75" s="26" t="inlineStr">
        <is>
          <t>K003-901635943</t>
        </is>
      </c>
      <c r="V75" s="26" t="inlineStr">
        <is>
          <t>អ៊ីឃ្យូឡាញ វើលវ៉ាយដ៍ ឡូជីស្ទីក</t>
        </is>
      </c>
      <c r="W75" s="27" t="n">
        <v>0</v>
      </c>
      <c r="X75" s="26" t="n">
        <v>0</v>
      </c>
    </row>
    <row r="76">
      <c r="A76" s="3" t="n">
        <v>75</v>
      </c>
      <c r="B76" s="4" t="inlineStr">
        <is>
          <t>Import Shippment Expense</t>
        </is>
      </c>
      <c r="C76" s="4" t="inlineStr">
        <is>
          <t>ភី.ដាប់បែលយូ. ស្កេនវែល ឡូជីស្ទីក (ខេមបូឌា)</t>
        </is>
      </c>
      <c r="D76" s="5" t="inlineStr">
        <is>
          <t>K002-107011379</t>
        </is>
      </c>
      <c r="E76" s="10" t="inlineStr">
        <is>
          <t>240100021</t>
        </is>
      </c>
      <c r="F76" s="7" t="inlineStr">
        <is>
          <t>22-01-2024</t>
        </is>
      </c>
      <c r="G76" s="8" t="n">
        <v>458579</v>
      </c>
      <c r="H76" s="9" t="n"/>
      <c r="I76" s="33">
        <f>G76</f>
        <v/>
      </c>
      <c r="J76" s="21" t="n"/>
      <c r="K76" s="21">
        <f>I76-G76</f>
        <v/>
      </c>
      <c r="L76" s="22" t="n"/>
      <c r="M76" s="22" t="inlineStr">
        <is>
          <t>240100021</t>
        </is>
      </c>
      <c r="N76" s="22" t="inlineStr">
        <is>
          <t>18653000</t>
        </is>
      </c>
      <c r="O76" s="22">
        <f>M76=N76</f>
        <v/>
      </c>
      <c r="P76" s="22">
        <f>AND(MONTH(F76)=MONTH(S76), YEAR(F76)=YEAR(S76))</f>
        <v/>
      </c>
      <c r="Q76" s="22">
        <f>"L001-902303751"=U76</f>
        <v/>
      </c>
      <c r="R76" s="29">
        <f>G76-W76</f>
        <v/>
      </c>
      <c r="S76" s="30" t="n">
        <v>45362</v>
      </c>
      <c r="T76" s="26" t="n">
        <v>186530</v>
      </c>
      <c r="U76" s="26" t="inlineStr">
        <is>
          <t>K009-901605081</t>
        </is>
      </c>
      <c r="V76" s="26" t="inlineStr">
        <is>
          <t>ទ្រូ ខមភែនៀន ឡូជីស្ទីក (ខេមបូឌា)</t>
        </is>
      </c>
      <c r="W76" s="27" t="n">
        <v>186530</v>
      </c>
      <c r="X76" s="26" t="n">
        <v>0</v>
      </c>
    </row>
    <row r="77">
      <c r="A77" s="3" t="n">
        <v>76</v>
      </c>
      <c r="B77" s="4" t="inlineStr">
        <is>
          <t>Import Shippment Expense</t>
        </is>
      </c>
      <c r="C77" s="4" t="inlineStr">
        <is>
          <t>ភី.ដាប់បែលយូ. ស្កេនវែល ឡូជីស្ទីក (ខេមបូឌា)</t>
        </is>
      </c>
      <c r="D77" s="5" t="inlineStr">
        <is>
          <t>K002-107011379</t>
        </is>
      </c>
      <c r="E77" s="10" t="inlineStr">
        <is>
          <t>240100018</t>
        </is>
      </c>
      <c r="F77" s="7" t="inlineStr">
        <is>
          <t>22-01-2024</t>
        </is>
      </c>
      <c r="G77" s="8" t="n">
        <v>351376</v>
      </c>
      <c r="H77" s="9" t="n"/>
      <c r="I77" s="33">
        <f>G77</f>
        <v/>
      </c>
      <c r="J77" s="21" t="n"/>
      <c r="K77" s="21">
        <f>I77-G77</f>
        <v/>
      </c>
      <c r="L77" s="22" t="n"/>
      <c r="M77" s="22" t="inlineStr">
        <is>
          <t>240100018</t>
        </is>
      </c>
      <c r="N77" s="22" t="inlineStr">
        <is>
          <t>221161000</t>
        </is>
      </c>
      <c r="O77" s="22">
        <f>M77=N77</f>
        <v/>
      </c>
      <c r="P77" s="22">
        <f>AND(MONTH(F77)=MONTH(S77), YEAR(F77)=YEAR(S77))</f>
        <v/>
      </c>
      <c r="Q77" s="22">
        <f>"L001-902303751"=U77</f>
        <v/>
      </c>
      <c r="R77" s="29">
        <f>G77-W77</f>
        <v/>
      </c>
      <c r="S77" s="30" t="n">
        <v>45358</v>
      </c>
      <c r="T77" s="26" t="n">
        <v>2211610</v>
      </c>
      <c r="U77" s="26" t="inlineStr">
        <is>
          <t>K009-901605081</t>
        </is>
      </c>
      <c r="V77" s="26" t="inlineStr">
        <is>
          <t>ទ្រូ ខមភែនៀន ឡូជីស្ទីក (ខេមបូឌា)</t>
        </is>
      </c>
      <c r="W77" s="27" t="n">
        <v>2211610</v>
      </c>
      <c r="X77" s="26" t="n">
        <v>0</v>
      </c>
    </row>
    <row r="78">
      <c r="A78" s="3" t="n">
        <v>77</v>
      </c>
      <c r="B78" s="4" t="inlineStr">
        <is>
          <t>Terminal Handling Charge, CFS FEE, Scanner Fee, CIC Fee, Agency Fee, D/O Fee, Documentation Fee, Handling Fee, Ex-work charge and Ocean Freight Charge</t>
        </is>
      </c>
      <c r="C78" s="4" t="inlineStr">
        <is>
          <t>ភី.ដាប់បែលយូ. ស្កេនវែល ឡូជីស្ទីក (ខេមបូឌា)</t>
        </is>
      </c>
      <c r="D78" s="5" t="inlineStr">
        <is>
          <t>K002-107011379</t>
        </is>
      </c>
      <c r="E78" s="10" t="inlineStr">
        <is>
          <t>240200045</t>
        </is>
      </c>
      <c r="F78" s="7" t="inlineStr">
        <is>
          <t>26-02-2024</t>
        </is>
      </c>
      <c r="G78" s="8" t="n">
        <v>228608</v>
      </c>
      <c r="H78" s="9" t="n"/>
      <c r="I78" s="33">
        <f>G78</f>
        <v/>
      </c>
      <c r="J78" s="21" t="n"/>
      <c r="K78" s="21">
        <f>I78-G78</f>
        <v/>
      </c>
      <c r="L78" s="22" t="n"/>
      <c r="M78" s="22" t="inlineStr">
        <is>
          <t>240200045</t>
        </is>
      </c>
      <c r="N78" s="22" t="inlineStr">
        <is>
          <t>221651500</t>
        </is>
      </c>
      <c r="O78" s="22">
        <f>M78=N78</f>
        <v/>
      </c>
      <c r="P78" s="22">
        <f>AND(MONTH(F78)=MONTH(S78), YEAR(F78)=YEAR(S78))</f>
        <v/>
      </c>
      <c r="Q78" s="22">
        <f>"L001-902303751"=U78</f>
        <v/>
      </c>
      <c r="R78" s="29">
        <f>G78-W78</f>
        <v/>
      </c>
      <c r="S78" s="30" t="n">
        <v>45352</v>
      </c>
      <c r="T78" s="26" t="n">
        <v>2216515</v>
      </c>
      <c r="U78" s="26" t="inlineStr">
        <is>
          <t>K009-901605081</t>
        </is>
      </c>
      <c r="V78" s="26" t="inlineStr">
        <is>
          <t>ទ្រូ ខមភែនៀន ឡូជីស្ទីក (ខេមបូឌា)</t>
        </is>
      </c>
      <c r="W78" s="27" t="n">
        <v>2216515</v>
      </c>
      <c r="X78" s="26" t="n">
        <v>0</v>
      </c>
    </row>
    <row r="79">
      <c r="A79" s="3" t="n">
        <v>78</v>
      </c>
      <c r="B79" s="4" t="inlineStr">
        <is>
          <t>Import Shipment Expense</t>
        </is>
      </c>
      <c r="C79" s="4" t="inlineStr">
        <is>
          <t>អូរៀនថល ឡូជីស្ទីក &amp; ឌីស្ទ្រីប៊្យូសិន (ខេមបូឌា)</t>
        </is>
      </c>
      <c r="D79" s="5" t="inlineStr">
        <is>
          <t>L001-103007369</t>
        </is>
      </c>
      <c r="E79" s="10" t="inlineStr">
        <is>
          <t>24-1610</t>
        </is>
      </c>
      <c r="F79" s="7" t="inlineStr">
        <is>
          <t>26-02-2024</t>
        </is>
      </c>
      <c r="G79" s="8" t="n">
        <v>120213</v>
      </c>
      <c r="H79" s="9" t="n"/>
      <c r="I79" s="33">
        <f>G79</f>
        <v/>
      </c>
      <c r="J79" s="21" t="n"/>
      <c r="K79" s="21">
        <f>I79-G79</f>
        <v/>
      </c>
      <c r="L79" s="22" t="n"/>
      <c r="M79" s="22" t="inlineStr">
        <is>
          <t>241610</t>
        </is>
      </c>
      <c r="N79" s="22" t="inlineStr">
        <is>
          <t>18708200</t>
        </is>
      </c>
      <c r="O79" s="22">
        <f>M79=N79</f>
        <v/>
      </c>
      <c r="P79" s="22">
        <f>AND(MONTH(F79)=MONTH(S79), YEAR(F79)=YEAR(S79))</f>
        <v/>
      </c>
      <c r="Q79" s="22">
        <f>"L001-902303751"=U79</f>
        <v/>
      </c>
      <c r="R79" s="29">
        <f>G79-W79</f>
        <v/>
      </c>
      <c r="S79" s="30" t="n">
        <v>45352</v>
      </c>
      <c r="T79" s="26" t="n">
        <v>187082</v>
      </c>
      <c r="U79" s="26" t="inlineStr">
        <is>
          <t>K009-901605081</t>
        </is>
      </c>
      <c r="V79" s="26" t="inlineStr">
        <is>
          <t>ទ្រូ ខមភែនៀន ឡូជីស្ទីក (ខេមបូឌា)</t>
        </is>
      </c>
      <c r="W79" s="27" t="n">
        <v>187082</v>
      </c>
      <c r="X79" s="26" t="n">
        <v>0</v>
      </c>
    </row>
    <row r="80">
      <c r="A80" s="3" t="n">
        <v>79</v>
      </c>
      <c r="B80" s="4" t="inlineStr">
        <is>
          <t>Gate Fee Charge</t>
        </is>
      </c>
      <c r="C80" s="4" t="inlineStr">
        <is>
          <t>កំពង់ផែស្វយ័តភ្នំពេញ "ក.ស.ភ"</t>
        </is>
      </c>
      <c r="D80" s="5" t="inlineStr">
        <is>
          <t>L001-100044999</t>
        </is>
      </c>
      <c r="E80" s="6" t="inlineStr">
        <is>
          <t>INV20240211659</t>
        </is>
      </c>
      <c r="F80" s="7" t="inlineStr">
        <is>
          <t>27-02-2024</t>
        </is>
      </c>
      <c r="G80" s="8" t="n">
        <v>6110</v>
      </c>
      <c r="H80" s="9" t="n"/>
      <c r="I80" s="33">
        <f>G80</f>
        <v/>
      </c>
      <c r="J80" s="21" t="n"/>
      <c r="K80" s="21">
        <f>I80-G80</f>
        <v/>
      </c>
      <c r="L80" s="22" t="n"/>
      <c r="M80" s="22" t="inlineStr">
        <is>
          <t>INV20240211659</t>
        </is>
      </c>
      <c r="N80" s="22" t="inlineStr"/>
      <c r="O80" s="22">
        <f>M80=N80</f>
        <v/>
      </c>
      <c r="P80" s="22">
        <f>AND(MONTH(F80)=MONTH(S80), YEAR(F80)=YEAR(S80))</f>
        <v/>
      </c>
      <c r="Q80" s="22">
        <f>"L001-902303751"=U80</f>
        <v/>
      </c>
      <c r="R80" s="29">
        <f>G80-W80</f>
        <v/>
      </c>
      <c r="S80" s="30" t="n">
        <v>45376</v>
      </c>
      <c r="T80" s="26" t="inlineStr"/>
      <c r="U80" s="26" t="inlineStr">
        <is>
          <t>L001-104015799</t>
        </is>
      </c>
      <c r="V80" s="26" t="inlineStr">
        <is>
          <t>យូសេន ឡូជីស្ទីក (ខេមបូឌា) ខូ អិលធីឌី</t>
        </is>
      </c>
      <c r="W80" s="27" t="n">
        <v>0</v>
      </c>
      <c r="X80" s="26" t="n">
        <v>0</v>
      </c>
    </row>
    <row r="81">
      <c r="A81" s="3" t="n">
        <v>80</v>
      </c>
      <c r="B81" s="4" t="inlineStr">
        <is>
          <t>Gate Fee Charge</t>
        </is>
      </c>
      <c r="C81" s="4" t="inlineStr">
        <is>
          <t>កំពង់ផែស្វយ័តភ្នំពេញ "ក.ស.ភ"</t>
        </is>
      </c>
      <c r="D81" s="5" t="inlineStr">
        <is>
          <t>L001-100044999</t>
        </is>
      </c>
      <c r="E81" s="6" t="inlineStr">
        <is>
          <t>INV20240211960</t>
        </is>
      </c>
      <c r="F81" s="7" t="inlineStr">
        <is>
          <t>29-02-2024</t>
        </is>
      </c>
      <c r="G81" s="8" t="n">
        <v>18717</v>
      </c>
      <c r="H81" s="9" t="n"/>
      <c r="I81" s="33">
        <f>G81</f>
        <v/>
      </c>
      <c r="J81" s="21" t="n"/>
      <c r="K81" s="21">
        <f>I81-G81</f>
        <v/>
      </c>
      <c r="L81" s="22" t="n"/>
      <c r="M81" s="22" t="inlineStr">
        <is>
          <t>INV20240211960</t>
        </is>
      </c>
      <c r="N81" s="22" t="inlineStr">
        <is>
          <t>18625400</t>
        </is>
      </c>
      <c r="O81" s="22">
        <f>M81=N81</f>
        <v/>
      </c>
      <c r="P81" s="22">
        <f>AND(MONTH(F81)=MONTH(S81), YEAR(F81)=YEAR(S81))</f>
        <v/>
      </c>
      <c r="Q81" s="22">
        <f>"L001-902303751"=U81</f>
        <v/>
      </c>
      <c r="R81" s="29">
        <f>G81-W81</f>
        <v/>
      </c>
      <c r="S81" s="30" t="n">
        <v>45372</v>
      </c>
      <c r="T81" s="26" t="n">
        <v>186254</v>
      </c>
      <c r="U81" s="26" t="inlineStr">
        <is>
          <t>K009-901605081</t>
        </is>
      </c>
      <c r="V81" s="26" t="inlineStr">
        <is>
          <t>ទ្រូ ខមភែនៀន ឡូជីស្ទីក (ខេមបូឌា)</t>
        </is>
      </c>
      <c r="W81" s="27" t="n">
        <v>186254</v>
      </c>
      <c r="X81" s="26" t="n">
        <v>0</v>
      </c>
    </row>
    <row r="82">
      <c r="A82" s="3" t="n">
        <v>81</v>
      </c>
      <c r="B82" s="4" t="inlineStr">
        <is>
          <t>TRUCKING FEE, CUSTOMS CLEARANCE FEE</t>
        </is>
      </c>
      <c r="C82" s="4" t="inlineStr">
        <is>
          <t>ត្រាយអ៊ែងហ្គល ឡូជីស្ទីក (ខេមបូឌា) ឯ.ក</t>
        </is>
      </c>
      <c r="D82" s="5" t="inlineStr">
        <is>
          <t>K010-902101743</t>
        </is>
      </c>
      <c r="E82" s="6" t="inlineStr">
        <is>
          <t>TAG-24-00076</t>
        </is>
      </c>
      <c r="F82" s="7" t="inlineStr">
        <is>
          <t>29-02-2024</t>
        </is>
      </c>
      <c r="G82" s="8" t="n">
        <v>65104</v>
      </c>
      <c r="H82" s="9" t="n"/>
      <c r="I82" s="33">
        <f>G82</f>
        <v/>
      </c>
      <c r="J82" s="21" t="n"/>
      <c r="K82" s="21">
        <f>I82-G82</f>
        <v/>
      </c>
      <c r="L82" s="22" t="n"/>
      <c r="M82" s="22" t="inlineStr">
        <is>
          <t>TAG2400076</t>
        </is>
      </c>
      <c r="N82" s="22" t="inlineStr">
        <is>
          <t>17598700</t>
        </is>
      </c>
      <c r="O82" s="22">
        <f>M82=N82</f>
        <v/>
      </c>
      <c r="P82" s="22">
        <f>AND(MONTH(F82)=MONTH(S82), YEAR(F82)=YEAR(S82))</f>
        <v/>
      </c>
      <c r="Q82" s="22">
        <f>"L001-902303751"=U82</f>
        <v/>
      </c>
      <c r="R82" s="29">
        <f>G82-W82</f>
        <v/>
      </c>
      <c r="S82" s="30" t="n">
        <v>45362</v>
      </c>
      <c r="T82" s="26" t="n">
        <v>175987</v>
      </c>
      <c r="U82" s="26" t="inlineStr">
        <is>
          <t>K003-901635943</t>
        </is>
      </c>
      <c r="V82" s="26" t="inlineStr">
        <is>
          <t>អ៊ីឃ្យូឡាញ វើលវ៉ាយដ៍ ឡូជីស្ទីក</t>
        </is>
      </c>
      <c r="W82" s="27" t="n">
        <v>175987</v>
      </c>
      <c r="X82" s="26" t="n">
        <v>0</v>
      </c>
    </row>
    <row r="83">
      <c r="A83" s="3" t="n">
        <v>82</v>
      </c>
      <c r="B83" s="4" t="inlineStr">
        <is>
          <t>Gate Fee Charage</t>
        </is>
      </c>
      <c r="C83" s="4" t="inlineStr">
        <is>
          <t>កំពង់ផែស្វយ័តភ្នំពេញ "ក.ស.ភ"</t>
        </is>
      </c>
      <c r="D83" s="5" t="inlineStr">
        <is>
          <t>L001-100044999</t>
        </is>
      </c>
      <c r="E83" s="6" t="inlineStr">
        <is>
          <t>INV20240211839</t>
        </is>
      </c>
      <c r="F83" s="7" t="inlineStr">
        <is>
          <t>28-02-2024</t>
        </is>
      </c>
      <c r="G83" s="8" t="n">
        <v>814</v>
      </c>
      <c r="H83" s="9" t="n"/>
      <c r="I83" s="33">
        <f>G83</f>
        <v/>
      </c>
      <c r="J83" s="21" t="n"/>
      <c r="K83" s="21">
        <f>I83-G83</f>
        <v/>
      </c>
      <c r="L83" s="22" t="n"/>
      <c r="M83" s="22" t="inlineStr">
        <is>
          <t>INV20240211839</t>
        </is>
      </c>
      <c r="N83" s="22" t="inlineStr">
        <is>
          <t>8373200</t>
        </is>
      </c>
      <c r="O83" s="22">
        <f>M83=N83</f>
        <v/>
      </c>
      <c r="P83" s="22">
        <f>AND(MONTH(F83)=MONTH(S83), YEAR(F83)=YEAR(S83))</f>
        <v/>
      </c>
      <c r="Q83" s="22">
        <f>"L001-902303751"=U83</f>
        <v/>
      </c>
      <c r="R83" s="29">
        <f>G83-W83</f>
        <v/>
      </c>
      <c r="S83" s="30" t="n">
        <v>45376</v>
      </c>
      <c r="T83" s="26" t="n">
        <v>83732</v>
      </c>
      <c r="U83" s="26" t="inlineStr">
        <is>
          <t>L001-104015799</t>
        </is>
      </c>
      <c r="V83" s="26" t="inlineStr">
        <is>
          <t>យូសេន ឡូជីស្ទីក (ខេមបូឌា) ខូ អិលធីឌី</t>
        </is>
      </c>
      <c r="W83" s="27" t="n">
        <v>83732</v>
      </c>
      <c r="X83" s="26" t="n">
        <v>0</v>
      </c>
    </row>
    <row r="84">
      <c r="A84" s="3" t="n">
        <v>83</v>
      </c>
      <c r="B84" s="4" t="inlineStr">
        <is>
          <t>Cargo Terminal</t>
        </is>
      </c>
      <c r="C84" s="4" t="inlineStr">
        <is>
          <t>សូស៊ីយេតេ កុងសេស្យូនែរ ដឺ ឡាអេរ៉ូព័រ</t>
        </is>
      </c>
      <c r="D84" s="5" t="inlineStr">
        <is>
          <t>L001-100047300</t>
        </is>
      </c>
      <c r="E84" s="10" t="inlineStr">
        <is>
          <t>2400-010720</t>
        </is>
      </c>
      <c r="F84" s="7" t="inlineStr">
        <is>
          <t>15-02-2024</t>
        </is>
      </c>
      <c r="G84" s="8" t="n">
        <v>1630</v>
      </c>
      <c r="H84" s="9" t="n"/>
      <c r="I84" s="33">
        <f>G84</f>
        <v/>
      </c>
      <c r="J84" s="21" t="n"/>
      <c r="K84" s="21">
        <f>I84-G84</f>
        <v/>
      </c>
      <c r="L84" s="22" t="n"/>
      <c r="M84" s="22" t="inlineStr">
        <is>
          <t>2400010720</t>
        </is>
      </c>
      <c r="N84" s="22" t="inlineStr">
        <is>
          <t>220670500</t>
        </is>
      </c>
      <c r="O84" s="22">
        <f>M84=N84</f>
        <v/>
      </c>
      <c r="P84" s="22">
        <f>AND(MONTH(F84)=MONTH(S84), YEAR(F84)=YEAR(S84))</f>
        <v/>
      </c>
      <c r="Q84" s="22">
        <f>"L001-902303751"=U84</f>
        <v/>
      </c>
      <c r="R84" s="29">
        <f>G84-W84</f>
        <v/>
      </c>
      <c r="S84" s="30" t="n">
        <v>45372</v>
      </c>
      <c r="T84" s="26" t="n">
        <v>2206705</v>
      </c>
      <c r="U84" s="26" t="inlineStr">
        <is>
          <t>K009-901605081</t>
        </is>
      </c>
      <c r="V84" s="26" t="inlineStr">
        <is>
          <t>ទ្រូ ខមភែនៀន ឡូជីស្ទីក (ខេមបូឌា)</t>
        </is>
      </c>
      <c r="W84" s="27" t="n">
        <v>2206705</v>
      </c>
      <c r="X84" s="26" t="n">
        <v>0</v>
      </c>
    </row>
    <row r="85">
      <c r="A85" s="3" t="n">
        <v>84</v>
      </c>
      <c r="B85" s="4" t="inlineStr">
        <is>
          <t>TRUCKING FEE, CUSTOMS CLEARANCE FEE</t>
        </is>
      </c>
      <c r="C85" s="4" t="inlineStr">
        <is>
          <t>ត្រាយអ៊ែងហ្គល ឡូជីស្ទីក (ខេមបូឌា) ឯ.ក</t>
        </is>
      </c>
      <c r="D85" s="5" t="inlineStr">
        <is>
          <t>K010-902101743</t>
        </is>
      </c>
      <c r="E85" s="10" t="inlineStr">
        <is>
          <t>TAG-24-00048</t>
        </is>
      </c>
      <c r="F85" s="7" t="inlineStr">
        <is>
          <t>12-02-2024</t>
        </is>
      </c>
      <c r="G85" s="8" t="n">
        <v>32624</v>
      </c>
      <c r="H85" s="9" t="n"/>
      <c r="I85" s="33">
        <f>G85</f>
        <v/>
      </c>
      <c r="J85" s="21" t="n"/>
      <c r="K85" s="21">
        <f>I85-G85</f>
        <v/>
      </c>
      <c r="L85" s="22" t="n"/>
      <c r="M85" s="22" t="inlineStr">
        <is>
          <t>TAG2400048</t>
        </is>
      </c>
      <c r="N85" s="22" t="inlineStr">
        <is>
          <t>11193600</t>
        </is>
      </c>
      <c r="O85" s="22">
        <f>M85=N85</f>
        <v/>
      </c>
      <c r="P85" s="22">
        <f>AND(MONTH(F85)=MONTH(S85), YEAR(F85)=YEAR(S85))</f>
        <v/>
      </c>
      <c r="Q85" s="22">
        <f>"L001-902303751"=U85</f>
        <v/>
      </c>
      <c r="R85" s="29">
        <f>G85-W85</f>
        <v/>
      </c>
      <c r="S85" s="30" t="n">
        <v>45382</v>
      </c>
      <c r="T85" s="26" t="n">
        <v>111936</v>
      </c>
      <c r="U85" s="26" t="inlineStr">
        <is>
          <t>K003-901635943</t>
        </is>
      </c>
      <c r="V85" s="26" t="inlineStr">
        <is>
          <t>អ៊ីឃ្យូឡាញ វើលវ៉ាយដ៍ ឡូជីស្ទីក</t>
        </is>
      </c>
      <c r="W85" s="27" t="n">
        <v>111936</v>
      </c>
      <c r="X85" s="26" t="n">
        <v>0</v>
      </c>
    </row>
    <row r="86">
      <c r="A86" s="3" t="n">
        <v>85</v>
      </c>
      <c r="B86" s="4" t="inlineStr">
        <is>
          <t>Cargo Terminal</t>
        </is>
      </c>
      <c r="C86" s="4" t="inlineStr">
        <is>
          <t>សូស៊ីយេតេ កុងសេស្យូនែរ ដឺ ឡាអេរ៉ូព័រ</t>
        </is>
      </c>
      <c r="D86" s="5" t="inlineStr">
        <is>
          <t>L001-100047300</t>
        </is>
      </c>
      <c r="E86" s="10" t="inlineStr">
        <is>
          <t>2400-009969</t>
        </is>
      </c>
      <c r="F86" s="7" t="inlineStr">
        <is>
          <t>09-02-2024</t>
        </is>
      </c>
      <c r="G86" s="8" t="n">
        <v>5351</v>
      </c>
      <c r="H86" s="9" t="n"/>
      <c r="I86" s="33">
        <f>G86</f>
        <v/>
      </c>
      <c r="J86" s="21" t="n"/>
      <c r="K86" s="21">
        <f>I86-G86</f>
        <v/>
      </c>
      <c r="L86" s="22" t="n"/>
      <c r="M86" s="22" t="inlineStr">
        <is>
          <t>2400009969</t>
        </is>
      </c>
      <c r="N86" s="22" t="inlineStr">
        <is>
          <t>18593200</t>
        </is>
      </c>
      <c r="O86" s="22">
        <f>M86=N86</f>
        <v/>
      </c>
      <c r="P86" s="22">
        <f>AND(MONTH(F86)=MONTH(S86), YEAR(F86)=YEAR(S86))</f>
        <v/>
      </c>
      <c r="Q86" s="22">
        <f>"L001-902303751"=U86</f>
        <v/>
      </c>
      <c r="R86" s="29">
        <f>G86-W86</f>
        <v/>
      </c>
      <c r="S86" s="30" t="n">
        <v>45378</v>
      </c>
      <c r="T86" s="26" t="n">
        <v>185932</v>
      </c>
      <c r="U86" s="26" t="inlineStr">
        <is>
          <t>K009-901605081</t>
        </is>
      </c>
      <c r="V86" s="26" t="inlineStr">
        <is>
          <t>ទ្រូ ខមភែនៀន ឡូជីស្ទីក (ខេមបូឌា)</t>
        </is>
      </c>
      <c r="W86" s="27" t="n">
        <v>185932</v>
      </c>
      <c r="X86" s="26" t="n">
        <v>0</v>
      </c>
    </row>
    <row r="87">
      <c r="A87" s="3" t="n">
        <v>86</v>
      </c>
      <c r="B87" s="4" t="inlineStr">
        <is>
          <t>Terminal Handling Charges, CFS Fee, Document Fee, D/O Fee, Scan Fee, Handling Fee, Co-Loader Agency Fee and CIC</t>
        </is>
      </c>
      <c r="C87" s="4" t="inlineStr">
        <is>
          <t>ត្រាយអ៊ែងហ្គល ឡូជីស្ទីក (ខេមបូឌា) ឯ.ក</t>
        </is>
      </c>
      <c r="D87" s="5" t="inlineStr">
        <is>
          <t>K010-902101743</t>
        </is>
      </c>
      <c r="E87" s="10" t="inlineStr">
        <is>
          <t>TAG-24-00051</t>
        </is>
      </c>
      <c r="F87" s="7" t="inlineStr">
        <is>
          <t>19-02-2024</t>
        </is>
      </c>
      <c r="G87" s="8" t="n">
        <v>82431</v>
      </c>
      <c r="H87" s="9" t="n"/>
      <c r="I87" s="33">
        <f>G87</f>
        <v/>
      </c>
      <c r="J87" s="21" t="n"/>
      <c r="K87" s="21">
        <f>I87-G87</f>
        <v/>
      </c>
      <c r="L87" s="22" t="n"/>
      <c r="M87" s="22" t="inlineStr">
        <is>
          <t>TAG2400051</t>
        </is>
      </c>
      <c r="N87" s="22" t="inlineStr">
        <is>
          <t>12418200</t>
        </is>
      </c>
      <c r="O87" s="22">
        <f>M87=N87</f>
        <v/>
      </c>
      <c r="P87" s="22">
        <f>AND(MONTH(F87)=MONTH(S87), YEAR(F87)=YEAR(S87))</f>
        <v/>
      </c>
      <c r="Q87" s="22">
        <f>"L001-902303751"=U87</f>
        <v/>
      </c>
      <c r="R87" s="29">
        <f>G87-W87</f>
        <v/>
      </c>
      <c r="S87" s="30" t="n">
        <v>45376</v>
      </c>
      <c r="T87" s="26" t="n">
        <v>124182</v>
      </c>
      <c r="U87" s="26" t="inlineStr">
        <is>
          <t>L001-104015799</t>
        </is>
      </c>
      <c r="V87" s="26" t="inlineStr">
        <is>
          <t>យូសេន ឡូជីស្ទីក (ខេមបូឌា) ខូ អិលធីឌី</t>
        </is>
      </c>
      <c r="W87" s="27" t="n">
        <v>124182</v>
      </c>
      <c r="X87" s="26" t="n">
        <v>0</v>
      </c>
    </row>
    <row r="88">
      <c r="A88" s="3" t="n">
        <v>87</v>
      </c>
      <c r="B88" s="4" t="inlineStr">
        <is>
          <t>Lift-On &amp; Lift-Off</t>
        </is>
      </c>
      <c r="C88" s="4" t="inlineStr">
        <is>
          <t>កំពង់ផែស្វយ័តក្រុងព្រះសីហនុ</t>
        </is>
      </c>
      <c r="D88" s="5" t="inlineStr">
        <is>
          <t>L001-100044638</t>
        </is>
      </c>
      <c r="E88" s="10" t="inlineStr">
        <is>
          <t>034414</t>
        </is>
      </c>
      <c r="F88" s="7" t="inlineStr">
        <is>
          <t>21-02-2024</t>
        </is>
      </c>
      <c r="G88" s="8" t="n">
        <v>1249</v>
      </c>
      <c r="H88" s="9" t="n"/>
      <c r="I88" s="33">
        <f>G88</f>
        <v/>
      </c>
      <c r="J88" s="21" t="n"/>
      <c r="K88" s="21">
        <f>I88-G88</f>
        <v/>
      </c>
      <c r="L88" s="22" t="n"/>
      <c r="M88" s="22" t="inlineStr">
        <is>
          <t>034414</t>
        </is>
      </c>
      <c r="N88" s="22" t="inlineStr">
        <is>
          <t>220234500</t>
        </is>
      </c>
      <c r="O88" s="22">
        <f>M88=N88</f>
        <v/>
      </c>
      <c r="P88" s="22">
        <f>AND(MONTH(F88)=MONTH(S88), YEAR(F88)=YEAR(S88))</f>
        <v/>
      </c>
      <c r="Q88" s="22">
        <f>"L001-902303751"=U88</f>
        <v/>
      </c>
      <c r="R88" s="29">
        <f>G88-W88</f>
        <v/>
      </c>
      <c r="S88" s="30" t="n">
        <v>45364</v>
      </c>
      <c r="T88" s="26" t="n">
        <v>2202345</v>
      </c>
      <c r="U88" s="26" t="inlineStr">
        <is>
          <t>K009-901605081</t>
        </is>
      </c>
      <c r="V88" s="26" t="inlineStr">
        <is>
          <t>ទ្រូ ខមភែនៀន ឡូជីស្ទីក (ខេមបូឌា)</t>
        </is>
      </c>
      <c r="W88" s="27" t="n">
        <v>2202345</v>
      </c>
      <c r="X88" s="26" t="n">
        <v>0</v>
      </c>
    </row>
    <row r="89">
      <c r="A89" s="3" t="n">
        <v>88</v>
      </c>
      <c r="B89" s="4" t="inlineStr">
        <is>
          <t>Terminal Handling Charge, Container Freight Station, Scanning Fee, Container Imbalance Charge, Agency Fee, Delivery Order, Document Fee and Admin Fee</t>
        </is>
      </c>
      <c r="C89" s="4" t="inlineStr">
        <is>
          <t>អឹឡាយអិន ហ្វ័រវើឌីង (ខេមបូឌា) ឯ.ក</t>
        </is>
      </c>
      <c r="D89" s="5" t="inlineStr">
        <is>
          <t>K005-901902888</t>
        </is>
      </c>
      <c r="E89" s="10" t="inlineStr">
        <is>
          <t>PPTI24-0081</t>
        </is>
      </c>
      <c r="F89" s="7" t="inlineStr">
        <is>
          <t>09-02-2024</t>
        </is>
      </c>
      <c r="G89" s="8" t="n">
        <v>152150</v>
      </c>
      <c r="H89" s="9" t="n"/>
      <c r="I89" s="33">
        <f>G89</f>
        <v/>
      </c>
      <c r="J89" s="21" t="n"/>
      <c r="K89" s="21">
        <f>I89-G89</f>
        <v/>
      </c>
      <c r="L89" s="22" t="n"/>
      <c r="M89" s="22" t="inlineStr">
        <is>
          <t>PPTI240081</t>
        </is>
      </c>
      <c r="N89" s="22" t="inlineStr">
        <is>
          <t>18666800</t>
        </is>
      </c>
      <c r="O89" s="22">
        <f>M89=N89</f>
        <v/>
      </c>
      <c r="P89" s="22">
        <f>AND(MONTH(F89)=MONTH(S89), YEAR(F89)=YEAR(S89))</f>
        <v/>
      </c>
      <c r="Q89" s="22">
        <f>"L001-902303751"=U89</f>
        <v/>
      </c>
      <c r="R89" s="29">
        <f>G89-W89</f>
        <v/>
      </c>
      <c r="S89" s="30" t="n">
        <v>45358</v>
      </c>
      <c r="T89" s="26" t="n">
        <v>186668</v>
      </c>
      <c r="U89" s="26" t="inlineStr">
        <is>
          <t>K009-901605081</t>
        </is>
      </c>
      <c r="V89" s="26" t="inlineStr">
        <is>
          <t>ទ្រូ ខមភែនៀន ឡូជីស្ទីក (ខេមបូឌា)</t>
        </is>
      </c>
      <c r="W89" s="27" t="n">
        <v>186668</v>
      </c>
      <c r="X89" s="26" t="n">
        <v>0</v>
      </c>
    </row>
    <row r="90">
      <c r="A90" s="3" t="n">
        <v>89</v>
      </c>
      <c r="B90" s="4" t="inlineStr">
        <is>
          <t>Lift-On &amp; Lift-Off</t>
        </is>
      </c>
      <c r="C90" s="4" t="inlineStr">
        <is>
          <t>កំពង់ផែស្វយ័តក្រុងព្រះសីហនុ</t>
        </is>
      </c>
      <c r="D90" s="5" t="inlineStr">
        <is>
          <t>L001-100044638</t>
        </is>
      </c>
      <c r="E90" s="10" t="inlineStr">
        <is>
          <t>033440</t>
        </is>
      </c>
      <c r="F90" s="7" t="inlineStr">
        <is>
          <t>09-02-2024</t>
        </is>
      </c>
      <c r="G90" s="8" t="n">
        <v>3121</v>
      </c>
      <c r="H90" s="9" t="n"/>
      <c r="I90" s="33">
        <f>G90</f>
        <v/>
      </c>
      <c r="J90" s="21" t="n"/>
      <c r="K90" s="21">
        <f>I90-G90</f>
        <v/>
      </c>
      <c r="L90" s="22" t="n"/>
      <c r="M90" s="22" t="inlineStr">
        <is>
          <t>033440</t>
        </is>
      </c>
      <c r="N90" s="22" t="inlineStr">
        <is>
          <t>18699000</t>
        </is>
      </c>
      <c r="O90" s="22">
        <f>M90=N90</f>
        <v/>
      </c>
      <c r="P90" s="22">
        <f>AND(MONTH(F90)=MONTH(S90), YEAR(F90)=YEAR(S90))</f>
        <v/>
      </c>
      <c r="Q90" s="22">
        <f>"L001-902303751"=U90</f>
        <v/>
      </c>
      <c r="R90" s="29">
        <f>G90-W90</f>
        <v/>
      </c>
      <c r="S90" s="30" t="n">
        <v>45357</v>
      </c>
      <c r="T90" s="26" t="n">
        <v>186990</v>
      </c>
      <c r="U90" s="26" t="inlineStr">
        <is>
          <t>K009-901605081</t>
        </is>
      </c>
      <c r="V90" s="26" t="inlineStr">
        <is>
          <t>ទ្រូ ខមភែនៀន ឡូជីស្ទីក (ខេមបូឌា)</t>
        </is>
      </c>
      <c r="W90" s="27" t="n">
        <v>186990</v>
      </c>
      <c r="X90" s="26" t="n">
        <v>0</v>
      </c>
    </row>
    <row r="91">
      <c r="A91" s="3" t="n">
        <v>90</v>
      </c>
      <c r="B91" s="4" t="inlineStr">
        <is>
          <t>THC, EMF, 3 PARTY TRUCKING, CIC, R/O, DOC FEE and HANDLING FEE</t>
        </is>
      </c>
      <c r="C91" s="4" t="inlineStr">
        <is>
          <t>ខេអិលអិន ហ្វ្រេត (ខេមបូឌា) ឯ.ក</t>
        </is>
      </c>
      <c r="D91" s="5" t="inlineStr">
        <is>
          <t>L001-100074669</t>
        </is>
      </c>
      <c r="E91" s="10" t="inlineStr">
        <is>
          <t>IVO01875</t>
        </is>
      </c>
      <c r="F91" s="7" t="inlineStr">
        <is>
          <t>06-02-2024</t>
        </is>
      </c>
      <c r="G91" s="8" t="n">
        <v>110053</v>
      </c>
      <c r="H91" s="9" t="n"/>
      <c r="I91" s="33">
        <f>G91</f>
        <v/>
      </c>
      <c r="J91" s="21" t="n"/>
      <c r="K91" s="21">
        <f>I91-G91</f>
        <v/>
      </c>
      <c r="L91" s="22" t="n"/>
      <c r="M91" s="22" t="inlineStr">
        <is>
          <t>IVO01875</t>
        </is>
      </c>
      <c r="N91" s="22" t="inlineStr">
        <is>
          <t>17568300</t>
        </is>
      </c>
      <c r="O91" s="22">
        <f>M91=N91</f>
        <v/>
      </c>
      <c r="P91" s="22">
        <f>AND(MONTH(F91)=MONTH(S91), YEAR(F91)=YEAR(S91))</f>
        <v/>
      </c>
      <c r="Q91" s="22">
        <f>"L001-902303751"=U91</f>
        <v/>
      </c>
      <c r="R91" s="29">
        <f>G91-W91</f>
        <v/>
      </c>
      <c r="S91" s="30" t="n">
        <v>45370</v>
      </c>
      <c r="T91" s="26" t="n">
        <v>175683</v>
      </c>
      <c r="U91" s="26" t="inlineStr">
        <is>
          <t>K003-901635943</t>
        </is>
      </c>
      <c r="V91" s="26" t="inlineStr">
        <is>
          <t>អ៊ីឃ្យូឡាញ វើលវ៉ាយដ៍ ឡូជីស្ទីក</t>
        </is>
      </c>
      <c r="W91" s="27" t="n">
        <v>175683</v>
      </c>
      <c r="X91" s="26" t="n">
        <v>0</v>
      </c>
    </row>
    <row r="92">
      <c r="A92" s="3" t="n">
        <v>91</v>
      </c>
      <c r="B92" s="4" t="inlineStr">
        <is>
          <t>Lift-On &amp; Lift-Off</t>
        </is>
      </c>
      <c r="C92" s="4" t="inlineStr">
        <is>
          <t>កំពង់ផែស្វយ័តក្រុងព្រះសីហនុ</t>
        </is>
      </c>
      <c r="D92" s="5" t="inlineStr">
        <is>
          <t>L001-100044638</t>
        </is>
      </c>
      <c r="E92" s="10" t="inlineStr">
        <is>
          <t>027167</t>
        </is>
      </c>
      <c r="F92" s="7" t="inlineStr">
        <is>
          <t>10-02-2024</t>
        </is>
      </c>
      <c r="G92" s="8" t="n">
        <v>23250</v>
      </c>
      <c r="H92" s="9" t="n"/>
      <c r="I92" s="33">
        <f>G92</f>
        <v/>
      </c>
      <c r="J92" s="21" t="n"/>
      <c r="K92" s="21">
        <f>I92-G92</f>
        <v/>
      </c>
      <c r="L92" s="22" t="n"/>
      <c r="M92" s="22" t="inlineStr">
        <is>
          <t>027167</t>
        </is>
      </c>
      <c r="N92" s="22" t="inlineStr">
        <is>
          <t>18620800</t>
        </is>
      </c>
      <c r="O92" s="22">
        <f>M92=N92</f>
        <v/>
      </c>
      <c r="P92" s="22">
        <f>AND(MONTH(F92)=MONTH(S92), YEAR(F92)=YEAR(S92))</f>
        <v/>
      </c>
      <c r="Q92" s="22">
        <f>"L001-902303751"=U92</f>
        <v/>
      </c>
      <c r="R92" s="29">
        <f>G92-W92</f>
        <v/>
      </c>
      <c r="S92" s="30" t="n">
        <v>45371</v>
      </c>
      <c r="T92" s="26" t="n">
        <v>186208</v>
      </c>
      <c r="U92" s="26" t="inlineStr">
        <is>
          <t>K009-901605081</t>
        </is>
      </c>
      <c r="V92" s="26" t="inlineStr">
        <is>
          <t>ទ្រូ ខមភែនៀន ឡូជីស្ទីក (ខេមបូឌា)</t>
        </is>
      </c>
      <c r="W92" s="27" t="n">
        <v>186208</v>
      </c>
      <c r="X92" s="26" t="n">
        <v>0</v>
      </c>
    </row>
    <row r="93">
      <c r="A93" s="3" t="n">
        <v>92</v>
      </c>
      <c r="B93" s="4" t="inlineStr">
        <is>
          <t>Terminal Handling Charge, Documentation Fee, Agency Fee. Container Protect Essential and Equipment Positioning Service</t>
        </is>
      </c>
      <c r="C93" s="4" t="inlineStr">
        <is>
          <t>ផេនដា គ្លូប៊ល ឡូជីស្ទីក (ខេមបូឌា)</t>
        </is>
      </c>
      <c r="D93" s="5" t="inlineStr">
        <is>
          <t>K005-901501155</t>
        </is>
      </c>
      <c r="E93" s="6" t="inlineStr">
        <is>
          <t>PD240030</t>
        </is>
      </c>
      <c r="F93" s="7" t="inlineStr">
        <is>
          <t>05-02-2024</t>
        </is>
      </c>
      <c r="G93" s="8" t="n">
        <v>173570</v>
      </c>
      <c r="H93" s="9" t="n"/>
      <c r="I93" s="33">
        <f>G93</f>
        <v/>
      </c>
      <c r="J93" s="21" t="n"/>
      <c r="K93" s="21">
        <f>I93-G93</f>
        <v/>
      </c>
      <c r="L93" s="22" t="n"/>
      <c r="M93" s="22" t="inlineStr">
        <is>
          <t>PD240030</t>
        </is>
      </c>
      <c r="N93" s="22" t="inlineStr">
        <is>
          <t>26737500</t>
        </is>
      </c>
      <c r="O93" s="22">
        <f>M93=N93</f>
        <v/>
      </c>
      <c r="P93" s="22">
        <f>AND(MONTH(F93)=MONTH(S93), YEAR(F93)=YEAR(S93))</f>
        <v/>
      </c>
      <c r="Q93" s="22">
        <f>"L001-902303751"=U93</f>
        <v/>
      </c>
      <c r="R93" s="29">
        <f>G93-W93</f>
        <v/>
      </c>
      <c r="S93" s="30" t="n">
        <v>45376</v>
      </c>
      <c r="T93" s="26" t="n">
        <v>267375</v>
      </c>
      <c r="U93" s="26" t="inlineStr">
        <is>
          <t>K003-901635943</t>
        </is>
      </c>
      <c r="V93" s="26" t="inlineStr">
        <is>
          <t>អ៊ីឃ្យូឡាញ វើលវ៉ាយដ៍ ឡូជីស្ទីក</t>
        </is>
      </c>
      <c r="W93" s="27" t="n">
        <v>267375</v>
      </c>
      <c r="X93" s="26" t="n">
        <v>0</v>
      </c>
    </row>
    <row r="94">
      <c r="A94" s="3" t="n">
        <v>93</v>
      </c>
      <c r="B94" s="4" t="inlineStr">
        <is>
          <t>Lift-On &amp; Lift-Off</t>
        </is>
      </c>
      <c r="C94" s="4" t="inlineStr">
        <is>
          <t>កំពង់ផែស្វយ័តក្រុងព្រះសីហនុ</t>
        </is>
      </c>
      <c r="D94" s="5" t="inlineStr">
        <is>
          <t>L001-100044638</t>
        </is>
      </c>
      <c r="E94" s="6" t="inlineStr">
        <is>
          <t>025068</t>
        </is>
      </c>
      <c r="F94" s="7" t="inlineStr">
        <is>
          <t>07-02-2024</t>
        </is>
      </c>
      <c r="G94" s="8" t="n">
        <v>23262</v>
      </c>
      <c r="H94" s="9" t="n"/>
      <c r="I94" s="33">
        <f>G94</f>
        <v/>
      </c>
      <c r="J94" s="21" t="n"/>
      <c r="K94" s="21">
        <f>I94-G94</f>
        <v/>
      </c>
      <c r="L94" s="22" t="n"/>
      <c r="M94" s="22" t="inlineStr">
        <is>
          <t>025068</t>
        </is>
      </c>
      <c r="N94" s="22" t="inlineStr">
        <is>
          <t>220997500</t>
        </is>
      </c>
      <c r="O94" s="22">
        <f>M94=N94</f>
        <v/>
      </c>
      <c r="P94" s="22">
        <f>AND(MONTH(F94)=MONTH(S94), YEAR(F94)=YEAR(S94))</f>
        <v/>
      </c>
      <c r="Q94" s="22">
        <f>"L001-902303751"=U94</f>
        <v/>
      </c>
      <c r="R94" s="29">
        <f>G94-W94</f>
        <v/>
      </c>
      <c r="S94" s="30" t="n">
        <v>45362</v>
      </c>
      <c r="T94" s="26" t="n">
        <v>2209975</v>
      </c>
      <c r="U94" s="26" t="inlineStr">
        <is>
          <t>K009-901605081</t>
        </is>
      </c>
      <c r="V94" s="26" t="inlineStr">
        <is>
          <t>ទ្រូ ខមភែនៀន ឡូជីស្ទីក (ខេមបូឌា)</t>
        </is>
      </c>
      <c r="W94" s="27" t="n">
        <v>2209975</v>
      </c>
      <c r="X94" s="26" t="n">
        <v>0</v>
      </c>
    </row>
    <row r="95">
      <c r="A95" s="3" t="n">
        <v>94</v>
      </c>
      <c r="B95" s="4" t="inlineStr">
        <is>
          <t>THC, EMF, 3 PARTY TRUCKING, CIC, R/O, DOC FEE and HANDLING FEE</t>
        </is>
      </c>
      <c r="C95" s="4" t="inlineStr">
        <is>
          <t>ខេអិលអិន ហ្វ្រេត (ខេមបូឌា) ឯ.ក</t>
        </is>
      </c>
      <c r="D95" s="5" t="inlineStr">
        <is>
          <t>L001-100074669</t>
        </is>
      </c>
      <c r="E95" s="6" t="inlineStr">
        <is>
          <t>IVO02346</t>
        </is>
      </c>
      <c r="F95" s="7" t="inlineStr">
        <is>
          <t>07-02-2024</t>
        </is>
      </c>
      <c r="G95" s="8" t="n">
        <v>123625</v>
      </c>
      <c r="H95" s="9" t="n"/>
      <c r="I95" s="33">
        <f>G95</f>
        <v/>
      </c>
      <c r="J95" s="21" t="n"/>
      <c r="K95" s="21">
        <f>I95-G95</f>
        <v/>
      </c>
      <c r="L95" s="22" t="n"/>
      <c r="M95" s="22" t="inlineStr">
        <is>
          <t>IVO02346</t>
        </is>
      </c>
      <c r="N95" s="22" t="inlineStr">
        <is>
          <t>27492900</t>
        </is>
      </c>
      <c r="O95" s="22">
        <f>M95=N95</f>
        <v/>
      </c>
      <c r="P95" s="22">
        <f>AND(MONTH(F95)=MONTH(S95), YEAR(F95)=YEAR(S95))</f>
        <v/>
      </c>
      <c r="Q95" s="22">
        <f>"L001-902303751"=U95</f>
        <v/>
      </c>
      <c r="R95" s="29">
        <f>G95-W95</f>
        <v/>
      </c>
      <c r="S95" s="30" t="n">
        <v>45362</v>
      </c>
      <c r="T95" s="26" t="n">
        <v>274929</v>
      </c>
      <c r="U95" s="26" t="inlineStr">
        <is>
          <t>K002-901900264</t>
        </is>
      </c>
      <c r="V95" s="26" t="inlineStr">
        <is>
          <t>ហេកធ័រ ត្រេនស្ព័រថេសិន (ខេមបូឌា) ឯ.ក</t>
        </is>
      </c>
      <c r="W95" s="27" t="n">
        <v>274929</v>
      </c>
      <c r="X95" s="26" t="n">
        <v>0</v>
      </c>
    </row>
    <row r="96">
      <c r="A96" s="3" t="n">
        <v>95</v>
      </c>
      <c r="B96" s="4" t="inlineStr">
        <is>
          <t>Trucking, Customs Clearance, Import Permit, Extra Trucking, Truck Fuel Surcharge and Handling Charge</t>
        </is>
      </c>
      <c r="C96" s="4" t="inlineStr">
        <is>
          <t>អេស អ វី ស៊ី ហ្វ្រេត សឺវីស (ខេមបូឌា) ខូ អិលធីឌី</t>
        </is>
      </c>
      <c r="D96" s="5" t="inlineStr">
        <is>
          <t>K005-100150195</t>
        </is>
      </c>
      <c r="E96" s="6" t="inlineStr">
        <is>
          <t>SRVI2400831</t>
        </is>
      </c>
      <c r="F96" s="7" t="inlineStr">
        <is>
          <t>15-02-2024</t>
        </is>
      </c>
      <c r="G96" s="8" t="n">
        <v>107047</v>
      </c>
      <c r="H96" s="9" t="n"/>
      <c r="I96" s="33">
        <f>G96</f>
        <v/>
      </c>
      <c r="J96" s="21" t="n"/>
      <c r="K96" s="21">
        <f>I96-G96</f>
        <v/>
      </c>
      <c r="L96" s="22" t="n"/>
      <c r="M96" s="22" t="inlineStr">
        <is>
          <t>SRVI2400831</t>
        </is>
      </c>
      <c r="N96" s="22" t="inlineStr"/>
      <c r="O96" s="22">
        <f>M96=N96</f>
        <v/>
      </c>
      <c r="P96" s="22">
        <f>AND(MONTH(F96)=MONTH(S96), YEAR(F96)=YEAR(S96))</f>
        <v/>
      </c>
      <c r="Q96" s="22">
        <f>"L001-902303751"=U96</f>
        <v/>
      </c>
      <c r="R96" s="29">
        <f>G96-W96</f>
        <v/>
      </c>
      <c r="S96" s="30" t="n">
        <v>45376</v>
      </c>
      <c r="T96" s="26" t="inlineStr"/>
      <c r="U96" s="26" t="inlineStr">
        <is>
          <t>K003-901635943</t>
        </is>
      </c>
      <c r="V96" s="26" t="inlineStr">
        <is>
          <t>អ៊ីឃ្យូឡាញ វើលវ៉ាយដ៍ ឡូជីស្ទីក</t>
        </is>
      </c>
      <c r="W96" s="27" t="n">
        <v>0</v>
      </c>
      <c r="X96" s="26" t="n">
        <v>0</v>
      </c>
    </row>
    <row r="97">
      <c r="A97" s="3" t="n">
        <v>96</v>
      </c>
      <c r="B97" s="4" t="inlineStr">
        <is>
          <t>Hardware</t>
        </is>
      </c>
      <c r="C97" s="4" t="inlineStr">
        <is>
          <t>ភ្នំពេញ ថប វើលដ៍ ខនស្ត្រាក់សិន &amp; អេនជីនារីង ឯ.ក</t>
        </is>
      </c>
      <c r="D97" s="5" t="inlineStr">
        <is>
          <t>K005-901638261</t>
        </is>
      </c>
      <c r="E97" s="10" t="inlineStr">
        <is>
          <t>000004</t>
        </is>
      </c>
      <c r="F97" s="7" t="inlineStr">
        <is>
          <t>29-02-2024</t>
        </is>
      </c>
      <c r="G97" s="8" t="n">
        <v>263671</v>
      </c>
      <c r="H97" s="9" t="n"/>
      <c r="I97" s="33">
        <f>G97</f>
        <v/>
      </c>
      <c r="J97" s="21" t="n"/>
      <c r="K97" s="21">
        <f>I97-G97</f>
        <v/>
      </c>
      <c r="L97" s="22" t="n"/>
      <c r="M97" s="22" t="inlineStr">
        <is>
          <t>000004</t>
        </is>
      </c>
      <c r="N97" s="22" t="inlineStr">
        <is>
          <t>220289000</t>
        </is>
      </c>
      <c r="O97" s="22">
        <f>M97=N97</f>
        <v/>
      </c>
      <c r="P97" s="22">
        <f>AND(MONTH(F97)=MONTH(S97), YEAR(F97)=YEAR(S97))</f>
        <v/>
      </c>
      <c r="Q97" s="22">
        <f>"L001-902303751"=U97</f>
        <v/>
      </c>
      <c r="R97" s="29">
        <f>G97-W97</f>
        <v/>
      </c>
      <c r="S97" s="30" t="n">
        <v>45378</v>
      </c>
      <c r="T97" s="26" t="n">
        <v>2202890</v>
      </c>
      <c r="U97" s="26" t="inlineStr">
        <is>
          <t>K009-901605081</t>
        </is>
      </c>
      <c r="V97" s="26" t="inlineStr">
        <is>
          <t>ទ្រូ ខមភែនៀន ឡូជីស្ទីក (ខេមបូឌា)</t>
        </is>
      </c>
      <c r="W97" s="27" t="n">
        <v>2202890</v>
      </c>
      <c r="X97" s="26" t="n">
        <v>0</v>
      </c>
    </row>
    <row r="98">
      <c r="A98" s="3" t="n">
        <v>97</v>
      </c>
      <c r="B98" s="4" t="inlineStr">
        <is>
          <t>TRUCKING FEE, CUSTOMS CLEARANCE FEE</t>
        </is>
      </c>
      <c r="C98" s="4" t="inlineStr">
        <is>
          <t>ត្រាយអ៊ែងហ្គល ឡូជីស្ទីក (ខេមបូឌា) ឯ.ក</t>
        </is>
      </c>
      <c r="D98" s="5" t="inlineStr">
        <is>
          <t>K010-902101743</t>
        </is>
      </c>
      <c r="E98" s="10" t="inlineStr">
        <is>
          <t>TAG-24-00067</t>
        </is>
      </c>
      <c r="F98" s="7" t="inlineStr">
        <is>
          <t>28-02-2024</t>
        </is>
      </c>
      <c r="G98" s="8" t="n">
        <v>8146</v>
      </c>
      <c r="H98" s="9" t="n"/>
      <c r="I98" s="33">
        <f>G98</f>
        <v/>
      </c>
      <c r="J98" s="21" t="n"/>
      <c r="K98" s="21">
        <f>I98-G98</f>
        <v/>
      </c>
      <c r="L98" s="22" t="n"/>
      <c r="M98" s="22" t="inlineStr">
        <is>
          <t>TAG2400067</t>
        </is>
      </c>
      <c r="N98" s="22" t="inlineStr">
        <is>
          <t>221542500</t>
        </is>
      </c>
      <c r="O98" s="22">
        <f>M98=N98</f>
        <v/>
      </c>
      <c r="P98" s="22">
        <f>AND(MONTH(F98)=MONTH(S98), YEAR(F98)=YEAR(S98))</f>
        <v/>
      </c>
      <c r="Q98" s="22">
        <f>"L001-902303751"=U98</f>
        <v/>
      </c>
      <c r="R98" s="29">
        <f>G98-W98</f>
        <v/>
      </c>
      <c r="S98" s="30" t="n">
        <v>45357</v>
      </c>
      <c r="T98" s="26" t="n">
        <v>2215425</v>
      </c>
      <c r="U98" s="26" t="inlineStr">
        <is>
          <t>K009-901605081</t>
        </is>
      </c>
      <c r="V98" s="26" t="inlineStr">
        <is>
          <t>ទ្រូ ខមភែនៀន ឡូជីស្ទីក (ខេមបូឌា)</t>
        </is>
      </c>
      <c r="W98" s="27" t="n">
        <v>2215425</v>
      </c>
      <c r="X98" s="26" t="n">
        <v>0</v>
      </c>
    </row>
    <row r="99">
      <c r="A99" s="3" t="n">
        <v>98</v>
      </c>
      <c r="B99" s="4" t="inlineStr">
        <is>
          <t>TRUCKING FEE, CUSTOMS CLEARANCE FEE</t>
        </is>
      </c>
      <c r="C99" s="4" t="inlineStr">
        <is>
          <t>ត្រាយអ៊ែងហ្គល ឡូជីស្ទីក (ខេមបូឌា) ឯ.ក</t>
        </is>
      </c>
      <c r="D99" s="5" t="inlineStr">
        <is>
          <t>K010-902101743</t>
        </is>
      </c>
      <c r="E99" s="10" t="inlineStr">
        <is>
          <t>TAG-24-00078</t>
        </is>
      </c>
      <c r="F99" s="7" t="inlineStr">
        <is>
          <t>29-02-2024</t>
        </is>
      </c>
      <c r="G99" s="8" t="n">
        <v>65104</v>
      </c>
      <c r="H99" s="9" t="n"/>
      <c r="I99" s="33">
        <f>G99</f>
        <v/>
      </c>
      <c r="J99" s="21" t="n"/>
      <c r="K99" s="21">
        <f>I99-G99</f>
        <v/>
      </c>
      <c r="L99" s="22" t="n"/>
      <c r="M99" s="22" t="inlineStr">
        <is>
          <t>TAG2400078</t>
        </is>
      </c>
      <c r="N99" s="22" t="inlineStr">
        <is>
          <t>1616800</t>
        </is>
      </c>
      <c r="O99" s="22">
        <f>M99=N99</f>
        <v/>
      </c>
      <c r="P99" s="22">
        <f>AND(MONTH(F99)=MONTH(S99), YEAR(F99)=YEAR(S99))</f>
        <v/>
      </c>
      <c r="Q99" s="22">
        <f>"L001-902303751"=U99</f>
        <v/>
      </c>
      <c r="R99" s="29">
        <f>G99-W99</f>
        <v/>
      </c>
      <c r="S99" s="30" t="n">
        <v>45377</v>
      </c>
      <c r="T99" s="26" t="n">
        <v>16168</v>
      </c>
      <c r="U99" s="26" t="inlineStr">
        <is>
          <t>K003-901635943</t>
        </is>
      </c>
      <c r="V99" s="26" t="inlineStr">
        <is>
          <t>អ៊ីឃ្យូឡាញ វើលវ៉ាយដ៍ ឡូជីស្ទីក</t>
        </is>
      </c>
      <c r="W99" s="27" t="n">
        <v>16168</v>
      </c>
      <c r="X99" s="26" t="n">
        <v>0</v>
      </c>
    </row>
    <row r="100">
      <c r="A100" s="3" t="n">
        <v>99</v>
      </c>
      <c r="B100" s="4" t="inlineStr">
        <is>
          <t>TRUCKING FEE, CUSTOMS CLEARANCE FEE</t>
        </is>
      </c>
      <c r="C100" s="4" t="inlineStr">
        <is>
          <t>ត្រាយអ៊ែងហ្គល ឡូជីស្ទីក (ខេមបូឌា) ឯ.ក</t>
        </is>
      </c>
      <c r="D100" s="5" t="inlineStr">
        <is>
          <t>K010-902101743</t>
        </is>
      </c>
      <c r="E100" s="10" t="inlineStr">
        <is>
          <t>TAG-24-00070</t>
        </is>
      </c>
      <c r="F100" s="7" t="inlineStr">
        <is>
          <t>28-02-2024</t>
        </is>
      </c>
      <c r="G100" s="8" t="n">
        <v>28497</v>
      </c>
      <c r="H100" s="9" t="n"/>
      <c r="I100" s="33">
        <f>G100</f>
        <v/>
      </c>
      <c r="J100" s="21" t="n"/>
      <c r="K100" s="21">
        <f>I100-G100</f>
        <v/>
      </c>
      <c r="L100" s="22" t="n"/>
      <c r="M100" s="22" t="inlineStr">
        <is>
          <t>TAG2400070</t>
        </is>
      </c>
      <c r="N100" s="22" t="inlineStr">
        <is>
          <t>18584000</t>
        </is>
      </c>
      <c r="O100" s="22">
        <f>M100=N100</f>
        <v/>
      </c>
      <c r="P100" s="22">
        <f>AND(MONTH(F100)=MONTH(S100), YEAR(F100)=YEAR(S100))</f>
        <v/>
      </c>
      <c r="Q100" s="22">
        <f>"L001-902303751"=U100</f>
        <v/>
      </c>
      <c r="R100" s="29">
        <f>G100-W100</f>
        <v/>
      </c>
      <c r="S100" s="30" t="n">
        <v>45390</v>
      </c>
      <c r="T100" s="26" t="n">
        <v>185840</v>
      </c>
      <c r="U100" s="26" t="inlineStr">
        <is>
          <t>K009-901605081</t>
        </is>
      </c>
      <c r="V100" s="26" t="inlineStr">
        <is>
          <t>ទ្រូ ខមភែនៀន ឡូជីស្ទីក (ខេមបូឌា)</t>
        </is>
      </c>
      <c r="W100" s="27" t="n">
        <v>185840</v>
      </c>
      <c r="X100" s="26" t="n">
        <v>0</v>
      </c>
    </row>
    <row r="101">
      <c r="A101" t="n">
        <v>100</v>
      </c>
      <c r="B101" t="inlineStr">
        <is>
          <t>TRUCKING FEE, CUSTOMS CLEARANCE FEE</t>
        </is>
      </c>
      <c r="C101" t="inlineStr">
        <is>
          <t>ត្រាយអ៊ែងហ្គល ឡូជីស្ទីក (ខេមបូឌា) ឯ.ក</t>
        </is>
      </c>
      <c r="D101" t="inlineStr">
        <is>
          <t>K010-902101743</t>
        </is>
      </c>
      <c r="E101" t="inlineStr">
        <is>
          <t>TAG-24-00054</t>
        </is>
      </c>
      <c r="F101" t="inlineStr">
        <is>
          <t>19-02-2024</t>
        </is>
      </c>
      <c r="G101" t="n">
        <v>8156</v>
      </c>
      <c r="I101">
        <f>G101</f>
        <v/>
      </c>
      <c r="K101">
        <f>I101-G101</f>
        <v/>
      </c>
      <c r="M101" t="inlineStr">
        <is>
          <t>TAG2400054</t>
        </is>
      </c>
      <c r="N101" t="inlineStr">
        <is>
          <t>8371100</t>
        </is>
      </c>
      <c r="O101">
        <f>M101=N101</f>
        <v/>
      </c>
      <c r="P101">
        <f>AND(MONTH(F101)=MONTH(S101), YEAR(F101)=YEAR(S101))</f>
        <v/>
      </c>
      <c r="Q101">
        <f>"L001-902303751"=U101</f>
        <v/>
      </c>
      <c r="R101">
        <f>G101-W101</f>
        <v/>
      </c>
      <c r="S101" s="36" t="n">
        <v>45399</v>
      </c>
      <c r="T101" t="n">
        <v>83711</v>
      </c>
      <c r="U101" t="inlineStr">
        <is>
          <t>L001-104015799</t>
        </is>
      </c>
      <c r="V101" t="inlineStr">
        <is>
          <t>យូសេន ឡូជីស្ទីក (ខេមបូឌា) ខូ អិលធីឌី</t>
        </is>
      </c>
      <c r="W101" t="n">
        <v>83711</v>
      </c>
      <c r="X101" t="n">
        <v>0</v>
      </c>
    </row>
    <row r="102">
      <c r="A102" t="n">
        <v>101</v>
      </c>
      <c r="B102" t="inlineStr">
        <is>
          <t>TRUCKING FEE, CUSTOMS CLEARANCE FEE</t>
        </is>
      </c>
      <c r="C102" t="inlineStr">
        <is>
          <t>ត្រាយអ៊ែងហ្គល ឡូជីស្ទីក (ខេមបូឌា) ឯ.ក</t>
        </is>
      </c>
      <c r="D102" t="inlineStr">
        <is>
          <t>K010-902101743</t>
        </is>
      </c>
      <c r="E102" t="inlineStr">
        <is>
          <t>TAG-24-00052</t>
        </is>
      </c>
      <c r="F102" t="inlineStr">
        <is>
          <t>19-02-2024</t>
        </is>
      </c>
      <c r="G102" t="n">
        <v>20390</v>
      </c>
      <c r="I102">
        <f>G102</f>
        <v/>
      </c>
      <c r="K102">
        <f>I102-G102</f>
        <v/>
      </c>
      <c r="M102" t="inlineStr">
        <is>
          <t>TAG2400052</t>
        </is>
      </c>
      <c r="N102" t="inlineStr">
        <is>
          <t>20472500</t>
        </is>
      </c>
      <c r="O102">
        <f>M102=N102</f>
        <v/>
      </c>
      <c r="P102">
        <f>AND(MONTH(F102)=MONTH(S102), YEAR(F102)=YEAR(S102))</f>
        <v/>
      </c>
      <c r="Q102">
        <f>"L001-902303751"=U102</f>
        <v/>
      </c>
      <c r="R102">
        <f>G102-W102</f>
        <v/>
      </c>
      <c r="S102" s="36" t="n">
        <v>45411</v>
      </c>
      <c r="T102" t="n">
        <v>204725</v>
      </c>
      <c r="U102" t="inlineStr">
        <is>
          <t>K003-901635943</t>
        </is>
      </c>
      <c r="V102" t="inlineStr">
        <is>
          <t>អ៊ីឃ្យូឡាញ វើលវ៉ាយដ៍ ឡូជីស្ទីក</t>
        </is>
      </c>
      <c r="W102" t="n">
        <v>204725</v>
      </c>
      <c r="X102" t="n">
        <v>0</v>
      </c>
    </row>
    <row r="103">
      <c r="A103" t="n">
        <v>102</v>
      </c>
      <c r="B103" t="inlineStr">
        <is>
          <t>TRUCKING FEE, CUSTOMS CLEARANCE FEE</t>
        </is>
      </c>
      <c r="C103" t="inlineStr">
        <is>
          <t>ត្រាយអ៊ែងហ្គល ឡូជីស្ទីក (ខេមបូឌា) ឯ.ក</t>
        </is>
      </c>
      <c r="D103" t="inlineStr">
        <is>
          <t>K010-902101743</t>
        </is>
      </c>
      <c r="E103" t="inlineStr">
        <is>
          <t>TAG-24-00049</t>
        </is>
      </c>
      <c r="F103" t="inlineStr">
        <is>
          <t>12-02-2024</t>
        </is>
      </c>
      <c r="G103" t="n">
        <v>28546</v>
      </c>
      <c r="I103">
        <f>G103</f>
        <v/>
      </c>
      <c r="K103">
        <f>I103-G103</f>
        <v/>
      </c>
      <c r="M103" t="inlineStr">
        <is>
          <t>TAG2400049</t>
        </is>
      </c>
      <c r="N103" t="inlineStr">
        <is>
          <t>225902500</t>
        </is>
      </c>
      <c r="O103">
        <f>M103=N103</f>
        <v/>
      </c>
      <c r="P103">
        <f>AND(MONTH(F103)=MONTH(S103), YEAR(F103)=YEAR(S103))</f>
        <v/>
      </c>
      <c r="Q103">
        <f>"L001-902303751"=U103</f>
        <v/>
      </c>
      <c r="R103">
        <f>G103-W103</f>
        <v/>
      </c>
      <c r="S103" s="36" t="n">
        <v>45400</v>
      </c>
      <c r="T103" t="n">
        <v>2259025</v>
      </c>
      <c r="U103" t="inlineStr">
        <is>
          <t>K009-901605081</t>
        </is>
      </c>
      <c r="V103" t="inlineStr">
        <is>
          <t>ទ្រូ ខមភែនៀន ឡូជីស្ទីក (ខេមបូឌា)</t>
        </is>
      </c>
      <c r="W103" t="n">
        <v>2259025</v>
      </c>
      <c r="X103" t="n">
        <v>0</v>
      </c>
    </row>
    <row r="104">
      <c r="A104" t="n">
        <v>103</v>
      </c>
      <c r="B104" t="inlineStr">
        <is>
          <t>TRUCKING FEE, CUSTOMS CLEARANCE FEE</t>
        </is>
      </c>
      <c r="C104" t="inlineStr">
        <is>
          <t>ត្រាយអ៊ែងហ្គល ឡូជីស្ទីក (ខេមបូឌា) ឯ.ក</t>
        </is>
      </c>
      <c r="D104" t="inlineStr">
        <is>
          <t>K010-902101743</t>
        </is>
      </c>
      <c r="E104" t="inlineStr">
        <is>
          <t>TAG-24-00062</t>
        </is>
      </c>
      <c r="F104" t="inlineStr">
        <is>
          <t>23-02-2024</t>
        </is>
      </c>
      <c r="G104" t="n">
        <v>32600</v>
      </c>
      <c r="I104">
        <f>G104</f>
        <v/>
      </c>
      <c r="K104">
        <f>I104-G104</f>
        <v/>
      </c>
      <c r="M104" t="inlineStr">
        <is>
          <t>TAG2400062</t>
        </is>
      </c>
      <c r="N104" t="inlineStr"/>
      <c r="O104">
        <f>M104=N104</f>
        <v/>
      </c>
      <c r="P104">
        <f>AND(MONTH(F104)=MONTH(S104), YEAR(F104)=YEAR(S104))</f>
        <v/>
      </c>
      <c r="Q104">
        <f>"L001-902303751"=U104</f>
        <v/>
      </c>
      <c r="R104">
        <f>G104-W104</f>
        <v/>
      </c>
      <c r="S104" s="36" t="n">
        <v>45399</v>
      </c>
      <c r="T104" t="inlineStr"/>
      <c r="U104" t="inlineStr">
        <is>
          <t>K003-901635943</t>
        </is>
      </c>
      <c r="V104" t="inlineStr">
        <is>
          <t>អ៊ីឃ្យូឡាញ វើលវ៉ាយដ៍ ឡូជីស្ទីក</t>
        </is>
      </c>
      <c r="W104" t="n">
        <v>0</v>
      </c>
      <c r="X104" t="n">
        <v>0</v>
      </c>
    </row>
    <row r="105">
      <c r="A105" t="n">
        <v>104</v>
      </c>
      <c r="B105" t="inlineStr">
        <is>
          <t>TRUCKING FEE, CUSTOMS CLEARANCE FEE</t>
        </is>
      </c>
      <c r="C105" t="inlineStr">
        <is>
          <t>ត្រាយអ៊ែងហ្គល ឡូជីស្ទីក (ខេមបូឌា) ឯ.ក</t>
        </is>
      </c>
      <c r="D105" t="inlineStr">
        <is>
          <t>K010-902101743</t>
        </is>
      </c>
      <c r="E105" t="inlineStr">
        <is>
          <t>TAG-24-00056</t>
        </is>
      </c>
      <c r="F105" t="inlineStr">
        <is>
          <t>20-02-2024</t>
        </is>
      </c>
      <c r="G105" t="n">
        <v>57397</v>
      </c>
      <c r="I105">
        <f>G105</f>
        <v/>
      </c>
      <c r="K105">
        <f>I105-G105</f>
        <v/>
      </c>
      <c r="M105" t="inlineStr">
        <is>
          <t>TAG2400056</t>
        </is>
      </c>
      <c r="N105" t="inlineStr">
        <is>
          <t>929200</t>
        </is>
      </c>
      <c r="O105">
        <f>M105=N105</f>
        <v/>
      </c>
      <c r="P105">
        <f>AND(MONTH(F105)=MONTH(S105), YEAR(F105)=YEAR(S105))</f>
        <v/>
      </c>
      <c r="Q105">
        <f>"L001-902303751"=U105</f>
        <v/>
      </c>
      <c r="R105">
        <f>G105-W105</f>
        <v/>
      </c>
      <c r="S105" s="36" t="n">
        <v>45390</v>
      </c>
      <c r="T105" t="n">
        <v>9292</v>
      </c>
      <c r="U105" t="inlineStr">
        <is>
          <t>L001-100098134</t>
        </is>
      </c>
      <c r="V105" t="inlineStr">
        <is>
          <t>បុងកាហ្វេ (ខេមបូឌា)</t>
        </is>
      </c>
      <c r="W105" t="n">
        <v>9292</v>
      </c>
      <c r="X105" t="n">
        <v>0</v>
      </c>
    </row>
    <row r="106">
      <c r="A106" t="n">
        <v>105</v>
      </c>
      <c r="B106" t="inlineStr">
        <is>
          <t>TRUCKING FEE, CUSTOMS CLEARANCE FEE</t>
        </is>
      </c>
      <c r="C106" t="inlineStr">
        <is>
          <t>ត្រាយអ៊ែងហ្គល ឡូជីស្ទីក (ខេមបូឌា) ឯ.ក</t>
        </is>
      </c>
      <c r="D106" t="inlineStr">
        <is>
          <t>K010-902101743</t>
        </is>
      </c>
      <c r="E106" t="inlineStr">
        <is>
          <t>TAG-24-00046</t>
        </is>
      </c>
      <c r="F106" t="inlineStr">
        <is>
          <t>12-02-2024</t>
        </is>
      </c>
      <c r="G106" t="n">
        <v>69326</v>
      </c>
      <c r="I106">
        <f>G106</f>
        <v/>
      </c>
      <c r="K106">
        <f>I106-G106</f>
        <v/>
      </c>
      <c r="M106" t="inlineStr">
        <is>
          <t>TAG2400046</t>
        </is>
      </c>
      <c r="N106" t="inlineStr">
        <is>
          <t>17533600</t>
        </is>
      </c>
      <c r="O106">
        <f>M106=N106</f>
        <v/>
      </c>
      <c r="P106">
        <f>AND(MONTH(F106)=MONTH(S106), YEAR(F106)=YEAR(S106))</f>
        <v/>
      </c>
      <c r="Q106">
        <f>"L001-902303751"=U106</f>
        <v/>
      </c>
      <c r="R106">
        <f>G106-W106</f>
        <v/>
      </c>
      <c r="S106" s="36" t="n">
        <v>45390</v>
      </c>
      <c r="T106" t="n">
        <v>175336</v>
      </c>
      <c r="U106" t="inlineStr">
        <is>
          <t>K003-901635943</t>
        </is>
      </c>
      <c r="V106" t="inlineStr">
        <is>
          <t>អ៊ីឃ្យូឡាញ វើលវ៉ាយដ៍ ឡូជីស្ទីក</t>
        </is>
      </c>
      <c r="W106" t="n">
        <v>175336</v>
      </c>
      <c r="X106" t="n">
        <v>0</v>
      </c>
    </row>
    <row r="107">
      <c r="A107" t="n">
        <v>106</v>
      </c>
      <c r="B107" t="inlineStr">
        <is>
          <t>TRUCKING FEE, CUSTOMS CLEARANCE FEE</t>
        </is>
      </c>
      <c r="C107" t="inlineStr">
        <is>
          <t>ត្រាយអ៊ែងហ្គល ឡូជីស្ទីក (ខេមបូឌា) ឯ.ក</t>
        </is>
      </c>
      <c r="D107" t="inlineStr">
        <is>
          <t>K010-902101743</t>
        </is>
      </c>
      <c r="E107" t="inlineStr">
        <is>
          <t>TAG-24-00038</t>
        </is>
      </c>
      <c r="F107" t="inlineStr">
        <is>
          <t>07-02-2024</t>
        </is>
      </c>
      <c r="G107" t="n">
        <v>69377</v>
      </c>
      <c r="I107">
        <f>G107</f>
        <v/>
      </c>
      <c r="K107">
        <f>I107-G107</f>
        <v/>
      </c>
      <c r="M107" t="inlineStr">
        <is>
          <t>TAG2400038</t>
        </is>
      </c>
      <c r="N107" t="inlineStr">
        <is>
          <t>8362800</t>
        </is>
      </c>
      <c r="O107">
        <f>M107=N107</f>
        <v/>
      </c>
      <c r="P107">
        <f>AND(MONTH(F107)=MONTH(S107), YEAR(F107)=YEAR(S107))</f>
        <v/>
      </c>
      <c r="Q107">
        <f>"L001-902303751"=U107</f>
        <v/>
      </c>
      <c r="R107">
        <f>G107-W107</f>
        <v/>
      </c>
      <c r="S107" s="36" t="n">
        <v>45390</v>
      </c>
      <c r="T107" t="n">
        <v>83628</v>
      </c>
      <c r="U107" t="inlineStr">
        <is>
          <t>L001-104015799</t>
        </is>
      </c>
      <c r="V107" t="inlineStr">
        <is>
          <t>យូសេន ឡូជីស្ទីក (ខេមបូឌា) ខូ អិលធីឌី</t>
        </is>
      </c>
      <c r="W107" t="n">
        <v>83628</v>
      </c>
      <c r="X107" t="n">
        <v>0</v>
      </c>
    </row>
    <row r="108">
      <c r="A108" t="n">
        <v>107</v>
      </c>
      <c r="B108" t="inlineStr">
        <is>
          <t>Trucking, Customs Clearance, Import Permit, Extra Trucking, Truck Fuel Surcharge and Handling Charge</t>
        </is>
      </c>
      <c r="C108" t="inlineStr">
        <is>
          <t>អេស អ វី ស៊ី ហ្វ្រេត សឺវីស (ខេមបូឌា) ខូ អិលធីឌី</t>
        </is>
      </c>
      <c r="D108" t="inlineStr">
        <is>
          <t>K005-100150195</t>
        </is>
      </c>
      <c r="E108" t="inlineStr">
        <is>
          <t>SRVI2400703</t>
        </is>
      </c>
      <c r="F108" t="inlineStr">
        <is>
          <t>05-02-2024</t>
        </is>
      </c>
      <c r="G108" t="n">
        <v>130035</v>
      </c>
      <c r="I108">
        <f>G108</f>
        <v/>
      </c>
      <c r="K108">
        <f>I108-G108</f>
        <v/>
      </c>
      <c r="M108" t="inlineStr">
        <is>
          <t>SRVI2400703</t>
        </is>
      </c>
      <c r="N108" t="inlineStr">
        <is>
          <t>12928000</t>
        </is>
      </c>
      <c r="O108">
        <f>M108=N108</f>
        <v/>
      </c>
      <c r="P108">
        <f>AND(MONTH(F108)=MONTH(S108), YEAR(F108)=YEAR(S108))</f>
        <v/>
      </c>
      <c r="Q108">
        <f>"L001-902303751"=U108</f>
        <v/>
      </c>
      <c r="R108">
        <f>G108-W108</f>
        <v/>
      </c>
      <c r="S108" s="36" t="n">
        <v>45390</v>
      </c>
      <c r="T108" t="n">
        <v>129280</v>
      </c>
      <c r="U108" t="inlineStr">
        <is>
          <t>L001-100098134</t>
        </is>
      </c>
      <c r="V108" t="inlineStr">
        <is>
          <t>បុងកាហ្វេ (ខេមបូឌា)</t>
        </is>
      </c>
      <c r="W108" t="n">
        <v>129280</v>
      </c>
      <c r="X108" t="n">
        <v>0</v>
      </c>
    </row>
    <row r="109">
      <c r="A109" t="n">
        <v>108</v>
      </c>
      <c r="B109" t="inlineStr">
        <is>
          <t>Washing Powder</t>
        </is>
      </c>
      <c r="C109" t="inlineStr">
        <is>
          <t>គី ស៊ីង អ៊ីមផត អិចផត ឯ.ក</t>
        </is>
      </c>
      <c r="D109" t="inlineStr">
        <is>
          <t>B108-901805414</t>
        </is>
      </c>
      <c r="E109" t="inlineStr">
        <is>
          <t>QX0065</t>
        </is>
      </c>
      <c r="F109" t="inlineStr">
        <is>
          <t>29-02-2024</t>
        </is>
      </c>
      <c r="G109" t="n">
        <v>130208</v>
      </c>
      <c r="I109">
        <f>G109</f>
        <v/>
      </c>
      <c r="K109">
        <f>I109-G109</f>
        <v/>
      </c>
      <c r="M109" t="inlineStr">
        <is>
          <t>QX0065</t>
        </is>
      </c>
      <c r="N109" t="inlineStr">
        <is>
          <t>11257300</t>
        </is>
      </c>
      <c r="O109">
        <f>M109=N109</f>
        <v/>
      </c>
      <c r="P109">
        <f>AND(MONTH(F109)=MONTH(S109), YEAR(F109)=YEAR(S109))</f>
        <v/>
      </c>
      <c r="Q109">
        <f>"L001-902303751"=U109</f>
        <v/>
      </c>
      <c r="R109">
        <f>G109-W109</f>
        <v/>
      </c>
      <c r="S109" s="36" t="n">
        <v>45404</v>
      </c>
      <c r="T109" t="n">
        <v>112573</v>
      </c>
      <c r="U109" t="inlineStr">
        <is>
          <t>K003-901635943</t>
        </is>
      </c>
      <c r="V109" t="inlineStr">
        <is>
          <t>អ៊ីឃ្យូឡាញ វើលវ៉ាយដ៍ ឡូជីស្ទីក</t>
        </is>
      </c>
      <c r="W109" t="n">
        <v>112573</v>
      </c>
      <c r="X109" t="n">
        <v>0</v>
      </c>
    </row>
    <row r="110">
      <c r="A110" t="n">
        <v>109</v>
      </c>
      <c r="B110" t="inlineStr">
        <is>
          <t>Stationery</t>
        </is>
      </c>
      <c r="C110" t="inlineStr">
        <is>
          <t>ស៊ី &amp; ជី ត្រេឌីង ឯ.ក</t>
        </is>
      </c>
      <c r="D110" t="inlineStr">
        <is>
          <t>K010-902205065</t>
        </is>
      </c>
      <c r="E110" t="inlineStr">
        <is>
          <t>2024-0012</t>
        </is>
      </c>
      <c r="F110" t="inlineStr">
        <is>
          <t>23-02-2024</t>
        </is>
      </c>
      <c r="G110" t="n">
        <v>394012</v>
      </c>
      <c r="I110">
        <f>G110</f>
        <v/>
      </c>
      <c r="K110">
        <f>I110-G110</f>
        <v/>
      </c>
      <c r="M110" t="inlineStr">
        <is>
          <t>20240012</t>
        </is>
      </c>
      <c r="N110" t="inlineStr">
        <is>
          <t>18685200</t>
        </is>
      </c>
      <c r="O110">
        <f>M110=N110</f>
        <v/>
      </c>
      <c r="P110">
        <f>AND(MONTH(F110)=MONTH(S110), YEAR(F110)=YEAR(S110))</f>
        <v/>
      </c>
      <c r="Q110">
        <f>"L001-902303751"=U110</f>
        <v/>
      </c>
      <c r="R110">
        <f>G110-W110</f>
        <v/>
      </c>
      <c r="S110" s="36" t="n">
        <v>45411</v>
      </c>
      <c r="T110" t="n">
        <v>186852</v>
      </c>
      <c r="U110" t="inlineStr">
        <is>
          <t>K009-901605081</t>
        </is>
      </c>
      <c r="V110" t="inlineStr">
        <is>
          <t>ទ្រូ ខមភែនៀន ឡូជីស្ទីក (ខេមបូឌា)</t>
        </is>
      </c>
      <c r="W110" t="n">
        <v>186852</v>
      </c>
      <c r="X110" t="n">
        <v>0</v>
      </c>
    </row>
    <row r="111">
      <c r="A111" t="n">
        <v>110</v>
      </c>
      <c r="B111" t="inlineStr">
        <is>
          <t>Automatic cutting blade</t>
        </is>
      </c>
      <c r="C111" t="inlineStr">
        <is>
          <t>យីស៊ូ ធេមផ្លេត ក្រាហ្វ ឯ.ក</t>
        </is>
      </c>
      <c r="D111" t="inlineStr">
        <is>
          <t>K010-902200360</t>
        </is>
      </c>
      <c r="E111" t="inlineStr">
        <is>
          <t>24-0031</t>
        </is>
      </c>
      <c r="F111" t="inlineStr">
        <is>
          <t>29-02-2024</t>
        </is>
      </c>
      <c r="G111" t="n">
        <v>30518</v>
      </c>
      <c r="I111">
        <f>G111</f>
        <v/>
      </c>
      <c r="K111">
        <f>I111-G111</f>
        <v/>
      </c>
      <c r="M111" t="inlineStr">
        <is>
          <t>240031</t>
        </is>
      </c>
      <c r="N111" t="inlineStr">
        <is>
          <t>22209000</t>
        </is>
      </c>
      <c r="O111">
        <f>M111=N111</f>
        <v/>
      </c>
      <c r="P111">
        <f>AND(MONTH(F111)=MONTH(S111), YEAR(F111)=YEAR(S111))</f>
        <v/>
      </c>
      <c r="Q111">
        <f>"L001-902303751"=U111</f>
        <v/>
      </c>
      <c r="R111">
        <f>G111-W111</f>
        <v/>
      </c>
      <c r="S111" s="36" t="n">
        <v>45383</v>
      </c>
      <c r="T111" t="n">
        <v>222090</v>
      </c>
      <c r="U111" t="inlineStr">
        <is>
          <t>L001-103007369</t>
        </is>
      </c>
      <c r="V111" t="inlineStr">
        <is>
          <t>អូរៀនថល ឡូជីស្ទីក &amp; ឌីស្ទ្រីប៊្យូសិន (ខេមបូឌា)</t>
        </is>
      </c>
      <c r="W111" t="n">
        <v>222090</v>
      </c>
      <c r="X111" t="n">
        <v>0</v>
      </c>
    </row>
    <row r="112">
      <c r="A112" t="n">
        <v>111</v>
      </c>
      <c r="B112" t="inlineStr">
        <is>
          <t>Thread</t>
        </is>
      </c>
      <c r="C112" t="inlineStr">
        <is>
          <t>គ្លូប៊ល សុីលីន ហ្គាមុិន អេកសេសឺរី ឯ.ក</t>
        </is>
      </c>
      <c r="D112" t="inlineStr">
        <is>
          <t>L001-902200857</t>
        </is>
      </c>
      <c r="E112" t="inlineStr">
        <is>
          <t>000133</t>
        </is>
      </c>
      <c r="F112" t="inlineStr">
        <is>
          <t>29-02-2024</t>
        </is>
      </c>
      <c r="G112" t="n">
        <v>2002533</v>
      </c>
      <c r="I112">
        <f>G112</f>
        <v/>
      </c>
      <c r="K112">
        <f>I112-G112</f>
        <v/>
      </c>
      <c r="M112" t="inlineStr">
        <is>
          <t>000133</t>
        </is>
      </c>
      <c r="N112" t="inlineStr">
        <is>
          <t>11201900</t>
        </is>
      </c>
      <c r="O112">
        <f>M112=N112</f>
        <v/>
      </c>
      <c r="P112">
        <f>AND(MONTH(F112)=MONTH(S112), YEAR(F112)=YEAR(S112))</f>
        <v/>
      </c>
      <c r="Q112">
        <f>"L001-902303751"=U112</f>
        <v/>
      </c>
      <c r="R112">
        <f>G112-W112</f>
        <v/>
      </c>
      <c r="S112" s="36" t="n">
        <v>45399</v>
      </c>
      <c r="T112" t="n">
        <v>112019</v>
      </c>
      <c r="U112" t="inlineStr">
        <is>
          <t>K003-901635943</t>
        </is>
      </c>
      <c r="V112" t="inlineStr">
        <is>
          <t>អ៊ីឃ្យូឡាញ វើលវ៉ាយដ៍ ឡូជីស្ទីក</t>
        </is>
      </c>
      <c r="W112" t="n">
        <v>112019</v>
      </c>
      <c r="X112" t="n">
        <v>0</v>
      </c>
    </row>
    <row r="113">
      <c r="A113" t="n">
        <v>112</v>
      </c>
      <c r="B113" t="inlineStr">
        <is>
          <t>Scissors, Bench vise, Grinder and Trouser rack</t>
        </is>
      </c>
      <c r="C113" t="inlineStr">
        <is>
          <t>ក្លាក ហ៊ូ ឯ.ក</t>
        </is>
      </c>
      <c r="D113" t="inlineStr">
        <is>
          <t>K007-901639199</t>
        </is>
      </c>
      <c r="E113" t="inlineStr">
        <is>
          <t>IN0396</t>
        </is>
      </c>
      <c r="F113" t="inlineStr">
        <is>
          <t>29-02-2024</t>
        </is>
      </c>
      <c r="G113" t="n">
        <v>99691</v>
      </c>
      <c r="I113">
        <f>G113</f>
        <v/>
      </c>
      <c r="K113">
        <f>I113-G113</f>
        <v/>
      </c>
      <c r="M113" t="inlineStr">
        <is>
          <t>IN0396</t>
        </is>
      </c>
      <c r="N113" t="inlineStr">
        <is>
          <t>220180000</t>
        </is>
      </c>
      <c r="O113">
        <f>M113=N113</f>
        <v/>
      </c>
      <c r="P113">
        <f>AND(MONTH(F113)=MONTH(S113), YEAR(F113)=YEAR(S113))</f>
        <v/>
      </c>
      <c r="Q113">
        <f>"L001-902303751"=U113</f>
        <v/>
      </c>
      <c r="R113">
        <f>G113-W113</f>
        <v/>
      </c>
      <c r="S113" s="36" t="n">
        <v>45390</v>
      </c>
      <c r="T113" t="n">
        <v>2201800</v>
      </c>
      <c r="U113" t="inlineStr">
        <is>
          <t>K009-901605081</t>
        </is>
      </c>
      <c r="V113" t="inlineStr">
        <is>
          <t>ទ្រូ ខមភែនៀន ឡូជីស្ទីក (ខេមបូឌា)</t>
        </is>
      </c>
      <c r="W113" t="n">
        <v>2201800</v>
      </c>
      <c r="X113" t="n">
        <v>0</v>
      </c>
    </row>
    <row r="114">
      <c r="A114" t="n">
        <v>113</v>
      </c>
      <c r="B114" t="inlineStr">
        <is>
          <t>Thread</t>
        </is>
      </c>
      <c r="C114" t="inlineStr">
        <is>
          <t>គ្លូប៊ល សុីលីន ហ្គាមុិន អេកសេសឺរី ឯ.ក</t>
        </is>
      </c>
      <c r="D114" t="inlineStr">
        <is>
          <t>L001-902200857</t>
        </is>
      </c>
      <c r="E114" t="inlineStr">
        <is>
          <t>000134</t>
        </is>
      </c>
      <c r="F114" t="inlineStr">
        <is>
          <t>29-02-2024</t>
        </is>
      </c>
      <c r="G114" t="n">
        <v>105794</v>
      </c>
      <c r="I114">
        <f>G114</f>
        <v/>
      </c>
      <c r="K114">
        <f>I114-G114</f>
        <v/>
      </c>
      <c r="M114" t="inlineStr">
        <is>
          <t>000134</t>
        </is>
      </c>
      <c r="N114" t="inlineStr">
        <is>
          <t>221379000</t>
        </is>
      </c>
      <c r="O114">
        <f>M114=N114</f>
        <v/>
      </c>
      <c r="P114">
        <f>AND(MONTH(F114)=MONTH(S114), YEAR(F114)=YEAR(S114))</f>
        <v/>
      </c>
      <c r="Q114">
        <f>"L001-902303751"=U114</f>
        <v/>
      </c>
      <c r="R114">
        <f>G114-W114</f>
        <v/>
      </c>
      <c r="S114" s="36" t="n">
        <v>45411</v>
      </c>
      <c r="T114" t="n">
        <v>2213790</v>
      </c>
      <c r="U114" t="inlineStr">
        <is>
          <t>K009-901605081</t>
        </is>
      </c>
      <c r="V114" t="inlineStr">
        <is>
          <t>ទ្រូ ខមភែនៀន ឡូជីស្ទីក (ខេមបូឌា)</t>
        </is>
      </c>
      <c r="W114" t="n">
        <v>2213790</v>
      </c>
      <c r="X114" t="n">
        <v>0</v>
      </c>
    </row>
    <row r="115">
      <c r="A115" t="n">
        <v>114</v>
      </c>
      <c r="B115" t="inlineStr">
        <is>
          <t>Monthly Security for Feb 2024</t>
        </is>
      </c>
      <c r="C115" t="inlineStr">
        <is>
          <t>អិល.ប៊ី.អិល.អេច ស៊ីឃ្យូរឹធី ឯ.ក</t>
        </is>
      </c>
      <c r="D115" t="inlineStr">
        <is>
          <t>K010-902202247</t>
        </is>
      </c>
      <c r="E115" t="inlineStr">
        <is>
          <t>L.B.L.H00002</t>
        </is>
      </c>
      <c r="F115" t="inlineStr">
        <is>
          <t>25-02-2024</t>
        </is>
      </c>
      <c r="G115" t="n">
        <v>1393650</v>
      </c>
      <c r="I115">
        <f>G115</f>
        <v/>
      </c>
      <c r="K115">
        <f>I115-G115</f>
        <v/>
      </c>
      <c r="M115" t="inlineStr">
        <is>
          <t>LBLH00002</t>
        </is>
      </c>
      <c r="N115" t="inlineStr">
        <is>
          <t>40314900</t>
        </is>
      </c>
      <c r="O115">
        <f>M115=N115</f>
        <v/>
      </c>
      <c r="P115">
        <f>AND(MONTH(F115)=MONTH(S115), YEAR(F115)=YEAR(S115))</f>
        <v/>
      </c>
      <c r="Q115">
        <f>"L001-902303751"=U115</f>
        <v/>
      </c>
      <c r="R115">
        <f>G115-W115</f>
        <v/>
      </c>
      <c r="S115" s="36" t="n">
        <v>45404</v>
      </c>
      <c r="T115" t="n">
        <v>403149</v>
      </c>
      <c r="U115" t="inlineStr">
        <is>
          <t>K002-901900264</t>
        </is>
      </c>
      <c r="V115" t="inlineStr">
        <is>
          <t>ហេកធ័រ ត្រេនស្ព័រថេសិន (ខេមបូឌា) ឯ.ក</t>
        </is>
      </c>
      <c r="W115" t="n">
        <v>403149</v>
      </c>
      <c r="X115" t="n">
        <v>0</v>
      </c>
    </row>
    <row r="116">
      <c r="A116" t="n">
        <v>115</v>
      </c>
      <c r="B116" t="inlineStr">
        <is>
          <t>Raw Material</t>
        </is>
      </c>
      <c r="C116" t="inlineStr">
        <is>
          <t>ក្លាក ហ៊ូ ឯ.ក</t>
        </is>
      </c>
      <c r="D116" t="inlineStr">
        <is>
          <t>K007-901639199</t>
        </is>
      </c>
      <c r="E116" t="inlineStr">
        <is>
          <t>IN0394</t>
        </is>
      </c>
      <c r="F116" t="inlineStr">
        <is>
          <t>29-02-2024</t>
        </is>
      </c>
      <c r="G116" t="n">
        <v>496662</v>
      </c>
      <c r="I116">
        <f>G116</f>
        <v/>
      </c>
      <c r="K116">
        <f>I116-G116</f>
        <v/>
      </c>
      <c r="M116" t="inlineStr">
        <is>
          <t>IN0394</t>
        </is>
      </c>
      <c r="N116" t="inlineStr">
        <is>
          <t>220234500</t>
        </is>
      </c>
      <c r="O116">
        <f>M116=N116</f>
        <v/>
      </c>
      <c r="P116">
        <f>AND(MONTH(F116)=MONTH(S116), YEAR(F116)=YEAR(S116))</f>
        <v/>
      </c>
      <c r="Q116">
        <f>"L001-902303751"=U116</f>
        <v/>
      </c>
      <c r="R116">
        <f>G116-W116</f>
        <v/>
      </c>
      <c r="S116" s="36" t="n">
        <v>45391</v>
      </c>
      <c r="T116" t="n">
        <v>2202345</v>
      </c>
      <c r="U116" t="inlineStr">
        <is>
          <t>K009-901605081</t>
        </is>
      </c>
      <c r="V116" t="inlineStr">
        <is>
          <t>ទ្រូ ខមភែនៀន ឡូជីស្ទីក (ខេមបូឌា)</t>
        </is>
      </c>
      <c r="W116" t="n">
        <v>2202345</v>
      </c>
      <c r="X116" t="n">
        <v>0</v>
      </c>
    </row>
    <row r="117">
      <c r="A117" t="n">
        <v>116</v>
      </c>
      <c r="B117" t="inlineStr">
        <is>
          <t>Raw Material</t>
        </is>
      </c>
      <c r="C117" t="inlineStr">
        <is>
          <t>ក្លាក ហ៊ូ ឯ.ក</t>
        </is>
      </c>
      <c r="D117" t="inlineStr">
        <is>
          <t>K007-901639199</t>
        </is>
      </c>
      <c r="E117" t="inlineStr">
        <is>
          <t>IN0395</t>
        </is>
      </c>
      <c r="F117" t="inlineStr">
        <is>
          <t>29-02-2024</t>
        </is>
      </c>
      <c r="G117" t="n">
        <v>670937</v>
      </c>
      <c r="I117">
        <f>G117</f>
        <v/>
      </c>
      <c r="K117">
        <f>I117-G117</f>
        <v/>
      </c>
      <c r="M117" t="inlineStr">
        <is>
          <t>IN0395</t>
        </is>
      </c>
      <c r="N117" t="inlineStr">
        <is>
          <t>19067000</t>
        </is>
      </c>
      <c r="O117">
        <f>M117=N117</f>
        <v/>
      </c>
      <c r="P117">
        <f>AND(MONTH(F117)=MONTH(S117), YEAR(F117)=YEAR(S117))</f>
        <v/>
      </c>
      <c r="Q117">
        <f>"L001-902303751"=U117</f>
        <v/>
      </c>
      <c r="R117">
        <f>G117-W117</f>
        <v/>
      </c>
      <c r="S117" s="36" t="n">
        <v>45400</v>
      </c>
      <c r="T117" t="n">
        <v>190670</v>
      </c>
      <c r="U117" t="inlineStr">
        <is>
          <t>K009-901605081</t>
        </is>
      </c>
      <c r="V117" t="inlineStr">
        <is>
          <t>ទ្រូ ខមភែនៀន ឡូជីស្ទីក (ខេមបូឌា)</t>
        </is>
      </c>
      <c r="W117" t="n">
        <v>190670</v>
      </c>
      <c r="X117" t="n">
        <v>0</v>
      </c>
    </row>
    <row r="118">
      <c r="A118" t="n">
        <v>117</v>
      </c>
      <c r="B118" t="inlineStr">
        <is>
          <t>Machinery Rental for Feb 2024</t>
        </is>
      </c>
      <c r="C118" t="inlineStr">
        <is>
          <t>ក្លាក ហ៊ូ ឯ.ក</t>
        </is>
      </c>
      <c r="D118" t="inlineStr">
        <is>
          <t>K007-901639199</t>
        </is>
      </c>
      <c r="E118" t="inlineStr">
        <is>
          <t>IN0335</t>
        </is>
      </c>
      <c r="F118" t="inlineStr">
        <is>
          <t>29-02-2024</t>
        </is>
      </c>
      <c r="G118" t="n">
        <v>112844</v>
      </c>
      <c r="I118">
        <f>G118</f>
        <v/>
      </c>
      <c r="K118">
        <f>I118-G118</f>
        <v/>
      </c>
      <c r="M118" t="inlineStr">
        <is>
          <t>IN0335</t>
        </is>
      </c>
      <c r="N118" t="inlineStr">
        <is>
          <t>8362800</t>
        </is>
      </c>
      <c r="O118">
        <f>M118=N118</f>
        <v/>
      </c>
      <c r="P118">
        <f>AND(MONTH(F118)=MONTH(S118), YEAR(F118)=YEAR(S118))</f>
        <v/>
      </c>
      <c r="Q118">
        <f>"L001-902303751"=U118</f>
        <v/>
      </c>
      <c r="R118">
        <f>G118-W118</f>
        <v/>
      </c>
      <c r="S118" s="36" t="n">
        <v>45390</v>
      </c>
      <c r="T118" t="n">
        <v>83628</v>
      </c>
      <c r="U118" t="inlineStr">
        <is>
          <t>L001-104015799</t>
        </is>
      </c>
      <c r="V118" t="inlineStr">
        <is>
          <t>យូសេន ឡូជីស្ទីក (ខេមបូឌា) ខូ អិលធីឌី</t>
        </is>
      </c>
      <c r="W118" t="n">
        <v>83628</v>
      </c>
      <c r="X118" t="n">
        <v>0</v>
      </c>
    </row>
    <row r="119">
      <c r="A119" t="n">
        <v>118</v>
      </c>
      <c r="B119" t="inlineStr">
        <is>
          <t>PVC Thin Film</t>
        </is>
      </c>
      <c r="C119" t="inlineStr">
        <is>
          <t>ដេកូស៍ អ៊ិនដាសស្ទ្រី ឯ.ក</t>
        </is>
      </c>
      <c r="D119" t="inlineStr">
        <is>
          <t>K007-901639102</t>
        </is>
      </c>
      <c r="E119" t="inlineStr">
        <is>
          <t>00022</t>
        </is>
      </c>
      <c r="F119" t="inlineStr">
        <is>
          <t>19-02-2024</t>
        </is>
      </c>
      <c r="G119" t="n">
        <v>179432</v>
      </c>
      <c r="I119">
        <f>G119</f>
        <v/>
      </c>
      <c r="K119">
        <f>I119-G119</f>
        <v/>
      </c>
      <c r="M119" t="inlineStr">
        <is>
          <t>00022</t>
        </is>
      </c>
      <c r="N119" t="inlineStr"/>
      <c r="O119">
        <f>M119=N119</f>
        <v/>
      </c>
      <c r="P119">
        <f>AND(MONTH(F119)=MONTH(S119), YEAR(F119)=YEAR(S119))</f>
        <v/>
      </c>
      <c r="Q119">
        <f>"L001-902303751"=U119</f>
        <v/>
      </c>
      <c r="R119">
        <f>G119-W119</f>
        <v/>
      </c>
      <c r="S119" s="36" t="n">
        <v>45390</v>
      </c>
      <c r="T119" t="inlineStr"/>
      <c r="U119" t="inlineStr">
        <is>
          <t>L001-104015799</t>
        </is>
      </c>
      <c r="V119" t="inlineStr">
        <is>
          <t>យូសេន ឡូជីស្ទីក (ខេមបូឌា) ខូ អិលធីឌី</t>
        </is>
      </c>
      <c r="W119" t="n">
        <v>0</v>
      </c>
      <c r="X119" t="n">
        <v>0</v>
      </c>
    </row>
    <row r="120">
      <c r="A120" t="n">
        <v>119</v>
      </c>
      <c r="B120" t="inlineStr">
        <is>
          <t>50% for Monthly Tax Service for January 2024</t>
        </is>
      </c>
      <c r="C120" t="inlineStr">
        <is>
          <t>ខេឌី ខនសាល់ធេន ឯ.ក</t>
        </is>
      </c>
      <c r="D120" t="inlineStr">
        <is>
          <t>K005-901704277</t>
        </is>
      </c>
      <c r="E120" t="inlineStr">
        <is>
          <t>20240000179</t>
        </is>
      </c>
      <c r="F120" t="inlineStr">
        <is>
          <t>16-02-2024</t>
        </is>
      </c>
      <c r="G120" t="n">
        <v>50950</v>
      </c>
      <c r="I120">
        <f>G120</f>
        <v/>
      </c>
      <c r="K120">
        <f>I120-G120</f>
        <v/>
      </c>
      <c r="M120" t="inlineStr">
        <is>
          <t>20240000179</t>
        </is>
      </c>
      <c r="N120" t="inlineStr">
        <is>
          <t>8406300</t>
        </is>
      </c>
      <c r="O120">
        <f>M120=N120</f>
        <v/>
      </c>
      <c r="P120">
        <f>AND(MONTH(F120)=MONTH(S120), YEAR(F120)=YEAR(S120))</f>
        <v/>
      </c>
      <c r="Q120">
        <f>"L001-902303751"=U120</f>
        <v/>
      </c>
      <c r="R120">
        <f>G120-W120</f>
        <v/>
      </c>
      <c r="S120" s="36" t="n">
        <v>45409</v>
      </c>
      <c r="T120" t="n">
        <v>84063</v>
      </c>
      <c r="U120" t="inlineStr">
        <is>
          <t>L001-104015799</t>
        </is>
      </c>
      <c r="V120" t="inlineStr">
        <is>
          <t>យូសេន ឡូជីស្ទីក (ខេមបូឌា) ខូ អិលធីឌី</t>
        </is>
      </c>
      <c r="W120" t="n">
        <v>84063</v>
      </c>
      <c r="X120" t="n">
        <v>0</v>
      </c>
    </row>
    <row r="121">
      <c r="A121" t="n">
        <v>120</v>
      </c>
      <c r="B121" t="inlineStr">
        <is>
          <t>Being billed for 2023 Tax on Income return preparation &amp; Out-of pocket expense</t>
        </is>
      </c>
      <c r="C121" t="inlineStr">
        <is>
          <t>អេហ្វអាយអាយ &amp; អឹសូស៊ីអេត</t>
        </is>
      </c>
      <c r="D121" t="inlineStr">
        <is>
          <t>K008-104009497</t>
        </is>
      </c>
      <c r="E121" t="inlineStr">
        <is>
          <t>2024/0197</t>
        </is>
      </c>
      <c r="F121" t="inlineStr">
        <is>
          <t>08-02-2024</t>
        </is>
      </c>
      <c r="G121" t="n">
        <v>416262</v>
      </c>
      <c r="I121">
        <f>G121</f>
        <v/>
      </c>
      <c r="K121">
        <f>I121-G121</f>
        <v/>
      </c>
      <c r="M121" t="inlineStr">
        <is>
          <t>20240197</t>
        </is>
      </c>
      <c r="N121" t="inlineStr"/>
      <c r="O121">
        <f>M121=N121</f>
        <v/>
      </c>
      <c r="P121">
        <f>AND(MONTH(F121)=MONTH(S121), YEAR(F121)=YEAR(S121))</f>
        <v/>
      </c>
      <c r="Q121">
        <f>"L001-902303751"=U121</f>
        <v/>
      </c>
      <c r="R121">
        <f>G121-W121</f>
        <v/>
      </c>
      <c r="S121" s="36" t="n">
        <v>45390</v>
      </c>
      <c r="T121" t="inlineStr"/>
      <c r="U121" t="inlineStr">
        <is>
          <t>K003-901635943</t>
        </is>
      </c>
      <c r="V121" t="inlineStr">
        <is>
          <t>អ៊ីឃ្យូឡាញ វើលវ៉ាយដ៍ ឡូជីស្ទីក</t>
        </is>
      </c>
      <c r="W121" t="n">
        <v>0</v>
      </c>
      <c r="X121" t="n">
        <v>0</v>
      </c>
    </row>
    <row r="122">
      <c r="A122" t="n">
        <v>121</v>
      </c>
      <c r="B122" t="inlineStr">
        <is>
          <t>Monthly Charge of Photo Copies Rental from 06/01/2024 to 06/02/2024</t>
        </is>
      </c>
      <c r="C122" t="inlineStr">
        <is>
          <t>វី.អាយ.អេស ខភៀ ឯ.ក</t>
        </is>
      </c>
      <c r="D122" t="inlineStr">
        <is>
          <t>K007-901705195</t>
        </is>
      </c>
      <c r="E122" t="inlineStr">
        <is>
          <t>RNT240226</t>
        </is>
      </c>
      <c r="F122" t="inlineStr">
        <is>
          <t>06-02-2024</t>
        </is>
      </c>
      <c r="G122" t="n">
        <v>57134</v>
      </c>
      <c r="I122">
        <f>G122</f>
        <v/>
      </c>
      <c r="K122">
        <f>I122-G122</f>
        <v/>
      </c>
      <c r="M122" t="inlineStr">
        <is>
          <t>RNT240226</t>
        </is>
      </c>
      <c r="N122" t="inlineStr"/>
      <c r="O122">
        <f>M122=N122</f>
        <v/>
      </c>
      <c r="P122">
        <f>AND(MONTH(F122)=MONTH(S122), YEAR(F122)=YEAR(S122))</f>
        <v/>
      </c>
      <c r="Q122">
        <f>"L001-902303751"=U122</f>
        <v/>
      </c>
      <c r="R122">
        <f>G122-W122</f>
        <v/>
      </c>
      <c r="S122" s="36" t="n">
        <v>45404</v>
      </c>
      <c r="T122" t="inlineStr"/>
      <c r="U122" t="inlineStr">
        <is>
          <t>K003-901635943</t>
        </is>
      </c>
      <c r="V122" t="inlineStr">
        <is>
          <t>អ៊ីឃ្យូឡាញ វើលវ៉ាយដ៍ ឡូជីស្ទីក</t>
        </is>
      </c>
      <c r="W122" t="n">
        <v>0</v>
      </c>
      <c r="X122" t="n">
        <v>0</v>
      </c>
    </row>
    <row r="123">
      <c r="A123" t="n">
        <v>122</v>
      </c>
      <c r="B123" t="inlineStr">
        <is>
          <t>Monthly Charge of Photo Copies Rental from 06/01/2024 to 06/02/2024</t>
        </is>
      </c>
      <c r="C123" t="inlineStr">
        <is>
          <t>វី.អាយ.អេស ខភៀ ឯ.ក</t>
        </is>
      </c>
      <c r="D123" t="inlineStr">
        <is>
          <t>K007-901705195</t>
        </is>
      </c>
      <c r="E123" t="inlineStr">
        <is>
          <t>RNT240225</t>
        </is>
      </c>
      <c r="F123" t="inlineStr">
        <is>
          <t>06-02-2024</t>
        </is>
      </c>
      <c r="G123" t="n">
        <v>28567</v>
      </c>
      <c r="I123">
        <f>G123</f>
        <v/>
      </c>
      <c r="K123">
        <f>I123-G123</f>
        <v/>
      </c>
      <c r="M123" t="inlineStr">
        <is>
          <t>RNT240225</t>
        </is>
      </c>
      <c r="N123" t="inlineStr"/>
      <c r="O123">
        <f>M123=N123</f>
        <v/>
      </c>
      <c r="P123">
        <f>AND(MONTH(F123)=MONTH(S123), YEAR(F123)=YEAR(S123))</f>
        <v/>
      </c>
      <c r="Q123">
        <f>"L001-902303751"=U123</f>
        <v/>
      </c>
      <c r="R123">
        <f>G123-W123</f>
        <v/>
      </c>
      <c r="S123" s="36" t="n">
        <v>45411</v>
      </c>
      <c r="T123" t="inlineStr"/>
      <c r="U123" t="inlineStr">
        <is>
          <t>K003-901635943</t>
        </is>
      </c>
      <c r="V123" t="inlineStr">
        <is>
          <t>អ៊ីឃ្យូឡាញ វើលវ៉ាយដ៍ ឡូជីស្ទីក</t>
        </is>
      </c>
      <c r="W123" t="n">
        <v>0</v>
      </c>
      <c r="X123" t="n">
        <v>0</v>
      </c>
    </row>
    <row r="124">
      <c r="A124" t="n">
        <v>123</v>
      </c>
      <c r="B124" t="inlineStr">
        <is>
          <t>Monthly Charge of Photo Copies Rental from 06/01/2024 to 06/02/2024</t>
        </is>
      </c>
      <c r="C124" t="inlineStr">
        <is>
          <t>វី.អាយ.អេស ខភៀ ឯ.ក</t>
        </is>
      </c>
      <c r="D124" t="inlineStr">
        <is>
          <t>K007-901705195</t>
        </is>
      </c>
      <c r="E124" t="inlineStr">
        <is>
          <t>RNT240224</t>
        </is>
      </c>
      <c r="F124" t="inlineStr">
        <is>
          <t>06-02-2024</t>
        </is>
      </c>
      <c r="G124" t="n">
        <v>26527</v>
      </c>
      <c r="I124">
        <f>G124</f>
        <v/>
      </c>
      <c r="K124">
        <f>I124-G124</f>
        <v/>
      </c>
      <c r="M124" t="inlineStr">
        <is>
          <t>RNT240224</t>
        </is>
      </c>
      <c r="N124" t="inlineStr">
        <is>
          <t>59412400</t>
        </is>
      </c>
      <c r="O124">
        <f>M124=N124</f>
        <v/>
      </c>
      <c r="P124">
        <f>AND(MONTH(F124)=MONTH(S124), YEAR(F124)=YEAR(S124))</f>
        <v/>
      </c>
      <c r="Q124">
        <f>"L001-902303751"=U124</f>
        <v/>
      </c>
      <c r="R124">
        <f>G124-W124</f>
        <v/>
      </c>
      <c r="S124" s="36" t="n">
        <v>45409</v>
      </c>
      <c r="T124" t="n">
        <v>594124</v>
      </c>
      <c r="U124" t="inlineStr">
        <is>
          <t>K002-901900264</t>
        </is>
      </c>
      <c r="V124" t="inlineStr">
        <is>
          <t>ហេកធ័រ ត្រេនស្ព័រថេសិន (ខេមបូឌា) ឯ.ក</t>
        </is>
      </c>
      <c r="W124" t="n">
        <v>594124</v>
      </c>
      <c r="X124" t="n">
        <v>0</v>
      </c>
    </row>
    <row r="125">
      <c r="A125" t="n">
        <v>124</v>
      </c>
      <c r="B125" t="inlineStr">
        <is>
          <t>Monthly Charge of Photo Copies Rental from 06/01/2024 to 06/02/2024</t>
        </is>
      </c>
      <c r="C125" t="inlineStr">
        <is>
          <t>វី.អាយ.អេស ខភៀ ឯ.ក</t>
        </is>
      </c>
      <c r="D125" t="inlineStr">
        <is>
          <t>K007-901705195</t>
        </is>
      </c>
      <c r="E125" t="inlineStr">
        <is>
          <t>RNT240223</t>
        </is>
      </c>
      <c r="F125" t="inlineStr">
        <is>
          <t>06-02-2024</t>
        </is>
      </c>
      <c r="G125" t="n">
        <v>57134</v>
      </c>
      <c r="I125">
        <f>G125</f>
        <v/>
      </c>
      <c r="K125">
        <f>I125-G125</f>
        <v/>
      </c>
      <c r="M125" t="inlineStr">
        <is>
          <t>RNT240223</t>
        </is>
      </c>
      <c r="N125" t="inlineStr">
        <is>
          <t>18588600</t>
        </is>
      </c>
      <c r="O125">
        <f>M125=N125</f>
        <v/>
      </c>
      <c r="P125">
        <f>AND(MONTH(F125)=MONTH(S125), YEAR(F125)=YEAR(S125))</f>
        <v/>
      </c>
      <c r="Q125">
        <f>"L001-902303751"=U125</f>
        <v/>
      </c>
      <c r="R125">
        <f>G125-W125</f>
        <v/>
      </c>
      <c r="S125" s="36" t="n">
        <v>45391</v>
      </c>
      <c r="T125" t="n">
        <v>185886</v>
      </c>
      <c r="U125" t="inlineStr">
        <is>
          <t>K009-901605081</t>
        </is>
      </c>
      <c r="V125" t="inlineStr">
        <is>
          <t>ទ្រូ ខមភែនៀន ឡូជីស្ទីក (ខេមបូឌា)</t>
        </is>
      </c>
      <c r="W125" t="n">
        <v>185886</v>
      </c>
      <c r="X125" t="n">
        <v>0</v>
      </c>
    </row>
    <row r="126">
      <c r="A126" t="n">
        <v>125</v>
      </c>
      <c r="B126" t="inlineStr">
        <is>
          <t>Security Expense for March 2024</t>
        </is>
      </c>
      <c r="C126" t="inlineStr">
        <is>
          <t>អិល.ប៊ី.អិល.អេច ស៊ីឃ្យូរឹធី ឯ.ក</t>
        </is>
      </c>
      <c r="D126" t="inlineStr">
        <is>
          <t>K010-902202247</t>
        </is>
      </c>
      <c r="E126" t="inlineStr">
        <is>
          <t>L.B.L.H00003</t>
        </is>
      </c>
      <c r="F126" t="inlineStr">
        <is>
          <t>25-03-2024</t>
        </is>
      </c>
      <c r="G126" t="n">
        <v>1381338</v>
      </c>
      <c r="I126">
        <f>G126</f>
        <v/>
      </c>
      <c r="K126">
        <f>I126-G126</f>
        <v/>
      </c>
      <c r="M126" t="inlineStr">
        <is>
          <t>LBLH00003</t>
        </is>
      </c>
      <c r="N126" t="inlineStr">
        <is>
          <t>11190800</t>
        </is>
      </c>
      <c r="O126">
        <f>M126=N126</f>
        <v/>
      </c>
      <c r="P126">
        <f>AND(MONTH(F126)=MONTH(S126), YEAR(F126)=YEAR(S126))</f>
        <v/>
      </c>
      <c r="Q126">
        <f>"L001-902303751"=U126</f>
        <v/>
      </c>
      <c r="R126">
        <f>G126-W126</f>
        <v/>
      </c>
      <c r="S126" s="36" t="n">
        <v>45390</v>
      </c>
      <c r="T126" t="n">
        <v>111908</v>
      </c>
      <c r="U126" t="inlineStr">
        <is>
          <t>L001-104015799</t>
        </is>
      </c>
      <c r="V126" t="inlineStr">
        <is>
          <t>យូសេន ឡូជីស្ទីក (ខេមបូឌា) ខូ អិលធីឌី</t>
        </is>
      </c>
      <c r="W126" t="n">
        <v>111908</v>
      </c>
      <c r="X126" t="n">
        <v>0</v>
      </c>
    </row>
    <row r="127">
      <c r="A127" t="n">
        <v>126</v>
      </c>
      <c r="B127" t="inlineStr">
        <is>
          <t>Monthly Tax Service for February 2024</t>
        </is>
      </c>
      <c r="C127" t="inlineStr">
        <is>
          <t>ខេឌី ខនសាល់ធេន ឯ.ក</t>
        </is>
      </c>
      <c r="D127" t="inlineStr">
        <is>
          <t>K005-901704277</t>
        </is>
      </c>
      <c r="E127" t="inlineStr">
        <is>
          <t>20240000330</t>
        </is>
      </c>
      <c r="F127" t="inlineStr">
        <is>
          <t>27-03-2024</t>
        </is>
      </c>
      <c r="G127" t="n">
        <v>101050</v>
      </c>
      <c r="I127">
        <f>G127</f>
        <v/>
      </c>
      <c r="K127">
        <f>I127-G127</f>
        <v/>
      </c>
      <c r="M127" t="inlineStr">
        <is>
          <t>20240000330</t>
        </is>
      </c>
      <c r="N127" t="inlineStr">
        <is>
          <t>18680600</t>
        </is>
      </c>
      <c r="O127">
        <f>M127=N127</f>
        <v/>
      </c>
      <c r="P127">
        <f>AND(MONTH(F127)=MONTH(S127), YEAR(F127)=YEAR(S127))</f>
        <v/>
      </c>
      <c r="Q127">
        <f>"L001-902303751"=U127</f>
        <v/>
      </c>
      <c r="R127">
        <f>G127-W127</f>
        <v/>
      </c>
      <c r="S127" s="36" t="n">
        <v>45409</v>
      </c>
      <c r="T127" t="n">
        <v>186806</v>
      </c>
      <c r="U127" t="inlineStr">
        <is>
          <t>K009-901605081</t>
        </is>
      </c>
      <c r="V127" t="inlineStr">
        <is>
          <t>ទ្រូ ខមភែនៀន ឡូជីស្ទីក (ខេមបូឌា)</t>
        </is>
      </c>
      <c r="W127" t="n">
        <v>186806</v>
      </c>
      <c r="X127" t="n">
        <v>0</v>
      </c>
    </row>
    <row r="128">
      <c r="A128" t="n">
        <v>127</v>
      </c>
      <c r="B128" t="inlineStr">
        <is>
          <t>Balance for Assisting in Preparation CMT Contract and Submission to GDT</t>
        </is>
      </c>
      <c r="C128" t="inlineStr">
        <is>
          <t>ខេឌី ខនសាល់ធេន ឯ.ក</t>
        </is>
      </c>
      <c r="D128" t="inlineStr">
        <is>
          <t>K005-901704277</t>
        </is>
      </c>
      <c r="E128" t="inlineStr">
        <is>
          <t>20240000328</t>
        </is>
      </c>
      <c r="F128" t="inlineStr">
        <is>
          <t>27-03-2024</t>
        </is>
      </c>
      <c r="G128" t="n">
        <v>80840</v>
      </c>
      <c r="I128">
        <f>G128</f>
        <v/>
      </c>
      <c r="K128">
        <f>I128-G128</f>
        <v/>
      </c>
      <c r="M128" t="inlineStr">
        <is>
          <t>20240000328</t>
        </is>
      </c>
      <c r="N128" t="inlineStr">
        <is>
          <t>221324500</t>
        </is>
      </c>
      <c r="O128">
        <f>M128=N128</f>
        <v/>
      </c>
      <c r="P128">
        <f>AND(MONTH(F128)=MONTH(S128), YEAR(F128)=YEAR(S128))</f>
        <v/>
      </c>
      <c r="Q128">
        <f>"L001-902303751"=U128</f>
        <v/>
      </c>
      <c r="R128">
        <f>G128-W128</f>
        <v/>
      </c>
      <c r="S128" s="36" t="n">
        <v>45409</v>
      </c>
      <c r="T128" t="n">
        <v>2213245</v>
      </c>
      <c r="U128" t="inlineStr">
        <is>
          <t>K009-901605081</t>
        </is>
      </c>
      <c r="V128" t="inlineStr">
        <is>
          <t>ទ្រូ ខមភែនៀន ឡូជីស្ទីក (ខេមបូឌា)</t>
        </is>
      </c>
      <c r="W128" t="n">
        <v>2213245</v>
      </c>
      <c r="X128" t="n">
        <v>0</v>
      </c>
    </row>
    <row r="129">
      <c r="A129" t="n">
        <v>128</v>
      </c>
      <c r="B129" t="inlineStr">
        <is>
          <t>Doc Fee and Agency Fee</t>
        </is>
      </c>
      <c r="C129" t="inlineStr">
        <is>
          <t>អ៊ែតវ៉ានស៍ គ្លរី ឡូជីស្ទីក (ខេមបូឌា) (អេ ជី អិល)</t>
        </is>
      </c>
      <c r="D129" t="inlineStr">
        <is>
          <t>K005-100059945</t>
        </is>
      </c>
      <c r="E129" t="inlineStr">
        <is>
          <t>AGL2400445</t>
        </is>
      </c>
      <c r="F129" t="inlineStr">
        <is>
          <t>28-03-2024</t>
        </is>
      </c>
      <c r="G129" t="n">
        <v>44462</v>
      </c>
      <c r="I129">
        <f>G129</f>
        <v/>
      </c>
      <c r="K129">
        <f>I129-G129</f>
        <v/>
      </c>
      <c r="M129" t="inlineStr">
        <is>
          <t>AGL2400445</t>
        </is>
      </c>
      <c r="N129" t="inlineStr"/>
      <c r="O129">
        <f>M129=N129</f>
        <v/>
      </c>
      <c r="P129">
        <f>AND(MONTH(F129)=MONTH(S129), YEAR(F129)=YEAR(S129))</f>
        <v/>
      </c>
      <c r="Q129">
        <f>"L001-902303751"=U129</f>
        <v/>
      </c>
      <c r="R129">
        <f>G129-W129</f>
        <v/>
      </c>
      <c r="S129" s="36" t="n">
        <v>45418</v>
      </c>
      <c r="T129" t="inlineStr"/>
      <c r="U129" t="inlineStr">
        <is>
          <t>K003-901635943</t>
        </is>
      </c>
      <c r="V129" t="inlineStr">
        <is>
          <t>អ៊ីឃ្យូឡាញ វើលវ៉ាយដ៍ ឡូជីស្ទីក</t>
        </is>
      </c>
      <c r="W129" t="n">
        <v>0</v>
      </c>
      <c r="X129" t="n">
        <v>0</v>
      </c>
    </row>
    <row r="130">
      <c r="A130" t="n">
        <v>129</v>
      </c>
      <c r="B130" t="inlineStr">
        <is>
          <t>Cargo Terminal</t>
        </is>
      </c>
      <c r="C130" t="inlineStr">
        <is>
          <t>សូស៊ីយេតេ កុងសេស្យូនែរ ដឺ ឡាអេរ៉ូព័រ</t>
        </is>
      </c>
      <c r="D130" t="inlineStr">
        <is>
          <t>L001-100047300</t>
        </is>
      </c>
      <c r="E130" t="inlineStr">
        <is>
          <t>2400-021771</t>
        </is>
      </c>
      <c r="F130" t="inlineStr">
        <is>
          <t>29-03-2024</t>
        </is>
      </c>
      <c r="G130" t="n">
        <v>7792</v>
      </c>
      <c r="I130">
        <f>G130</f>
        <v/>
      </c>
      <c r="K130">
        <f>I130-G130</f>
        <v/>
      </c>
      <c r="M130" t="inlineStr">
        <is>
          <t>2400021771</t>
        </is>
      </c>
      <c r="N130" t="inlineStr">
        <is>
          <t>11293300</t>
        </is>
      </c>
      <c r="O130">
        <f>M130=N130</f>
        <v/>
      </c>
      <c r="P130">
        <f>AND(MONTH(F130)=MONTH(S130), YEAR(F130)=YEAR(S130))</f>
        <v/>
      </c>
      <c r="Q130">
        <f>"L001-902303751"=U130</f>
        <v/>
      </c>
      <c r="R130">
        <f>G130-W130</f>
        <v/>
      </c>
      <c r="S130" s="36" t="n">
        <v>45432</v>
      </c>
      <c r="T130" t="n">
        <v>112933</v>
      </c>
      <c r="U130" t="inlineStr">
        <is>
          <t>L001-104015799</t>
        </is>
      </c>
      <c r="V130" t="inlineStr">
        <is>
          <t>យូសេន ឡូជីស្ទីក (ខេមបូឌា) ខូ អិលធីឌី</t>
        </is>
      </c>
      <c r="W130" t="n">
        <v>112933</v>
      </c>
      <c r="X130" t="n">
        <v>0</v>
      </c>
    </row>
    <row r="131">
      <c r="A131" t="n">
        <v>130</v>
      </c>
      <c r="B131" t="inlineStr">
        <is>
          <t>Customs Clearance Fee and Trucking Fee</t>
        </is>
      </c>
      <c r="C131" t="inlineStr">
        <is>
          <t>ត្រាយអ៊ែងហ្គល ឡូជីស្ទីក (ខេមបូឌា) ឯ.ក</t>
        </is>
      </c>
      <c r="D131" t="inlineStr">
        <is>
          <t>K010-902101743</t>
        </is>
      </c>
      <c r="E131" t="inlineStr">
        <is>
          <t>TAG-24-00180</t>
        </is>
      </c>
      <c r="F131" t="inlineStr">
        <is>
          <t>29-03-2024</t>
        </is>
      </c>
      <c r="G131" t="n">
        <v>28287</v>
      </c>
      <c r="I131">
        <f>G131</f>
        <v/>
      </c>
      <c r="K131">
        <f>I131-G131</f>
        <v/>
      </c>
      <c r="M131" t="inlineStr">
        <is>
          <t>TAG2400180</t>
        </is>
      </c>
      <c r="N131" t="inlineStr">
        <is>
          <t>11304400</t>
        </is>
      </c>
      <c r="O131">
        <f>M131=N131</f>
        <v/>
      </c>
      <c r="P131">
        <f>AND(MONTH(F131)=MONTH(S131), YEAR(F131)=YEAR(S131))</f>
        <v/>
      </c>
      <c r="Q131">
        <f>"L001-902303751"=U131</f>
        <v/>
      </c>
      <c r="R131">
        <f>G131-W131</f>
        <v/>
      </c>
      <c r="S131" s="36" t="n">
        <v>45439</v>
      </c>
      <c r="T131" t="n">
        <v>113044</v>
      </c>
      <c r="U131" t="inlineStr">
        <is>
          <t>K003-901635943</t>
        </is>
      </c>
      <c r="V131" t="inlineStr">
        <is>
          <t>អ៊ីឃ្យូឡាញ វើលវ៉ាយដ៍ ឡូជីស្ទីក</t>
        </is>
      </c>
      <c r="W131" t="n">
        <v>113044</v>
      </c>
      <c r="X131" t="n">
        <v>0</v>
      </c>
    </row>
    <row r="132">
      <c r="A132" t="n">
        <v>131</v>
      </c>
      <c r="B132" t="inlineStr">
        <is>
          <t>Customs Clearance Fee and Trucking Fee</t>
        </is>
      </c>
      <c r="C132" t="inlineStr">
        <is>
          <t>ត្រាយអ៊ែងហ្គល ឡូជីស្ទីក (ខេមបូឌា) ឯ.ក</t>
        </is>
      </c>
      <c r="D132" t="inlineStr">
        <is>
          <t>K010-902101743</t>
        </is>
      </c>
      <c r="E132" t="inlineStr">
        <is>
          <t>TAG-24-00179</t>
        </is>
      </c>
      <c r="F132" t="inlineStr">
        <is>
          <t>29-03-2024</t>
        </is>
      </c>
      <c r="G132" t="n">
        <v>28287</v>
      </c>
      <c r="I132">
        <f>G132</f>
        <v/>
      </c>
      <c r="K132">
        <f>I132-G132</f>
        <v/>
      </c>
      <c r="M132" t="inlineStr">
        <is>
          <t>TAG2400179</t>
        </is>
      </c>
      <c r="N132" t="inlineStr">
        <is>
          <t>26975400</t>
        </is>
      </c>
      <c r="O132">
        <f>M132=N132</f>
        <v/>
      </c>
      <c r="P132">
        <f>AND(MONTH(F132)=MONTH(S132), YEAR(F132)=YEAR(S132))</f>
        <v/>
      </c>
      <c r="Q132">
        <f>"L001-902303751"=U132</f>
        <v/>
      </c>
      <c r="R132">
        <f>G132-W132</f>
        <v/>
      </c>
      <c r="S132" s="36" t="n">
        <v>45439</v>
      </c>
      <c r="T132" t="n">
        <v>269754</v>
      </c>
      <c r="U132" t="inlineStr">
        <is>
          <t>L001-104015799</t>
        </is>
      </c>
      <c r="V132" t="inlineStr">
        <is>
          <t>យូសេន ឡូជីស្ទីក (ខេមបូឌា) ខូ អិលធីឌី</t>
        </is>
      </c>
      <c r="W132" t="n">
        <v>269754</v>
      </c>
      <c r="X132" t="n">
        <v>0</v>
      </c>
    </row>
    <row r="133">
      <c r="A133" t="n">
        <v>132</v>
      </c>
      <c r="B133" t="inlineStr">
        <is>
          <t>Customs Clearance Fee and Agency Fee</t>
        </is>
      </c>
      <c r="C133" t="inlineStr">
        <is>
          <t>ត្រាយអ៊ែងហ្គល ឡូជីស្ទីក (ខេមបូឌា) ឯ.ក</t>
        </is>
      </c>
      <c r="D133" t="inlineStr">
        <is>
          <t>K010-902101743</t>
        </is>
      </c>
      <c r="E133" t="inlineStr">
        <is>
          <t>TAG-24-00142</t>
        </is>
      </c>
      <c r="F133" t="inlineStr">
        <is>
          <t>25-03-2024</t>
        </is>
      </c>
      <c r="G133" t="n">
        <v>32360</v>
      </c>
      <c r="I133">
        <f>G133</f>
        <v/>
      </c>
      <c r="K133">
        <f>I133-G133</f>
        <v/>
      </c>
      <c r="M133" t="inlineStr">
        <is>
          <t>TAG2400142</t>
        </is>
      </c>
      <c r="N133" t="inlineStr">
        <is>
          <t>222305500</t>
        </is>
      </c>
      <c r="O133">
        <f>M133=N133</f>
        <v/>
      </c>
      <c r="P133">
        <f>AND(MONTH(F133)=MONTH(S133), YEAR(F133)=YEAR(S133))</f>
        <v/>
      </c>
      <c r="Q133">
        <f>"L001-902303751"=U133</f>
        <v/>
      </c>
      <c r="R133">
        <f>G133-W133</f>
        <v/>
      </c>
      <c r="S133" s="36" t="n">
        <v>45437</v>
      </c>
      <c r="T133" t="n">
        <v>2223055</v>
      </c>
      <c r="U133" t="inlineStr">
        <is>
          <t>K009-901605081</t>
        </is>
      </c>
      <c r="V133" t="inlineStr">
        <is>
          <t>ទ្រូ ខមភែនៀន ឡូជីស្ទីក (ខេមបូឌា)</t>
        </is>
      </c>
      <c r="W133" t="n">
        <v>2223055</v>
      </c>
      <c r="X133" t="n">
        <v>0</v>
      </c>
    </row>
    <row r="134">
      <c r="A134" t="n">
        <v>133</v>
      </c>
      <c r="B134" t="inlineStr">
        <is>
          <t>Cargo Terminal</t>
        </is>
      </c>
      <c r="C134" t="inlineStr">
        <is>
          <t>សូស៊ីយេតេ កុងសេស្យូនែរ ដឺ ឡាអេរ៉ូព័រ</t>
        </is>
      </c>
      <c r="D134" t="inlineStr">
        <is>
          <t>L001-100047300</t>
        </is>
      </c>
      <c r="E134" t="inlineStr">
        <is>
          <t>2400-021772</t>
        </is>
      </c>
      <c r="F134" t="inlineStr">
        <is>
          <t>29-03-2024</t>
        </is>
      </c>
      <c r="G134" t="n">
        <v>2976</v>
      </c>
      <c r="I134">
        <f>G134</f>
        <v/>
      </c>
      <c r="K134">
        <f>I134-G134</f>
        <v/>
      </c>
      <c r="M134" t="inlineStr">
        <is>
          <t>2400021772</t>
        </is>
      </c>
      <c r="N134" t="inlineStr">
        <is>
          <t>18749600</t>
        </is>
      </c>
      <c r="O134">
        <f>M134=N134</f>
        <v/>
      </c>
      <c r="P134">
        <f>AND(MONTH(F134)=MONTH(S134), YEAR(F134)=YEAR(S134))</f>
        <v/>
      </c>
      <c r="Q134">
        <f>"L001-902303751"=U134</f>
        <v/>
      </c>
      <c r="R134">
        <f>G134-W134</f>
        <v/>
      </c>
      <c r="S134" s="36" t="n">
        <v>45421</v>
      </c>
      <c r="T134" t="n">
        <v>187496</v>
      </c>
      <c r="U134" t="inlineStr">
        <is>
          <t>K009-901605081</t>
        </is>
      </c>
      <c r="V134" t="inlineStr">
        <is>
          <t>ទ្រូ ខមភែនៀន ឡូជីស្ទីក (ខេមបូឌា)</t>
        </is>
      </c>
      <c r="W134" t="n">
        <v>187496</v>
      </c>
      <c r="X134" t="n">
        <v>0</v>
      </c>
    </row>
    <row r="135">
      <c r="A135" t="n">
        <v>134</v>
      </c>
      <c r="B135" t="inlineStr">
        <is>
          <t>Customs Clearance Fee and Trucking Fee</t>
        </is>
      </c>
      <c r="C135" t="inlineStr">
        <is>
          <t>ត្រាយអ៊ែងហ្គល ឡូជីស្ទីក (ខេមបូឌា) ឯ.ក</t>
        </is>
      </c>
      <c r="D135" t="inlineStr">
        <is>
          <t>K010-902101743</t>
        </is>
      </c>
      <c r="E135" t="inlineStr">
        <is>
          <t>TAG-24-00185</t>
        </is>
      </c>
      <c r="F135" t="inlineStr">
        <is>
          <t>29-03-2024</t>
        </is>
      </c>
      <c r="G135" t="n">
        <v>28287</v>
      </c>
      <c r="I135">
        <f>G135</f>
        <v/>
      </c>
      <c r="K135">
        <f>I135-G135</f>
        <v/>
      </c>
      <c r="M135" t="inlineStr">
        <is>
          <t>TAG2400185</t>
        </is>
      </c>
      <c r="N135" t="inlineStr">
        <is>
          <t>11293300</t>
        </is>
      </c>
      <c r="O135">
        <f>M135=N135</f>
        <v/>
      </c>
      <c r="P135">
        <f>AND(MONTH(F135)=MONTH(S135), YEAR(F135)=YEAR(S135))</f>
        <v/>
      </c>
      <c r="Q135">
        <f>"L001-902303751"=U135</f>
        <v/>
      </c>
      <c r="R135">
        <f>G135-W135</f>
        <v/>
      </c>
      <c r="S135" s="36" t="n">
        <v>45425</v>
      </c>
      <c r="T135" t="n">
        <v>112933</v>
      </c>
      <c r="U135" t="inlineStr">
        <is>
          <t>L001-104015799</t>
        </is>
      </c>
      <c r="V135" t="inlineStr">
        <is>
          <t>យូសេន ឡូជីស្ទីក (ខេមបូឌា) ខូ អិលធីឌី</t>
        </is>
      </c>
      <c r="W135" t="n">
        <v>112933</v>
      </c>
      <c r="X135" t="n">
        <v>0</v>
      </c>
    </row>
    <row r="136">
      <c r="A136" t="n">
        <v>135</v>
      </c>
      <c r="B136" t="inlineStr">
        <is>
          <t>Airway bill Fee and Handling Agency Fee</t>
        </is>
      </c>
      <c r="C136" t="inlineStr">
        <is>
          <t>ត្រេន ស្តារ ហ្រេ្វត</t>
        </is>
      </c>
      <c r="D136" t="inlineStr">
        <is>
          <t>L001-100011888</t>
        </is>
      </c>
      <c r="E136" t="inlineStr">
        <is>
          <t>PPTI24-03403</t>
        </is>
      </c>
      <c r="F136" t="inlineStr">
        <is>
          <t>28-03-2024</t>
        </is>
      </c>
      <c r="G136" t="n">
        <v>34357</v>
      </c>
      <c r="I136">
        <f>G136</f>
        <v/>
      </c>
      <c r="K136">
        <f>I136-G136</f>
        <v/>
      </c>
      <c r="M136" t="inlineStr">
        <is>
          <t>PPTI2403403</t>
        </is>
      </c>
      <c r="N136" t="inlineStr">
        <is>
          <t>20548100</t>
        </is>
      </c>
      <c r="O136">
        <f>M136=N136</f>
        <v/>
      </c>
      <c r="P136">
        <f>AND(MONTH(F136)=MONTH(S136), YEAR(F136)=YEAR(S136))</f>
        <v/>
      </c>
      <c r="Q136">
        <f>"L001-902303751"=U136</f>
        <v/>
      </c>
      <c r="R136">
        <f>G136-W136</f>
        <v/>
      </c>
      <c r="S136" s="36" t="n">
        <v>45425</v>
      </c>
      <c r="T136" t="n">
        <v>205481</v>
      </c>
      <c r="U136" t="inlineStr">
        <is>
          <t>L001-104015799</t>
        </is>
      </c>
      <c r="V136" t="inlineStr">
        <is>
          <t>យូសេន ឡូជីស្ទីក (ខេមបូឌា) ខូ អិលធីឌី</t>
        </is>
      </c>
      <c r="W136" t="n">
        <v>205481</v>
      </c>
      <c r="X136" t="n">
        <v>0</v>
      </c>
    </row>
    <row r="137">
      <c r="A137" t="n">
        <v>136</v>
      </c>
      <c r="B137" t="inlineStr">
        <is>
          <t>Cargo Terminal</t>
        </is>
      </c>
      <c r="C137" t="inlineStr">
        <is>
          <t>សូស៊ីយេតេ កុងសេស្យូនែរ ដឺ ឡាអេរ៉ូព័រ</t>
        </is>
      </c>
      <c r="D137" t="inlineStr">
        <is>
          <t>L001-100047300</t>
        </is>
      </c>
      <c r="E137" t="inlineStr">
        <is>
          <t>2400-021835</t>
        </is>
      </c>
      <c r="F137" t="inlineStr">
        <is>
          <t>29-03-2024</t>
        </is>
      </c>
      <c r="G137" t="n">
        <v>4882</v>
      </c>
      <c r="I137">
        <f>G137</f>
        <v/>
      </c>
      <c r="K137">
        <f>I137-G137</f>
        <v/>
      </c>
      <c r="M137" t="inlineStr">
        <is>
          <t>2400021835</t>
        </is>
      </c>
      <c r="N137" t="inlineStr"/>
      <c r="O137">
        <f>M137=N137</f>
        <v/>
      </c>
      <c r="P137">
        <f>AND(MONTH(F137)=MONTH(S137), YEAR(F137)=YEAR(S137))</f>
        <v/>
      </c>
      <c r="Q137">
        <f>"L001-902303751"=U137</f>
        <v/>
      </c>
      <c r="R137">
        <f>G137-W137</f>
        <v/>
      </c>
      <c r="S137" s="36" t="n">
        <v>45432</v>
      </c>
      <c r="T137" t="inlineStr"/>
      <c r="U137" t="inlineStr">
        <is>
          <t>K003-901635943</t>
        </is>
      </c>
      <c r="V137" t="inlineStr">
        <is>
          <t>អ៊ីឃ្យូឡាញ វើលវ៉ាយដ៍ ឡូជីស្ទីក</t>
        </is>
      </c>
      <c r="W137" t="n">
        <v>0</v>
      </c>
      <c r="X137" t="n">
        <v>0</v>
      </c>
    </row>
    <row r="138">
      <c r="A138" t="n">
        <v>137</v>
      </c>
      <c r="B138" t="inlineStr">
        <is>
          <t>Customs Clearance Fee and Trucking Fee</t>
        </is>
      </c>
      <c r="C138" t="inlineStr">
        <is>
          <t>ត្រាយអ៊ែងហ្គល ឡូជីស្ទីក (ខេមបូឌា) ឯ.ក</t>
        </is>
      </c>
      <c r="D138" t="inlineStr">
        <is>
          <t>K010-902101743</t>
        </is>
      </c>
      <c r="E138" t="inlineStr">
        <is>
          <t>TAG-24-00183</t>
        </is>
      </c>
      <c r="F138" t="inlineStr">
        <is>
          <t>29-03-2024</t>
        </is>
      </c>
      <c r="G138" t="n">
        <v>28287</v>
      </c>
      <c r="I138">
        <f>G138</f>
        <v/>
      </c>
      <c r="K138">
        <f>I138-G138</f>
        <v/>
      </c>
      <c r="M138" t="inlineStr">
        <is>
          <t>TAG2400183</t>
        </is>
      </c>
      <c r="N138" t="inlineStr">
        <is>
          <t>13052800</t>
        </is>
      </c>
      <c r="O138">
        <f>M138=N138</f>
        <v/>
      </c>
      <c r="P138">
        <f>AND(MONTH(F138)=MONTH(S138), YEAR(F138)=YEAR(S138))</f>
        <v/>
      </c>
      <c r="Q138">
        <f>"L001-902303751"=U138</f>
        <v/>
      </c>
      <c r="R138">
        <f>G138-W138</f>
        <v/>
      </c>
      <c r="S138" s="36" t="n">
        <v>45436</v>
      </c>
      <c r="T138" t="n">
        <v>130528</v>
      </c>
      <c r="U138" t="inlineStr">
        <is>
          <t>K009-901605081</t>
        </is>
      </c>
      <c r="V138" t="inlineStr">
        <is>
          <t>ទ្រូ ខមភែនៀន ឡូជីស្ទីក (ខេមបូឌា)</t>
        </is>
      </c>
      <c r="W138" t="n">
        <v>130528</v>
      </c>
      <c r="X138" t="n">
        <v>0</v>
      </c>
    </row>
    <row r="139">
      <c r="A139" t="n">
        <v>138</v>
      </c>
      <c r="B139" t="inlineStr">
        <is>
          <t>Lift-On &amp; Lift-Off</t>
        </is>
      </c>
      <c r="C139" t="inlineStr">
        <is>
          <t>កំពង់ផែស្វយ័តក្រុងព្រះសីហនុ</t>
        </is>
      </c>
      <c r="D139" t="inlineStr">
        <is>
          <t>L001-100044638</t>
        </is>
      </c>
      <c r="E139" t="inlineStr">
        <is>
          <t>057001</t>
        </is>
      </c>
      <c r="F139" t="inlineStr">
        <is>
          <t>30-03-2024</t>
        </is>
      </c>
      <c r="G139" t="n">
        <v>23034</v>
      </c>
      <c r="I139">
        <f>G139</f>
        <v/>
      </c>
      <c r="K139">
        <f>I139-G139</f>
        <v/>
      </c>
      <c r="M139" t="inlineStr">
        <is>
          <t>057001</t>
        </is>
      </c>
      <c r="N139" t="inlineStr">
        <is>
          <t>27621700</t>
        </is>
      </c>
      <c r="O139">
        <f>M139=N139</f>
        <v/>
      </c>
      <c r="P139">
        <f>AND(MONTH(F139)=MONTH(S139), YEAR(F139)=YEAR(S139))</f>
        <v/>
      </c>
      <c r="Q139">
        <f>"L001-902303751"=U139</f>
        <v/>
      </c>
      <c r="R139">
        <f>G139-W139</f>
        <v/>
      </c>
      <c r="S139" s="36" t="n">
        <v>45418</v>
      </c>
      <c r="T139" t="n">
        <v>276217</v>
      </c>
      <c r="U139" t="inlineStr">
        <is>
          <t>K002-901900264</t>
        </is>
      </c>
      <c r="V139" t="inlineStr">
        <is>
          <t>ហេកធ័រ ត្រេនស្ព័រថេសិន (ខេមបូឌា) ឯ.ក</t>
        </is>
      </c>
      <c r="W139" t="n">
        <v>276217</v>
      </c>
      <c r="X139" t="n">
        <v>0</v>
      </c>
    </row>
    <row r="140">
      <c r="A140" t="n">
        <v>139</v>
      </c>
      <c r="B140" t="inlineStr">
        <is>
          <t>Customs Clearance Fee and Trucking Fee</t>
        </is>
      </c>
      <c r="C140" t="inlineStr">
        <is>
          <t>ត្រាយអ៊ែងហ្គល ឡូជីស្ទីក (ខេមបូឌា) ឯ.ក</t>
        </is>
      </c>
      <c r="D140" t="inlineStr">
        <is>
          <t>K010-902101743</t>
        </is>
      </c>
      <c r="E140" t="inlineStr">
        <is>
          <t>TAG-24-00190</t>
        </is>
      </c>
      <c r="F140" t="inlineStr">
        <is>
          <t>29-03-2024</t>
        </is>
      </c>
      <c r="G140" t="n">
        <v>68697</v>
      </c>
      <c r="I140">
        <f>G140</f>
        <v/>
      </c>
      <c r="K140">
        <f>I140-G140</f>
        <v/>
      </c>
      <c r="M140" t="inlineStr">
        <is>
          <t>TAG2400190</t>
        </is>
      </c>
      <c r="N140" t="inlineStr">
        <is>
          <t>11285000</t>
        </is>
      </c>
      <c r="O140">
        <f>M140=N140</f>
        <v/>
      </c>
      <c r="P140">
        <f>AND(MONTH(F140)=MONTH(S140), YEAR(F140)=YEAR(S140))</f>
        <v/>
      </c>
      <c r="Q140">
        <f>"L001-902303751"=U140</f>
        <v/>
      </c>
      <c r="R140">
        <f>G140-W140</f>
        <v/>
      </c>
      <c r="S140" s="36" t="n">
        <v>45418</v>
      </c>
      <c r="T140" t="n">
        <v>112850</v>
      </c>
      <c r="U140" t="inlineStr">
        <is>
          <t>L001-104015799</t>
        </is>
      </c>
      <c r="V140" t="inlineStr">
        <is>
          <t>យូសេន ឡូជីស្ទីក (ខេមបូឌា) ខូ អិលធីឌី</t>
        </is>
      </c>
      <c r="W140" t="n">
        <v>112850</v>
      </c>
      <c r="X140" t="n">
        <v>0</v>
      </c>
    </row>
    <row r="141">
      <c r="A141" t="n">
        <v>140</v>
      </c>
      <c r="B141" t="inlineStr">
        <is>
          <t>Customs Clearance Fee and Trucking Fee</t>
        </is>
      </c>
      <c r="C141" t="inlineStr">
        <is>
          <t>ត្រាយអ៊ែងហ្គល ឡូជីស្ទីក (ខេមបូឌា) ឯ.ក</t>
        </is>
      </c>
      <c r="D141" t="inlineStr">
        <is>
          <t>K010-902101743</t>
        </is>
      </c>
      <c r="E141" t="inlineStr">
        <is>
          <t>TAG-24-00172</t>
        </is>
      </c>
      <c r="F141" t="inlineStr">
        <is>
          <t>27-03-2024</t>
        </is>
      </c>
      <c r="G141" t="n">
        <v>8084</v>
      </c>
      <c r="I141">
        <f>G141</f>
        <v/>
      </c>
      <c r="K141">
        <f>I141-G141</f>
        <v/>
      </c>
      <c r="M141" t="inlineStr">
        <is>
          <t>TAG2400172</t>
        </is>
      </c>
      <c r="N141" t="inlineStr">
        <is>
          <t>11285000</t>
        </is>
      </c>
      <c r="O141">
        <f>M141=N141</f>
        <v/>
      </c>
      <c r="P141">
        <f>AND(MONTH(F141)=MONTH(S141), YEAR(F141)=YEAR(S141))</f>
        <v/>
      </c>
      <c r="Q141">
        <f>"L001-902303751"=U141</f>
        <v/>
      </c>
      <c r="R141">
        <f>G141-W141</f>
        <v/>
      </c>
      <c r="S141" s="36" t="n">
        <v>45418</v>
      </c>
      <c r="T141" t="n">
        <v>112850</v>
      </c>
      <c r="U141" t="inlineStr">
        <is>
          <t>K003-901635943</t>
        </is>
      </c>
      <c r="V141" t="inlineStr">
        <is>
          <t>អ៊ីឃ្យូឡាញ វើលវ៉ាយដ៍ ឡូជីស្ទីក</t>
        </is>
      </c>
      <c r="W141" t="n">
        <v>112850</v>
      </c>
      <c r="X141" t="n">
        <v>0</v>
      </c>
    </row>
    <row r="142">
      <c r="A142" t="n">
        <v>141</v>
      </c>
      <c r="B142" t="inlineStr">
        <is>
          <t>Customs Clearance Fee and Agency Fee</t>
        </is>
      </c>
      <c r="C142" t="inlineStr">
        <is>
          <t>ត្រាយអ៊ែងហ្គល ឡូជីស្ទីក (ខេមបូឌា) ឯ.ក</t>
        </is>
      </c>
      <c r="D142" t="inlineStr">
        <is>
          <t>K010-902101743</t>
        </is>
      </c>
      <c r="E142" t="inlineStr">
        <is>
          <t>TAG-24-00111</t>
        </is>
      </c>
      <c r="F142" t="inlineStr">
        <is>
          <t>22-03-2024</t>
        </is>
      </c>
      <c r="G142" t="n">
        <v>32384</v>
      </c>
      <c r="I142">
        <f>G142</f>
        <v/>
      </c>
      <c r="K142">
        <f>I142-G142</f>
        <v/>
      </c>
      <c r="M142" t="inlineStr">
        <is>
          <t>TAG2400111</t>
        </is>
      </c>
      <c r="N142" t="inlineStr">
        <is>
          <t>11304400</t>
        </is>
      </c>
      <c r="O142">
        <f>M142=N142</f>
        <v/>
      </c>
      <c r="P142">
        <f>AND(MONTH(F142)=MONTH(S142), YEAR(F142)=YEAR(S142))</f>
        <v/>
      </c>
      <c r="Q142">
        <f>"L001-902303751"=U142</f>
        <v/>
      </c>
      <c r="R142">
        <f>G142-W142</f>
        <v/>
      </c>
      <c r="S142" s="36" t="n">
        <v>45439</v>
      </c>
      <c r="T142" t="n">
        <v>113044</v>
      </c>
      <c r="U142" t="inlineStr">
        <is>
          <t>L001-104015799</t>
        </is>
      </c>
      <c r="V142" t="inlineStr">
        <is>
          <t>យូសេន ឡូជីស្ទីក (ខេមបូឌា) ខូ អិលធីឌី</t>
        </is>
      </c>
      <c r="W142" t="n">
        <v>113044</v>
      </c>
      <c r="X142" t="n">
        <v>0</v>
      </c>
    </row>
    <row r="143">
      <c r="A143" t="n">
        <v>142</v>
      </c>
      <c r="B143" t="inlineStr">
        <is>
          <t>Cargo Terminal</t>
        </is>
      </c>
      <c r="C143" t="inlineStr">
        <is>
          <t>សូស៊ីយេតេ កុងសេស្យូនែរ ដឺ ឡាអេរ៉ូព័រ</t>
        </is>
      </c>
      <c r="D143" t="inlineStr">
        <is>
          <t>L001-100047300</t>
        </is>
      </c>
      <c r="E143" t="inlineStr">
        <is>
          <t>2400-020798</t>
        </is>
      </c>
      <c r="F143" t="inlineStr">
        <is>
          <t>26-03-2024</t>
        </is>
      </c>
      <c r="G143" t="n">
        <v>6919</v>
      </c>
      <c r="I143">
        <f>G143</f>
        <v/>
      </c>
      <c r="K143">
        <f>I143-G143</f>
        <v/>
      </c>
      <c r="M143" t="inlineStr">
        <is>
          <t>2400020798</t>
        </is>
      </c>
      <c r="N143" t="inlineStr">
        <is>
          <t>222142000</t>
        </is>
      </c>
      <c r="O143">
        <f>M143=N143</f>
        <v/>
      </c>
      <c r="P143">
        <f>AND(MONTH(F143)=MONTH(S143), YEAR(F143)=YEAR(S143))</f>
        <v/>
      </c>
      <c r="Q143">
        <f>"L001-902303751"=U143</f>
        <v/>
      </c>
      <c r="R143">
        <f>G143-W143</f>
        <v/>
      </c>
      <c r="S143" s="36" t="n">
        <v>45421</v>
      </c>
      <c r="T143" t="n">
        <v>2221420</v>
      </c>
      <c r="U143" t="inlineStr">
        <is>
          <t>K009-901605081</t>
        </is>
      </c>
      <c r="V143" t="inlineStr">
        <is>
          <t>ទ្រូ ខមភែនៀន ឡូជីស្ទីក (ខេមបូឌា)</t>
        </is>
      </c>
      <c r="W143" t="n">
        <v>2221420</v>
      </c>
      <c r="X143" t="n">
        <v>0</v>
      </c>
    </row>
    <row r="144">
      <c r="A144" t="n">
        <v>143</v>
      </c>
      <c r="B144" t="inlineStr">
        <is>
          <t>Customs Clearance Fee and Trucking Fee</t>
        </is>
      </c>
      <c r="C144" t="inlineStr">
        <is>
          <t>ត្រាយអ៊ែងហ្គល ឡូជីស្ទីក (ខេមបូឌា) ឯ.ក</t>
        </is>
      </c>
      <c r="D144" t="inlineStr">
        <is>
          <t>K010-902101743</t>
        </is>
      </c>
      <c r="E144" t="inlineStr">
        <is>
          <t>TAG-24-00170</t>
        </is>
      </c>
      <c r="F144" t="inlineStr">
        <is>
          <t>26-03-2024</t>
        </is>
      </c>
      <c r="G144" t="n">
        <v>28294</v>
      </c>
      <c r="I144">
        <f>G144</f>
        <v/>
      </c>
      <c r="K144">
        <f>I144-G144</f>
        <v/>
      </c>
      <c r="M144" t="inlineStr">
        <is>
          <t>TAG2400170</t>
        </is>
      </c>
      <c r="N144" t="inlineStr">
        <is>
          <t>11293300</t>
        </is>
      </c>
      <c r="O144">
        <f>M144=N144</f>
        <v/>
      </c>
      <c r="P144">
        <f>AND(MONTH(F144)=MONTH(S144), YEAR(F144)=YEAR(S144))</f>
        <v/>
      </c>
      <c r="Q144">
        <f>"L001-902303751"=U144</f>
        <v/>
      </c>
      <c r="R144">
        <f>G144-W144</f>
        <v/>
      </c>
      <c r="S144" s="36" t="n">
        <v>45432</v>
      </c>
      <c r="T144" t="n">
        <v>112933</v>
      </c>
      <c r="U144" t="inlineStr">
        <is>
          <t>L001-104015799</t>
        </is>
      </c>
      <c r="V144" t="inlineStr">
        <is>
          <t>យូសេន ឡូជីស្ទីក (ខេមបូឌា) ខូ អិលធីឌី</t>
        </is>
      </c>
      <c r="W144" t="n">
        <v>112933</v>
      </c>
      <c r="X144" t="n">
        <v>0</v>
      </c>
    </row>
    <row r="145">
      <c r="A145" t="n">
        <v>144</v>
      </c>
      <c r="B145" t="inlineStr">
        <is>
          <t>Terminal Handling Charge, CFS FEE, Scanner Fee, CIC Fee, Agency Fee, D/O Fee, Documentation Fee, Handling Fee, Ex-work charge and Ocean Freight Charge</t>
        </is>
      </c>
      <c r="C145" t="inlineStr">
        <is>
          <t>ភី.ដាប់បែលយូ. ស្កេនវែល ឡូជីស្ទីក (ខេមបូឌា)</t>
        </is>
      </c>
      <c r="D145" t="inlineStr">
        <is>
          <t>K002-107011379</t>
        </is>
      </c>
      <c r="E145" t="inlineStr">
        <is>
          <t>240300072</t>
        </is>
      </c>
      <c r="F145" t="inlineStr">
        <is>
          <t>25-03-2024</t>
        </is>
      </c>
      <c r="G145" t="n">
        <v>196223</v>
      </c>
      <c r="I145">
        <f>G145</f>
        <v/>
      </c>
      <c r="K145">
        <f>I145-G145</f>
        <v/>
      </c>
      <c r="M145" t="inlineStr">
        <is>
          <t>240300072</t>
        </is>
      </c>
      <c r="N145" t="inlineStr">
        <is>
          <t>17694200</t>
        </is>
      </c>
      <c r="O145">
        <f>M145=N145</f>
        <v/>
      </c>
      <c r="P145">
        <f>AND(MONTH(F145)=MONTH(S145), YEAR(F145)=YEAR(S145))</f>
        <v/>
      </c>
      <c r="Q145">
        <f>"L001-902303751"=U145</f>
        <v/>
      </c>
      <c r="R145">
        <f>G145-W145</f>
        <v/>
      </c>
      <c r="S145" s="36" t="n">
        <v>45432</v>
      </c>
      <c r="T145" t="n">
        <v>176942</v>
      </c>
      <c r="U145" t="inlineStr">
        <is>
          <t>K003-901635943</t>
        </is>
      </c>
      <c r="V145" t="inlineStr">
        <is>
          <t>អ៊ីឃ្យូឡាញ វើលវ៉ាយដ៍ ឡូជីស្ទីក</t>
        </is>
      </c>
      <c r="W145" t="n">
        <v>176942</v>
      </c>
      <c r="X145" t="n">
        <v>0</v>
      </c>
    </row>
    <row r="146">
      <c r="A146" t="n">
        <v>145</v>
      </c>
      <c r="B146" t="inlineStr">
        <is>
          <t>Customs Clearance Fee and Trucking Fee</t>
        </is>
      </c>
      <c r="C146" t="inlineStr">
        <is>
          <t>ត្រាយអ៊ែងហ្គល ឡូជីស្ទីក (ខេមបូឌា) ឯ.ក</t>
        </is>
      </c>
      <c r="D146" t="inlineStr">
        <is>
          <t>K010-902101743</t>
        </is>
      </c>
      <c r="E146" t="inlineStr">
        <is>
          <t>TAG-24-00196</t>
        </is>
      </c>
      <c r="F146" t="inlineStr">
        <is>
          <t>29-03-2024</t>
        </is>
      </c>
      <c r="G146" t="n">
        <v>28287</v>
      </c>
      <c r="I146">
        <f>G146</f>
        <v/>
      </c>
      <c r="K146">
        <f>I146-G146</f>
        <v/>
      </c>
      <c r="M146" t="inlineStr">
        <is>
          <t>TAG2400196</t>
        </is>
      </c>
      <c r="N146" t="inlineStr">
        <is>
          <t>221597000</t>
        </is>
      </c>
      <c r="O146">
        <f>M146=N146</f>
        <v/>
      </c>
      <c r="P146">
        <f>AND(MONTH(F146)=MONTH(S146), YEAR(F146)=YEAR(S146))</f>
        <v/>
      </c>
      <c r="Q146">
        <f>"L001-902303751"=U146</f>
        <v/>
      </c>
      <c r="R146">
        <f>G146-W146</f>
        <v/>
      </c>
      <c r="S146" s="36" t="n">
        <v>45414</v>
      </c>
      <c r="T146" t="n">
        <v>2215970</v>
      </c>
      <c r="U146" t="inlineStr">
        <is>
          <t>K009-901605081</t>
        </is>
      </c>
      <c r="V146" t="inlineStr">
        <is>
          <t>ទ្រូ ខមភែនៀន ឡូជីស្ទីក (ខេមបូឌា)</t>
        </is>
      </c>
      <c r="W146" t="n">
        <v>2215970</v>
      </c>
      <c r="X146" t="n">
        <v>0</v>
      </c>
    </row>
    <row r="147">
      <c r="A147" t="n">
        <v>146</v>
      </c>
      <c r="B147" t="inlineStr">
        <is>
          <t>THC Charge, CFS Fee, Scanning Fee, CIC Fee, D/O Fee, DOC Fee, Agency Fee, Handling Fee and Ocean Freight</t>
        </is>
      </c>
      <c r="C147" t="inlineStr">
        <is>
          <t>ហ្វ្រេត ខនសិប (ខេមបូឌា)</t>
        </is>
      </c>
      <c r="D147" t="inlineStr">
        <is>
          <t>K009-901502482</t>
        </is>
      </c>
      <c r="E147" t="inlineStr">
        <is>
          <t>240251</t>
        </is>
      </c>
      <c r="F147" t="inlineStr">
        <is>
          <t>22-03-2024</t>
        </is>
      </c>
      <c r="G147" t="n">
        <v>32384</v>
      </c>
      <c r="I147">
        <f>G147</f>
        <v/>
      </c>
      <c r="K147">
        <f>I147-G147</f>
        <v/>
      </c>
      <c r="M147" t="inlineStr">
        <is>
          <t>240251</t>
        </is>
      </c>
      <c r="N147" t="inlineStr"/>
      <c r="O147">
        <f>M147=N147</f>
        <v/>
      </c>
      <c r="P147">
        <f>AND(MONTH(F147)=MONTH(S147), YEAR(F147)=YEAR(S147))</f>
        <v/>
      </c>
      <c r="Q147">
        <f>"L001-902303751"=U147</f>
        <v/>
      </c>
      <c r="R147">
        <f>G147-W147</f>
        <v/>
      </c>
      <c r="S147" s="36" t="n">
        <v>45439</v>
      </c>
      <c r="T147" t="inlineStr"/>
      <c r="U147" t="inlineStr">
        <is>
          <t>K003-901635943</t>
        </is>
      </c>
      <c r="V147" t="inlineStr">
        <is>
          <t>អ៊ីឃ្យូឡាញ វើលវ៉ាយដ៍ ឡូជីស្ទីក</t>
        </is>
      </c>
      <c r="W147" t="n">
        <v>0</v>
      </c>
      <c r="X147" t="n">
        <v>0</v>
      </c>
    </row>
    <row r="148">
      <c r="A148" t="n">
        <v>147</v>
      </c>
      <c r="B148" t="inlineStr">
        <is>
          <t>Cargo Terminal</t>
        </is>
      </c>
      <c r="C148" t="inlineStr">
        <is>
          <t>សូស៊ីយេតេ កុងសេស្យូនែរ ដឺ ឡាអេរ៉ូព័រ</t>
        </is>
      </c>
      <c r="D148" t="inlineStr">
        <is>
          <t>L001-100047300</t>
        </is>
      </c>
      <c r="E148" t="inlineStr">
        <is>
          <t>2400-020799</t>
        </is>
      </c>
      <c r="F148" t="inlineStr">
        <is>
          <t>26-03-2024</t>
        </is>
      </c>
      <c r="G148" t="n">
        <v>4237</v>
      </c>
      <c r="I148">
        <f>G148</f>
        <v/>
      </c>
      <c r="K148">
        <f>I148-G148</f>
        <v/>
      </c>
      <c r="M148" t="inlineStr">
        <is>
          <t>2400020799</t>
        </is>
      </c>
      <c r="N148" t="inlineStr">
        <is>
          <t>8439400</t>
        </is>
      </c>
      <c r="O148">
        <f>M148=N148</f>
        <v/>
      </c>
      <c r="P148">
        <f>AND(MONTH(F148)=MONTH(S148), YEAR(F148)=YEAR(S148))</f>
        <v/>
      </c>
      <c r="Q148">
        <f>"L001-902303751"=U148</f>
        <v/>
      </c>
      <c r="R148">
        <f>G148-W148</f>
        <v/>
      </c>
      <c r="S148" s="36" t="n">
        <v>45425</v>
      </c>
      <c r="T148" t="n">
        <v>84394</v>
      </c>
      <c r="U148" t="inlineStr">
        <is>
          <t>K003-901635943</t>
        </is>
      </c>
      <c r="V148" t="inlineStr">
        <is>
          <t>អ៊ីឃ្យូឡាញ វើលវ៉ាយដ៍ ឡូជីស្ទីក</t>
        </is>
      </c>
      <c r="W148" t="n">
        <v>84394</v>
      </c>
      <c r="X148" t="n">
        <v>0</v>
      </c>
    </row>
    <row r="149">
      <c r="A149" t="n">
        <v>148</v>
      </c>
      <c r="B149" t="inlineStr">
        <is>
          <t>Customs Clearance Fee and Trucking Fee</t>
        </is>
      </c>
      <c r="C149" t="inlineStr">
        <is>
          <t>ត្រាយអ៊ែងហ្គល ឡូជីស្ទីក (ខេមបូឌា) ឯ.ក</t>
        </is>
      </c>
      <c r="D149" t="inlineStr">
        <is>
          <t>K010-902101743</t>
        </is>
      </c>
      <c r="E149" t="inlineStr">
        <is>
          <t>TAG-24-00171</t>
        </is>
      </c>
      <c r="F149" t="inlineStr">
        <is>
          <t>26-03-2024</t>
        </is>
      </c>
      <c r="G149" t="n">
        <v>28294</v>
      </c>
      <c r="I149">
        <f>G149</f>
        <v/>
      </c>
      <c r="K149">
        <f>I149-G149</f>
        <v/>
      </c>
      <c r="M149" t="inlineStr">
        <is>
          <t>TAG2400171</t>
        </is>
      </c>
      <c r="N149" t="inlineStr"/>
      <c r="O149">
        <f>M149=N149</f>
        <v/>
      </c>
      <c r="P149">
        <f>AND(MONTH(F149)=MONTH(S149), YEAR(F149)=YEAR(S149))</f>
        <v/>
      </c>
      <c r="Q149">
        <f>"L001-902303751"=U149</f>
        <v/>
      </c>
      <c r="R149">
        <f>G149-W149</f>
        <v/>
      </c>
      <c r="S149" s="36" t="n">
        <v>45439</v>
      </c>
      <c r="T149" t="inlineStr"/>
      <c r="U149" t="inlineStr">
        <is>
          <t>L001-104015799</t>
        </is>
      </c>
      <c r="V149" t="inlineStr">
        <is>
          <t>យូសេន ឡូជីស្ទីក (ខេមបូឌា) ខូ អិលធីឌី</t>
        </is>
      </c>
      <c r="W149" t="n">
        <v>0</v>
      </c>
      <c r="X149" t="n">
        <v>0</v>
      </c>
    </row>
    <row r="150">
      <c r="A150" t="n">
        <v>149</v>
      </c>
      <c r="B150" t="inlineStr">
        <is>
          <t>THC Charge, CFS Fee, Scanning Fee, CIC Fee, D/O Fee, DOC Fee, Agency Fee, Handling Fee and Ocean Freight</t>
        </is>
      </c>
      <c r="C150" t="inlineStr">
        <is>
          <t>ហ្វ្រេត ខនសិប (ខេមបូឌា)</t>
        </is>
      </c>
      <c r="D150" t="inlineStr">
        <is>
          <t>K009-901502482</t>
        </is>
      </c>
      <c r="E150" t="inlineStr">
        <is>
          <t>240255</t>
        </is>
      </c>
      <c r="F150" t="inlineStr">
        <is>
          <t>22-03-2024</t>
        </is>
      </c>
      <c r="G150" t="n">
        <v>76912</v>
      </c>
      <c r="I150">
        <f>G150</f>
        <v/>
      </c>
      <c r="K150">
        <f>I150-G150</f>
        <v/>
      </c>
      <c r="M150" t="inlineStr">
        <is>
          <t>240255</t>
        </is>
      </c>
      <c r="N150" t="inlineStr">
        <is>
          <t>13052800</t>
        </is>
      </c>
      <c r="O150">
        <f>M150=N150</f>
        <v/>
      </c>
      <c r="P150">
        <f>AND(MONTH(F150)=MONTH(S150), YEAR(F150)=YEAR(S150))</f>
        <v/>
      </c>
      <c r="Q150">
        <f>"L001-902303751"=U150</f>
        <v/>
      </c>
      <c r="R150">
        <f>G150-W150</f>
        <v/>
      </c>
      <c r="S150" s="36" t="n">
        <v>45436</v>
      </c>
      <c r="T150" t="n">
        <v>130528</v>
      </c>
      <c r="U150" t="inlineStr">
        <is>
          <t>K005-100059945</t>
        </is>
      </c>
      <c r="V150" t="inlineStr">
        <is>
          <t>អ៊ែតវ៉ានស៍ គ្លរី ឡូជីស្ទីក (ខេមបូឌា) (អេ ជី អិល)</t>
        </is>
      </c>
      <c r="W150" t="n">
        <v>130528</v>
      </c>
      <c r="X150" t="n">
        <v>0</v>
      </c>
    </row>
    <row r="151">
      <c r="A151" t="n">
        <v>150</v>
      </c>
      <c r="B151" t="inlineStr">
        <is>
          <t>Charge from Warehouse</t>
        </is>
      </c>
      <c r="C151" t="inlineStr">
        <is>
          <t>កំពង់ផែស្វយ័តក្រុងព្រះសីហនុ</t>
        </is>
      </c>
      <c r="D151" t="inlineStr">
        <is>
          <t>L001-100044638</t>
        </is>
      </c>
      <c r="E151" t="inlineStr">
        <is>
          <t>056966</t>
        </is>
      </c>
      <c r="F151" t="inlineStr">
        <is>
          <t>30-03-2024</t>
        </is>
      </c>
      <c r="G151" t="n">
        <v>617</v>
      </c>
      <c r="I151">
        <f>G151</f>
        <v/>
      </c>
      <c r="K151">
        <f>I151-G151</f>
        <v/>
      </c>
      <c r="M151" t="inlineStr">
        <is>
          <t>056966</t>
        </is>
      </c>
      <c r="N151" t="inlineStr">
        <is>
          <t>18703600</t>
        </is>
      </c>
      <c r="O151">
        <f>M151=N151</f>
        <v/>
      </c>
      <c r="P151">
        <f>AND(MONTH(F151)=MONTH(S151), YEAR(F151)=YEAR(S151))</f>
        <v/>
      </c>
      <c r="Q151">
        <f>"L001-902303751"=U151</f>
        <v/>
      </c>
      <c r="R151">
        <f>G151-W151</f>
        <v/>
      </c>
      <c r="S151" s="36" t="n">
        <v>45414</v>
      </c>
      <c r="T151" t="n">
        <v>187036</v>
      </c>
      <c r="U151" t="inlineStr">
        <is>
          <t>K009-901605081</t>
        </is>
      </c>
      <c r="V151" t="inlineStr">
        <is>
          <t>ទ្រូ ខមភែនៀន ឡូជីស្ទីក (ខេមបូឌា)</t>
        </is>
      </c>
      <c r="W151" t="n">
        <v>187036</v>
      </c>
      <c r="X151" t="n">
        <v>0</v>
      </c>
    </row>
    <row r="152">
      <c r="A152" t="n">
        <v>151</v>
      </c>
      <c r="B152" t="inlineStr">
        <is>
          <t>Customs Clearance Fee and Trucking Fee</t>
        </is>
      </c>
      <c r="C152" t="inlineStr">
        <is>
          <t>ត្រាយអ៊ែងហ្គល ឡូជីស្ទីក (ខេមបូឌា) ឯ.ក</t>
        </is>
      </c>
      <c r="D152" t="inlineStr">
        <is>
          <t>K010-902101743</t>
        </is>
      </c>
      <c r="E152" t="inlineStr">
        <is>
          <t>TAG-24-00177</t>
        </is>
      </c>
      <c r="F152" t="inlineStr">
        <is>
          <t>28-03-2024</t>
        </is>
      </c>
      <c r="G152" t="n">
        <v>32336</v>
      </c>
      <c r="I152">
        <f>G152</f>
        <v/>
      </c>
      <c r="K152">
        <f>I152-G152</f>
        <v/>
      </c>
      <c r="M152" t="inlineStr">
        <is>
          <t>TAG2400177</t>
        </is>
      </c>
      <c r="N152" t="inlineStr">
        <is>
          <t>8433200</t>
        </is>
      </c>
      <c r="O152">
        <f>M152=N152</f>
        <v/>
      </c>
      <c r="P152">
        <f>AND(MONTH(F152)=MONTH(S152), YEAR(F152)=YEAR(S152))</f>
        <v/>
      </c>
      <c r="Q152">
        <f>"L001-902303751"=U152</f>
        <v/>
      </c>
      <c r="R152">
        <f>G152-W152</f>
        <v/>
      </c>
      <c r="S152" s="36" t="n">
        <v>45418</v>
      </c>
      <c r="T152" t="n">
        <v>84332</v>
      </c>
      <c r="U152" t="inlineStr">
        <is>
          <t>L001-107041723</t>
        </is>
      </c>
      <c r="V152" t="inlineStr">
        <is>
          <t>ឌីប៊ី សេនឃើរ (ខេមបូឌា) លីមីធីត</t>
        </is>
      </c>
      <c r="W152" t="n">
        <v>84332</v>
      </c>
      <c r="X152" t="n">
        <v>0</v>
      </c>
    </row>
    <row r="153">
      <c r="A153" t="n">
        <v>152</v>
      </c>
      <c r="B153" t="inlineStr">
        <is>
          <t>THC Charge, CFS Fee, Scanning Fee, CIC Fee, D/O Fee, DOC Fee, Agency Fee, Handling Fee and Ocean Freight</t>
        </is>
      </c>
      <c r="C153" t="inlineStr">
        <is>
          <t>ហ្វ្រេត ខនសិប (ខេមបូឌា)</t>
        </is>
      </c>
      <c r="D153" t="inlineStr">
        <is>
          <t>K009-901502482</t>
        </is>
      </c>
      <c r="E153" t="inlineStr">
        <is>
          <t>240254</t>
        </is>
      </c>
      <c r="F153" t="inlineStr">
        <is>
          <t>22-03-2024</t>
        </is>
      </c>
      <c r="G153" t="n">
        <v>116906</v>
      </c>
      <c r="I153">
        <f>G153</f>
        <v/>
      </c>
      <c r="K153">
        <f>I153-G153</f>
        <v/>
      </c>
      <c r="M153" t="inlineStr">
        <is>
          <t>240254</t>
        </is>
      </c>
      <c r="N153" t="inlineStr">
        <is>
          <t>9672000</t>
        </is>
      </c>
      <c r="O153">
        <f>M153=N153</f>
        <v/>
      </c>
      <c r="P153">
        <f>AND(MONTH(F153)=MONTH(S153), YEAR(F153)=YEAR(S153))</f>
        <v/>
      </c>
      <c r="Q153">
        <f>"L001-902303751"=U153</f>
        <v/>
      </c>
      <c r="R153">
        <f>G153-W153</f>
        <v/>
      </c>
      <c r="S153" s="36" t="n">
        <v>45439</v>
      </c>
      <c r="T153" t="n">
        <v>96720</v>
      </c>
      <c r="U153" t="inlineStr">
        <is>
          <t>L001-104015799</t>
        </is>
      </c>
      <c r="V153" t="inlineStr">
        <is>
          <t>យូសេន ឡូជីស្ទីក (ខេមបូឌា) ខូ អិលធីឌី</t>
        </is>
      </c>
      <c r="W153" t="n">
        <v>96720</v>
      </c>
      <c r="X153" t="n">
        <v>0</v>
      </c>
    </row>
    <row r="154">
      <c r="A154" t="n">
        <v>153</v>
      </c>
      <c r="B154" t="inlineStr">
        <is>
          <t>Charge from Warehouse</t>
        </is>
      </c>
      <c r="C154" t="inlineStr">
        <is>
          <t>កំពង់ផែស្វយ័តក្រុងព្រះសីហនុ</t>
        </is>
      </c>
      <c r="D154" t="inlineStr">
        <is>
          <t>L001-100044638</t>
        </is>
      </c>
      <c r="E154" t="inlineStr">
        <is>
          <t>056969</t>
        </is>
      </c>
      <c r="F154" t="inlineStr">
        <is>
          <t>30-03-2024</t>
        </is>
      </c>
      <c r="G154" t="n">
        <v>1855</v>
      </c>
      <c r="I154">
        <f>G154</f>
        <v/>
      </c>
      <c r="K154">
        <f>I154-G154</f>
        <v/>
      </c>
      <c r="M154" t="inlineStr">
        <is>
          <t>056969</t>
        </is>
      </c>
      <c r="N154" t="inlineStr"/>
      <c r="O154">
        <f>M154=N154</f>
        <v/>
      </c>
      <c r="P154">
        <f>AND(MONTH(F154)=MONTH(S154), YEAR(F154)=YEAR(S154))</f>
        <v/>
      </c>
      <c r="Q154">
        <f>"L001-902303751"=U154</f>
        <v/>
      </c>
      <c r="R154">
        <f>G154-W154</f>
        <v/>
      </c>
      <c r="S154" s="36" t="n">
        <v>45425</v>
      </c>
      <c r="T154" t="inlineStr"/>
      <c r="U154" t="inlineStr">
        <is>
          <t>K003-901635943</t>
        </is>
      </c>
      <c r="V154" t="inlineStr">
        <is>
          <t>អ៊ីឃ្យូឡាញ វើលវ៉ាយដ៍ ឡូជីស្ទីក</t>
        </is>
      </c>
      <c r="W154" t="n">
        <v>0</v>
      </c>
      <c r="X154" t="n">
        <v>0</v>
      </c>
    </row>
    <row r="155">
      <c r="A155" t="n">
        <v>154</v>
      </c>
      <c r="B155" t="inlineStr">
        <is>
          <t>Customs Clearance Fee and Trucking Fee</t>
        </is>
      </c>
      <c r="C155" t="inlineStr">
        <is>
          <t>ត្រាយអ៊ែងហ្គល ឡូជីស្ទីក (ខេមបូឌា) ឯ.ក</t>
        </is>
      </c>
      <c r="D155" t="inlineStr">
        <is>
          <t>K010-902101743</t>
        </is>
      </c>
      <c r="E155" t="inlineStr">
        <is>
          <t>TAG-24-00176</t>
        </is>
      </c>
      <c r="F155" t="inlineStr">
        <is>
          <t>28-03-2024</t>
        </is>
      </c>
      <c r="G155" t="n">
        <v>33332</v>
      </c>
      <c r="I155">
        <f>G155</f>
        <v/>
      </c>
      <c r="K155">
        <f>I155-G155</f>
        <v/>
      </c>
      <c r="M155" t="inlineStr">
        <is>
          <t>TAG2400176</t>
        </is>
      </c>
      <c r="N155" t="inlineStr">
        <is>
          <t>18763400</t>
        </is>
      </c>
      <c r="O155">
        <f>M155=N155</f>
        <v/>
      </c>
      <c r="P155">
        <f>AND(MONTH(F155)=MONTH(S155), YEAR(F155)=YEAR(S155))</f>
        <v/>
      </c>
      <c r="Q155">
        <f>"L001-902303751"=U155</f>
        <v/>
      </c>
      <c r="R155">
        <f>G155-W155</f>
        <v/>
      </c>
      <c r="S155" s="36" t="n">
        <v>45437</v>
      </c>
      <c r="T155" t="n">
        <v>187634</v>
      </c>
      <c r="U155" t="inlineStr">
        <is>
          <t>K009-901605081</t>
        </is>
      </c>
      <c r="V155" t="inlineStr">
        <is>
          <t>ទ្រូ ខមភែនៀន ឡូជីស្ទីក (ខេមបូឌា)</t>
        </is>
      </c>
      <c r="W155" t="n">
        <v>187634</v>
      </c>
      <c r="X155" t="n">
        <v>0</v>
      </c>
    </row>
    <row r="156">
      <c r="A156" t="n">
        <v>155</v>
      </c>
      <c r="B156" t="inlineStr">
        <is>
          <t>THC Charge, CFS Fee, Scanning Fee, CIC Fee, D/O Fee, DOC Fee, Agency Fee, Handling Fee and Ocean Freight</t>
        </is>
      </c>
      <c r="C156" t="inlineStr">
        <is>
          <t>ហ្វ្រេត ខនសិប (ខេមបូឌា)</t>
        </is>
      </c>
      <c r="D156" t="inlineStr">
        <is>
          <t>K009-901502482</t>
        </is>
      </c>
      <c r="E156" t="inlineStr">
        <is>
          <t>240253</t>
        </is>
      </c>
      <c r="F156" t="inlineStr">
        <is>
          <t>22-03-2024</t>
        </is>
      </c>
      <c r="G156" t="n">
        <v>115125</v>
      </c>
      <c r="I156">
        <f>G156</f>
        <v/>
      </c>
      <c r="K156">
        <f>I156-G156</f>
        <v/>
      </c>
      <c r="M156" t="inlineStr">
        <is>
          <t>240253</t>
        </is>
      </c>
      <c r="N156" t="inlineStr">
        <is>
          <t>224267500</t>
        </is>
      </c>
      <c r="O156">
        <f>M156=N156</f>
        <v/>
      </c>
      <c r="P156">
        <f>AND(MONTH(F156)=MONTH(S156), YEAR(F156)=YEAR(S156))</f>
        <v/>
      </c>
      <c r="Q156">
        <f>"L001-902303751"=U156</f>
        <v/>
      </c>
      <c r="R156">
        <f>G156-W156</f>
        <v/>
      </c>
      <c r="S156" s="36" t="n">
        <v>45468</v>
      </c>
      <c r="T156" t="n">
        <v>2242675</v>
      </c>
      <c r="U156" t="inlineStr">
        <is>
          <t>K009-901605081</t>
        </is>
      </c>
      <c r="V156" t="inlineStr">
        <is>
          <t>ទ្រូ ខមភែនៀន ឡូជីស្ទីក (ខេមបូឌា)</t>
        </is>
      </c>
      <c r="W156" t="n">
        <v>2242675</v>
      </c>
      <c r="X156" t="n">
        <v>0</v>
      </c>
    </row>
    <row r="157">
      <c r="A157" t="n">
        <v>156</v>
      </c>
      <c r="B157" t="inlineStr">
        <is>
          <t>Charge from Warehouse</t>
        </is>
      </c>
      <c r="C157" t="inlineStr">
        <is>
          <t>កំពង់ផែស្វយ័តក្រុងព្រះសីហនុ</t>
        </is>
      </c>
      <c r="D157" t="inlineStr">
        <is>
          <t>L001-100044638</t>
        </is>
      </c>
      <c r="E157" t="inlineStr">
        <is>
          <t>056975</t>
        </is>
      </c>
      <c r="F157" t="inlineStr">
        <is>
          <t>30-03-2024</t>
        </is>
      </c>
      <c r="G157" t="n">
        <v>1238</v>
      </c>
      <c r="I157">
        <f>G157</f>
        <v/>
      </c>
      <c r="K157">
        <f>I157-G157</f>
        <v/>
      </c>
      <c r="M157" t="inlineStr">
        <is>
          <t>056975</t>
        </is>
      </c>
      <c r="N157" t="inlineStr">
        <is>
          <t>13193600</t>
        </is>
      </c>
      <c r="O157">
        <f>M157=N157</f>
        <v/>
      </c>
      <c r="P157">
        <f>AND(MONTH(F157)=MONTH(S157), YEAR(F157)=YEAR(S157))</f>
        <v/>
      </c>
      <c r="Q157">
        <f>"L001-902303751"=U157</f>
        <v/>
      </c>
      <c r="R157">
        <f>G157-W157</f>
        <v/>
      </c>
      <c r="S157" s="36" t="n">
        <v>45463</v>
      </c>
      <c r="T157" t="n">
        <v>131936</v>
      </c>
      <c r="U157" t="inlineStr">
        <is>
          <t>K005-100059945</t>
        </is>
      </c>
      <c r="V157" t="inlineStr">
        <is>
          <t>អ៊ែតវ៉ានស៍ គ្លរី ឡូជីស្ទីក (ខេមបូឌា) (អេ ជី អិល)</t>
        </is>
      </c>
      <c r="W157" t="n">
        <v>131936</v>
      </c>
      <c r="X157" t="n">
        <v>0</v>
      </c>
    </row>
    <row r="158">
      <c r="A158" t="n">
        <v>157</v>
      </c>
      <c r="B158" t="inlineStr">
        <is>
          <t>Customs Clearance Fee and Trucking Fee</t>
        </is>
      </c>
      <c r="C158" t="inlineStr">
        <is>
          <t>ត្រាយអ៊ែងហ្គល ឡូជីស្ទីក (ខេមបូឌា) ឯ.ក</t>
        </is>
      </c>
      <c r="D158" t="inlineStr">
        <is>
          <t>K010-902101743</t>
        </is>
      </c>
      <c r="E158" t="inlineStr">
        <is>
          <t>TAG-24-00178</t>
        </is>
      </c>
      <c r="F158" t="inlineStr">
        <is>
          <t>28-03-2024</t>
        </is>
      </c>
      <c r="G158" t="n">
        <v>32531</v>
      </c>
      <c r="I158">
        <f>G158</f>
        <v/>
      </c>
      <c r="K158">
        <f>I158-G158</f>
        <v/>
      </c>
      <c r="M158" t="inlineStr">
        <is>
          <t>TAG2400178</t>
        </is>
      </c>
      <c r="N158" t="inlineStr"/>
      <c r="O158">
        <f>M158=N158</f>
        <v/>
      </c>
      <c r="P158">
        <f>AND(MONTH(F158)=MONTH(S158), YEAR(F158)=YEAR(S158))</f>
        <v/>
      </c>
      <c r="Q158">
        <f>"L001-902303751"=U158</f>
        <v/>
      </c>
      <c r="R158">
        <f>G158-W158</f>
        <v/>
      </c>
      <c r="S158" s="36" t="n">
        <v>45446</v>
      </c>
      <c r="T158" t="inlineStr"/>
      <c r="U158" t="inlineStr">
        <is>
          <t>K003-901635943</t>
        </is>
      </c>
      <c r="V158" t="inlineStr">
        <is>
          <t>អ៊ីឃ្យូឡាញ វើលវ៉ាយដ៍ ឡូជីស្ទីក</t>
        </is>
      </c>
      <c r="W158" t="n">
        <v>0</v>
      </c>
      <c r="X158" t="n">
        <v>0</v>
      </c>
    </row>
    <row r="159">
      <c r="A159" t="n">
        <v>158</v>
      </c>
      <c r="B159" t="inlineStr">
        <is>
          <t>Document Fee and Agency Fee</t>
        </is>
      </c>
      <c r="C159" t="inlineStr">
        <is>
          <t>អ៊ីហ្វាវ ឡូជីស</t>
        </is>
      </c>
      <c r="D159" t="inlineStr">
        <is>
          <t>K009-100186262</t>
        </is>
      </c>
      <c r="E159" t="inlineStr">
        <is>
          <t>EFAW2024-035</t>
        </is>
      </c>
      <c r="F159" t="inlineStr">
        <is>
          <t>20-03-2024</t>
        </is>
      </c>
      <c r="G159" t="n">
        <v>24288</v>
      </c>
      <c r="I159">
        <f>G159</f>
        <v/>
      </c>
      <c r="K159">
        <f>I159-G159</f>
        <v/>
      </c>
      <c r="M159" t="inlineStr">
        <is>
          <t>EFAW2024035</t>
        </is>
      </c>
      <c r="N159" t="inlineStr">
        <is>
          <t>2052000</t>
        </is>
      </c>
      <c r="O159">
        <f>M159=N159</f>
        <v/>
      </c>
      <c r="P159">
        <f>AND(MONTH(F159)=MONTH(S159), YEAR(F159)=YEAR(S159))</f>
        <v/>
      </c>
      <c r="Q159">
        <f>"L001-902303751"=U159</f>
        <v/>
      </c>
      <c r="R159">
        <f>G159-W159</f>
        <v/>
      </c>
      <c r="S159" s="36" t="n">
        <v>45447</v>
      </c>
      <c r="T159" t="n">
        <v>20520</v>
      </c>
      <c r="U159" t="inlineStr">
        <is>
          <t>K003-901635943</t>
        </is>
      </c>
      <c r="V159" t="inlineStr">
        <is>
          <t>អ៊ីឃ្យូឡាញ វើលវ៉ាយដ៍ ឡូជីស្ទីក</t>
        </is>
      </c>
      <c r="W159" t="n">
        <v>20520</v>
      </c>
      <c r="X159" t="n">
        <v>0</v>
      </c>
    </row>
    <row r="160">
      <c r="A160" t="n">
        <v>159</v>
      </c>
      <c r="B160" t="inlineStr">
        <is>
          <t>Cargo Terminal</t>
        </is>
      </c>
      <c r="C160" t="inlineStr">
        <is>
          <t>សូស៊ីយេតេ កុងសេស្យូនែរ ដឺ ឡាអេរ៉ូព័រ</t>
        </is>
      </c>
      <c r="D160" t="inlineStr">
        <is>
          <t>L001-100047300</t>
        </is>
      </c>
      <c r="E160" t="inlineStr">
        <is>
          <t>2400-019485</t>
        </is>
      </c>
      <c r="F160" t="inlineStr">
        <is>
          <t>21-03-2024</t>
        </is>
      </c>
      <c r="G160" t="n">
        <v>33592</v>
      </c>
      <c r="I160">
        <f>G160</f>
        <v/>
      </c>
      <c r="K160">
        <f>I160-G160</f>
        <v/>
      </c>
      <c r="M160" t="inlineStr">
        <is>
          <t>2400019485</t>
        </is>
      </c>
      <c r="N160" t="inlineStr">
        <is>
          <t>11415200</t>
        </is>
      </c>
      <c r="O160">
        <f>M160=N160</f>
        <v/>
      </c>
      <c r="P160">
        <f>AND(MONTH(F160)=MONTH(S160), YEAR(F160)=YEAR(S160))</f>
        <v/>
      </c>
      <c r="Q160">
        <f>"L001-902303751"=U160</f>
        <v/>
      </c>
      <c r="R160">
        <f>G160-W160</f>
        <v/>
      </c>
      <c r="S160" s="36" t="n">
        <v>45460</v>
      </c>
      <c r="T160" t="n">
        <v>114152</v>
      </c>
      <c r="U160" t="inlineStr">
        <is>
          <t>K003-901635943</t>
        </is>
      </c>
      <c r="V160" t="inlineStr">
        <is>
          <t>អ៊ីឃ្យូឡាញ វើលវ៉ាយដ៍ ឡូជីស្ទីក</t>
        </is>
      </c>
      <c r="W160" t="n">
        <v>114152</v>
      </c>
      <c r="X160" t="n">
        <v>0</v>
      </c>
    </row>
    <row r="161">
      <c r="A161" t="n">
        <v>160</v>
      </c>
      <c r="B161" t="inlineStr">
        <is>
          <t>Customs Clearance Fee and Trucking Fee</t>
        </is>
      </c>
      <c r="C161" t="inlineStr">
        <is>
          <t>ត្រាយអ៊ែងហ្គល ឡូជីស្ទីក (ខេមបូឌា) ឯ.ក</t>
        </is>
      </c>
      <c r="D161" t="inlineStr">
        <is>
          <t>K010-902101743</t>
        </is>
      </c>
      <c r="E161" t="inlineStr">
        <is>
          <t>TAG-24-00161</t>
        </is>
      </c>
      <c r="F161" t="inlineStr">
        <is>
          <t>25-03-2024</t>
        </is>
      </c>
      <c r="G161" t="n">
        <v>28315</v>
      </c>
      <c r="I161">
        <f>G161</f>
        <v/>
      </c>
      <c r="K161">
        <f>I161-G161</f>
        <v/>
      </c>
      <c r="M161" t="inlineStr">
        <is>
          <t>TAG2400161</t>
        </is>
      </c>
      <c r="N161" t="inlineStr">
        <is>
          <t>18892200</t>
        </is>
      </c>
      <c r="O161">
        <f>M161=N161</f>
        <v/>
      </c>
      <c r="P161">
        <f>AND(MONTH(F161)=MONTH(S161), YEAR(F161)=YEAR(S161))</f>
        <v/>
      </c>
      <c r="Q161">
        <f>"L001-902303751"=U161</f>
        <v/>
      </c>
      <c r="R161">
        <f>G161-W161</f>
        <v/>
      </c>
      <c r="S161" s="36" t="n">
        <v>45449</v>
      </c>
      <c r="T161" t="n">
        <v>188922</v>
      </c>
      <c r="U161" t="inlineStr">
        <is>
          <t>K009-901605081</t>
        </is>
      </c>
      <c r="V161" t="inlineStr">
        <is>
          <t>ទ្រូ ខមភែនៀន ឡូជីស្ទីក (ខេមបូឌា)</t>
        </is>
      </c>
      <c r="W161" t="n">
        <v>188922</v>
      </c>
      <c r="X161" t="n">
        <v>0</v>
      </c>
    </row>
    <row r="162">
      <c r="A162" t="n">
        <v>161</v>
      </c>
      <c r="B162" t="inlineStr">
        <is>
          <t>THC Charge, CFS Fee, Scanning Fee, CIC Fee, D/O Fee, DOC Fee, Agency Fee, Handling Fee and Ocean Freight</t>
        </is>
      </c>
      <c r="C162" t="inlineStr">
        <is>
          <t>ហ្វ្រេត ខនសិប (ខេមបូឌា)</t>
        </is>
      </c>
      <c r="D162" t="inlineStr">
        <is>
          <t>K009-901502482</t>
        </is>
      </c>
      <c r="E162" t="inlineStr">
        <is>
          <t>240256</t>
        </is>
      </c>
      <c r="F162" t="inlineStr">
        <is>
          <t>22-03-2024</t>
        </is>
      </c>
      <c r="G162" t="n">
        <v>90716</v>
      </c>
      <c r="I162">
        <f>G162</f>
        <v/>
      </c>
      <c r="K162">
        <f>I162-G162</f>
        <v/>
      </c>
      <c r="M162" t="inlineStr">
        <is>
          <t>240256</t>
        </is>
      </c>
      <c r="N162" t="inlineStr"/>
      <c r="O162">
        <f>M162=N162</f>
        <v/>
      </c>
      <c r="P162">
        <f>AND(MONTH(F162)=MONTH(S162), YEAR(F162)=YEAR(S162))</f>
        <v/>
      </c>
      <c r="Q162">
        <f>"L001-902303751"=U162</f>
        <v/>
      </c>
      <c r="R162">
        <f>G162-W162</f>
        <v/>
      </c>
      <c r="S162" s="36" t="n">
        <v>45453</v>
      </c>
      <c r="T162" t="inlineStr"/>
      <c r="U162" t="inlineStr">
        <is>
          <t>K003-901635943</t>
        </is>
      </c>
      <c r="V162" t="inlineStr">
        <is>
          <t>អ៊ីឃ្យូឡាញ វើលវ៉ាយដ៍ ឡូជីស្ទីក</t>
        </is>
      </c>
      <c r="W162" t="n">
        <v>0</v>
      </c>
      <c r="X162" t="n">
        <v>0</v>
      </c>
    </row>
    <row r="163">
      <c r="A163" t="n">
        <v>162</v>
      </c>
      <c r="B163" t="inlineStr">
        <is>
          <t>Charge from Warehouse</t>
        </is>
      </c>
      <c r="C163" t="inlineStr">
        <is>
          <t>កំពង់ផែស្វយ័តក្រុងព្រះសីហនុ</t>
        </is>
      </c>
      <c r="D163" t="inlineStr">
        <is>
          <t>L001-100044638</t>
        </is>
      </c>
      <c r="E163" t="inlineStr">
        <is>
          <t>056962</t>
        </is>
      </c>
      <c r="F163" t="inlineStr">
        <is>
          <t>30-03-2024</t>
        </is>
      </c>
      <c r="G163" t="n">
        <v>1238</v>
      </c>
      <c r="I163">
        <f>G163</f>
        <v/>
      </c>
      <c r="K163">
        <f>I163-G163</f>
        <v/>
      </c>
      <c r="M163" t="inlineStr">
        <is>
          <t>056962</t>
        </is>
      </c>
      <c r="N163" t="inlineStr">
        <is>
          <t>8484900</t>
        </is>
      </c>
      <c r="O163">
        <f>M163=N163</f>
        <v/>
      </c>
      <c r="P163">
        <f>AND(MONTH(F163)=MONTH(S163), YEAR(F163)=YEAR(S163))</f>
        <v/>
      </c>
      <c r="Q163">
        <f>"L001-902303751"=U163</f>
        <v/>
      </c>
      <c r="R163">
        <f>G163-W163</f>
        <v/>
      </c>
      <c r="S163" s="36" t="n">
        <v>45446</v>
      </c>
      <c r="T163" t="n">
        <v>84849</v>
      </c>
      <c r="U163" t="inlineStr">
        <is>
          <t>L001-104015799</t>
        </is>
      </c>
      <c r="V163" t="inlineStr">
        <is>
          <t>យូសេន ឡូជីស្ទីក (ខេមបូឌា) ខូ អិលធីឌី</t>
        </is>
      </c>
      <c r="W163" t="n">
        <v>84849</v>
      </c>
      <c r="X163" t="n">
        <v>0</v>
      </c>
    </row>
    <row r="164">
      <c r="A164" t="n">
        <v>163</v>
      </c>
      <c r="B164" t="inlineStr">
        <is>
          <t>Customs Clearance Fee and Trucking Fee</t>
        </is>
      </c>
      <c r="C164" t="inlineStr">
        <is>
          <t>ត្រាយអ៊ែងហ្គល ឡូជីស្ទីក (ខេមបូឌា) ឯ.ក</t>
        </is>
      </c>
      <c r="D164" t="inlineStr">
        <is>
          <t>K010-902101743</t>
        </is>
      </c>
      <c r="E164" t="inlineStr">
        <is>
          <t>TAG-24-00175</t>
        </is>
      </c>
      <c r="F164" t="inlineStr">
        <is>
          <t>28-03-2024</t>
        </is>
      </c>
      <c r="G164" t="n">
        <v>32336</v>
      </c>
      <c r="I164">
        <f>G164</f>
        <v/>
      </c>
      <c r="K164">
        <f>I164-G164</f>
        <v/>
      </c>
      <c r="M164" t="inlineStr">
        <is>
          <t>TAG2400175</t>
        </is>
      </c>
      <c r="N164" t="inlineStr">
        <is>
          <t>8516000</t>
        </is>
      </c>
      <c r="O164">
        <f>M164=N164</f>
        <v/>
      </c>
      <c r="P164">
        <f>AND(MONTH(F164)=MONTH(S164), YEAR(F164)=YEAR(S164))</f>
        <v/>
      </c>
      <c r="Q164">
        <f>"L001-902303751"=U164</f>
        <v/>
      </c>
      <c r="R164">
        <f>G164-W164</f>
        <v/>
      </c>
      <c r="S164" s="36" t="n">
        <v>45453</v>
      </c>
      <c r="T164" t="n">
        <v>85160</v>
      </c>
      <c r="U164" t="inlineStr">
        <is>
          <t>L001-104015799</t>
        </is>
      </c>
      <c r="V164" t="inlineStr">
        <is>
          <t>យូសេន ឡូជីស្ទីក (ខេមបូឌា) ខូ អិលធីឌី</t>
        </is>
      </c>
      <c r="W164" t="n">
        <v>85160</v>
      </c>
      <c r="X164" t="n">
        <v>0</v>
      </c>
    </row>
    <row r="165">
      <c r="A165" t="n">
        <v>164</v>
      </c>
      <c r="B165" t="inlineStr">
        <is>
          <t>Terminal Handling Charge, Container Freight Station, Scanning Fee, Delivery Order Fee, Document Fee, Agency Fee, Co-Loader Fee and Container Imbalance Charge</t>
        </is>
      </c>
      <c r="C165" t="inlineStr">
        <is>
          <t>ផេនដា គ្លូប៊ល ឡូជីស្ទីក (ខេមបូឌា)</t>
        </is>
      </c>
      <c r="D165" t="inlineStr">
        <is>
          <t>K005-901501155</t>
        </is>
      </c>
      <c r="E165" t="inlineStr">
        <is>
          <t>PD240096</t>
        </is>
      </c>
      <c r="F165" t="inlineStr">
        <is>
          <t>25-03-2024</t>
        </is>
      </c>
      <c r="G165" t="n">
        <v>194862</v>
      </c>
      <c r="I165">
        <f>G165</f>
        <v/>
      </c>
      <c r="K165">
        <f>I165-G165</f>
        <v/>
      </c>
      <c r="M165" t="inlineStr">
        <is>
          <t>PD240096</t>
        </is>
      </c>
      <c r="N165" t="inlineStr">
        <is>
          <t>14975000</t>
        </is>
      </c>
      <c r="O165">
        <f>M165=N165</f>
        <v/>
      </c>
      <c r="P165">
        <f>AND(MONTH(F165)=MONTH(S165), YEAR(F165)=YEAR(S165))</f>
        <v/>
      </c>
      <c r="Q165">
        <f>"L001-902303751"=U165</f>
        <v/>
      </c>
      <c r="R165">
        <f>G165-W165</f>
        <v/>
      </c>
      <c r="S165" s="36" t="n">
        <v>45453</v>
      </c>
      <c r="T165" t="n">
        <v>149750</v>
      </c>
      <c r="U165" t="inlineStr">
        <is>
          <t>L001-104015799</t>
        </is>
      </c>
      <c r="V165" t="inlineStr">
        <is>
          <t>យូសេន ឡូជីស្ទីក (ខេមបូឌា) ខូ អិលធីឌី</t>
        </is>
      </c>
      <c r="W165" t="n">
        <v>149750</v>
      </c>
      <c r="X165" t="n">
        <v>0</v>
      </c>
    </row>
    <row r="166">
      <c r="A166" t="n">
        <v>165</v>
      </c>
      <c r="B166" t="inlineStr">
        <is>
          <t>Warehouse Fee and Trasit Fee</t>
        </is>
      </c>
      <c r="C166" t="inlineStr">
        <is>
          <t>អាយធីអាយ អ៊ិនធើណេសិនណល ត្រេនស័្ពរថេសិន (ខេមបូឌា) ឯ.ក</t>
        </is>
      </c>
      <c r="D166" t="inlineStr">
        <is>
          <t>K002-901800477</t>
        </is>
      </c>
      <c r="E166" t="inlineStr">
        <is>
          <t>CAM241373</t>
        </is>
      </c>
      <c r="F166" t="inlineStr">
        <is>
          <t>29-03-2024</t>
        </is>
      </c>
      <c r="G166" t="n">
        <v>48782</v>
      </c>
      <c r="I166">
        <f>G166</f>
        <v/>
      </c>
      <c r="K166">
        <f>I166-G166</f>
        <v/>
      </c>
      <c r="M166" t="inlineStr">
        <is>
          <t>CAM241373</t>
        </is>
      </c>
      <c r="N166" t="inlineStr">
        <is>
          <t>18929000</t>
        </is>
      </c>
      <c r="O166">
        <f>M166=N166</f>
        <v/>
      </c>
      <c r="P166">
        <f>AND(MONTH(F166)=MONTH(S166), YEAR(F166)=YEAR(S166))</f>
        <v/>
      </c>
      <c r="Q166">
        <f>"L001-902303751"=U166</f>
        <v/>
      </c>
      <c r="R166">
        <f>G166-W166</f>
        <v/>
      </c>
      <c r="S166" s="36" t="n">
        <v>45468</v>
      </c>
      <c r="T166" t="n">
        <v>189290</v>
      </c>
      <c r="U166" t="inlineStr">
        <is>
          <t>K009-901605081</t>
        </is>
      </c>
      <c r="V166" t="inlineStr">
        <is>
          <t>ទ្រូ ខមភែនៀន ឡូជីស្ទីក (ខេមបូឌា)</t>
        </is>
      </c>
      <c r="W166" t="n">
        <v>189290</v>
      </c>
      <c r="X166" t="n">
        <v>0</v>
      </c>
    </row>
    <row r="167">
      <c r="A167" t="n">
        <v>166</v>
      </c>
      <c r="B167" t="inlineStr">
        <is>
          <t>Customs Clearance Fee and Trucking Fee</t>
        </is>
      </c>
      <c r="C167" t="inlineStr">
        <is>
          <t>ត្រាយអ៊ែងហ្គល ឡូជីស្ទីក (ខេមបូឌា) ឯ.ក</t>
        </is>
      </c>
      <c r="D167" t="inlineStr">
        <is>
          <t>K010-902101743</t>
        </is>
      </c>
      <c r="E167" t="inlineStr">
        <is>
          <t>TAG-24-00181</t>
        </is>
      </c>
      <c r="F167" t="inlineStr">
        <is>
          <t>29-03-2024</t>
        </is>
      </c>
      <c r="G167" t="n">
        <v>44451</v>
      </c>
      <c r="I167">
        <f>G167</f>
        <v/>
      </c>
      <c r="K167">
        <f>I167-G167</f>
        <v/>
      </c>
      <c r="M167" t="inlineStr">
        <is>
          <t>TAG2400181</t>
        </is>
      </c>
      <c r="N167" t="inlineStr">
        <is>
          <t>13977400</t>
        </is>
      </c>
      <c r="O167">
        <f>M167=N167</f>
        <v/>
      </c>
      <c r="P167">
        <f>AND(MONTH(F167)=MONTH(S167), YEAR(F167)=YEAR(S167))</f>
        <v/>
      </c>
      <c r="Q167">
        <f>"L001-902303751"=U167</f>
        <v/>
      </c>
      <c r="R167">
        <f>G167-W167</f>
        <v/>
      </c>
      <c r="S167" s="36" t="n">
        <v>45451</v>
      </c>
      <c r="T167" t="n">
        <v>139774</v>
      </c>
      <c r="U167" t="inlineStr">
        <is>
          <t>L001-107032791</t>
        </is>
      </c>
      <c r="V167" t="inlineStr">
        <is>
          <t>នីបផន អិចប្រេស (ខេមបូឌា) ខូ អិលធីឌី</t>
        </is>
      </c>
      <c r="W167" t="n">
        <v>139774</v>
      </c>
      <c r="X167" t="n">
        <v>0</v>
      </c>
    </row>
    <row r="168">
      <c r="A168" t="n">
        <v>167</v>
      </c>
      <c r="B168" t="inlineStr">
        <is>
          <t>Customs Clearance Fee and Trucking Fee</t>
        </is>
      </c>
      <c r="C168" t="inlineStr">
        <is>
          <t>ត្រាយអ៊ែងហ្គល ឡូជីស្ទីក (ខេមបូឌា) ឯ.ក</t>
        </is>
      </c>
      <c r="D168" t="inlineStr">
        <is>
          <t>K010-902101743</t>
        </is>
      </c>
      <c r="E168" t="inlineStr">
        <is>
          <t>TAG-24-00135</t>
        </is>
      </c>
      <c r="F168" t="inlineStr">
        <is>
          <t>22-03-2024</t>
        </is>
      </c>
      <c r="G168" t="n">
        <v>8096</v>
      </c>
      <c r="I168">
        <f>G168</f>
        <v/>
      </c>
      <c r="K168">
        <f>I168-G168</f>
        <v/>
      </c>
      <c r="M168" t="inlineStr">
        <is>
          <t>TAG2400135</t>
        </is>
      </c>
      <c r="N168" t="inlineStr">
        <is>
          <t>223831500</t>
        </is>
      </c>
      <c r="O168">
        <f>M168=N168</f>
        <v/>
      </c>
      <c r="P168">
        <f>AND(MONTH(F168)=MONTH(S168), YEAR(F168)=YEAR(S168))</f>
        <v/>
      </c>
      <c r="Q168">
        <f>"L001-902303751"=U168</f>
        <v/>
      </c>
      <c r="R168">
        <f>G168-W168</f>
        <v/>
      </c>
      <c r="S168" s="36" t="n">
        <v>45449</v>
      </c>
      <c r="T168" t="n">
        <v>2238315</v>
      </c>
      <c r="U168" t="inlineStr">
        <is>
          <t>K009-901605081</t>
        </is>
      </c>
      <c r="V168" t="inlineStr">
        <is>
          <t>ទ្រូ ខមភែនៀន ឡូជីស្ទីក (ខេមបូឌា)</t>
        </is>
      </c>
      <c r="W168" t="n">
        <v>2238315</v>
      </c>
      <c r="X168" t="n">
        <v>0</v>
      </c>
    </row>
    <row r="169">
      <c r="A169" t="n">
        <v>168</v>
      </c>
      <c r="B169" t="inlineStr">
        <is>
          <t>Terminal Handling Charge, Cocumentation Fee, Agency Fee. Container Protect Essential and Equipment Positioning Service</t>
        </is>
      </c>
      <c r="C169" t="inlineStr">
        <is>
          <t>ផេនដា គ្លូប៊ល ឡូជីស្ទីក (ខេមបូឌា)</t>
        </is>
      </c>
      <c r="D169" t="inlineStr">
        <is>
          <t>K005-901501155</t>
        </is>
      </c>
      <c r="E169" t="inlineStr">
        <is>
          <t>PD240092</t>
        </is>
      </c>
      <c r="F169" t="inlineStr">
        <is>
          <t>25-03-2024</t>
        </is>
      </c>
      <c r="G169" t="n">
        <v>171913</v>
      </c>
      <c r="I169">
        <f>G169</f>
        <v/>
      </c>
      <c r="K169">
        <f>I169-G169</f>
        <v/>
      </c>
      <c r="M169" t="inlineStr">
        <is>
          <t>PD240092</t>
        </is>
      </c>
      <c r="N169" t="inlineStr">
        <is>
          <t>224267500</t>
        </is>
      </c>
      <c r="O169">
        <f>M169=N169</f>
        <v/>
      </c>
      <c r="P169">
        <f>AND(MONTH(F169)=MONTH(S169), YEAR(F169)=YEAR(S169))</f>
        <v/>
      </c>
      <c r="Q169">
        <f>"L001-902303751"=U169</f>
        <v/>
      </c>
      <c r="R169">
        <f>G169-W169</f>
        <v/>
      </c>
      <c r="S169" s="36" t="n">
        <v>45468</v>
      </c>
      <c r="T169" t="n">
        <v>2242675</v>
      </c>
      <c r="U169" t="inlineStr">
        <is>
          <t>K009-901605081</t>
        </is>
      </c>
      <c r="V169" t="inlineStr">
        <is>
          <t>ទ្រូ ខមភែនៀន ឡូជីស្ទីក (ខេមបូឌា)</t>
        </is>
      </c>
      <c r="W169" t="n">
        <v>2242675</v>
      </c>
      <c r="X169" t="n">
        <v>0</v>
      </c>
    </row>
    <row r="170">
      <c r="A170" t="n">
        <v>169</v>
      </c>
      <c r="B170" t="inlineStr">
        <is>
          <t>Lift-On &amp; Lift-Off</t>
        </is>
      </c>
      <c r="C170" t="inlineStr">
        <is>
          <t>កំពង់ផែស្វយ័តក្រុងព្រះសីហនុ</t>
        </is>
      </c>
      <c r="D170" t="inlineStr">
        <is>
          <t>L001-100044638</t>
        </is>
      </c>
      <c r="E170" t="inlineStr">
        <is>
          <t>053379</t>
        </is>
      </c>
      <c r="F170" t="inlineStr">
        <is>
          <t>26-03-2024</t>
        </is>
      </c>
      <c r="G170" t="n">
        <v>23039</v>
      </c>
      <c r="I170">
        <f>G170</f>
        <v/>
      </c>
      <c r="K170">
        <f>I170-G170</f>
        <v/>
      </c>
      <c r="M170" t="inlineStr">
        <is>
          <t>053379</t>
        </is>
      </c>
      <c r="N170" t="inlineStr">
        <is>
          <t>18952000</t>
        </is>
      </c>
      <c r="O170">
        <f>M170=N170</f>
        <v/>
      </c>
      <c r="P170">
        <f>AND(MONTH(F170)=MONTH(S170), YEAR(F170)=YEAR(S170))</f>
        <v/>
      </c>
      <c r="Q170">
        <f>"L001-902303751"=U170</f>
        <v/>
      </c>
      <c r="R170">
        <f>G170-W170</f>
        <v/>
      </c>
      <c r="S170" s="36" t="n">
        <v>45462</v>
      </c>
      <c r="T170" t="n">
        <v>189520</v>
      </c>
      <c r="U170" t="inlineStr">
        <is>
          <t>K009-901605081</t>
        </is>
      </c>
      <c r="V170" t="inlineStr">
        <is>
          <t>ទ្រូ ខមភែនៀន ឡូជីស្ទីក (ខេមបូឌា)</t>
        </is>
      </c>
      <c r="W170" t="n">
        <v>189520</v>
      </c>
      <c r="X170" t="n">
        <v>0</v>
      </c>
    </row>
    <row r="171">
      <c r="A171" t="n">
        <v>170</v>
      </c>
      <c r="B171" t="inlineStr">
        <is>
          <t>Customs Clearance Fee and Trucking Fee</t>
        </is>
      </c>
      <c r="C171" t="inlineStr">
        <is>
          <t>ត្រាយអ៊ែងហ្គល ឡូជីស្ទីក (ខេមបូឌា) ឯ.ក</t>
        </is>
      </c>
      <c r="D171" t="inlineStr">
        <is>
          <t>K010-902101743</t>
        </is>
      </c>
      <c r="E171" t="inlineStr">
        <is>
          <t>TAG-24-00169</t>
        </is>
      </c>
      <c r="F171" t="inlineStr">
        <is>
          <t>26-03-2024</t>
        </is>
      </c>
      <c r="G171" t="n">
        <v>68714</v>
      </c>
      <c r="I171">
        <f>G171</f>
        <v/>
      </c>
      <c r="K171">
        <f>I171-G171</f>
        <v/>
      </c>
      <c r="M171" t="inlineStr">
        <is>
          <t>TAG2400169</t>
        </is>
      </c>
      <c r="N171" t="inlineStr">
        <is>
          <t>11395800</t>
        </is>
      </c>
      <c r="O171">
        <f>M171=N171</f>
        <v/>
      </c>
      <c r="P171">
        <f>AND(MONTH(F171)=MONTH(S171), YEAR(F171)=YEAR(S171))</f>
        <v/>
      </c>
      <c r="Q171">
        <f>"L001-902303751"=U171</f>
        <v/>
      </c>
      <c r="R171">
        <f>G171-W171</f>
        <v/>
      </c>
      <c r="S171" s="36" t="n">
        <v>45453</v>
      </c>
      <c r="T171" t="n">
        <v>113958</v>
      </c>
      <c r="U171" t="inlineStr">
        <is>
          <t>K003-901635943</t>
        </is>
      </c>
      <c r="V171" t="inlineStr">
        <is>
          <t>អ៊ីឃ្យូឡាញ វើលវ៉ាយដ៍ ឡូជីស្ទីក</t>
        </is>
      </c>
      <c r="W171" t="n">
        <v>113958</v>
      </c>
      <c r="X171" t="n">
        <v>0</v>
      </c>
    </row>
    <row r="172">
      <c r="A172" t="n">
        <v>171</v>
      </c>
      <c r="B172" t="inlineStr">
        <is>
          <t>Customs Clearance Fee and Trucking Fee</t>
        </is>
      </c>
      <c r="C172" t="inlineStr">
        <is>
          <t>ត្រាយអ៊ែងហ្គល ឡូជីស្ទីក (ខេមបូឌា) ឯ.ក</t>
        </is>
      </c>
      <c r="D172" t="inlineStr">
        <is>
          <t>K010-902101743</t>
        </is>
      </c>
      <c r="E172" t="inlineStr">
        <is>
          <t>TAG-24-00153</t>
        </is>
      </c>
      <c r="F172" t="inlineStr">
        <is>
          <t>25-03-2024</t>
        </is>
      </c>
      <c r="G172" t="n">
        <v>28315</v>
      </c>
      <c r="I172">
        <f>G172</f>
        <v/>
      </c>
      <c r="K172">
        <f>I172-G172</f>
        <v/>
      </c>
      <c r="M172" t="inlineStr">
        <is>
          <t>TAG2400153</t>
        </is>
      </c>
      <c r="N172" t="inlineStr">
        <is>
          <t>8516000</t>
        </is>
      </c>
      <c r="O172">
        <f>M172=N172</f>
        <v/>
      </c>
      <c r="P172">
        <f>AND(MONTH(F172)=MONTH(S172), YEAR(F172)=YEAR(S172))</f>
        <v/>
      </c>
      <c r="Q172">
        <f>"L001-902303751"=U172</f>
        <v/>
      </c>
      <c r="R172">
        <f>G172-W172</f>
        <v/>
      </c>
      <c r="S172" s="36" t="n">
        <v>45453</v>
      </c>
      <c r="T172" t="n">
        <v>85160</v>
      </c>
      <c r="U172" t="inlineStr">
        <is>
          <t>K009-901605081</t>
        </is>
      </c>
      <c r="V172" t="inlineStr">
        <is>
          <t>ទ្រូ ខមភែនៀន ឡូជីស្ទីក (ខេមបូឌា)</t>
        </is>
      </c>
      <c r="W172" t="n">
        <v>85160</v>
      </c>
      <c r="X172" t="n">
        <v>0</v>
      </c>
    </row>
    <row r="173">
      <c r="A173" t="n">
        <v>172</v>
      </c>
      <c r="B173" t="inlineStr">
        <is>
          <t>Terminal Handling Charge, EMF, 3 Party Trucking, Container Imbalance Charge, D/O Fee, Document Fee and Handling Charge</t>
        </is>
      </c>
      <c r="C173" t="inlineStr">
        <is>
          <t>ខេអិលអិន ហ្វ្រេត (ខេមបូឌា) ឯ.ក</t>
        </is>
      </c>
      <c r="D173" t="inlineStr">
        <is>
          <t>L001-100074669</t>
        </is>
      </c>
      <c r="E173" t="inlineStr">
        <is>
          <t>IVO04538</t>
        </is>
      </c>
      <c r="F173" t="inlineStr">
        <is>
          <t>25-03-2024</t>
        </is>
      </c>
      <c r="G173" t="n">
        <v>99220</v>
      </c>
      <c r="I173">
        <f>G173</f>
        <v/>
      </c>
      <c r="K173">
        <f>I173-G173</f>
        <v/>
      </c>
      <c r="M173" t="inlineStr">
        <is>
          <t>IVO04538</t>
        </is>
      </c>
      <c r="N173" t="inlineStr">
        <is>
          <t>11354200</t>
        </is>
      </c>
      <c r="O173">
        <f>M173=N173</f>
        <v/>
      </c>
      <c r="P173">
        <f>AND(MONTH(F173)=MONTH(S173), YEAR(F173)=YEAR(S173))</f>
        <v/>
      </c>
      <c r="Q173">
        <f>"L001-902303751"=U173</f>
        <v/>
      </c>
      <c r="R173">
        <f>G173-W173</f>
        <v/>
      </c>
      <c r="S173" s="36" t="n">
        <v>45446</v>
      </c>
      <c r="T173" t="n">
        <v>113542</v>
      </c>
      <c r="U173" t="inlineStr">
        <is>
          <t>K003-901635943</t>
        </is>
      </c>
      <c r="V173" t="inlineStr">
        <is>
          <t>អ៊ីឃ្យូឡាញ វើលវ៉ាយដ៍ ឡូជីស្ទីក</t>
        </is>
      </c>
      <c r="W173" t="n">
        <v>113542</v>
      </c>
      <c r="X173" t="n">
        <v>0</v>
      </c>
    </row>
    <row r="174">
      <c r="A174" t="n">
        <v>173</v>
      </c>
      <c r="B174" t="inlineStr">
        <is>
          <t>Lift-On &amp; Lift-Off</t>
        </is>
      </c>
      <c r="C174" t="inlineStr">
        <is>
          <t>កំពង់ផែស្វយ័តក្រុងព្រះសីហនុ</t>
        </is>
      </c>
      <c r="D174" t="inlineStr">
        <is>
          <t>L001-100044638</t>
        </is>
      </c>
      <c r="E174" t="inlineStr">
        <is>
          <t>053377</t>
        </is>
      </c>
      <c r="F174" t="inlineStr">
        <is>
          <t>26-03-2024</t>
        </is>
      </c>
      <c r="G174" t="n">
        <v>23039</v>
      </c>
      <c r="I174">
        <f>G174</f>
        <v/>
      </c>
      <c r="K174">
        <f>I174-G174</f>
        <v/>
      </c>
      <c r="M174" t="inlineStr">
        <is>
          <t>053377</t>
        </is>
      </c>
      <c r="N174" t="inlineStr">
        <is>
          <t>224540000</t>
        </is>
      </c>
      <c r="O174">
        <f>M174=N174</f>
        <v/>
      </c>
      <c r="P174">
        <f>AND(MONTH(F174)=MONTH(S174), YEAR(F174)=YEAR(S174))</f>
        <v/>
      </c>
      <c r="Q174">
        <f>"L001-902303751"=U174</f>
        <v/>
      </c>
      <c r="R174">
        <f>G174-W174</f>
        <v/>
      </c>
      <c r="S174" s="36" t="n">
        <v>45462</v>
      </c>
      <c r="T174" t="n">
        <v>2245400</v>
      </c>
      <c r="U174" t="inlineStr">
        <is>
          <t>K009-901605081</t>
        </is>
      </c>
      <c r="V174" t="inlineStr">
        <is>
          <t>ទ្រូ ខមភែនៀន ឡូជីស្ទីក (ខេមបូឌា)</t>
        </is>
      </c>
      <c r="W174" t="n">
        <v>2245400</v>
      </c>
      <c r="X174" t="n">
        <v>0</v>
      </c>
    </row>
    <row r="175">
      <c r="A175" t="n">
        <v>174</v>
      </c>
      <c r="B175" t="inlineStr">
        <is>
          <t>Customs Declaration, CPF and Transport Doc Fee</t>
        </is>
      </c>
      <c r="C175" t="inlineStr">
        <is>
          <t>ត្រាយអ៊ែងហ្គល ឡូជីស្ទីក (ខេមបូឌា) ឯ.ក</t>
        </is>
      </c>
      <c r="D175" t="inlineStr">
        <is>
          <t>K010-902101743</t>
        </is>
      </c>
      <c r="E175" t="inlineStr">
        <is>
          <t>TAG-24-00167</t>
        </is>
      </c>
      <c r="F175" t="inlineStr">
        <is>
          <t>26-03-2024</t>
        </is>
      </c>
      <c r="G175" t="n">
        <v>8084</v>
      </c>
      <c r="I175">
        <f>G175</f>
        <v/>
      </c>
      <c r="K175">
        <f>I175-G175</f>
        <v/>
      </c>
      <c r="M175" t="inlineStr">
        <is>
          <t>TAG2400167</t>
        </is>
      </c>
      <c r="N175" t="inlineStr">
        <is>
          <t>223068500</t>
        </is>
      </c>
      <c r="O175">
        <f>M175=N175</f>
        <v/>
      </c>
      <c r="P175">
        <f>AND(MONTH(F175)=MONTH(S175), YEAR(F175)=YEAR(S175))</f>
        <v/>
      </c>
      <c r="Q175">
        <f>"L001-902303751"=U175</f>
        <v/>
      </c>
      <c r="R175">
        <f>G175-W175</f>
        <v/>
      </c>
      <c r="S175" s="36" t="n">
        <v>45444</v>
      </c>
      <c r="T175" t="n">
        <v>2230685</v>
      </c>
      <c r="U175" t="inlineStr">
        <is>
          <t>K009-901605081</t>
        </is>
      </c>
      <c r="V175" t="inlineStr">
        <is>
          <t>ទ្រូ ខមភែនៀន ឡូជីស្ទីក (ខេមបូឌា)</t>
        </is>
      </c>
      <c r="W175" t="n">
        <v>2230685</v>
      </c>
      <c r="X175" t="n">
        <v>0</v>
      </c>
    </row>
    <row r="176">
      <c r="A176" t="n">
        <v>175</v>
      </c>
      <c r="B176" t="inlineStr">
        <is>
          <t>Import Shipment Expense</t>
        </is>
      </c>
      <c r="C176" t="inlineStr">
        <is>
          <t>អូរៀនថល ឡូជីស្ទីក &amp; ឌីស្ទ្រីប៊្យូសិន (ខេមបូឌា)</t>
        </is>
      </c>
      <c r="D176" t="inlineStr">
        <is>
          <t>L001-103007369</t>
        </is>
      </c>
      <c r="E176" t="inlineStr">
        <is>
          <t>24-2502</t>
        </is>
      </c>
      <c r="F176" t="inlineStr">
        <is>
          <t>22-03-2024</t>
        </is>
      </c>
      <c r="G176" t="n">
        <v>52963</v>
      </c>
      <c r="I176">
        <f>G176</f>
        <v/>
      </c>
      <c r="K176">
        <f>I176-G176</f>
        <v/>
      </c>
      <c r="M176" t="inlineStr">
        <is>
          <t>242502</t>
        </is>
      </c>
      <c r="N176" t="inlineStr">
        <is>
          <t>18929000</t>
        </is>
      </c>
      <c r="O176">
        <f>M176=N176</f>
        <v/>
      </c>
      <c r="P176">
        <f>AND(MONTH(F176)=MONTH(S176), YEAR(F176)=YEAR(S176))</f>
        <v/>
      </c>
      <c r="Q176">
        <f>"L001-902303751"=U176</f>
        <v/>
      </c>
      <c r="R176">
        <f>G176-W176</f>
        <v/>
      </c>
      <c r="S176" s="36" t="n">
        <v>45468</v>
      </c>
      <c r="T176" t="n">
        <v>189290</v>
      </c>
      <c r="U176" t="inlineStr">
        <is>
          <t>K009-901605081</t>
        </is>
      </c>
      <c r="V176" t="inlineStr">
        <is>
          <t>ទ្រូ ខមភែនៀន ឡូជីស្ទីក (ខេមបូឌា)</t>
        </is>
      </c>
      <c r="W176" t="n">
        <v>189290</v>
      </c>
      <c r="X176" t="n">
        <v>0</v>
      </c>
    </row>
    <row r="177">
      <c r="A177" t="n">
        <v>176</v>
      </c>
      <c r="B177" t="inlineStr">
        <is>
          <t>Charge from warehouse and Storage Charges</t>
        </is>
      </c>
      <c r="C177" t="inlineStr">
        <is>
          <t>កំពង់ផែស្វយ័តក្រុងព្រះសីហនុ</t>
        </is>
      </c>
      <c r="D177" t="inlineStr">
        <is>
          <t>L001-100044638</t>
        </is>
      </c>
      <c r="E177" t="inlineStr">
        <is>
          <t>053740</t>
        </is>
      </c>
      <c r="F177" t="inlineStr">
        <is>
          <t>27-03-2024</t>
        </is>
      </c>
      <c r="G177" t="n">
        <v>1022</v>
      </c>
      <c r="I177">
        <f>G177</f>
        <v/>
      </c>
      <c r="K177">
        <f>I177-G177</f>
        <v/>
      </c>
      <c r="M177" t="inlineStr">
        <is>
          <t>053740</t>
        </is>
      </c>
      <c r="N177" t="inlineStr">
        <is>
          <t>18952000</t>
        </is>
      </c>
      <c r="O177">
        <f>M177=N177</f>
        <v/>
      </c>
      <c r="P177">
        <f>AND(MONTH(F177)=MONTH(S177), YEAR(F177)=YEAR(S177))</f>
        <v/>
      </c>
      <c r="Q177">
        <f>"L001-902303751"=U177</f>
        <v/>
      </c>
      <c r="R177">
        <f>G177-W177</f>
        <v/>
      </c>
      <c r="S177" s="36" t="n">
        <v>45462</v>
      </c>
      <c r="T177" t="n">
        <v>189520</v>
      </c>
      <c r="U177" t="inlineStr">
        <is>
          <t>K009-901605081</t>
        </is>
      </c>
      <c r="V177" t="inlineStr">
        <is>
          <t>ទ្រូ ខមភែនៀន ឡូជីស្ទីក (ខេមបូឌា)</t>
        </is>
      </c>
      <c r="W177" t="n">
        <v>189520</v>
      </c>
      <c r="X177" t="n">
        <v>0</v>
      </c>
    </row>
    <row r="178">
      <c r="A178" t="n">
        <v>177</v>
      </c>
      <c r="B178" t="inlineStr">
        <is>
          <t>Customs Clearance Fee and Trucking Fee</t>
        </is>
      </c>
      <c r="C178" t="inlineStr">
        <is>
          <t>ត្រាយអ៊ែងហ្គល ឡូជីស្ទីក (ខេមបូឌា) ឯ.ក</t>
        </is>
      </c>
      <c r="D178" t="inlineStr">
        <is>
          <t>K010-902101743</t>
        </is>
      </c>
      <c r="E178" t="inlineStr">
        <is>
          <t>TAG-24-00143</t>
        </is>
      </c>
      <c r="F178" t="inlineStr">
        <is>
          <t>25-03-2024</t>
        </is>
      </c>
      <c r="G178" t="n">
        <v>8090</v>
      </c>
      <c r="I178">
        <f>G178</f>
        <v/>
      </c>
      <c r="K178">
        <f>I178-G178</f>
        <v/>
      </c>
      <c r="M178" t="inlineStr">
        <is>
          <t>TAG2400143</t>
        </is>
      </c>
      <c r="N178" t="inlineStr">
        <is>
          <t>18827800</t>
        </is>
      </c>
      <c r="O178">
        <f>M178=N178</f>
        <v/>
      </c>
      <c r="P178">
        <f>AND(MONTH(F178)=MONTH(S178), YEAR(F178)=YEAR(S178))</f>
        <v/>
      </c>
      <c r="Q178">
        <f>"L001-902303751"=U178</f>
        <v/>
      </c>
      <c r="R178">
        <f>G178-W178</f>
        <v/>
      </c>
      <c r="S178" s="36" t="n">
        <v>45444</v>
      </c>
      <c r="T178" t="n">
        <v>188278</v>
      </c>
      <c r="U178" t="inlineStr">
        <is>
          <t>K009-901605081</t>
        </is>
      </c>
      <c r="V178" t="inlineStr">
        <is>
          <t>ទ្រូ ខមភែនៀន ឡូជីស្ទីក (ខេមបូឌា)</t>
        </is>
      </c>
      <c r="W178" t="n">
        <v>188278</v>
      </c>
      <c r="X178" t="n">
        <v>0</v>
      </c>
    </row>
    <row r="179">
      <c r="A179" t="n">
        <v>178</v>
      </c>
      <c r="B179" t="inlineStr">
        <is>
          <t>Lift-On &amp; Liff-Off</t>
        </is>
      </c>
      <c r="C179" t="inlineStr">
        <is>
          <t>កំពង់ផែស្វយ័តក្រុងព្រះសីហនុ</t>
        </is>
      </c>
      <c r="D179" t="inlineStr">
        <is>
          <t>L001-100044638</t>
        </is>
      </c>
      <c r="E179" t="inlineStr">
        <is>
          <t>051591</t>
        </is>
      </c>
      <c r="F179" t="inlineStr">
        <is>
          <t>22-03-2024</t>
        </is>
      </c>
      <c r="G179" t="n">
        <v>23074</v>
      </c>
      <c r="I179">
        <f>G179</f>
        <v/>
      </c>
      <c r="K179">
        <f>I179-G179</f>
        <v/>
      </c>
      <c r="M179" t="inlineStr">
        <is>
          <t>051591</t>
        </is>
      </c>
      <c r="N179" t="inlineStr">
        <is>
          <t>224540000</t>
        </is>
      </c>
      <c r="O179">
        <f>M179=N179</f>
        <v/>
      </c>
      <c r="P179">
        <f>AND(MONTH(F179)=MONTH(S179), YEAR(F179)=YEAR(S179))</f>
        <v/>
      </c>
      <c r="Q179">
        <f>"L001-902303751"=U179</f>
        <v/>
      </c>
      <c r="R179">
        <f>G179-W179</f>
        <v/>
      </c>
      <c r="S179" s="36" t="n">
        <v>45462</v>
      </c>
      <c r="T179" t="n">
        <v>2245400</v>
      </c>
      <c r="U179" t="inlineStr">
        <is>
          <t>K009-901605081</t>
        </is>
      </c>
      <c r="V179" t="inlineStr">
        <is>
          <t>ទ្រូ ខមភែនៀន ឡូជីស្ទីក (ខេមបូឌា)</t>
        </is>
      </c>
      <c r="W179" t="n">
        <v>2245400</v>
      </c>
      <c r="X179" t="n">
        <v>0</v>
      </c>
    </row>
    <row r="180">
      <c r="A180" t="n">
        <v>179</v>
      </c>
      <c r="B180" t="inlineStr">
        <is>
          <t>Charge from warehouse</t>
        </is>
      </c>
      <c r="C180" t="inlineStr">
        <is>
          <t>កំពង់ផែស្វយ័តក្រុងព្រះសីហនុ</t>
        </is>
      </c>
      <c r="D180" t="inlineStr">
        <is>
          <t>L001-100044638</t>
        </is>
      </c>
      <c r="E180" t="inlineStr">
        <is>
          <t>040985</t>
        </is>
      </c>
      <c r="F180" t="inlineStr">
        <is>
          <t>05-03-2024</t>
        </is>
      </c>
      <c r="G180" t="n">
        <v>621</v>
      </c>
      <c r="I180">
        <f>G180</f>
        <v/>
      </c>
      <c r="K180">
        <f>I180-G180</f>
        <v/>
      </c>
      <c r="M180" t="inlineStr">
        <is>
          <t>040985</t>
        </is>
      </c>
      <c r="N180" t="inlineStr"/>
      <c r="O180">
        <f>M180=N180</f>
        <v/>
      </c>
      <c r="P180">
        <f>AND(MONTH(F180)=MONTH(S180), YEAR(F180)=YEAR(S180))</f>
        <v/>
      </c>
      <c r="Q180">
        <f>"L001-902303751"=U180</f>
        <v/>
      </c>
      <c r="R180">
        <f>G180-W180</f>
        <v/>
      </c>
      <c r="S180" s="36" t="n">
        <v>45460</v>
      </c>
      <c r="T180" t="inlineStr"/>
      <c r="U180" t="inlineStr">
        <is>
          <t>K003-901635943</t>
        </is>
      </c>
      <c r="V180" t="inlineStr">
        <is>
          <t>អ៊ីឃ្យូឡាញ វើលវ៉ាយដ៍ ឡូជីស្ទីក</t>
        </is>
      </c>
      <c r="W180" t="n">
        <v>0</v>
      </c>
      <c r="X180" t="n">
        <v>0</v>
      </c>
    </row>
    <row r="181">
      <c r="A181" t="n">
        <v>180</v>
      </c>
      <c r="B181" t="inlineStr">
        <is>
          <t>Agency Fee, DO Fee, Document Fee, LCl Fee, Scanning Fee, THC, Service Charge, CFS, CIC</t>
        </is>
      </c>
      <c r="C181" t="inlineStr">
        <is>
          <t>សាខាក្រុមហ៊ុន ប៊ី ឡូជីស្ទីក ខបភើរេសិន (ខេមបូឌា)</t>
        </is>
      </c>
      <c r="D181" t="inlineStr">
        <is>
          <t>L001-100182259</t>
        </is>
      </c>
      <c r="E181" t="inlineStr">
        <is>
          <t>1907819</t>
        </is>
      </c>
      <c r="F181" t="inlineStr">
        <is>
          <t>15-03-2024</t>
        </is>
      </c>
      <c r="G181" t="n">
        <v>60315</v>
      </c>
      <c r="I181">
        <f>G181</f>
        <v/>
      </c>
      <c r="K181">
        <f>I181-G181</f>
        <v/>
      </c>
      <c r="M181" t="inlineStr">
        <is>
          <t>1907819</t>
        </is>
      </c>
      <c r="N181" t="inlineStr">
        <is>
          <t>224540000</t>
        </is>
      </c>
      <c r="O181">
        <f>M181=N181</f>
        <v/>
      </c>
      <c r="P181">
        <f>AND(MONTH(F181)=MONTH(S181), YEAR(F181)=YEAR(S181))</f>
        <v/>
      </c>
      <c r="Q181">
        <f>"L001-902303751"=U181</f>
        <v/>
      </c>
      <c r="R181">
        <f>G181-W181</f>
        <v/>
      </c>
      <c r="S181" s="36" t="n">
        <v>45462</v>
      </c>
      <c r="T181" t="n">
        <v>2245400</v>
      </c>
      <c r="U181" t="inlineStr">
        <is>
          <t>K009-901605081</t>
        </is>
      </c>
      <c r="V181" t="inlineStr">
        <is>
          <t>ទ្រូ ខមភែនៀន ឡូជីស្ទីក (ខេមបូឌា)</t>
        </is>
      </c>
      <c r="W181" t="n">
        <v>2245400</v>
      </c>
      <c r="X181" t="n">
        <v>0</v>
      </c>
    </row>
    <row r="182">
      <c r="A182" t="n">
        <v>181</v>
      </c>
      <c r="B182" t="inlineStr">
        <is>
          <t>Customs Clearance Fee and Trucking Fee</t>
        </is>
      </c>
      <c r="C182" t="inlineStr">
        <is>
          <t>ត្រាយអ៊ែងហ្គល ឡូជីស្ទីក (ខេមបូឌា) ឯ.ក</t>
        </is>
      </c>
      <c r="D182" t="inlineStr">
        <is>
          <t>K010-902101743</t>
        </is>
      </c>
      <c r="E182" t="inlineStr">
        <is>
          <t>TAG-24-00152</t>
        </is>
      </c>
      <c r="F182" t="inlineStr">
        <is>
          <t>25-03-2024</t>
        </is>
      </c>
      <c r="G182" t="n">
        <v>83084</v>
      </c>
      <c r="I182">
        <f>G182</f>
        <v/>
      </c>
      <c r="K182">
        <f>I182-G182</f>
        <v/>
      </c>
      <c r="M182" t="inlineStr">
        <is>
          <t>TAG2400152</t>
        </is>
      </c>
      <c r="N182" t="inlineStr">
        <is>
          <t>224540000</t>
        </is>
      </c>
      <c r="O182">
        <f>M182=N182</f>
        <v/>
      </c>
      <c r="P182">
        <f>AND(MONTH(F182)=MONTH(S182), YEAR(F182)=YEAR(S182))</f>
        <v/>
      </c>
      <c r="Q182">
        <f>"L001-902303751"=U182</f>
        <v/>
      </c>
      <c r="R182">
        <f>G182-W182</f>
        <v/>
      </c>
      <c r="S182" s="36" t="n">
        <v>45462</v>
      </c>
      <c r="T182" t="n">
        <v>2245400</v>
      </c>
      <c r="U182" t="inlineStr">
        <is>
          <t>K009-901605081</t>
        </is>
      </c>
      <c r="V182" t="inlineStr">
        <is>
          <t>ទ្រូ ខមភែនៀន ឡូជីស្ទីក (ខេមបូឌា)</t>
        </is>
      </c>
      <c r="W182" t="n">
        <v>2245400</v>
      </c>
      <c r="X182" t="n">
        <v>0</v>
      </c>
    </row>
    <row r="183">
      <c r="A183" t="n">
        <v>182</v>
      </c>
      <c r="B183" t="inlineStr">
        <is>
          <t>Charge from warehouse</t>
        </is>
      </c>
      <c r="C183" t="inlineStr">
        <is>
          <t>កំពង់ផែស្វយ័តក្រុងព្រះសីហនុ</t>
        </is>
      </c>
      <c r="D183" t="inlineStr">
        <is>
          <t>L001-100044638</t>
        </is>
      </c>
      <c r="E183" t="inlineStr">
        <is>
          <t>049374</t>
        </is>
      </c>
      <c r="F183" t="inlineStr">
        <is>
          <t>19-03-2024</t>
        </is>
      </c>
      <c r="G183" t="n">
        <v>1240</v>
      </c>
      <c r="I183">
        <f>G183</f>
        <v/>
      </c>
      <c r="K183">
        <f>I183-G183</f>
        <v/>
      </c>
      <c r="M183" t="inlineStr">
        <is>
          <t>049374</t>
        </is>
      </c>
      <c r="N183" t="inlineStr">
        <is>
          <t>8516000</t>
        </is>
      </c>
      <c r="O183">
        <f>M183=N183</f>
        <v/>
      </c>
      <c r="P183">
        <f>AND(MONTH(F183)=MONTH(S183), YEAR(F183)=YEAR(S183))</f>
        <v/>
      </c>
      <c r="Q183">
        <f>"L001-902303751"=U183</f>
        <v/>
      </c>
      <c r="R183">
        <f>G183-W183</f>
        <v/>
      </c>
      <c r="S183" s="36" t="n">
        <v>45453</v>
      </c>
      <c r="T183" t="n">
        <v>85160</v>
      </c>
      <c r="U183" t="inlineStr">
        <is>
          <t>L001-107041723</t>
        </is>
      </c>
      <c r="V183" t="inlineStr">
        <is>
          <t>ឌីប៊ី សេនឃើរ (ខេមបូឌា) លីមីធីត</t>
        </is>
      </c>
      <c r="W183" t="n">
        <v>85160</v>
      </c>
      <c r="X183" t="n">
        <v>0</v>
      </c>
    </row>
    <row r="184">
      <c r="A184" t="n">
        <v>183</v>
      </c>
      <c r="B184" t="inlineStr">
        <is>
          <t>Terminal Handling charges, CFS Fee. Scan Fee, D/O Fee, Document Fee, Handling Fee, Co-Loader THC Charge and LSS Charge</t>
        </is>
      </c>
      <c r="C184" t="inlineStr">
        <is>
          <t>ត្រាយអ៊ែងហ្គល ឡូជីស្ទីក (ខេមបូឌា) ឯ.ក</t>
        </is>
      </c>
      <c r="D184" t="inlineStr">
        <is>
          <t>K010-902101743</t>
        </is>
      </c>
      <c r="E184" t="inlineStr">
        <is>
          <t>TAG-24-00104</t>
        </is>
      </c>
      <c r="F184" t="inlineStr">
        <is>
          <t>15-03-2024</t>
        </is>
      </c>
      <c r="G184" t="n">
        <v>187827</v>
      </c>
      <c r="I184">
        <f>G184</f>
        <v/>
      </c>
      <c r="K184">
        <f>I184-G184</f>
        <v/>
      </c>
      <c r="M184" t="inlineStr">
        <is>
          <t>TAG2400104</t>
        </is>
      </c>
      <c r="N184" t="inlineStr">
        <is>
          <t>18952000</t>
        </is>
      </c>
      <c r="O184">
        <f>M184=N184</f>
        <v/>
      </c>
      <c r="P184">
        <f>AND(MONTH(F184)=MONTH(S184), YEAR(F184)=YEAR(S184))</f>
        <v/>
      </c>
      <c r="Q184">
        <f>"L001-902303751"=U184</f>
        <v/>
      </c>
      <c r="R184">
        <f>G184-W184</f>
        <v/>
      </c>
      <c r="S184" s="36" t="n">
        <v>45462</v>
      </c>
      <c r="T184" t="n">
        <v>189520</v>
      </c>
      <c r="U184" t="inlineStr">
        <is>
          <t>K009-901605081</t>
        </is>
      </c>
      <c r="V184" t="inlineStr">
        <is>
          <t>ទ្រូ ខមភែនៀន ឡូជីស្ទីក (ខេមបូឌា)</t>
        </is>
      </c>
      <c r="W184" t="n">
        <v>189520</v>
      </c>
      <c r="X184" t="n">
        <v>0</v>
      </c>
    </row>
    <row r="185">
      <c r="A185" t="n">
        <v>184</v>
      </c>
      <c r="B185" t="inlineStr">
        <is>
          <t>Customs Clearance Fee and Trucking Fee</t>
        </is>
      </c>
      <c r="C185" t="inlineStr">
        <is>
          <t>ត្រាយអ៊ែងហ្គល ឡូជីស្ទីក (ខេមបូឌា) ឯ.ក</t>
        </is>
      </c>
      <c r="D185" t="inlineStr">
        <is>
          <t>K010-902101743</t>
        </is>
      </c>
      <c r="E185" t="inlineStr">
        <is>
          <t>TAG-24-00154</t>
        </is>
      </c>
      <c r="F185" t="inlineStr">
        <is>
          <t>25-03-2024</t>
        </is>
      </c>
      <c r="G185" t="n">
        <v>68765</v>
      </c>
      <c r="I185">
        <f>G185</f>
        <v/>
      </c>
      <c r="K185">
        <f>I185-G185</f>
        <v/>
      </c>
      <c r="M185" t="inlineStr">
        <is>
          <t>TAG2400154</t>
        </is>
      </c>
      <c r="N185" t="inlineStr">
        <is>
          <t>21017100</t>
        </is>
      </c>
      <c r="O185">
        <f>M185=N185</f>
        <v/>
      </c>
      <c r="P185">
        <f>AND(MONTH(F185)=MONTH(S185), YEAR(F185)=YEAR(S185))</f>
        <v/>
      </c>
      <c r="Q185">
        <f>"L001-902303751"=U185</f>
        <v/>
      </c>
      <c r="R185">
        <f>G185-W185</f>
        <v/>
      </c>
      <c r="S185" s="36" t="n">
        <v>45460</v>
      </c>
      <c r="T185" t="n">
        <v>210171</v>
      </c>
      <c r="U185" t="inlineStr">
        <is>
          <t>L001-100182259</t>
        </is>
      </c>
      <c r="V185" t="inlineStr">
        <is>
          <t>សាខាក្រុមហ៊ុន ប៊ី ឡូជីស្ទីក ខបភើរេសិន (ខេមបូឌា)</t>
        </is>
      </c>
      <c r="W185" t="n">
        <v>210171</v>
      </c>
      <c r="X185" t="n">
        <v>0</v>
      </c>
    </row>
    <row r="186">
      <c r="A186" t="n">
        <v>185</v>
      </c>
      <c r="B186" t="inlineStr">
        <is>
          <t>THC Fee, D/O Fee, Document Fee, EQ Management Fee, Agency Fee and CIC</t>
        </is>
      </c>
      <c r="C186" t="inlineStr">
        <is>
          <t>ត្រាយអ៊ែងហ្គល ឡូជីស្ទីក (ខេមបូឌា) ឯ.ក</t>
        </is>
      </c>
      <c r="D186" t="inlineStr">
        <is>
          <t>K010-902101743</t>
        </is>
      </c>
      <c r="E186" t="inlineStr">
        <is>
          <t>TAG-24-00106</t>
        </is>
      </c>
      <c r="F186" t="inlineStr">
        <is>
          <t>15-03-2024</t>
        </is>
      </c>
      <c r="G186" t="n">
        <v>153824</v>
      </c>
      <c r="I186">
        <f>G186</f>
        <v/>
      </c>
      <c r="K186">
        <f>I186-G186</f>
        <v/>
      </c>
      <c r="M186" t="inlineStr">
        <is>
          <t>TAG2400106</t>
        </is>
      </c>
      <c r="N186" t="inlineStr">
        <is>
          <t>18952000</t>
        </is>
      </c>
      <c r="O186">
        <f>M186=N186</f>
        <v/>
      </c>
      <c r="P186">
        <f>AND(MONTH(F186)=MONTH(S186), YEAR(F186)=YEAR(S186))</f>
        <v/>
      </c>
      <c r="Q186">
        <f>"L001-902303751"=U186</f>
        <v/>
      </c>
      <c r="R186">
        <f>G186-W186</f>
        <v/>
      </c>
      <c r="S186" s="36" t="n">
        <v>45462</v>
      </c>
      <c r="T186" t="n">
        <v>189520</v>
      </c>
      <c r="U186" t="inlineStr">
        <is>
          <t>K009-901605081</t>
        </is>
      </c>
      <c r="V186" t="inlineStr">
        <is>
          <t>ទ្រូ ខមភែនៀន ឡូជីស្ទីក (ខេមបូឌា)</t>
        </is>
      </c>
      <c r="W186" t="n">
        <v>189520</v>
      </c>
      <c r="X186" t="n">
        <v>0</v>
      </c>
    </row>
    <row r="187">
      <c r="A187" t="n">
        <v>186</v>
      </c>
      <c r="B187" t="inlineStr">
        <is>
          <t>Customs Clearance Fee and Trucking Fee</t>
        </is>
      </c>
      <c r="C187" t="inlineStr">
        <is>
          <t>ត្រាយអ៊ែងហ្គល ឡូជីស្ទីក (ខេមបូឌា) ឯ.ក</t>
        </is>
      </c>
      <c r="D187" t="inlineStr">
        <is>
          <t>K010-902101743</t>
        </is>
      </c>
      <c r="E187" t="inlineStr">
        <is>
          <t>TAG-24-00138</t>
        </is>
      </c>
      <c r="F187" t="inlineStr">
        <is>
          <t>22-03-2024</t>
        </is>
      </c>
      <c r="G187" t="n">
        <v>68816</v>
      </c>
      <c r="I187">
        <f>G187</f>
        <v/>
      </c>
      <c r="K187">
        <f>I187-G187</f>
        <v/>
      </c>
      <c r="M187" t="inlineStr">
        <is>
          <t>TAG2400138</t>
        </is>
      </c>
      <c r="N187" t="inlineStr">
        <is>
          <t>112805000</t>
        </is>
      </c>
      <c r="O187">
        <f>M187=N187</f>
        <v/>
      </c>
      <c r="P187">
        <f>AND(MONTH(F187)=MONTH(S187), YEAR(F187)=YEAR(S187))</f>
        <v/>
      </c>
      <c r="Q187">
        <f>"L001-902303751"=U187</f>
        <v/>
      </c>
      <c r="R187">
        <f>G187-W187</f>
        <v/>
      </c>
      <c r="S187" s="36" t="n">
        <v>45499</v>
      </c>
      <c r="T187" t="n">
        <v>1128050</v>
      </c>
      <c r="U187" t="inlineStr">
        <is>
          <t>K009-901605081</t>
        </is>
      </c>
      <c r="V187" t="inlineStr">
        <is>
          <t>ទ្រូ ខមភែនៀន ឡូជីស្ទីក (ខេមបូឌា)</t>
        </is>
      </c>
      <c r="W187" t="n">
        <v>1128050</v>
      </c>
      <c r="X187" t="n">
        <v>0</v>
      </c>
    </row>
    <row r="188">
      <c r="A188" t="n">
        <v>187</v>
      </c>
      <c r="B188" t="inlineStr">
        <is>
          <t>THC, DOC FEE and CONTAINER IMBALANCE</t>
        </is>
      </c>
      <c r="C188" t="inlineStr">
        <is>
          <t>សាខាក្រុមហ៊ុន ជីម៉ាឌីប ស៊ីបភីង ខមភេនី លីមីធីត</t>
        </is>
      </c>
      <c r="D188" t="inlineStr">
        <is>
          <t>L001-901704777</t>
        </is>
      </c>
      <c r="E188" t="inlineStr">
        <is>
          <t>24-00835</t>
        </is>
      </c>
      <c r="F188" t="inlineStr">
        <is>
          <t>11-03-2024</t>
        </is>
      </c>
      <c r="G188" t="n">
        <v>135843</v>
      </c>
      <c r="I188">
        <f>G188</f>
        <v/>
      </c>
      <c r="K188">
        <f>I188-G188</f>
        <v/>
      </c>
      <c r="M188" t="inlineStr">
        <is>
          <t>2400835</t>
        </is>
      </c>
      <c r="N188" t="inlineStr">
        <is>
          <t>223559000</t>
        </is>
      </c>
      <c r="O188">
        <f>M188=N188</f>
        <v/>
      </c>
      <c r="P188">
        <f>AND(MONTH(F188)=MONTH(S188), YEAR(F188)=YEAR(S188))</f>
        <v/>
      </c>
      <c r="Q188">
        <f>"L001-902303751"=U188</f>
        <v/>
      </c>
      <c r="R188">
        <f>G188-W188</f>
        <v/>
      </c>
      <c r="S188" s="36" t="n">
        <v>45499</v>
      </c>
      <c r="T188" t="n">
        <v>2235590</v>
      </c>
      <c r="U188" t="inlineStr">
        <is>
          <t>K009-901605081</t>
        </is>
      </c>
      <c r="V188" t="inlineStr">
        <is>
          <t>ទ្រូ ខមភែនៀន ឡូជីស្ទីក (ខេមបូឌា)</t>
        </is>
      </c>
      <c r="W188" t="n">
        <v>2235590</v>
      </c>
      <c r="X188" t="n">
        <v>0</v>
      </c>
    </row>
    <row r="189">
      <c r="A189" t="n">
        <v>188</v>
      </c>
      <c r="B189" t="inlineStr">
        <is>
          <t>Lift-On Charge, Gate Fee Charge and Storage 40 Feet Container</t>
        </is>
      </c>
      <c r="C189" t="inlineStr">
        <is>
          <t>កំពង់ផែស្វយ័តភ្នំពេញ "ក.ស.ភ"</t>
        </is>
      </c>
      <c r="D189" t="inlineStr">
        <is>
          <t>L001-100044999</t>
        </is>
      </c>
      <c r="E189" t="inlineStr">
        <is>
          <t>INV20240316327</t>
        </is>
      </c>
      <c r="F189" t="inlineStr">
        <is>
          <t>25-03-2024</t>
        </is>
      </c>
      <c r="G189" t="n">
        <v>47731</v>
      </c>
      <c r="I189">
        <f>G189</f>
        <v/>
      </c>
      <c r="K189">
        <f>I189-G189</f>
        <v/>
      </c>
      <c r="M189" t="inlineStr">
        <is>
          <t>INV20240316327</t>
        </is>
      </c>
      <c r="N189" t="inlineStr">
        <is>
          <t>8495300</t>
        </is>
      </c>
      <c r="O189">
        <f>M189=N189</f>
        <v/>
      </c>
      <c r="P189">
        <f>AND(MONTH(F189)=MONTH(S189), YEAR(F189)=YEAR(S189))</f>
        <v/>
      </c>
      <c r="Q189">
        <f>"L001-902303751"=U189</f>
        <v/>
      </c>
      <c r="R189">
        <f>G189-W189</f>
        <v/>
      </c>
      <c r="S189" s="36" t="n">
        <v>45502</v>
      </c>
      <c r="T189" t="n">
        <v>84953</v>
      </c>
      <c r="U189" t="inlineStr">
        <is>
          <t>L001-104015799</t>
        </is>
      </c>
      <c r="V189" t="inlineStr">
        <is>
          <t>យូសេន ឡូជីស្ទីក (ខេមបូឌា) ខូ អិលធីឌី</t>
        </is>
      </c>
      <c r="W189" t="n">
        <v>84953</v>
      </c>
      <c r="X189" t="n">
        <v>0</v>
      </c>
    </row>
    <row r="190">
      <c r="A190" t="n">
        <v>189</v>
      </c>
      <c r="B190" t="inlineStr">
        <is>
          <t>Customs Clearance Fee and Trucking Fee</t>
        </is>
      </c>
      <c r="C190" t="inlineStr">
        <is>
          <t>ត្រាយអ៊ែងហ្គល ឡូជីស្ទីក (ខេមបូឌា) ឯ.ក</t>
        </is>
      </c>
      <c r="D190" t="inlineStr">
        <is>
          <t>K010-902101743</t>
        </is>
      </c>
      <c r="E190" t="inlineStr">
        <is>
          <t>TAG-24-00139</t>
        </is>
      </c>
      <c r="F190" t="inlineStr">
        <is>
          <t>22-03-2024</t>
        </is>
      </c>
      <c r="G190" t="n">
        <v>68816</v>
      </c>
      <c r="I190">
        <f>G190</f>
        <v/>
      </c>
      <c r="K190">
        <f>I190-G190</f>
        <v/>
      </c>
      <c r="M190" t="inlineStr">
        <is>
          <t>TAG2400139</t>
        </is>
      </c>
      <c r="N190" t="inlineStr"/>
      <c r="O190">
        <f>M190=N190</f>
        <v/>
      </c>
      <c r="P190">
        <f>AND(MONTH(F190)=MONTH(S190), YEAR(F190)=YEAR(S190))</f>
        <v/>
      </c>
      <c r="Q190">
        <f>"L001-902303751"=U190</f>
        <v/>
      </c>
      <c r="R190">
        <f>G190-W190</f>
        <v/>
      </c>
      <c r="S190" s="36" t="n">
        <v>45474</v>
      </c>
      <c r="T190" t="inlineStr"/>
      <c r="U190" t="inlineStr">
        <is>
          <t>L001-100098134</t>
        </is>
      </c>
      <c r="V190" t="inlineStr">
        <is>
          <t>បុងកាហ្វេ (ខេមបូឌា)</t>
        </is>
      </c>
      <c r="W190" t="n">
        <v>0</v>
      </c>
      <c r="X190" t="n">
        <v>0</v>
      </c>
    </row>
    <row r="191">
      <c r="A191" t="n">
        <v>190</v>
      </c>
      <c r="B191" t="inlineStr">
        <is>
          <t>THC, DOC FEE and CONTAINER IMBALANCE</t>
        </is>
      </c>
      <c r="C191" t="inlineStr">
        <is>
          <t>សាខាក្រុមហ៊ុន ប៊ី ឡូជីស្ទីក ខបភើរេសិន (ខេមបូឌា)</t>
        </is>
      </c>
      <c r="D191" t="inlineStr">
        <is>
          <t>L001-100182259</t>
        </is>
      </c>
      <c r="E191" t="inlineStr">
        <is>
          <t>24-00836</t>
        </is>
      </c>
      <c r="F191" t="inlineStr">
        <is>
          <t>11-03-2024</t>
        </is>
      </c>
      <c r="G191" t="n">
        <v>135843</v>
      </c>
      <c r="I191">
        <f>G191</f>
        <v/>
      </c>
      <c r="K191">
        <f>I191-G191</f>
        <v/>
      </c>
      <c r="M191" t="inlineStr">
        <is>
          <t>2400836</t>
        </is>
      </c>
      <c r="N191" t="inlineStr">
        <is>
          <t>13158400</t>
        </is>
      </c>
      <c r="O191">
        <f>M191=N191</f>
        <v/>
      </c>
      <c r="P191">
        <f>AND(MONTH(F191)=MONTH(S191), YEAR(F191)=YEAR(S191))</f>
        <v/>
      </c>
      <c r="Q191">
        <f>"L001-902303751"=U191</f>
        <v/>
      </c>
      <c r="R191">
        <f>G191-W191</f>
        <v/>
      </c>
      <c r="S191" s="36" t="n">
        <v>45474</v>
      </c>
      <c r="T191" t="n">
        <v>131584</v>
      </c>
      <c r="U191" t="inlineStr">
        <is>
          <t>L001-100182259</t>
        </is>
      </c>
      <c r="V191" t="inlineStr">
        <is>
          <t>សាខាក្រុមហ៊ុន ប៊ី ឡូជីស្ទីក ខបភើរេសិន (ខេមបូឌា)</t>
        </is>
      </c>
      <c r="W191" t="n">
        <v>131584</v>
      </c>
      <c r="X191" t="n">
        <v>0</v>
      </c>
    </row>
    <row r="192">
      <c r="A192" t="n">
        <v>191</v>
      </c>
      <c r="B192" t="inlineStr">
        <is>
          <t>Lift-On Charge, Gate Fee Charge and Storage 40 Feet Container</t>
        </is>
      </c>
      <c r="C192" t="inlineStr">
        <is>
          <t>កំពង់ផែស្វយ័តភ្នំពេញ "ក.ស.ភ"</t>
        </is>
      </c>
      <c r="D192" t="inlineStr">
        <is>
          <t>L001-100044999</t>
        </is>
      </c>
      <c r="E192" t="inlineStr">
        <is>
          <t>INV20240316328</t>
        </is>
      </c>
      <c r="F192" t="inlineStr">
        <is>
          <t>25-03-2024</t>
        </is>
      </c>
      <c r="G192" t="n">
        <v>47731</v>
      </c>
      <c r="I192">
        <f>G192</f>
        <v/>
      </c>
      <c r="K192">
        <f>I192-G192</f>
        <v/>
      </c>
      <c r="M192" t="inlineStr">
        <is>
          <t>INV20240316328</t>
        </is>
      </c>
      <c r="N192" t="inlineStr">
        <is>
          <t>7547700</t>
        </is>
      </c>
      <c r="O192">
        <f>M192=N192</f>
        <v/>
      </c>
      <c r="P192">
        <f>AND(MONTH(F192)=MONTH(S192), YEAR(F192)=YEAR(S192))</f>
        <v/>
      </c>
      <c r="Q192">
        <f>"L001-902303751"=U192</f>
        <v/>
      </c>
      <c r="R192">
        <f>G192-W192</f>
        <v/>
      </c>
      <c r="S192" s="36" t="n">
        <v>45499</v>
      </c>
      <c r="T192" t="n">
        <v>75477</v>
      </c>
      <c r="U192" t="inlineStr">
        <is>
          <t>K009-901605081</t>
        </is>
      </c>
      <c r="V192" t="inlineStr">
        <is>
          <t>ទ្រូ ខមភែនៀន ឡូជីស្ទីក (ខេមបូឌា)</t>
        </is>
      </c>
      <c r="W192" t="n">
        <v>75477</v>
      </c>
      <c r="X192" t="n">
        <v>0</v>
      </c>
    </row>
    <row r="193">
      <c r="A193" t="n">
        <v>192</v>
      </c>
      <c r="B193" t="inlineStr">
        <is>
          <t>Customs Clearance Fee and Trucking Fee</t>
        </is>
      </c>
      <c r="C193" t="inlineStr">
        <is>
          <t>ត្រាយអ៊ែងហ្គល ឡូជីស្ទីក (ខេមបូឌា) ឯ.ក</t>
        </is>
      </c>
      <c r="D193" t="inlineStr">
        <is>
          <t>K010-902101743</t>
        </is>
      </c>
      <c r="E193" t="inlineStr">
        <is>
          <t>TAG-24-00157</t>
        </is>
      </c>
      <c r="F193" t="inlineStr">
        <is>
          <t>25-03-2024</t>
        </is>
      </c>
      <c r="G193" t="n">
        <v>68765</v>
      </c>
      <c r="I193">
        <f>G193</f>
        <v/>
      </c>
      <c r="K193">
        <f>I193-G193</f>
        <v/>
      </c>
      <c r="M193" t="inlineStr">
        <is>
          <t>TAG2400157</t>
        </is>
      </c>
      <c r="N193" t="inlineStr">
        <is>
          <t>945800</t>
        </is>
      </c>
      <c r="O193">
        <f>M193=N193</f>
        <v/>
      </c>
      <c r="P193">
        <f>AND(MONTH(F193)=MONTH(S193), YEAR(F193)=YEAR(S193))</f>
        <v/>
      </c>
      <c r="Q193">
        <f>"L001-902303751"=U193</f>
        <v/>
      </c>
      <c r="R193">
        <f>G193-W193</f>
        <v/>
      </c>
      <c r="S193" s="36" t="n">
        <v>45474</v>
      </c>
      <c r="T193" t="n">
        <v>9458</v>
      </c>
      <c r="U193" t="inlineStr">
        <is>
          <t>L001-100098134</t>
        </is>
      </c>
      <c r="V193" t="inlineStr">
        <is>
          <t>បុងកាហ្វេ (ខេមបូឌា)</t>
        </is>
      </c>
      <c r="W193" t="n">
        <v>9458</v>
      </c>
      <c r="X193" t="n">
        <v>0</v>
      </c>
    </row>
    <row r="194">
      <c r="A194" t="n">
        <v>193</v>
      </c>
      <c r="B194" t="inlineStr">
        <is>
          <t>Customs Clearance Fee and Trucking Fee</t>
        </is>
      </c>
      <c r="C194" t="inlineStr">
        <is>
          <t>ត្រាយអ៊ែងហ្គល ឡូជីស្ទីក (ខេមបូឌា) ឯ.ក</t>
        </is>
      </c>
      <c r="D194" t="inlineStr">
        <is>
          <t>K010-902101743</t>
        </is>
      </c>
      <c r="E194" t="inlineStr">
        <is>
          <t>TAG-24-00156</t>
        </is>
      </c>
      <c r="F194" t="inlineStr">
        <is>
          <t>25-03-2024</t>
        </is>
      </c>
      <c r="G194" t="n">
        <v>32360</v>
      </c>
      <c r="I194">
        <f>G194</f>
        <v/>
      </c>
      <c r="K194">
        <f>I194-G194</f>
        <v/>
      </c>
      <c r="M194" t="inlineStr">
        <is>
          <t>TAG2400156</t>
        </is>
      </c>
      <c r="N194" t="inlineStr">
        <is>
          <t>8495300</t>
        </is>
      </c>
      <c r="O194">
        <f>M194=N194</f>
        <v/>
      </c>
      <c r="P194">
        <f>AND(MONTH(F194)=MONTH(S194), YEAR(F194)=YEAR(S194))</f>
        <v/>
      </c>
      <c r="Q194">
        <f>"L001-902303751"=U194</f>
        <v/>
      </c>
      <c r="R194">
        <f>G194-W194</f>
        <v/>
      </c>
      <c r="S194" s="36" t="n">
        <v>45502</v>
      </c>
      <c r="T194" t="n">
        <v>84953</v>
      </c>
      <c r="U194" t="inlineStr">
        <is>
          <t>L001-104015799</t>
        </is>
      </c>
      <c r="V194" t="inlineStr">
        <is>
          <t>យូសេន ឡូជីស្ទីក (ខេមបូឌា) ខូ អិលធីឌី</t>
        </is>
      </c>
      <c r="W194" t="n">
        <v>84953</v>
      </c>
      <c r="X194" t="n">
        <v>0</v>
      </c>
    </row>
    <row r="195">
      <c r="A195" t="n">
        <v>194</v>
      </c>
      <c r="B195" t="inlineStr">
        <is>
          <t>THC Charge, CFS Fee, Scanning Fee, CIC Fee, D/O Fee, DOC Fee, Agency Fee, Handling Fee and Ocean Freight</t>
        </is>
      </c>
      <c r="C195" t="inlineStr">
        <is>
          <t>ហ្វ្រេត ខនសិប (ខេមបូឌា)</t>
        </is>
      </c>
      <c r="D195" t="inlineStr">
        <is>
          <t>K009-901502482</t>
        </is>
      </c>
      <c r="E195" t="inlineStr">
        <is>
          <t>240222</t>
        </is>
      </c>
      <c r="F195" t="inlineStr">
        <is>
          <t>13-03-2024</t>
        </is>
      </c>
      <c r="G195" t="n">
        <v>103490</v>
      </c>
      <c r="I195">
        <f>G195</f>
        <v/>
      </c>
      <c r="K195">
        <f>I195-G195</f>
        <v/>
      </c>
      <c r="M195" t="inlineStr">
        <is>
          <t>240222</t>
        </is>
      </c>
      <c r="N195" t="inlineStr">
        <is>
          <t>8505600</t>
        </is>
      </c>
      <c r="O195">
        <f>M195=N195</f>
        <v/>
      </c>
      <c r="P195">
        <f>AND(MONTH(F195)=MONTH(S195), YEAR(F195)=YEAR(S195))</f>
        <v/>
      </c>
      <c r="Q195">
        <f>"L001-902303751"=U195</f>
        <v/>
      </c>
      <c r="R195">
        <f>G195-W195</f>
        <v/>
      </c>
      <c r="S195" s="36" t="n">
        <v>45495</v>
      </c>
      <c r="T195" t="n">
        <v>85056</v>
      </c>
      <c r="U195" t="inlineStr">
        <is>
          <t>K009-901605081</t>
        </is>
      </c>
      <c r="V195" t="inlineStr">
        <is>
          <t>ទ្រូ ខមភែនៀន ឡូជីស្ទីក (ខេមបូឌា)</t>
        </is>
      </c>
      <c r="W195" t="n">
        <v>85056</v>
      </c>
      <c r="X195" t="n">
        <v>0</v>
      </c>
    </row>
    <row r="196">
      <c r="A196" t="n">
        <v>195</v>
      </c>
      <c r="B196" t="inlineStr">
        <is>
          <t>Import Shipment Expense</t>
        </is>
      </c>
      <c r="C196" t="inlineStr">
        <is>
          <t>អូរៀនថល ឡូជីស្ទីក &amp; ឌីស្ទ្រីប៊្យូសិន (ខេមបូឌា)</t>
        </is>
      </c>
      <c r="D196" t="inlineStr">
        <is>
          <t>L001-103007369</t>
        </is>
      </c>
      <c r="E196" t="inlineStr">
        <is>
          <t>24-1875</t>
        </is>
      </c>
      <c r="F196" t="inlineStr">
        <is>
          <t>11-03-2024</t>
        </is>
      </c>
      <c r="G196" t="n">
        <v>60725</v>
      </c>
      <c r="I196">
        <f>G196</f>
        <v/>
      </c>
      <c r="K196">
        <f>I196-G196</f>
        <v/>
      </c>
      <c r="M196" t="inlineStr">
        <is>
          <t>241875</t>
        </is>
      </c>
      <c r="N196" t="inlineStr">
        <is>
          <t>223831500</t>
        </is>
      </c>
      <c r="O196">
        <f>M196=N196</f>
        <v/>
      </c>
      <c r="P196">
        <f>AND(MONTH(F196)=MONTH(S196), YEAR(F196)=YEAR(S196))</f>
        <v/>
      </c>
      <c r="Q196">
        <f>"L001-902303751"=U196</f>
        <v/>
      </c>
      <c r="R196">
        <f>G196-W196</f>
        <v/>
      </c>
      <c r="S196" s="36" t="n">
        <v>45497</v>
      </c>
      <c r="T196" t="n">
        <v>2238315</v>
      </c>
      <c r="U196" t="inlineStr">
        <is>
          <t>K009-901605081</t>
        </is>
      </c>
      <c r="V196" t="inlineStr">
        <is>
          <t>ទ្រូ ខមភែនៀន ឡូជីស្ទីក (ខេមបូឌា)</t>
        </is>
      </c>
      <c r="W196" t="n">
        <v>2238315</v>
      </c>
      <c r="X196" t="n">
        <v>0</v>
      </c>
    </row>
    <row r="197">
      <c r="A197" t="n">
        <v>196</v>
      </c>
      <c r="B197" t="inlineStr">
        <is>
          <t>Gate Fee Charge</t>
        </is>
      </c>
      <c r="C197" t="inlineStr">
        <is>
          <t>កំពង់ផែស្វយ័តភ្នំពេញ "ក.ស.ភ"</t>
        </is>
      </c>
      <c r="D197" t="inlineStr">
        <is>
          <t>L001-100044999</t>
        </is>
      </c>
      <c r="E197" t="inlineStr">
        <is>
          <t>INV20240314466</t>
        </is>
      </c>
      <c r="F197" t="inlineStr">
        <is>
          <t>15-03-2024</t>
        </is>
      </c>
      <c r="G197" t="n">
        <v>810</v>
      </c>
      <c r="I197">
        <f>G197</f>
        <v/>
      </c>
      <c r="K197">
        <f>I197-G197</f>
        <v/>
      </c>
      <c r="M197" t="inlineStr">
        <is>
          <t>INV20240314466</t>
        </is>
      </c>
      <c r="N197" t="inlineStr">
        <is>
          <t>13158400</t>
        </is>
      </c>
      <c r="O197">
        <f>M197=N197</f>
        <v/>
      </c>
      <c r="P197">
        <f>AND(MONTH(F197)=MONTH(S197), YEAR(F197)=YEAR(S197))</f>
        <v/>
      </c>
      <c r="Q197">
        <f>"L001-902303751"=U197</f>
        <v/>
      </c>
      <c r="R197">
        <f>G197-W197</f>
        <v/>
      </c>
      <c r="S197" s="36" t="n">
        <v>45474</v>
      </c>
      <c r="T197" t="n">
        <v>131584</v>
      </c>
      <c r="U197" t="inlineStr">
        <is>
          <t>L001-100098134</t>
        </is>
      </c>
      <c r="V197" t="inlineStr">
        <is>
          <t>បុងកាហ្វេ (ខេមបូឌា)</t>
        </is>
      </c>
      <c r="W197" t="n">
        <v>131584</v>
      </c>
      <c r="X197" t="n">
        <v>0</v>
      </c>
    </row>
    <row r="198">
      <c r="A198" t="n">
        <v>197</v>
      </c>
      <c r="B198" t="inlineStr">
        <is>
          <t>Terminal Handling Charge, CFS FEE, Scanner Fee, CIC Fee, Agency Fee, D/O Fee, Documentation Fee, Handling Fee, Ex-work charge and Ocean Freight Charge</t>
        </is>
      </c>
      <c r="C198" t="inlineStr">
        <is>
          <t>ភី.ដាប់បែលយូ. ស្កេនវែល ឡូជីស្ទីក (ខេមបូឌា)</t>
        </is>
      </c>
      <c r="D198" t="inlineStr">
        <is>
          <t>K002-107011379</t>
        </is>
      </c>
      <c r="E198" t="inlineStr">
        <is>
          <t>240300053</t>
        </is>
      </c>
      <c r="F198" t="inlineStr">
        <is>
          <t>11-03-2024</t>
        </is>
      </c>
      <c r="G198" t="n">
        <v>317380</v>
      </c>
      <c r="I198">
        <f>G198</f>
        <v/>
      </c>
      <c r="K198">
        <f>I198-G198</f>
        <v/>
      </c>
      <c r="M198" t="inlineStr">
        <is>
          <t>240300053</t>
        </is>
      </c>
      <c r="N198" t="inlineStr">
        <is>
          <t>18869200</t>
        </is>
      </c>
      <c r="O198">
        <f>M198=N198</f>
        <v/>
      </c>
      <c r="P198">
        <f>AND(MONTH(F198)=MONTH(S198), YEAR(F198)=YEAR(S198))</f>
        <v/>
      </c>
      <c r="Q198">
        <f>"L001-902303751"=U198</f>
        <v/>
      </c>
      <c r="R198">
        <f>G198-W198</f>
        <v/>
      </c>
      <c r="S198" s="36" t="n">
        <v>45500</v>
      </c>
      <c r="T198" t="n">
        <v>188692</v>
      </c>
      <c r="U198" t="inlineStr">
        <is>
          <t>K009-901605081</t>
        </is>
      </c>
      <c r="V198" t="inlineStr">
        <is>
          <t>ទ្រូ ខមភែនៀន ឡូជីស្ទីក (ខេមបូឌា)</t>
        </is>
      </c>
      <c r="W198" t="n">
        <v>188692</v>
      </c>
      <c r="X198" t="n">
        <v>0</v>
      </c>
    </row>
    <row r="199">
      <c r="A199" t="n">
        <v>198</v>
      </c>
      <c r="B199" t="inlineStr">
        <is>
          <t>Customs Clearance Fee and Trucking Fee</t>
        </is>
      </c>
      <c r="C199" t="inlineStr">
        <is>
          <t>ត្រាយអ៊ែងហ្គល ឡូជីស្ទីក (ខេមបូឌា) ឯ.ក</t>
        </is>
      </c>
      <c r="D199" t="inlineStr">
        <is>
          <t>K010-902101743</t>
        </is>
      </c>
      <c r="E199" t="inlineStr">
        <is>
          <t>TAG-24-00119</t>
        </is>
      </c>
      <c r="F199" t="inlineStr">
        <is>
          <t>22-03-2024</t>
        </is>
      </c>
      <c r="G199" t="n">
        <v>28336</v>
      </c>
      <c r="I199">
        <f>G199</f>
        <v/>
      </c>
      <c r="K199">
        <f>I199-G199</f>
        <v/>
      </c>
      <c r="M199" t="inlineStr">
        <is>
          <t>TAG2400119</t>
        </is>
      </c>
      <c r="N199" t="inlineStr">
        <is>
          <t>8524300</t>
        </is>
      </c>
      <c r="O199">
        <f>M199=N199</f>
        <v/>
      </c>
      <c r="P199">
        <f>AND(MONTH(F199)=MONTH(S199), YEAR(F199)=YEAR(S199))</f>
        <v/>
      </c>
      <c r="Q199">
        <f>"L001-902303751"=U199</f>
        <v/>
      </c>
      <c r="R199">
        <f>G199-W199</f>
        <v/>
      </c>
      <c r="S199" s="36" t="n">
        <v>45476</v>
      </c>
      <c r="T199" t="n">
        <v>85243</v>
      </c>
      <c r="U199" t="inlineStr">
        <is>
          <t>K009-901605081</t>
        </is>
      </c>
      <c r="V199" t="inlineStr">
        <is>
          <t>ទ្រូ ខមភែនៀន ឡូជីស្ទីក (ខេមបូឌា)</t>
        </is>
      </c>
      <c r="W199" t="n">
        <v>85243</v>
      </c>
      <c r="X199" t="n">
        <v>0</v>
      </c>
    </row>
    <row r="200">
      <c r="A200" t="n">
        <v>199</v>
      </c>
      <c r="B200" t="inlineStr">
        <is>
          <t>Cargo Terminal</t>
        </is>
      </c>
      <c r="C200" t="inlineStr">
        <is>
          <t>សូស៊ីយេតេ កុងសេស្យូនែរ ដឺ ឡាអេរ៉ូព័រ</t>
        </is>
      </c>
      <c r="D200" t="inlineStr">
        <is>
          <t>L001-100047300</t>
        </is>
      </c>
      <c r="E200" t="inlineStr">
        <is>
          <t>2400-016990</t>
        </is>
      </c>
      <c r="F200" t="inlineStr">
        <is>
          <t>12-03-2024</t>
        </is>
      </c>
      <c r="G200" t="n">
        <v>1779</v>
      </c>
      <c r="I200">
        <f>G200</f>
        <v/>
      </c>
      <c r="K200">
        <f>I200-G200</f>
        <v/>
      </c>
      <c r="M200" t="inlineStr">
        <is>
          <t>2400016990</t>
        </is>
      </c>
      <c r="N200" t="inlineStr">
        <is>
          <t>90654200</t>
        </is>
      </c>
      <c r="O200">
        <f>M200=N200</f>
        <v/>
      </c>
      <c r="P200">
        <f>AND(MONTH(F200)=MONTH(S200), YEAR(F200)=YEAR(S200))</f>
        <v/>
      </c>
      <c r="Q200">
        <f>"L001-902303751"=U200</f>
        <v/>
      </c>
      <c r="R200">
        <f>G200-W200</f>
        <v/>
      </c>
      <c r="S200" s="36" t="n">
        <v>45499</v>
      </c>
      <c r="T200" t="n">
        <v>906542</v>
      </c>
      <c r="U200" t="inlineStr">
        <is>
          <t>K009-901605081</t>
        </is>
      </c>
      <c r="V200" t="inlineStr">
        <is>
          <t>ទ្រូ ខមភែនៀន ឡូជីស្ទីក (ខេមបូឌា)</t>
        </is>
      </c>
      <c r="W200" t="n">
        <v>906542</v>
      </c>
      <c r="X200" t="n">
        <v>0</v>
      </c>
    </row>
    <row r="201">
      <c r="A201" t="n">
        <v>200</v>
      </c>
      <c r="B201" t="inlineStr">
        <is>
          <t>Doc Fee and Agency Fee</t>
        </is>
      </c>
      <c r="C201" t="inlineStr">
        <is>
          <t>អ៊ែតវ៉ានស៍ គ្លរី ឡូជីស្ទីក (ខេមបូឌា) (អេ ជី អិល)</t>
        </is>
      </c>
      <c r="D201" t="inlineStr">
        <is>
          <t>K005-100059945</t>
        </is>
      </c>
      <c r="E201" t="inlineStr">
        <is>
          <t>AGL2400337</t>
        </is>
      </c>
      <c r="F201" t="inlineStr">
        <is>
          <t>11-03-2024</t>
        </is>
      </c>
      <c r="G201" t="n">
        <v>44605</v>
      </c>
      <c r="I201">
        <f>G201</f>
        <v/>
      </c>
      <c r="K201">
        <f>I201-G201</f>
        <v/>
      </c>
      <c r="M201" t="inlineStr">
        <is>
          <t>AGL2400337</t>
        </is>
      </c>
      <c r="N201" t="inlineStr">
        <is>
          <t>223559000</t>
        </is>
      </c>
      <c r="O201">
        <f>M201=N201</f>
        <v/>
      </c>
      <c r="P201">
        <f>AND(MONTH(F201)=MONTH(S201), YEAR(F201)=YEAR(S201))</f>
        <v/>
      </c>
      <c r="Q201">
        <f>"L001-902303751"=U201</f>
        <v/>
      </c>
      <c r="R201">
        <f>G201-W201</f>
        <v/>
      </c>
      <c r="S201" s="36" t="n">
        <v>45500</v>
      </c>
      <c r="T201" t="n">
        <v>2235590</v>
      </c>
      <c r="U201" t="inlineStr">
        <is>
          <t>K009-901605081</t>
        </is>
      </c>
      <c r="V201" t="inlineStr">
        <is>
          <t>ទ្រូ ខមភែនៀន ឡូជីស្ទីក (ខេមបូឌា)</t>
        </is>
      </c>
      <c r="W201" t="n">
        <v>2235590</v>
      </c>
      <c r="X201" t="n">
        <v>0</v>
      </c>
    </row>
    <row r="202">
      <c r="A202" t="n">
        <v>201</v>
      </c>
      <c r="B202" t="inlineStr">
        <is>
          <t>Customs Clearance Fee and Trucking Fee</t>
        </is>
      </c>
      <c r="C202" t="inlineStr">
        <is>
          <t>ត្រាយអ៊ែងហ្គល ឡូជីស្ទីក (ខេមបូឌា) ឯ.ក</t>
        </is>
      </c>
      <c r="D202" t="inlineStr">
        <is>
          <t>K010-902101743</t>
        </is>
      </c>
      <c r="E202" t="inlineStr">
        <is>
          <t>TAG-24-00132</t>
        </is>
      </c>
      <c r="F202" t="inlineStr">
        <is>
          <t>22-03-2024</t>
        </is>
      </c>
      <c r="G202" t="n">
        <v>28336</v>
      </c>
      <c r="I202">
        <f>G202</f>
        <v/>
      </c>
      <c r="K202">
        <f>I202-G202</f>
        <v/>
      </c>
      <c r="M202" t="inlineStr">
        <is>
          <t>TAG2400132</t>
        </is>
      </c>
      <c r="N202" t="inlineStr">
        <is>
          <t>18869200</t>
        </is>
      </c>
      <c r="O202">
        <f>M202=N202</f>
        <v/>
      </c>
      <c r="P202">
        <f>AND(MONTH(F202)=MONTH(S202), YEAR(F202)=YEAR(S202))</f>
        <v/>
      </c>
      <c r="Q202">
        <f>"L001-902303751"=U202</f>
        <v/>
      </c>
      <c r="R202">
        <f>G202-W202</f>
        <v/>
      </c>
      <c r="S202" s="36" t="n">
        <v>45499</v>
      </c>
      <c r="T202" t="n">
        <v>188692</v>
      </c>
      <c r="U202" t="inlineStr">
        <is>
          <t>K009-901605081</t>
        </is>
      </c>
      <c r="V202" t="inlineStr">
        <is>
          <t>ទ្រូ ខមភែនៀន ឡូជីស្ទីក (ខេមបូឌា)</t>
        </is>
      </c>
      <c r="W202" t="n">
        <v>188692</v>
      </c>
      <c r="X202" t="n">
        <v>0</v>
      </c>
    </row>
    <row r="203">
      <c r="A203" t="n">
        <v>202</v>
      </c>
      <c r="B203" t="inlineStr">
        <is>
          <t>Warehouse Fee</t>
        </is>
      </c>
      <c r="C203" t="inlineStr">
        <is>
          <t>ហាន​ &amp; ជុន ត្រេនស្ព័ត ខូ អិលធីឌី</t>
        </is>
      </c>
      <c r="D203" t="inlineStr">
        <is>
          <t>L001-104016647</t>
        </is>
      </c>
      <c r="E203" t="inlineStr">
        <is>
          <t>HJ24-0707</t>
        </is>
      </c>
      <c r="F203" t="inlineStr">
        <is>
          <t>13-03-2024</t>
        </is>
      </c>
      <c r="G203" t="n">
        <v>4041</v>
      </c>
      <c r="I203">
        <f>G203</f>
        <v/>
      </c>
      <c r="K203">
        <f>I203-G203</f>
        <v/>
      </c>
      <c r="M203" t="inlineStr">
        <is>
          <t>HJ240707</t>
        </is>
      </c>
      <c r="N203" t="inlineStr">
        <is>
          <t>18892200</t>
        </is>
      </c>
      <c r="O203">
        <f>M203=N203</f>
        <v/>
      </c>
      <c r="P203">
        <f>AND(MONTH(F203)=MONTH(S203), YEAR(F203)=YEAR(S203))</f>
        <v/>
      </c>
      <c r="Q203">
        <f>"L001-902303751"=U203</f>
        <v/>
      </c>
      <c r="R203">
        <f>G203-W203</f>
        <v/>
      </c>
      <c r="S203" s="36" t="n">
        <v>45497</v>
      </c>
      <c r="T203" t="n">
        <v>188922</v>
      </c>
      <c r="U203" t="inlineStr">
        <is>
          <t>K009-901605081</t>
        </is>
      </c>
      <c r="V203" t="inlineStr">
        <is>
          <t>ទ្រូ ខមភែនៀន ឡូជីស្ទីក (ខេមបូឌា)</t>
        </is>
      </c>
      <c r="W203" t="n">
        <v>188922</v>
      </c>
      <c r="X203" t="n">
        <v>0</v>
      </c>
    </row>
    <row r="204">
      <c r="A204" t="n">
        <v>203</v>
      </c>
      <c r="B204" t="inlineStr">
        <is>
          <t>Storage Charge</t>
        </is>
      </c>
      <c r="C204" t="inlineStr">
        <is>
          <t>ហាន​ &amp; ជុន ត្រេនស្ព័ត ខូ អិលធីឌី</t>
        </is>
      </c>
      <c r="D204" t="inlineStr">
        <is>
          <t>L001-104016647</t>
        </is>
      </c>
      <c r="E204" t="inlineStr">
        <is>
          <t>HJ24-0797</t>
        </is>
      </c>
      <c r="F204" t="inlineStr">
        <is>
          <t>13-03-2024</t>
        </is>
      </c>
      <c r="G204" t="n">
        <v>1205</v>
      </c>
      <c r="I204">
        <f>G204</f>
        <v/>
      </c>
      <c r="K204">
        <f>I204-G204</f>
        <v/>
      </c>
      <c r="M204" t="inlineStr">
        <is>
          <t>HJ240797</t>
        </is>
      </c>
      <c r="N204" t="inlineStr">
        <is>
          <t>53781100</t>
        </is>
      </c>
      <c r="O204">
        <f>M204=N204</f>
        <v/>
      </c>
      <c r="P204">
        <f>AND(MONTH(F204)=MONTH(S204), YEAR(F204)=YEAR(S204))</f>
        <v/>
      </c>
      <c r="Q204">
        <f>"L001-902303751"=U204</f>
        <v/>
      </c>
      <c r="R204">
        <f>G204-W204</f>
        <v/>
      </c>
      <c r="S204" s="36" t="n">
        <v>45476</v>
      </c>
      <c r="T204" t="n">
        <v>537811</v>
      </c>
      <c r="U204" t="inlineStr">
        <is>
          <t>K002-901900264</t>
        </is>
      </c>
      <c r="V204" t="inlineStr">
        <is>
          <t>ហេកធ័រ ត្រេនស្ព័រថេសិន (ខេមបូឌា) ឯ.ក</t>
        </is>
      </c>
      <c r="W204" t="n">
        <v>537811</v>
      </c>
      <c r="X204" t="n">
        <v>0</v>
      </c>
    </row>
    <row r="205">
      <c r="A205" t="n">
        <v>204</v>
      </c>
      <c r="B205" t="inlineStr">
        <is>
          <t>Charge from warehouse and Storage Charges</t>
        </is>
      </c>
      <c r="C205" t="inlineStr">
        <is>
          <t>កំពង់ផែស្វយ័តក្រុងព្រះសីហនុ</t>
        </is>
      </c>
      <c r="D205" t="inlineStr">
        <is>
          <t>L001-100044638</t>
        </is>
      </c>
      <c r="E205" t="inlineStr">
        <is>
          <t>048847</t>
        </is>
      </c>
      <c r="F205" t="inlineStr">
        <is>
          <t>19-03-2024</t>
        </is>
      </c>
      <c r="G205" t="n">
        <v>1402</v>
      </c>
      <c r="I205">
        <f>G205</f>
        <v/>
      </c>
      <c r="K205">
        <f>I205-G205</f>
        <v/>
      </c>
      <c r="M205" t="inlineStr">
        <is>
          <t>048847</t>
        </is>
      </c>
      <c r="N205" t="inlineStr">
        <is>
          <t>9434600</t>
        </is>
      </c>
      <c r="O205">
        <f>M205=N205</f>
        <v/>
      </c>
      <c r="P205">
        <f>AND(MONTH(F205)=MONTH(S205), YEAR(F205)=YEAR(S205))</f>
        <v/>
      </c>
      <c r="Q205">
        <f>"L001-902303751"=U205</f>
        <v/>
      </c>
      <c r="R205">
        <f>G205-W205</f>
        <v/>
      </c>
      <c r="S205" s="36" t="n">
        <v>45499</v>
      </c>
      <c r="T205" t="n">
        <v>94346</v>
      </c>
      <c r="U205" t="inlineStr">
        <is>
          <t>K009-901605081</t>
        </is>
      </c>
      <c r="V205" t="inlineStr">
        <is>
          <t>ទ្រូ ខមភែនៀន ឡូជីស្ទីក (ខេមបូឌា)</t>
        </is>
      </c>
      <c r="W205" t="n">
        <v>94346</v>
      </c>
      <c r="X205" t="n">
        <v>0</v>
      </c>
    </row>
    <row r="206">
      <c r="A206" t="n">
        <v>205</v>
      </c>
      <c r="B206" t="inlineStr">
        <is>
          <t>Customs Clearance Fee and Trucking Fee</t>
        </is>
      </c>
      <c r="C206" t="inlineStr">
        <is>
          <t>ត្រាយអ៊ែងហ្គល ឡូជីស្ទីក (ខេមបូឌា) ឯ.ក</t>
        </is>
      </c>
      <c r="D206" t="inlineStr">
        <is>
          <t>K010-902101743</t>
        </is>
      </c>
      <c r="E206" t="inlineStr">
        <is>
          <t>TAG-24-00146</t>
        </is>
      </c>
      <c r="F206" t="inlineStr">
        <is>
          <t>25-03-2024</t>
        </is>
      </c>
      <c r="G206" t="n">
        <v>32360</v>
      </c>
      <c r="I206">
        <f>G206</f>
        <v/>
      </c>
      <c r="K206">
        <f>I206-G206</f>
        <v/>
      </c>
      <c r="M206" t="inlineStr">
        <is>
          <t>TAG2400146</t>
        </is>
      </c>
      <c r="N206" t="inlineStr">
        <is>
          <t>18846200</t>
        </is>
      </c>
      <c r="O206">
        <f>M206=N206</f>
        <v/>
      </c>
      <c r="P206">
        <f>AND(MONTH(F206)=MONTH(S206), YEAR(F206)=YEAR(S206))</f>
        <v/>
      </c>
      <c r="Q206">
        <f>"L001-902303751"=U206</f>
        <v/>
      </c>
      <c r="R206">
        <f>G206-W206</f>
        <v/>
      </c>
      <c r="S206" s="36" t="n">
        <v>45516</v>
      </c>
      <c r="T206" t="n">
        <v>188462</v>
      </c>
      <c r="U206" t="inlineStr">
        <is>
          <t>K009-901605081</t>
        </is>
      </c>
      <c r="V206" t="inlineStr">
        <is>
          <t>ទ្រូ ខមភែនៀន ឡូជីស្ទីក (ខេមបូឌា)</t>
        </is>
      </c>
      <c r="W206" t="n">
        <v>188462</v>
      </c>
      <c r="X206" t="n">
        <v>0</v>
      </c>
    </row>
    <row r="207">
      <c r="A207" t="n">
        <v>206</v>
      </c>
      <c r="B207" t="inlineStr">
        <is>
          <t>Charge from warehouse and Storage Charges</t>
        </is>
      </c>
      <c r="C207" t="inlineStr">
        <is>
          <t>កំពង់ផែស្វយ័តក្រុងព្រះសីហនុ</t>
        </is>
      </c>
      <c r="D207" t="inlineStr">
        <is>
          <t>L001-100044638</t>
        </is>
      </c>
      <c r="E207" t="inlineStr">
        <is>
          <t>048845</t>
        </is>
      </c>
      <c r="F207" t="inlineStr">
        <is>
          <t>19-03-2024</t>
        </is>
      </c>
      <c r="G207" t="n">
        <v>699</v>
      </c>
      <c r="I207">
        <f>G207</f>
        <v/>
      </c>
      <c r="K207">
        <f>I207-G207</f>
        <v/>
      </c>
      <c r="M207" t="inlineStr">
        <is>
          <t>048845</t>
        </is>
      </c>
      <c r="N207" t="inlineStr">
        <is>
          <t>9702800</t>
        </is>
      </c>
      <c r="O207">
        <f>M207=N207</f>
        <v/>
      </c>
      <c r="P207">
        <f>AND(MONTH(F207)=MONTH(S207), YEAR(F207)=YEAR(S207))</f>
        <v/>
      </c>
      <c r="Q207">
        <f>"L001-902303751"=U207</f>
        <v/>
      </c>
      <c r="R207">
        <f>G207-W207</f>
        <v/>
      </c>
      <c r="S207" s="36" t="n">
        <v>45519</v>
      </c>
      <c r="T207" t="n">
        <v>97028</v>
      </c>
      <c r="U207" t="inlineStr">
        <is>
          <t>L001-104015799</t>
        </is>
      </c>
      <c r="V207" t="inlineStr">
        <is>
          <t>យូសេន ឡូជីស្ទីក (ខេមបូឌា) ខូ អិលធីឌី</t>
        </is>
      </c>
      <c r="W207" t="n">
        <v>97028</v>
      </c>
      <c r="X207" t="n">
        <v>0</v>
      </c>
    </row>
    <row r="208">
      <c r="A208" t="n">
        <v>207</v>
      </c>
      <c r="B208" t="inlineStr">
        <is>
          <t>THC Charge, CFS Fee, Scanning Fee, CIC Fee, D/O Fee, DOC Fee, Agency Fee, Handling Fee and Ocean Freight</t>
        </is>
      </c>
      <c r="C208" t="inlineStr">
        <is>
          <t>ហ្វ្រេត ខនសិប (ខេមបូឌា)</t>
        </is>
      </c>
      <c r="D208" t="inlineStr">
        <is>
          <t>K009-901502482</t>
        </is>
      </c>
      <c r="E208" t="inlineStr">
        <is>
          <t>240224</t>
        </is>
      </c>
      <c r="F208" t="inlineStr">
        <is>
          <t>13-03-2024</t>
        </is>
      </c>
      <c r="G208" t="n">
        <v>76779</v>
      </c>
      <c r="I208">
        <f>G208</f>
        <v/>
      </c>
      <c r="K208">
        <f>I208-G208</f>
        <v/>
      </c>
      <c r="M208" t="inlineStr">
        <is>
          <t>240224</t>
        </is>
      </c>
      <c r="N208" t="inlineStr"/>
      <c r="O208">
        <f>M208=N208</f>
        <v/>
      </c>
      <c r="P208">
        <f>AND(MONTH(F208)=MONTH(S208), YEAR(F208)=YEAR(S208))</f>
        <v/>
      </c>
      <c r="Q208">
        <f>"L001-902303751"=U208</f>
        <v/>
      </c>
      <c r="R208">
        <f>G208-W208</f>
        <v/>
      </c>
      <c r="S208" s="36" t="n">
        <v>45525</v>
      </c>
      <c r="T208" t="inlineStr"/>
      <c r="U208" t="inlineStr">
        <is>
          <t>K009-901605081</t>
        </is>
      </c>
      <c r="V208" t="inlineStr">
        <is>
          <t>ទ្រូ ខមភែនៀន ឡូជីស្ទីក (ខេមបូឌា)</t>
        </is>
      </c>
      <c r="W208" t="n">
        <v>0</v>
      </c>
      <c r="X208" t="n">
        <v>0</v>
      </c>
    </row>
    <row r="209">
      <c r="A209" t="n">
        <v>208</v>
      </c>
      <c r="B209" t="inlineStr">
        <is>
          <t>Customs Clearance Fee and Trucking Fee</t>
        </is>
      </c>
      <c r="C209" t="inlineStr">
        <is>
          <t>ត្រាយអ៊ែងហ្គល ឡូជីស្ទីក (ខេមបូឌា) ឯ.ក</t>
        </is>
      </c>
      <c r="D209" t="inlineStr">
        <is>
          <t>K010-902101743</t>
        </is>
      </c>
      <c r="E209" t="inlineStr">
        <is>
          <t>TAG-24-00147</t>
        </is>
      </c>
      <c r="F209" t="inlineStr">
        <is>
          <t>25-03-2024</t>
        </is>
      </c>
      <c r="G209" t="n">
        <v>32360</v>
      </c>
      <c r="I209">
        <f>G209</f>
        <v/>
      </c>
      <c r="K209">
        <f>I209-G209</f>
        <v/>
      </c>
      <c r="M209" t="inlineStr">
        <is>
          <t>TAG2400147</t>
        </is>
      </c>
      <c r="N209" t="inlineStr"/>
      <c r="O209">
        <f>M209=N209</f>
        <v/>
      </c>
      <c r="P209">
        <f>AND(MONTH(F209)=MONTH(S209), YEAR(F209)=YEAR(S209))</f>
        <v/>
      </c>
      <c r="Q209">
        <f>"L001-902303751"=U209</f>
        <v/>
      </c>
      <c r="R209">
        <f>G209-W209</f>
        <v/>
      </c>
      <c r="S209" s="36" t="n">
        <v>45519</v>
      </c>
      <c r="T209" t="inlineStr"/>
      <c r="U209" t="inlineStr">
        <is>
          <t>L001-104015799</t>
        </is>
      </c>
      <c r="V209" t="inlineStr">
        <is>
          <t>យូសេន ឡូជីស្ទីក (ខេមបូឌា) ខូ អិលធីឌី</t>
        </is>
      </c>
      <c r="W209" t="n">
        <v>0</v>
      </c>
      <c r="X209" t="n">
        <v>0</v>
      </c>
    </row>
    <row r="210">
      <c r="A210" t="n">
        <v>209</v>
      </c>
      <c r="B210" t="inlineStr">
        <is>
          <t>Charge from warehouse and Storage Charges</t>
        </is>
      </c>
      <c r="C210" t="inlineStr">
        <is>
          <t>កំពង់ផែស្វយ័តក្រុងព្រះសីហនុ</t>
        </is>
      </c>
      <c r="D210" t="inlineStr">
        <is>
          <t>L001-100044638</t>
        </is>
      </c>
      <c r="E210" t="inlineStr">
        <is>
          <t>048843</t>
        </is>
      </c>
      <c r="F210" t="inlineStr">
        <is>
          <t>19-03-2024</t>
        </is>
      </c>
      <c r="G210" t="n">
        <v>1402</v>
      </c>
      <c r="I210">
        <f>G210</f>
        <v/>
      </c>
      <c r="K210">
        <f>I210-G210</f>
        <v/>
      </c>
      <c r="M210" t="inlineStr">
        <is>
          <t>048843</t>
        </is>
      </c>
      <c r="N210" t="inlineStr"/>
      <c r="O210">
        <f>M210=N210</f>
        <v/>
      </c>
      <c r="P210">
        <f>AND(MONTH(F210)=MONTH(S210), YEAR(F210)=YEAR(S210))</f>
        <v/>
      </c>
      <c r="Q210">
        <f>"L001-902303751"=U210</f>
        <v/>
      </c>
      <c r="R210">
        <f>G210-W210</f>
        <v/>
      </c>
      <c r="S210" s="36" t="n">
        <v>45519</v>
      </c>
      <c r="T210" t="inlineStr"/>
      <c r="U210" t="inlineStr">
        <is>
          <t>L001-104015799</t>
        </is>
      </c>
      <c r="V210" t="inlineStr">
        <is>
          <t>យូសេន ឡូជីស្ទីក (ខេមបូឌា) ខូ អិលធីឌី</t>
        </is>
      </c>
      <c r="W210" t="n">
        <v>0</v>
      </c>
      <c r="X210" t="n">
        <v>0</v>
      </c>
    </row>
    <row r="211">
      <c r="A211" t="n">
        <v>210</v>
      </c>
      <c r="B211" t="inlineStr">
        <is>
          <t>THC Charge, CFS Fee, Scanning Fee, CIC Fee, D/O Fee, DOC Fee, Agency Fee, Handling Fee and Ocean Freight</t>
        </is>
      </c>
      <c r="C211" t="inlineStr">
        <is>
          <t>ហ្វ្រេត ខនសិប (ខេមបូឌា)</t>
        </is>
      </c>
      <c r="D211" t="inlineStr">
        <is>
          <t>K009-901502482</t>
        </is>
      </c>
      <c r="E211" t="inlineStr">
        <is>
          <t>240223</t>
        </is>
      </c>
      <c r="F211" t="inlineStr">
        <is>
          <t>13-03-2024</t>
        </is>
      </c>
      <c r="G211" t="n">
        <v>98115</v>
      </c>
      <c r="I211">
        <f>G211</f>
        <v/>
      </c>
      <c r="K211">
        <f>I211-G211</f>
        <v/>
      </c>
      <c r="M211" t="inlineStr">
        <is>
          <t>240223</t>
        </is>
      </c>
      <c r="N211" t="inlineStr">
        <is>
          <t>8460100</t>
        </is>
      </c>
      <c r="O211">
        <f>M211=N211</f>
        <v/>
      </c>
      <c r="P211">
        <f>AND(MONTH(F211)=MONTH(S211), YEAR(F211)=YEAR(S211))</f>
        <v/>
      </c>
      <c r="Q211">
        <f>"L001-902303751"=U211</f>
        <v/>
      </c>
      <c r="R211">
        <f>G211-W211</f>
        <v/>
      </c>
      <c r="S211" s="36" t="n">
        <v>45525</v>
      </c>
      <c r="T211" t="n">
        <v>84601</v>
      </c>
      <c r="U211" t="inlineStr">
        <is>
          <t>K009-901605081</t>
        </is>
      </c>
      <c r="V211" t="inlineStr">
        <is>
          <t>ទ្រូ ខមភែនៀន ឡូជីស្ទីក (ខេមបូឌា)</t>
        </is>
      </c>
      <c r="W211" t="n">
        <v>84601</v>
      </c>
      <c r="X211" t="n">
        <v>0</v>
      </c>
    </row>
    <row r="212">
      <c r="A212" t="n">
        <v>211</v>
      </c>
      <c r="B212" t="inlineStr">
        <is>
          <t>Customs Clearance Fee and Trucking Fee</t>
        </is>
      </c>
      <c r="C212" t="inlineStr">
        <is>
          <t>ត្រាយអ៊ែងហ្គល ឡូជីស្ទីក (ខេមបូឌា) ឯ.ក</t>
        </is>
      </c>
      <c r="D212" t="inlineStr">
        <is>
          <t>K010-902101743</t>
        </is>
      </c>
      <c r="E212" t="inlineStr">
        <is>
          <t>TAG-24-00149</t>
        </is>
      </c>
      <c r="F212" t="inlineStr">
        <is>
          <t>25-03-2024</t>
        </is>
      </c>
      <c r="G212" t="n">
        <v>32360</v>
      </c>
      <c r="I212">
        <f>G212</f>
        <v/>
      </c>
      <c r="K212">
        <f>I212-G212</f>
        <v/>
      </c>
      <c r="M212" t="inlineStr">
        <is>
          <t>TAG2400149</t>
        </is>
      </c>
      <c r="N212" t="inlineStr">
        <is>
          <t>18901400</t>
        </is>
      </c>
      <c r="O212">
        <f>M212=N212</f>
        <v/>
      </c>
      <c r="P212">
        <f>AND(MONTH(F212)=MONTH(S212), YEAR(F212)=YEAR(S212))</f>
        <v/>
      </c>
      <c r="Q212">
        <f>"L001-902303751"=U212</f>
        <v/>
      </c>
      <c r="R212">
        <f>G212-W212</f>
        <v/>
      </c>
      <c r="S212" s="36" t="n">
        <v>45510</v>
      </c>
      <c r="T212" t="n">
        <v>189014</v>
      </c>
      <c r="U212" t="inlineStr">
        <is>
          <t>K009-901605081</t>
        </is>
      </c>
      <c r="V212" t="inlineStr">
        <is>
          <t>ទ្រូ ខមភែនៀន ឡូជីស្ទីក (ខេមបូឌា)</t>
        </is>
      </c>
      <c r="W212" t="n">
        <v>189014</v>
      </c>
      <c r="X212" t="n">
        <v>0</v>
      </c>
    </row>
    <row r="213">
      <c r="A213" t="n">
        <v>212</v>
      </c>
      <c r="B213" t="inlineStr">
        <is>
          <t>Lift-On &amp; Lift-Off</t>
        </is>
      </c>
      <c r="C213" t="inlineStr">
        <is>
          <t>កំពង់ផែស្វយ័តក្រុងព្រះសីហនុ</t>
        </is>
      </c>
      <c r="D213" t="inlineStr">
        <is>
          <t>L001-100044638</t>
        </is>
      </c>
      <c r="E213" t="inlineStr">
        <is>
          <t>051590</t>
        </is>
      </c>
      <c r="F213" t="inlineStr">
        <is>
          <t>22-03-2024</t>
        </is>
      </c>
      <c r="G213" t="n">
        <v>23074</v>
      </c>
      <c r="I213">
        <f>G213</f>
        <v/>
      </c>
      <c r="K213">
        <f>I213-G213</f>
        <v/>
      </c>
      <c r="M213" t="inlineStr">
        <is>
          <t>051590</t>
        </is>
      </c>
      <c r="N213" t="inlineStr">
        <is>
          <t>223286500</t>
        </is>
      </c>
      <c r="O213">
        <f>M213=N213</f>
        <v/>
      </c>
      <c r="P213">
        <f>AND(MONTH(F213)=MONTH(S213), YEAR(F213)=YEAR(S213))</f>
        <v/>
      </c>
      <c r="Q213">
        <f>"L001-902303751"=U213</f>
        <v/>
      </c>
      <c r="R213">
        <f>G213-W213</f>
        <v/>
      </c>
      <c r="S213" s="36" t="n">
        <v>45516</v>
      </c>
      <c r="T213" t="n">
        <v>2232865</v>
      </c>
      <c r="U213" t="inlineStr">
        <is>
          <t>K009-901605081</t>
        </is>
      </c>
      <c r="V213" t="inlineStr">
        <is>
          <t>ទ្រូ ខមភែនៀន ឡូជីស្ទីក (ខេមបូឌា)</t>
        </is>
      </c>
      <c r="W213" t="n">
        <v>2232865</v>
      </c>
      <c r="X213" t="n">
        <v>0</v>
      </c>
    </row>
    <row r="214">
      <c r="A214" t="n">
        <v>213</v>
      </c>
      <c r="B214" t="inlineStr">
        <is>
          <t>Terminal Handling Charge, CFS FEE, Scanner Fee, CIC Fee, Agency Fee, D/O Fee, Documentation Fee, Handling Fee, Ex-work charge and Ocean Freight Charge</t>
        </is>
      </c>
      <c r="C214" t="inlineStr">
        <is>
          <t>ភី.ដាប់បែលយូ. ស្កេនវែល ឡូជីស្ទីក (ខេមបូឌា)</t>
        </is>
      </c>
      <c r="D214" t="inlineStr">
        <is>
          <t>K002-107011379</t>
        </is>
      </c>
      <c r="E214" t="inlineStr">
        <is>
          <t>240300065</t>
        </is>
      </c>
      <c r="F214" t="inlineStr">
        <is>
          <t>19-03-2024</t>
        </is>
      </c>
      <c r="G214" t="n">
        <v>618008</v>
      </c>
      <c r="I214">
        <f>G214</f>
        <v/>
      </c>
      <c r="K214">
        <f>I214-G214</f>
        <v/>
      </c>
      <c r="M214" t="inlineStr">
        <is>
          <t>240300065</t>
        </is>
      </c>
      <c r="N214" t="inlineStr">
        <is>
          <t>8474600</t>
        </is>
      </c>
      <c r="O214">
        <f>M214=N214</f>
        <v/>
      </c>
      <c r="P214">
        <f>AND(MONTH(F214)=MONTH(S214), YEAR(F214)=YEAR(S214))</f>
        <v/>
      </c>
      <c r="Q214">
        <f>"L001-902303751"=U214</f>
        <v/>
      </c>
      <c r="R214">
        <f>G214-W214</f>
        <v/>
      </c>
      <c r="S214" s="36" t="n">
        <v>45519</v>
      </c>
      <c r="T214" t="n">
        <v>84746</v>
      </c>
      <c r="U214" t="inlineStr">
        <is>
          <t>L001-104015799</t>
        </is>
      </c>
      <c r="V214" t="inlineStr">
        <is>
          <t>យូសេន ឡូជីស្ទីក (ខេមបូឌា) ខូ អិលធីឌី</t>
        </is>
      </c>
      <c r="W214" t="n">
        <v>84746</v>
      </c>
      <c r="X214" t="n">
        <v>0</v>
      </c>
    </row>
    <row r="215">
      <c r="A215" t="n">
        <v>214</v>
      </c>
      <c r="B215" t="inlineStr">
        <is>
          <t>Gate Fee Charge</t>
        </is>
      </c>
      <c r="C215" t="inlineStr">
        <is>
          <t>កំពង់ផែស្វយ័តភ្នំពេញ "ក.ស.ភ"</t>
        </is>
      </c>
      <c r="D215" t="inlineStr">
        <is>
          <t>L001-100044999</t>
        </is>
      </c>
      <c r="E215" t="inlineStr">
        <is>
          <t>INV20240315856</t>
        </is>
      </c>
      <c r="F215" t="inlineStr">
        <is>
          <t>22-03-2024</t>
        </is>
      </c>
      <c r="G215" t="n">
        <v>810</v>
      </c>
      <c r="I215">
        <f>G215</f>
        <v/>
      </c>
      <c r="K215">
        <f>I215-G215</f>
        <v/>
      </c>
      <c r="M215" t="inlineStr">
        <is>
          <t>INV20240315856</t>
        </is>
      </c>
      <c r="N215" t="inlineStr">
        <is>
          <t>18883000</t>
        </is>
      </c>
      <c r="O215">
        <f>M215=N215</f>
        <v/>
      </c>
      <c r="P215">
        <f>AND(MONTH(F215)=MONTH(S215), YEAR(F215)=YEAR(S215))</f>
        <v/>
      </c>
      <c r="Q215">
        <f>"L001-902303751"=U215</f>
        <v/>
      </c>
      <c r="R215">
        <f>G215-W215</f>
        <v/>
      </c>
      <c r="S215" s="36" t="n">
        <v>45512</v>
      </c>
      <c r="T215" t="n">
        <v>188830</v>
      </c>
      <c r="U215" t="inlineStr">
        <is>
          <t>K009-901605081</t>
        </is>
      </c>
      <c r="V215" t="inlineStr">
        <is>
          <t>ទ្រូ ខមភែនៀន ឡូជីស្ទីក (ខេមបូឌា)</t>
        </is>
      </c>
      <c r="W215" t="n">
        <v>188830</v>
      </c>
      <c r="X215" t="n">
        <v>0</v>
      </c>
    </row>
    <row r="216">
      <c r="A216" t="n">
        <v>215</v>
      </c>
      <c r="B216" t="inlineStr">
        <is>
          <t>Customs Declaration, CPF and Transport Doc Fee</t>
        </is>
      </c>
      <c r="C216" t="inlineStr">
        <is>
          <t>ត្រាយអ៊ែងហ្គល ឡូជីស្ទីក (ខេមបូឌា) ឯ.ក</t>
        </is>
      </c>
      <c r="D216" t="inlineStr">
        <is>
          <t>K010-902101743</t>
        </is>
      </c>
      <c r="E216" t="inlineStr">
        <is>
          <t>TAG-24-00151</t>
        </is>
      </c>
      <c r="F216" t="inlineStr">
        <is>
          <t>25-03-2024</t>
        </is>
      </c>
      <c r="G216" t="n">
        <v>32360</v>
      </c>
      <c r="I216">
        <f>G216</f>
        <v/>
      </c>
      <c r="K216">
        <f>I216-G216</f>
        <v/>
      </c>
      <c r="M216" t="inlineStr">
        <is>
          <t>TAG2400151</t>
        </is>
      </c>
      <c r="N216" t="inlineStr">
        <is>
          <t>223722500</t>
        </is>
      </c>
      <c r="O216">
        <f>M216=N216</f>
        <v/>
      </c>
      <c r="P216">
        <f>AND(MONTH(F216)=MONTH(S216), YEAR(F216)=YEAR(S216))</f>
        <v/>
      </c>
      <c r="Q216">
        <f>"L001-902303751"=U216</f>
        <v/>
      </c>
      <c r="R216">
        <f>G216-W216</f>
        <v/>
      </c>
      <c r="S216" s="36" t="n">
        <v>45512</v>
      </c>
      <c r="T216" t="n">
        <v>2237225</v>
      </c>
      <c r="U216" t="inlineStr">
        <is>
          <t>K009-901605081</t>
        </is>
      </c>
      <c r="V216" t="inlineStr">
        <is>
          <t>ទ្រូ ខមភែនៀន ឡូជីស្ទីក (ខេមបូឌា)</t>
        </is>
      </c>
      <c r="W216" t="n">
        <v>2237225</v>
      </c>
      <c r="X216" t="n">
        <v>0</v>
      </c>
    </row>
    <row r="217">
      <c r="A217" t="n">
        <v>216</v>
      </c>
      <c r="B217" t="inlineStr">
        <is>
          <t>Charge from warehouse and Storage Charges</t>
        </is>
      </c>
      <c r="C217" t="inlineStr">
        <is>
          <t>កំពង់ផែស្វយ័តក្រុងព្រះសីហនុ</t>
        </is>
      </c>
      <c r="D217" t="inlineStr">
        <is>
          <t>L001-100044638</t>
        </is>
      </c>
      <c r="E217" t="inlineStr">
        <is>
          <t>049376</t>
        </is>
      </c>
      <c r="F217" t="inlineStr">
        <is>
          <t>19-03-2024</t>
        </is>
      </c>
      <c r="G217" t="n">
        <v>983</v>
      </c>
      <c r="I217">
        <f>G217</f>
        <v/>
      </c>
      <c r="K217">
        <f>I217-G217</f>
        <v/>
      </c>
      <c r="M217" t="inlineStr">
        <is>
          <t>049376</t>
        </is>
      </c>
      <c r="N217" t="inlineStr">
        <is>
          <t>8435300</t>
        </is>
      </c>
      <c r="O217">
        <f>M217=N217</f>
        <v/>
      </c>
      <c r="P217">
        <f>AND(MONTH(F217)=MONTH(S217), YEAR(F217)=YEAR(S217))</f>
        <v/>
      </c>
      <c r="Q217">
        <f>"L001-902303751"=U217</f>
        <v/>
      </c>
      <c r="R217">
        <f>G217-W217</f>
        <v/>
      </c>
      <c r="S217" s="36" t="n">
        <v>45531</v>
      </c>
      <c r="T217" t="n">
        <v>84353</v>
      </c>
      <c r="U217" t="inlineStr">
        <is>
          <t>K007-901702732</t>
        </is>
      </c>
      <c r="V217" t="inlineStr">
        <is>
          <t>គ្លូប៊ល ស៊ី &amp; លែន ឯ.ក</t>
        </is>
      </c>
      <c r="W217" t="n">
        <v>84353</v>
      </c>
      <c r="X217" t="n">
        <v>0</v>
      </c>
    </row>
    <row r="218">
      <c r="A218" t="n">
        <v>217</v>
      </c>
      <c r="B218" t="inlineStr">
        <is>
          <t>Import Shipment Expense</t>
        </is>
      </c>
      <c r="C218" t="inlineStr">
        <is>
          <t>អូរៀនថល ឡូជីស្ទីក &amp; ឌីស្ទ្រីប៊្យូសិន (ខេមបូឌា)</t>
        </is>
      </c>
      <c r="D218" t="inlineStr">
        <is>
          <t>L001-103007369</t>
        </is>
      </c>
      <c r="E218" t="inlineStr">
        <is>
          <t>24-2510</t>
        </is>
      </c>
      <c r="F218" t="inlineStr">
        <is>
          <t>11-03-2024</t>
        </is>
      </c>
      <c r="G218" t="n">
        <v>28385</v>
      </c>
      <c r="I218">
        <f>G218</f>
        <v/>
      </c>
      <c r="K218">
        <f>I218-G218</f>
        <v/>
      </c>
      <c r="M218" t="inlineStr">
        <is>
          <t>242510</t>
        </is>
      </c>
      <c r="N218" t="inlineStr">
        <is>
          <t>223940500</t>
        </is>
      </c>
      <c r="O218">
        <f>M218=N218</f>
        <v/>
      </c>
      <c r="P218">
        <f>AND(MONTH(F218)=MONTH(S218), YEAR(F218)=YEAR(S218))</f>
        <v/>
      </c>
      <c r="Q218">
        <f>"L001-902303751"=U218</f>
        <v/>
      </c>
      <c r="R218">
        <f>G218-W218</f>
        <v/>
      </c>
      <c r="S218" s="36" t="n">
        <v>45510</v>
      </c>
      <c r="T218" t="n">
        <v>2239405</v>
      </c>
      <c r="U218" t="inlineStr">
        <is>
          <t>K009-901605081</t>
        </is>
      </c>
      <c r="V218" t="inlineStr">
        <is>
          <t>ទ្រូ ខមភែនៀន ឡូជីស្ទីក (ខេមបូឌា)</t>
        </is>
      </c>
      <c r="W218" t="n">
        <v>2239405</v>
      </c>
      <c r="X218" t="n">
        <v>0</v>
      </c>
    </row>
    <row r="219">
      <c r="A219" t="n">
        <v>218</v>
      </c>
      <c r="B219" t="inlineStr">
        <is>
          <t>Import Shipment Expense</t>
        </is>
      </c>
      <c r="C219" t="inlineStr">
        <is>
          <t>អូរៀនថល ឡូជីស្ទីក &amp; ឌីស្ទ្រីប៊្យូសិន (ខេមបូឌា)</t>
        </is>
      </c>
      <c r="D219" t="inlineStr">
        <is>
          <t>L001-103007369</t>
        </is>
      </c>
      <c r="E219" t="inlineStr">
        <is>
          <t>24-2509</t>
        </is>
      </c>
      <c r="F219" t="inlineStr">
        <is>
          <t>11-03-2024</t>
        </is>
      </c>
      <c r="G219" t="n">
        <v>53121</v>
      </c>
      <c r="I219">
        <f>G219</f>
        <v/>
      </c>
      <c r="K219">
        <f>I219-G219</f>
        <v/>
      </c>
      <c r="M219" t="inlineStr">
        <is>
          <t>242509</t>
        </is>
      </c>
      <c r="N219" t="inlineStr">
        <is>
          <t>222414500</t>
        </is>
      </c>
      <c r="O219">
        <f>M219=N219</f>
        <v/>
      </c>
      <c r="P219">
        <f>AND(MONTH(F219)=MONTH(S219), YEAR(F219)=YEAR(S219))</f>
        <v/>
      </c>
      <c r="Q219">
        <f>"L001-902303751"=U219</f>
        <v/>
      </c>
      <c r="R219">
        <f>G219-W219</f>
        <v/>
      </c>
      <c r="S219" s="36" t="n">
        <v>45530</v>
      </c>
      <c r="T219" t="n">
        <v>2224145</v>
      </c>
      <c r="U219" t="inlineStr">
        <is>
          <t>K009-901605081</t>
        </is>
      </c>
      <c r="V219" t="inlineStr">
        <is>
          <t>ទ្រូ ខមភែនៀន ឡូជីស្ទីក (ខេមបូឌា)</t>
        </is>
      </c>
      <c r="W219" t="n">
        <v>2224145</v>
      </c>
      <c r="X219" t="n">
        <v>0</v>
      </c>
    </row>
    <row r="220">
      <c r="A220" t="n">
        <v>219</v>
      </c>
      <c r="B220" t="inlineStr">
        <is>
          <t>THC Fee, D/O Fee, Document Fee, EQ Management Fee, Agency Fee and CIC</t>
        </is>
      </c>
      <c r="C220" t="inlineStr">
        <is>
          <t>ត្រាយអ៊ែងហ្គល ឡូជីស្ទីក (ខេមបូឌា) ឯ.ក</t>
        </is>
      </c>
      <c r="D220" t="inlineStr">
        <is>
          <t>K010-902101743</t>
        </is>
      </c>
      <c r="E220" t="inlineStr">
        <is>
          <t>TAG-24-00105</t>
        </is>
      </c>
      <c r="F220" t="inlineStr">
        <is>
          <t>15-03-2024</t>
        </is>
      </c>
      <c r="G220" t="n">
        <v>153824</v>
      </c>
      <c r="I220">
        <f>G220</f>
        <v/>
      </c>
      <c r="K220">
        <f>I220-G220</f>
        <v/>
      </c>
      <c r="M220" t="inlineStr">
        <is>
          <t>TAG2400105</t>
        </is>
      </c>
      <c r="N220" t="inlineStr">
        <is>
          <t>13148800</t>
        </is>
      </c>
      <c r="O220">
        <f>M220=N220</f>
        <v/>
      </c>
      <c r="P220">
        <f>AND(MONTH(F220)=MONTH(S220), YEAR(F220)=YEAR(S220))</f>
        <v/>
      </c>
      <c r="Q220">
        <f>"L001-902303751"=U220</f>
        <v/>
      </c>
      <c r="R220">
        <f>G220-W220</f>
        <v/>
      </c>
      <c r="S220" s="36" t="n">
        <v>45510</v>
      </c>
      <c r="T220" t="n">
        <v>131488</v>
      </c>
      <c r="U220" t="inlineStr">
        <is>
          <t>L001-100098134</t>
        </is>
      </c>
      <c r="V220" t="inlineStr">
        <is>
          <t>បុងកាហ្វេ (ខេមបូឌា)</t>
        </is>
      </c>
      <c r="W220" t="n">
        <v>131488</v>
      </c>
      <c r="X220" t="n">
        <v>0</v>
      </c>
    </row>
    <row r="221">
      <c r="A221" t="n">
        <v>220</v>
      </c>
      <c r="B221" t="inlineStr">
        <is>
          <t>Customs Clearance Fee and Trucking Fee</t>
        </is>
      </c>
      <c r="C221" t="inlineStr">
        <is>
          <t>ត្រាយអ៊ែងហ្គល ឡូជីស្ទីក (ខេមបូឌា) ឯ.ក</t>
        </is>
      </c>
      <c r="D221" t="inlineStr">
        <is>
          <t>K010-902101743</t>
        </is>
      </c>
      <c r="E221" t="inlineStr">
        <is>
          <t>TAG-24-00140</t>
        </is>
      </c>
      <c r="F221" t="inlineStr">
        <is>
          <t>22-03-2024</t>
        </is>
      </c>
      <c r="G221" t="n">
        <v>28336</v>
      </c>
      <c r="I221">
        <f>G221</f>
        <v/>
      </c>
      <c r="K221">
        <f>I221-G221</f>
        <v/>
      </c>
      <c r="M221" t="inlineStr">
        <is>
          <t>TAG2400140</t>
        </is>
      </c>
      <c r="N221" t="inlineStr">
        <is>
          <t>945100</t>
        </is>
      </c>
      <c r="O221">
        <f>M221=N221</f>
        <v/>
      </c>
      <c r="P221">
        <f>AND(MONTH(F221)=MONTH(S221), YEAR(F221)=YEAR(S221))</f>
        <v/>
      </c>
      <c r="Q221">
        <f>"L001-902303751"=U221</f>
        <v/>
      </c>
      <c r="R221">
        <f>G221-W221</f>
        <v/>
      </c>
      <c r="S221" s="36" t="n">
        <v>45510</v>
      </c>
      <c r="T221" t="n">
        <v>9451</v>
      </c>
      <c r="U221" t="inlineStr">
        <is>
          <t>L001-100098134</t>
        </is>
      </c>
      <c r="V221" t="inlineStr">
        <is>
          <t>បុងកាហ្វេ (ខេមបូឌា)</t>
        </is>
      </c>
      <c r="W221" t="n">
        <v>9451</v>
      </c>
      <c r="X221" t="n">
        <v>0</v>
      </c>
    </row>
    <row r="222">
      <c r="A222" t="n">
        <v>221</v>
      </c>
      <c r="B222" t="inlineStr">
        <is>
          <t>Terminal Handling Charge, CFS Fee, Scan Fee, D/O Fee, Document Fee, Handling Fee, Co-Loader Agency Fee and LSS Charge</t>
        </is>
      </c>
      <c r="C222" t="inlineStr">
        <is>
          <t>ត្រាយអ៊ែងហ្គល ឡូជីស្ទីក (ខេមបូឌា) ឯ.ក</t>
        </is>
      </c>
      <c r="D222" t="inlineStr">
        <is>
          <t>K010-902101743</t>
        </is>
      </c>
      <c r="E222" t="inlineStr">
        <is>
          <t>TAG-24-00141</t>
        </is>
      </c>
      <c r="F222" t="inlineStr">
        <is>
          <t>25-03-2024</t>
        </is>
      </c>
      <c r="G222" t="n">
        <v>241288</v>
      </c>
      <c r="I222">
        <f>G222</f>
        <v/>
      </c>
      <c r="K222">
        <f>I222-G222</f>
        <v/>
      </c>
      <c r="M222" t="inlineStr">
        <is>
          <t>TAG2400141</t>
        </is>
      </c>
      <c r="N222" t="inlineStr">
        <is>
          <t>18772600</t>
        </is>
      </c>
      <c r="O222">
        <f>M222=N222</f>
        <v/>
      </c>
      <c r="P222">
        <f>AND(MONTH(F222)=MONTH(S222), YEAR(F222)=YEAR(S222))</f>
        <v/>
      </c>
      <c r="Q222">
        <f>"L001-902303751"=U222</f>
        <v/>
      </c>
      <c r="R222">
        <f>G222-W222</f>
        <v/>
      </c>
      <c r="S222" s="36" t="n">
        <v>45530</v>
      </c>
      <c r="T222" t="n">
        <v>187726</v>
      </c>
      <c r="U222" t="inlineStr">
        <is>
          <t>K009-901605081</t>
        </is>
      </c>
      <c r="V222" t="inlineStr">
        <is>
          <t>ទ្រូ ខមភែនៀន ឡូជីស្ទីក (ខេមបូឌា)</t>
        </is>
      </c>
      <c r="W222" t="n">
        <v>187726</v>
      </c>
      <c r="X222" t="n">
        <v>0</v>
      </c>
    </row>
    <row r="223">
      <c r="A223" t="n">
        <v>222</v>
      </c>
      <c r="B223" t="inlineStr">
        <is>
          <t>Customs Clearance Fee and Trucking Fee</t>
        </is>
      </c>
      <c r="C223" t="inlineStr">
        <is>
          <t>ត្រាយអ៊ែងហ្គល ឡូជីស្ទីក (ខេមបូឌា) ឯ.ក</t>
        </is>
      </c>
      <c r="D223" t="inlineStr">
        <is>
          <t>K010-902101743</t>
        </is>
      </c>
      <c r="E223" t="inlineStr">
        <is>
          <t>TAG-24-00155</t>
        </is>
      </c>
      <c r="F223" t="inlineStr">
        <is>
          <t>25-03-2024</t>
        </is>
      </c>
      <c r="G223" t="n">
        <v>32360</v>
      </c>
      <c r="I223">
        <f>G223</f>
        <v/>
      </c>
      <c r="K223">
        <f>I223-G223</f>
        <v/>
      </c>
      <c r="M223" t="inlineStr">
        <is>
          <t>TAG2400155</t>
        </is>
      </c>
      <c r="N223" t="inlineStr">
        <is>
          <t>8460100</t>
        </is>
      </c>
      <c r="O223">
        <f>M223=N223</f>
        <v/>
      </c>
      <c r="P223">
        <f>AND(MONTH(F223)=MONTH(S223), YEAR(F223)=YEAR(S223))</f>
        <v/>
      </c>
      <c r="Q223">
        <f>"L001-902303751"=U223</f>
        <v/>
      </c>
      <c r="R223">
        <f>G223-W223</f>
        <v/>
      </c>
      <c r="S223" s="36" t="n">
        <v>45525</v>
      </c>
      <c r="T223" t="n">
        <v>84601</v>
      </c>
      <c r="U223" t="inlineStr">
        <is>
          <t>K009-901605081</t>
        </is>
      </c>
      <c r="V223" t="inlineStr">
        <is>
          <t>ទ្រូ ខមភែនៀន ឡូជីស្ទីក (ខេមបូឌា)</t>
        </is>
      </c>
      <c r="W223" t="n">
        <v>84601</v>
      </c>
      <c r="X223" t="n">
        <v>0</v>
      </c>
    </row>
    <row r="224">
      <c r="A224" t="n">
        <v>223</v>
      </c>
      <c r="B224" t="inlineStr">
        <is>
          <t>Charge from warehouse</t>
        </is>
      </c>
      <c r="C224" t="inlineStr">
        <is>
          <t>កំពង់ផែស្វយ័តក្រុងព្រះសីហនុ</t>
        </is>
      </c>
      <c r="D224" t="inlineStr">
        <is>
          <t>L001-100044638</t>
        </is>
      </c>
      <c r="E224" t="inlineStr">
        <is>
          <t>051174</t>
        </is>
      </c>
      <c r="F224" t="inlineStr">
        <is>
          <t>21-03-2024</t>
        </is>
      </c>
      <c r="G224" t="n">
        <v>618</v>
      </c>
      <c r="I224">
        <f>G224</f>
        <v/>
      </c>
      <c r="K224">
        <f>I224-G224</f>
        <v/>
      </c>
      <c r="M224" t="inlineStr">
        <is>
          <t>051174</t>
        </is>
      </c>
      <c r="N224" t="inlineStr">
        <is>
          <t>18671400</t>
        </is>
      </c>
      <c r="O224">
        <f>M224=N224</f>
        <v/>
      </c>
      <c r="P224">
        <f>AND(MONTH(F224)=MONTH(S224), YEAR(F224)=YEAR(S224))</f>
        <v/>
      </c>
      <c r="Q224">
        <f>"L001-902303751"=U224</f>
        <v/>
      </c>
      <c r="R224">
        <f>G224-W224</f>
        <v/>
      </c>
      <c r="S224" s="36" t="n">
        <v>45537</v>
      </c>
      <c r="T224" t="n">
        <v>186714</v>
      </c>
      <c r="U224" t="inlineStr">
        <is>
          <t>K009-901605081</t>
        </is>
      </c>
      <c r="V224" t="inlineStr">
        <is>
          <t>ទ្រូ ខមភែនៀន ឡូជីស្ទីក (ខេមបូឌា)</t>
        </is>
      </c>
      <c r="W224" t="n">
        <v>186714</v>
      </c>
      <c r="X224" t="n">
        <v>0</v>
      </c>
    </row>
    <row r="225">
      <c r="A225" t="n">
        <v>224</v>
      </c>
      <c r="B225" t="inlineStr">
        <is>
          <t>Import Shipment Expense</t>
        </is>
      </c>
      <c r="C225" t="inlineStr">
        <is>
          <t>អូរៀនថល ឡូជីស្ទីក &amp; ឌីស្ទ្រីប៊្យូសិន (ខេមបូឌា)</t>
        </is>
      </c>
      <c r="D225" t="inlineStr">
        <is>
          <t>L001-103007369</t>
        </is>
      </c>
      <c r="E225" t="inlineStr">
        <is>
          <t>24-1877</t>
        </is>
      </c>
      <c r="F225" t="inlineStr">
        <is>
          <t>18-03-2024</t>
        </is>
      </c>
      <c r="G225" t="n">
        <v>53147</v>
      </c>
      <c r="I225">
        <f>G225</f>
        <v/>
      </c>
      <c r="K225">
        <f>I225-G225</f>
        <v/>
      </c>
      <c r="M225" t="inlineStr">
        <is>
          <t>241877</t>
        </is>
      </c>
      <c r="N225" t="inlineStr"/>
      <c r="O225">
        <f>M225=N225</f>
        <v/>
      </c>
      <c r="P225">
        <f>AND(MONTH(F225)=MONTH(S225), YEAR(F225)=YEAR(S225))</f>
        <v/>
      </c>
      <c r="Q225">
        <f>"L001-902303751"=U225</f>
        <v/>
      </c>
      <c r="R225">
        <f>G225-W225</f>
        <v/>
      </c>
      <c r="S225" s="36" t="n">
        <v>45561</v>
      </c>
      <c r="T225" t="inlineStr"/>
      <c r="U225" t="inlineStr">
        <is>
          <t>K009-901605081</t>
        </is>
      </c>
      <c r="V225" t="inlineStr">
        <is>
          <t>ទ្រូ ខមភែនៀន ឡូជីស្ទីក (ខេមបូឌា)</t>
        </is>
      </c>
      <c r="W225" t="n">
        <v>0</v>
      </c>
      <c r="X225" t="n">
        <v>0</v>
      </c>
    </row>
    <row r="226">
      <c r="A226" t="n">
        <v>225</v>
      </c>
      <c r="B226" t="inlineStr">
        <is>
          <t>Customs Clearance Fee and Trucking Fee</t>
        </is>
      </c>
      <c r="C226" t="inlineStr">
        <is>
          <t>ត្រាយអ៊ែងហ្គល ឡូជីស្ទីក (ខេមបូឌា) ឯ.ក</t>
        </is>
      </c>
      <c r="D226" t="inlineStr">
        <is>
          <t>K010-902101743</t>
        </is>
      </c>
      <c r="E226" t="inlineStr">
        <is>
          <t>TAG-24-00163</t>
        </is>
      </c>
      <c r="F226" t="inlineStr">
        <is>
          <t>25-03-2024</t>
        </is>
      </c>
      <c r="G226" t="n">
        <v>37361</v>
      </c>
      <c r="I226">
        <f>G226</f>
        <v/>
      </c>
      <c r="K226">
        <f>I226-G226</f>
        <v/>
      </c>
      <c r="M226" t="inlineStr">
        <is>
          <t>TAG2400163</t>
        </is>
      </c>
      <c r="N226" t="inlineStr">
        <is>
          <t>8410400</t>
        </is>
      </c>
      <c r="O226">
        <f>M226=N226</f>
        <v/>
      </c>
      <c r="P226">
        <f>AND(MONTH(F226)=MONTH(S226), YEAR(F226)=YEAR(S226))</f>
        <v/>
      </c>
      <c r="Q226">
        <f>"L001-902303751"=U226</f>
        <v/>
      </c>
      <c r="R226">
        <f>G226-W226</f>
        <v/>
      </c>
      <c r="S226" s="36" t="n">
        <v>45558</v>
      </c>
      <c r="T226" t="n">
        <v>84104</v>
      </c>
      <c r="U226" t="inlineStr">
        <is>
          <t>L001-104015799</t>
        </is>
      </c>
      <c r="V226" t="inlineStr">
        <is>
          <t>យូសេន ឡូជីស្ទីក (ខេមបូឌា) ខូ អិលធីឌី</t>
        </is>
      </c>
      <c r="W226" t="n">
        <v>84104</v>
      </c>
      <c r="X226" t="n">
        <v>0</v>
      </c>
    </row>
    <row r="227">
      <c r="A227" t="n">
        <v>226</v>
      </c>
      <c r="B227" t="inlineStr">
        <is>
          <t>Charge from warehouse and Storage Charges</t>
        </is>
      </c>
      <c r="C227" t="inlineStr">
        <is>
          <t>កំពង់ផែស្វយ័តក្រុងព្រះសីហនុ</t>
        </is>
      </c>
      <c r="D227" t="inlineStr">
        <is>
          <t>L001-100044638</t>
        </is>
      </c>
      <c r="E227" t="inlineStr">
        <is>
          <t>053742</t>
        </is>
      </c>
      <c r="F227" t="inlineStr">
        <is>
          <t>27-03-2024</t>
        </is>
      </c>
      <c r="G227" t="n">
        <v>2219</v>
      </c>
      <c r="I227">
        <f>G227</f>
        <v/>
      </c>
      <c r="K227">
        <f>I227-G227</f>
        <v/>
      </c>
      <c r="M227" t="inlineStr">
        <is>
          <t>053742</t>
        </is>
      </c>
      <c r="N227" t="inlineStr">
        <is>
          <t>11254500</t>
        </is>
      </c>
      <c r="O227">
        <f>M227=N227</f>
        <v/>
      </c>
      <c r="P227">
        <f>AND(MONTH(F227)=MONTH(S227), YEAR(F227)=YEAR(S227))</f>
        <v/>
      </c>
      <c r="Q227">
        <f>"L001-902303751"=U227</f>
        <v/>
      </c>
      <c r="R227">
        <f>G227-W227</f>
        <v/>
      </c>
      <c r="S227" s="36" t="n">
        <v>45558</v>
      </c>
      <c r="T227" t="n">
        <v>112545</v>
      </c>
      <c r="U227" t="inlineStr">
        <is>
          <t>L001-104015799</t>
        </is>
      </c>
      <c r="V227" t="inlineStr">
        <is>
          <t>យូសេន ឡូជីស្ទីក (ខេមបូឌា) ខូ អិលធីឌី</t>
        </is>
      </c>
      <c r="W227" t="n">
        <v>112545</v>
      </c>
      <c r="X227" t="n">
        <v>0</v>
      </c>
    </row>
    <row r="228">
      <c r="A228" t="n">
        <v>227</v>
      </c>
      <c r="B228" t="inlineStr">
        <is>
          <t>Customs Clearance Fee and Trucking Fee</t>
        </is>
      </c>
      <c r="C228" t="inlineStr">
        <is>
          <t>ត្រាយអ៊ែងហ្គល ឡូជីស្ទីក (ខេមបូឌា) ឯ.ក</t>
        </is>
      </c>
      <c r="D228" t="inlineStr">
        <is>
          <t>K010-902101743</t>
        </is>
      </c>
      <c r="E228" t="inlineStr">
        <is>
          <t>TAG-24-00107</t>
        </is>
      </c>
      <c r="F228" t="inlineStr">
        <is>
          <t>19-03-2024</t>
        </is>
      </c>
      <c r="G228" t="n">
        <v>116446</v>
      </c>
      <c r="I228">
        <f>G228</f>
        <v/>
      </c>
      <c r="K228">
        <f>I228-G228</f>
        <v/>
      </c>
      <c r="M228" t="inlineStr">
        <is>
          <t>TAG2400107</t>
        </is>
      </c>
      <c r="N228" t="inlineStr"/>
      <c r="O228">
        <f>M228=N228</f>
        <v/>
      </c>
      <c r="P228">
        <f>AND(MONTH(F228)=MONTH(S228), YEAR(F228)=YEAR(S228))</f>
        <v/>
      </c>
      <c r="Q228">
        <f>"L001-902303751"=U228</f>
        <v/>
      </c>
      <c r="R228">
        <f>G228-W228</f>
        <v/>
      </c>
      <c r="S228" s="36" t="n">
        <v>45558</v>
      </c>
      <c r="T228" t="inlineStr"/>
      <c r="U228" t="inlineStr">
        <is>
          <t>L001-104015799</t>
        </is>
      </c>
      <c r="V228" t="inlineStr">
        <is>
          <t>យូសេន ឡូជីស្ទីក (ខេមបូឌា) ខូ អិលធីឌី</t>
        </is>
      </c>
      <c r="W228" t="n">
        <v>0</v>
      </c>
      <c r="X228" t="n">
        <v>0</v>
      </c>
    </row>
    <row r="229">
      <c r="A229" t="n">
        <v>228</v>
      </c>
      <c r="B229" t="inlineStr">
        <is>
          <t>Customs Clearance Fee and Trucking Fee</t>
        </is>
      </c>
      <c r="C229" t="inlineStr">
        <is>
          <t>ត្រាយអ៊ែងហ្គល ឡូជីស្ទីក (ខេមបូឌា) ឯ.ក</t>
        </is>
      </c>
      <c r="D229" t="inlineStr">
        <is>
          <t>K010-902101743</t>
        </is>
      </c>
      <c r="E229" t="inlineStr">
        <is>
          <t>TAG-24-00158</t>
        </is>
      </c>
      <c r="F229" t="inlineStr">
        <is>
          <t>25-03-2024</t>
        </is>
      </c>
      <c r="G229" t="n">
        <v>59057</v>
      </c>
      <c r="I229">
        <f>G229</f>
        <v/>
      </c>
      <c r="K229">
        <f>I229-G229</f>
        <v/>
      </c>
      <c r="M229" t="inlineStr">
        <is>
          <t>TAG2400158</t>
        </is>
      </c>
      <c r="N229" t="inlineStr">
        <is>
          <t>8412500</t>
        </is>
      </c>
      <c r="O229">
        <f>M229=N229</f>
        <v/>
      </c>
      <c r="P229">
        <f>AND(MONTH(F229)=MONTH(S229), YEAR(F229)=YEAR(S229))</f>
        <v/>
      </c>
      <c r="Q229">
        <f>"L001-902303751"=U229</f>
        <v/>
      </c>
      <c r="R229">
        <f>G229-W229</f>
        <v/>
      </c>
      <c r="S229" s="36" t="n">
        <v>45546</v>
      </c>
      <c r="T229" t="n">
        <v>84125</v>
      </c>
      <c r="U229" t="inlineStr">
        <is>
          <t>K003-901635943</t>
        </is>
      </c>
      <c r="V229" t="inlineStr">
        <is>
          <t>អ៊ីឃ្យូឡាញ វើលវ៉ាយដ៍ ឡូជីស្ទីក</t>
        </is>
      </c>
      <c r="W229" t="n">
        <v>84125</v>
      </c>
      <c r="X229" t="n">
        <v>0</v>
      </c>
    </row>
    <row r="230">
      <c r="A230" t="n">
        <v>229</v>
      </c>
      <c r="B230" t="inlineStr">
        <is>
          <t>Charge from warehouse and Storage Charges</t>
        </is>
      </c>
      <c r="C230" t="inlineStr">
        <is>
          <t>កំពង់ផែស្វយ័តក្រុងព្រះសីហនុ</t>
        </is>
      </c>
      <c r="D230" t="inlineStr">
        <is>
          <t>L001-100044638</t>
        </is>
      </c>
      <c r="E230" t="inlineStr">
        <is>
          <t>053744</t>
        </is>
      </c>
      <c r="F230" t="inlineStr">
        <is>
          <t>27-03-2024</t>
        </is>
      </c>
      <c r="G230" t="n">
        <v>3902</v>
      </c>
      <c r="I230">
        <f>G230</f>
        <v/>
      </c>
      <c r="K230">
        <f>I230-G230</f>
        <v/>
      </c>
      <c r="M230" t="inlineStr">
        <is>
          <t>053744</t>
        </is>
      </c>
      <c r="N230" t="inlineStr">
        <is>
          <t>221488000</t>
        </is>
      </c>
      <c r="O230">
        <f>M230=N230</f>
        <v/>
      </c>
      <c r="P230">
        <f>AND(MONTH(F230)=MONTH(S230), YEAR(F230)=YEAR(S230))</f>
        <v/>
      </c>
      <c r="Q230">
        <f>"L001-902303751"=U230</f>
        <v/>
      </c>
      <c r="R230">
        <f>G230-W230</f>
        <v/>
      </c>
      <c r="S230" s="36" t="n">
        <v>45546</v>
      </c>
      <c r="T230" t="n">
        <v>2214880</v>
      </c>
      <c r="U230" t="inlineStr">
        <is>
          <t>K009-901605081</t>
        </is>
      </c>
      <c r="V230" t="inlineStr">
        <is>
          <t>ទ្រូ ខមភែនៀន ឡូជីស្ទីក (ខេមបូឌា)</t>
        </is>
      </c>
      <c r="W230" t="n">
        <v>2214880</v>
      </c>
      <c r="X230" t="n">
        <v>0</v>
      </c>
    </row>
    <row r="231">
      <c r="A231" t="n">
        <v>230</v>
      </c>
      <c r="B231" t="inlineStr">
        <is>
          <t>Terminal Handling Charge, Container Freight Station, Scanning Fee, Container Imbalance Charge, Agency Fee, Delivery Order, Document Fee and Admin Fee</t>
        </is>
      </c>
      <c r="C231" t="inlineStr">
        <is>
          <t>អឹឡាយអិន ហ្វ័រវើឌីង (ខេមបូឌា) ឯ.ក</t>
        </is>
      </c>
      <c r="D231" t="inlineStr">
        <is>
          <t>K005-901902888</t>
        </is>
      </c>
      <c r="E231" t="inlineStr">
        <is>
          <t>PPTI24-0144</t>
        </is>
      </c>
      <c r="F231" t="inlineStr">
        <is>
          <t>18-03-2024</t>
        </is>
      </c>
      <c r="G231" t="n">
        <v>154977</v>
      </c>
      <c r="I231">
        <f>G231</f>
        <v/>
      </c>
      <c r="K231">
        <f>I231-G231</f>
        <v/>
      </c>
      <c r="M231" t="inlineStr">
        <is>
          <t>PPTI240144</t>
        </is>
      </c>
      <c r="N231" t="inlineStr">
        <is>
          <t>18662200</t>
        </is>
      </c>
      <c r="O231">
        <f>M231=N231</f>
        <v/>
      </c>
      <c r="P231">
        <f>AND(MONTH(F231)=MONTH(S231), YEAR(F231)=YEAR(S231))</f>
        <v/>
      </c>
      <c r="Q231">
        <f>"L001-902303751"=U231</f>
        <v/>
      </c>
      <c r="R231">
        <f>G231-W231</f>
        <v/>
      </c>
      <c r="S231" s="36" t="n">
        <v>45548</v>
      </c>
      <c r="T231" t="n">
        <v>186622</v>
      </c>
      <c r="U231" t="inlineStr">
        <is>
          <t>K009-901605081</t>
        </is>
      </c>
      <c r="V231" t="inlineStr">
        <is>
          <t>ទ្រូ ខមភែនៀន ឡូជីស្ទីក (ខេមបូឌា)</t>
        </is>
      </c>
      <c r="W231" t="n">
        <v>186622</v>
      </c>
      <c r="X231" t="n">
        <v>0</v>
      </c>
    </row>
    <row r="232">
      <c r="A232" t="n">
        <v>231</v>
      </c>
      <c r="B232" t="inlineStr">
        <is>
          <t>Customs Clearance Fee and Trucking Fee</t>
        </is>
      </c>
      <c r="C232" t="inlineStr">
        <is>
          <t>ត្រាយអ៊ែងហ្គល ឡូជីស្ទីក (ខេមបូឌា) ឯ.ក</t>
        </is>
      </c>
      <c r="D232" t="inlineStr">
        <is>
          <t>K010-902101743</t>
        </is>
      </c>
      <c r="E232" t="inlineStr">
        <is>
          <t>TAG-24-00136</t>
        </is>
      </c>
      <c r="F232" t="inlineStr">
        <is>
          <t>22-03-2024</t>
        </is>
      </c>
      <c r="G232" t="n">
        <v>68816</v>
      </c>
      <c r="I232">
        <f>G232</f>
        <v/>
      </c>
      <c r="K232">
        <f>I232-G232</f>
        <v/>
      </c>
      <c r="M232" t="inlineStr">
        <is>
          <t>TAG2400136</t>
        </is>
      </c>
      <c r="N232" t="inlineStr"/>
      <c r="O232">
        <f>M232=N232</f>
        <v/>
      </c>
      <c r="P232">
        <f>AND(MONTH(F232)=MONTH(S232), YEAR(F232)=YEAR(S232))</f>
        <v/>
      </c>
      <c r="Q232">
        <f>"L001-902303751"=U232</f>
        <v/>
      </c>
      <c r="R232">
        <f>G232-W232</f>
        <v/>
      </c>
      <c r="S232" s="36" t="n">
        <v>45560</v>
      </c>
      <c r="T232" t="inlineStr"/>
      <c r="U232" t="inlineStr">
        <is>
          <t>K002-901900264</t>
        </is>
      </c>
      <c r="V232" t="inlineStr">
        <is>
          <t>ហេកធ័រ ត្រេនស្ព័រថេសិន (ខេមបូឌា) ឯ.ក</t>
        </is>
      </c>
      <c r="W232" t="n">
        <v>0</v>
      </c>
      <c r="X232" t="n">
        <v>0</v>
      </c>
    </row>
    <row r="233">
      <c r="A233" t="n">
        <v>232</v>
      </c>
      <c r="B233" t="inlineStr">
        <is>
          <t>Lift-On &amp; Lift-Off</t>
        </is>
      </c>
      <c r="C233" t="inlineStr">
        <is>
          <t>កំពង់ផែស្វយ័តក្រុងព្រះសីហនុ</t>
        </is>
      </c>
      <c r="D233" t="inlineStr">
        <is>
          <t>L001-100044638</t>
        </is>
      </c>
      <c r="E233" t="inlineStr">
        <is>
          <t>047966</t>
        </is>
      </c>
      <c r="F233" t="inlineStr">
        <is>
          <t>16-03-2024</t>
        </is>
      </c>
      <c r="G233" t="n">
        <v>23074</v>
      </c>
      <c r="I233">
        <f>G233</f>
        <v/>
      </c>
      <c r="K233">
        <f>I233-G233</f>
        <v/>
      </c>
      <c r="M233" t="inlineStr">
        <is>
          <t>047966</t>
        </is>
      </c>
      <c r="N233" t="inlineStr">
        <is>
          <t>17637800</t>
        </is>
      </c>
      <c r="O233">
        <f>M233=N233</f>
        <v/>
      </c>
      <c r="P233">
        <f>AND(MONTH(F233)=MONTH(S233), YEAR(F233)=YEAR(S233))</f>
        <v/>
      </c>
      <c r="Q233">
        <f>"L001-902303751"=U233</f>
        <v/>
      </c>
      <c r="R233">
        <f>G233-W233</f>
        <v/>
      </c>
      <c r="S233" s="36" t="n">
        <v>45546</v>
      </c>
      <c r="T233" t="n">
        <v>176378</v>
      </c>
      <c r="U233" t="inlineStr">
        <is>
          <t>L001-104015799</t>
        </is>
      </c>
      <c r="V233" t="inlineStr">
        <is>
          <t>យូសេន ឡូជីស្ទីក (ខេមបូឌា) ខូ អិលធីឌី</t>
        </is>
      </c>
      <c r="W233" t="n">
        <v>176378</v>
      </c>
      <c r="X233" t="n">
        <v>0</v>
      </c>
    </row>
    <row r="234">
      <c r="A234" t="n">
        <v>233</v>
      </c>
      <c r="B234" t="inlineStr">
        <is>
          <t>Terminal Handling Charge, EMF, 3 Party Trucking, Container Imbalance Charge, D/O Fee, Document Fee and Handling Charge</t>
        </is>
      </c>
      <c r="C234" t="inlineStr">
        <is>
          <t>ខេអិលអិន ហ្វ្រេត (ខេមបូឌា) ឯ.ក</t>
        </is>
      </c>
      <c r="D234" t="inlineStr">
        <is>
          <t>L001-100074669</t>
        </is>
      </c>
      <c r="E234" t="inlineStr">
        <is>
          <t>IVO04223</t>
        </is>
      </c>
      <c r="F234" t="inlineStr">
        <is>
          <t>19-03-2024</t>
        </is>
      </c>
      <c r="G234" t="n">
        <v>130235</v>
      </c>
      <c r="I234">
        <f>G234</f>
        <v/>
      </c>
      <c r="K234">
        <f>I234-G234</f>
        <v/>
      </c>
      <c r="M234" t="inlineStr">
        <is>
          <t>IVO04223</t>
        </is>
      </c>
      <c r="N234" t="inlineStr"/>
      <c r="O234">
        <f>M234=N234</f>
        <v/>
      </c>
      <c r="P234">
        <f>AND(MONTH(F234)=MONTH(S234), YEAR(F234)=YEAR(S234))</f>
        <v/>
      </c>
      <c r="Q234">
        <f>"L001-902303751"=U234</f>
        <v/>
      </c>
      <c r="R234">
        <f>G234-W234</f>
        <v/>
      </c>
      <c r="S234" s="36" t="n">
        <v>45546</v>
      </c>
      <c r="T234" t="inlineStr"/>
      <c r="U234" t="inlineStr">
        <is>
          <t>K003-901635943</t>
        </is>
      </c>
      <c r="V234" t="inlineStr">
        <is>
          <t>អ៊ីឃ្យូឡាញ វើលវ៉ាយដ៍ ឡូជីស្ទីក</t>
        </is>
      </c>
      <c r="W234" t="n">
        <v>0</v>
      </c>
      <c r="X234" t="n">
        <v>0</v>
      </c>
    </row>
    <row r="235">
      <c r="A235" t="n">
        <v>234</v>
      </c>
      <c r="B235" t="inlineStr">
        <is>
          <t>Customs Clearance Fee and Trucking Fee</t>
        </is>
      </c>
      <c r="C235" t="inlineStr">
        <is>
          <t>ត្រាយអ៊ែងហ្គល ឡូជីស្ទីក (ខេមបូឌា) ឯ.ក</t>
        </is>
      </c>
      <c r="D235" t="inlineStr">
        <is>
          <t>K010-902101743</t>
        </is>
      </c>
      <c r="E235" t="inlineStr">
        <is>
          <t>TAG-24-00197</t>
        </is>
      </c>
      <c r="F235" t="inlineStr">
        <is>
          <t>29-03-2024</t>
        </is>
      </c>
      <c r="G235" t="n">
        <v>113552</v>
      </c>
      <c r="I235">
        <f>G235</f>
        <v/>
      </c>
      <c r="K235">
        <f>I235-G235</f>
        <v/>
      </c>
      <c r="M235" t="inlineStr">
        <is>
          <t>TAG2400197</t>
        </is>
      </c>
      <c r="N235" t="inlineStr">
        <is>
          <t>9629300</t>
        </is>
      </c>
      <c r="O235">
        <f>M235=N235</f>
        <v/>
      </c>
      <c r="P235">
        <f>AND(MONTH(F235)=MONTH(S235), YEAR(F235)=YEAR(S235))</f>
        <v/>
      </c>
      <c r="Q235">
        <f>"L001-902303751"=U235</f>
        <v/>
      </c>
      <c r="R235">
        <f>G235-W235</f>
        <v/>
      </c>
      <c r="S235" s="36" t="n">
        <v>45558</v>
      </c>
      <c r="T235" t="n">
        <v>96293</v>
      </c>
      <c r="U235" t="inlineStr">
        <is>
          <t>L001-104015799</t>
        </is>
      </c>
      <c r="V235" t="inlineStr">
        <is>
          <t>យូសេន ឡូជីស្ទីក (ខេមបូឌា) ខូ អិលធីឌី</t>
        </is>
      </c>
      <c r="W235" t="n">
        <v>96293</v>
      </c>
      <c r="X235" t="n">
        <v>0</v>
      </c>
    </row>
    <row r="236">
      <c r="A236" t="n">
        <v>235</v>
      </c>
      <c r="B236" t="inlineStr">
        <is>
          <t>Charge from Warehouse</t>
        </is>
      </c>
      <c r="C236" t="inlineStr">
        <is>
          <t>កំពង់ផែស្វយ័តក្រុងព្រះសីហនុ</t>
        </is>
      </c>
      <c r="D236" t="inlineStr">
        <is>
          <t>L001-100044638</t>
        </is>
      </c>
      <c r="E236" t="inlineStr">
        <is>
          <t>056565</t>
        </is>
      </c>
      <c r="F236" t="inlineStr">
        <is>
          <t>29-03-2024</t>
        </is>
      </c>
      <c r="G236" t="n">
        <v>3710</v>
      </c>
      <c r="I236">
        <f>G236</f>
        <v/>
      </c>
      <c r="K236">
        <f>I236-G236</f>
        <v/>
      </c>
      <c r="M236" t="inlineStr">
        <is>
          <t>056565</t>
        </is>
      </c>
      <c r="N236" t="inlineStr">
        <is>
          <t>8391800</t>
        </is>
      </c>
      <c r="O236">
        <f>M236=N236</f>
        <v/>
      </c>
      <c r="P236">
        <f>AND(MONTH(F236)=MONTH(S236), YEAR(F236)=YEAR(S236))</f>
        <v/>
      </c>
      <c r="Q236">
        <f>"L001-902303751"=U236</f>
        <v/>
      </c>
      <c r="R236">
        <f>G236-W236</f>
        <v/>
      </c>
      <c r="S236" s="36" t="n">
        <v>45552</v>
      </c>
      <c r="T236" t="n">
        <v>83918</v>
      </c>
      <c r="U236" t="inlineStr">
        <is>
          <t>K003-901635943</t>
        </is>
      </c>
      <c r="V236" t="inlineStr">
        <is>
          <t>អ៊ីឃ្យូឡាញ វើលវ៉ាយដ៍ ឡូជីស្ទីក</t>
        </is>
      </c>
      <c r="W236" t="n">
        <v>83918</v>
      </c>
      <c r="X236" t="n">
        <v>0</v>
      </c>
    </row>
    <row r="237">
      <c r="A237" t="n">
        <v>236</v>
      </c>
      <c r="B237" t="inlineStr">
        <is>
          <t>Customs Clearance Fee and Trucking Fee</t>
        </is>
      </c>
      <c r="C237" t="inlineStr">
        <is>
          <t>ត្រាយអ៊ែងហ្គល ឡូជីស្ទីក (ខេមបូឌា) ឯ.ក</t>
        </is>
      </c>
      <c r="D237" t="inlineStr">
        <is>
          <t>K010-902101743</t>
        </is>
      </c>
      <c r="E237" t="inlineStr">
        <is>
          <t>TAG-24-00123</t>
        </is>
      </c>
      <c r="F237" t="inlineStr">
        <is>
          <t>22-03-2024</t>
        </is>
      </c>
      <c r="G237" t="n">
        <v>28336</v>
      </c>
      <c r="I237">
        <f>G237</f>
        <v/>
      </c>
      <c r="K237">
        <f>I237-G237</f>
        <v/>
      </c>
      <c r="M237" t="inlineStr">
        <is>
          <t>TAG2400123</t>
        </is>
      </c>
      <c r="N237" t="inlineStr"/>
      <c r="O237">
        <f>M237=N237</f>
        <v/>
      </c>
      <c r="P237">
        <f>AND(MONTH(F237)=MONTH(S237), YEAR(F237)=YEAR(S237))</f>
        <v/>
      </c>
      <c r="Q237">
        <f>"L001-902303751"=U237</f>
        <v/>
      </c>
      <c r="R237">
        <f>G237-W237</f>
        <v/>
      </c>
      <c r="S237" s="36" t="n">
        <v>45552</v>
      </c>
      <c r="T237" t="inlineStr"/>
      <c r="U237" t="inlineStr">
        <is>
          <t>K003-901635943</t>
        </is>
      </c>
      <c r="V237" t="inlineStr">
        <is>
          <t>អ៊ីឃ្យូឡាញ វើលវ៉ាយដ៍ ឡូជីស្ទីក</t>
        </is>
      </c>
      <c r="W237" t="n">
        <v>0</v>
      </c>
      <c r="X237" t="n">
        <v>0</v>
      </c>
    </row>
    <row r="238">
      <c r="A238" t="n">
        <v>237</v>
      </c>
      <c r="B238" t="inlineStr">
        <is>
          <t>THC Charge, CFS Fee, Scanning Fee, CIC Fee, D/O Fee, DOC Fee, Agency Fee, Handling Fee and Ocean Freight</t>
        </is>
      </c>
      <c r="C238" t="inlineStr">
        <is>
          <t>ហ្វ្រេត ខនសិប (ខេមបូឌា)</t>
        </is>
      </c>
      <c r="D238" t="inlineStr">
        <is>
          <t>K009-901502482</t>
        </is>
      </c>
      <c r="E238" t="inlineStr">
        <is>
          <t>240195</t>
        </is>
      </c>
      <c r="F238" t="inlineStr">
        <is>
          <t>04-03-2024</t>
        </is>
      </c>
      <c r="G238" t="n">
        <v>77273</v>
      </c>
      <c r="I238">
        <f>G238</f>
        <v/>
      </c>
      <c r="K238">
        <f>I238-G238</f>
        <v/>
      </c>
      <c r="M238" t="inlineStr">
        <is>
          <t>240195</t>
        </is>
      </c>
      <c r="N238" t="inlineStr"/>
      <c r="O238">
        <f>M238=N238</f>
        <v/>
      </c>
      <c r="P238">
        <f>AND(MONTH(F238)=MONTH(S238), YEAR(F238)=YEAR(S238))</f>
        <v/>
      </c>
      <c r="Q238">
        <f>"L001-902303751"=U238</f>
        <v/>
      </c>
      <c r="R238">
        <f>G238-W238</f>
        <v/>
      </c>
      <c r="S238" s="36" t="n">
        <v>45548</v>
      </c>
      <c r="T238" t="inlineStr"/>
      <c r="U238" t="inlineStr">
        <is>
          <t>K009-901605081</t>
        </is>
      </c>
      <c r="V238" t="inlineStr">
        <is>
          <t>ទ្រូ ខមភែនៀន ឡូជីស្ទីក (ខេមបូឌា)</t>
        </is>
      </c>
      <c r="W238" t="n">
        <v>0</v>
      </c>
      <c r="X238" t="n">
        <v>0</v>
      </c>
    </row>
    <row r="239">
      <c r="A239" t="n">
        <v>238</v>
      </c>
      <c r="B239" t="inlineStr">
        <is>
          <t>Charge from warehouse/cy to trucks</t>
        </is>
      </c>
      <c r="C239" t="inlineStr">
        <is>
          <t>កំពង់ផែស្វយ័តក្រុងព្រះសីហនុ</t>
        </is>
      </c>
      <c r="D239" t="inlineStr">
        <is>
          <t>L001-100044638</t>
        </is>
      </c>
      <c r="E239" t="inlineStr">
        <is>
          <t>043155</t>
        </is>
      </c>
      <c r="F239" t="inlineStr">
        <is>
          <t>09-03-2024</t>
        </is>
      </c>
      <c r="G239" t="n">
        <v>620</v>
      </c>
      <c r="I239">
        <f>G239</f>
        <v/>
      </c>
      <c r="K239">
        <f>I239-G239</f>
        <v/>
      </c>
      <c r="M239" t="inlineStr">
        <is>
          <t>043155</t>
        </is>
      </c>
      <c r="N239" t="inlineStr">
        <is>
          <t>13124700</t>
        </is>
      </c>
      <c r="O239">
        <f>M239=N239</f>
        <v/>
      </c>
      <c r="P239">
        <f>AND(MONTH(F239)=MONTH(S239), YEAR(F239)=YEAR(S239))</f>
        <v/>
      </c>
      <c r="Q239">
        <f>"L001-902303751"=U239</f>
        <v/>
      </c>
      <c r="R239">
        <f>G239-W239</f>
        <v/>
      </c>
      <c r="S239" s="36" t="n">
        <v>45540</v>
      </c>
      <c r="T239" t="n">
        <v>131247</v>
      </c>
      <c r="U239" t="inlineStr">
        <is>
          <t>K009-901605081</t>
        </is>
      </c>
      <c r="V239" t="inlineStr">
        <is>
          <t>ទ្រូ ខមភែនៀន ឡូជីស្ទីក (ខេមបូឌា)</t>
        </is>
      </c>
      <c r="W239" t="n">
        <v>131247</v>
      </c>
      <c r="X239" t="n">
        <v>0</v>
      </c>
    </row>
    <row r="240">
      <c r="A240" t="n">
        <v>239</v>
      </c>
      <c r="B240" t="inlineStr">
        <is>
          <t>Customs Clearance Fee and Trucking Fee</t>
        </is>
      </c>
      <c r="C240" t="inlineStr">
        <is>
          <t>ត្រាយអ៊ែងហ្គល ឡូជីស្ទីក (ខេមបូឌា) ឯ.ក</t>
        </is>
      </c>
      <c r="D240" t="inlineStr">
        <is>
          <t>K010-902101743</t>
        </is>
      </c>
      <c r="E240" t="inlineStr">
        <is>
          <t>TAG-24-00098</t>
        </is>
      </c>
      <c r="F240" t="inlineStr">
        <is>
          <t>11-03-2024</t>
        </is>
      </c>
      <c r="G240" t="n">
        <v>32440</v>
      </c>
      <c r="I240">
        <f>G240</f>
        <v/>
      </c>
      <c r="K240">
        <f>I240-G240</f>
        <v/>
      </c>
      <c r="M240" t="inlineStr">
        <is>
          <t>TAG2400098</t>
        </is>
      </c>
      <c r="N240" t="inlineStr"/>
      <c r="O240">
        <f>M240=N240</f>
        <v/>
      </c>
      <c r="P240">
        <f>AND(MONTH(F240)=MONTH(S240), YEAR(F240)=YEAR(S240))</f>
        <v/>
      </c>
      <c r="Q240">
        <f>"L001-902303751"=U240</f>
        <v/>
      </c>
      <c r="R240">
        <f>G240-W240</f>
        <v/>
      </c>
      <c r="S240" s="36" t="n">
        <v>45540</v>
      </c>
      <c r="T240" t="inlineStr"/>
      <c r="U240" t="inlineStr">
        <is>
          <t>L001-104015799</t>
        </is>
      </c>
      <c r="V240" t="inlineStr">
        <is>
          <t>យូសេន ឡូជីស្ទីក (ខេមបូឌា) ខូ អិលធីឌី</t>
        </is>
      </c>
      <c r="W240" t="n">
        <v>0</v>
      </c>
      <c r="X240" t="n">
        <v>0</v>
      </c>
    </row>
    <row r="241">
      <c r="A241" t="n">
        <v>240</v>
      </c>
      <c r="B241" t="inlineStr">
        <is>
          <t>Customs Clearance Fee</t>
        </is>
      </c>
      <c r="C241" t="inlineStr">
        <is>
          <t>ត្រាយអ៊ែងហ្គល ឡូជីស្ទីក (ខេមបូឌា) ឯ.ក</t>
        </is>
      </c>
      <c r="D241" t="inlineStr">
        <is>
          <t>K010-902101743</t>
        </is>
      </c>
      <c r="E241" t="inlineStr">
        <is>
          <t>TAG-24-00096</t>
        </is>
      </c>
      <c r="F241" t="inlineStr">
        <is>
          <t>11-03-2024</t>
        </is>
      </c>
      <c r="G241" t="n">
        <v>8110</v>
      </c>
      <c r="I241">
        <f>G241</f>
        <v/>
      </c>
      <c r="K241">
        <f>I241-G241</f>
        <v/>
      </c>
      <c r="M241" t="inlineStr">
        <is>
          <t>TAG2400096</t>
        </is>
      </c>
      <c r="N241" t="inlineStr">
        <is>
          <t>8391800</t>
        </is>
      </c>
      <c r="O241">
        <f>M241=N241</f>
        <v/>
      </c>
      <c r="P241">
        <f>AND(MONTH(F241)=MONTH(S241), YEAR(F241)=YEAR(S241))</f>
        <v/>
      </c>
      <c r="Q241">
        <f>"L001-902303751"=U241</f>
        <v/>
      </c>
      <c r="R241">
        <f>G241-W241</f>
        <v/>
      </c>
      <c r="S241" s="36" t="n">
        <v>45552</v>
      </c>
      <c r="T241" t="n">
        <v>83918</v>
      </c>
      <c r="U241" t="inlineStr">
        <is>
          <t>L001-104015799</t>
        </is>
      </c>
      <c r="V241" t="inlineStr">
        <is>
          <t>យូសេន ឡូជីស្ទីក (ខេមបូឌា) ខូ អិលធីឌី</t>
        </is>
      </c>
      <c r="W241" t="n">
        <v>83918</v>
      </c>
      <c r="X241" t="n">
        <v>0</v>
      </c>
    </row>
    <row r="242">
      <c r="A242" t="n">
        <v>241</v>
      </c>
      <c r="B242" t="inlineStr">
        <is>
          <t>Lift-On Charges 40" Full and Gate Fee Charge 40" Full</t>
        </is>
      </c>
      <c r="C242" t="inlineStr">
        <is>
          <t>កំពង់ផែស្វយ័តភ្នំពេញ "ក.ស.ភ"</t>
        </is>
      </c>
      <c r="D242" t="inlineStr">
        <is>
          <t>L001-100044999</t>
        </is>
      </c>
      <c r="E242" t="inlineStr">
        <is>
          <t>INV20240314358</t>
        </is>
      </c>
      <c r="F242" t="inlineStr">
        <is>
          <t>13-03-2024</t>
        </is>
      </c>
      <c r="G242" t="n">
        <v>28287</v>
      </c>
      <c r="I242">
        <f>G242</f>
        <v/>
      </c>
      <c r="K242">
        <f>I242-G242</f>
        <v/>
      </c>
      <c r="M242" t="inlineStr">
        <is>
          <t>INV20240314358</t>
        </is>
      </c>
      <c r="N242" t="inlineStr">
        <is>
          <t>221215500</t>
        </is>
      </c>
      <c r="O242">
        <f>M242=N242</f>
        <v/>
      </c>
      <c r="P242">
        <f>AND(MONTH(F242)=MONTH(S242), YEAR(F242)=YEAR(S242))</f>
        <v/>
      </c>
      <c r="Q242">
        <f>"L001-902303751"=U242</f>
        <v/>
      </c>
      <c r="R242">
        <f>G242-W242</f>
        <v/>
      </c>
      <c r="S242" s="36" t="n">
        <v>45537</v>
      </c>
      <c r="T242" t="n">
        <v>2212155</v>
      </c>
      <c r="U242" t="inlineStr">
        <is>
          <t>K009-901605081</t>
        </is>
      </c>
      <c r="V242" t="inlineStr">
        <is>
          <t>ទ្រូ ខមភែនៀន ឡូជីស្ទីក (ខេមបូឌា)</t>
        </is>
      </c>
      <c r="W242" t="n">
        <v>2212155</v>
      </c>
      <c r="X242" t="n">
        <v>0</v>
      </c>
    </row>
    <row r="243">
      <c r="A243" t="n">
        <v>242</v>
      </c>
      <c r="B243" t="inlineStr">
        <is>
          <t>THC, DOC FEE and CONTAINER IMBALANCE</t>
        </is>
      </c>
      <c r="C243" t="inlineStr">
        <is>
          <t>សាខាក្រុមហ៊ុន ជីម៉ាឌីប ស៊ីបភីង ខមភេនី លីមីធីត</t>
        </is>
      </c>
      <c r="D243" t="inlineStr">
        <is>
          <t>L001-901704777</t>
        </is>
      </c>
      <c r="E243" t="inlineStr">
        <is>
          <t>24-00830</t>
        </is>
      </c>
      <c r="F243" t="inlineStr">
        <is>
          <t>07-03-2024</t>
        </is>
      </c>
      <c r="G243" t="n">
        <v>135943</v>
      </c>
      <c r="I243">
        <f>G243</f>
        <v/>
      </c>
      <c r="K243">
        <f>I243-G243</f>
        <v/>
      </c>
      <c r="M243" t="inlineStr">
        <is>
          <t>2400830</t>
        </is>
      </c>
      <c r="N243" t="inlineStr">
        <is>
          <t>11249000</t>
        </is>
      </c>
      <c r="O243">
        <f>M243=N243</f>
        <v/>
      </c>
      <c r="P243">
        <f>AND(MONTH(F243)=MONTH(S243), YEAR(F243)=YEAR(S243))</f>
        <v/>
      </c>
      <c r="Q243">
        <f>"L001-902303751"=U243</f>
        <v/>
      </c>
      <c r="R243">
        <f>G243-W243</f>
        <v/>
      </c>
      <c r="S243" s="36" t="n">
        <v>45565</v>
      </c>
      <c r="T243" t="n">
        <v>112490</v>
      </c>
      <c r="U243" t="inlineStr">
        <is>
          <t>L001-104015799</t>
        </is>
      </c>
      <c r="V243" t="inlineStr">
        <is>
          <t>យូសេន ឡូជីស្ទីក (ខេមបូឌា) ខូ អិលធីឌី</t>
        </is>
      </c>
      <c r="W243" t="n">
        <v>112490</v>
      </c>
      <c r="X243" t="n">
        <v>0</v>
      </c>
    </row>
    <row r="244">
      <c r="A244" t="n">
        <v>243</v>
      </c>
      <c r="B244" t="inlineStr">
        <is>
          <t>Customs Clearance Fee and Trucking Fee</t>
        </is>
      </c>
      <c r="C244" t="inlineStr">
        <is>
          <t>ត្រាយអ៊ែងហ្គល ឡូជីស្ទីក (ខេមបូឌា) ឯ.ក</t>
        </is>
      </c>
      <c r="D244" t="inlineStr">
        <is>
          <t>K010-902101743</t>
        </is>
      </c>
      <c r="E244" t="inlineStr">
        <is>
          <t>TAG-24-00128</t>
        </is>
      </c>
      <c r="F244" t="inlineStr">
        <is>
          <t>22-03-2024</t>
        </is>
      </c>
      <c r="G244" t="n">
        <v>68816</v>
      </c>
      <c r="I244">
        <f>G244</f>
        <v/>
      </c>
      <c r="K244">
        <f>I244-G244</f>
        <v/>
      </c>
      <c r="M244" t="inlineStr">
        <is>
          <t>TAG2400128</t>
        </is>
      </c>
      <c r="N244" t="inlineStr">
        <is>
          <t>221433500</t>
        </is>
      </c>
      <c r="O244">
        <f>M244=N244</f>
        <v/>
      </c>
      <c r="P244">
        <f>AND(MONTH(F244)=MONTH(S244), YEAR(F244)=YEAR(S244))</f>
        <v/>
      </c>
      <c r="Q244">
        <f>"L001-902303751"=U244</f>
        <v/>
      </c>
      <c r="R244">
        <f>G244-W244</f>
        <v/>
      </c>
      <c r="S244" s="36" t="n">
        <v>45561</v>
      </c>
      <c r="T244" t="n">
        <v>2214335</v>
      </c>
      <c r="U244" t="inlineStr">
        <is>
          <t>K009-901605081</t>
        </is>
      </c>
      <c r="V244" t="inlineStr">
        <is>
          <t>ទ្រូ ខមភែនៀន ឡូជីស្ទីក (ខេមបូឌា)</t>
        </is>
      </c>
      <c r="W244" t="n">
        <v>2214335</v>
      </c>
      <c r="X244" t="n">
        <v>0</v>
      </c>
    </row>
    <row r="245">
      <c r="A245" t="n">
        <v>244</v>
      </c>
      <c r="B245" t="inlineStr">
        <is>
          <t>Lift-On Charges 40" Full and Gate Fee Charge 40" Full</t>
        </is>
      </c>
      <c r="C245" t="inlineStr">
        <is>
          <t>កំពង់ផែស្វយ័តភ្នំពេញ "ក.ស.ភ"</t>
        </is>
      </c>
      <c r="D245" t="inlineStr">
        <is>
          <t>L001-100044999</t>
        </is>
      </c>
      <c r="E245" t="inlineStr">
        <is>
          <t>INV20240314357</t>
        </is>
      </c>
      <c r="F245" t="inlineStr">
        <is>
          <t>13-03-2024</t>
        </is>
      </c>
      <c r="G245" t="n">
        <v>28287</v>
      </c>
      <c r="I245">
        <f>G245</f>
        <v/>
      </c>
      <c r="K245">
        <f>I245-G245</f>
        <v/>
      </c>
      <c r="M245" t="inlineStr">
        <is>
          <t>INV20240314357</t>
        </is>
      </c>
      <c r="N245" t="inlineStr">
        <is>
          <t>8410400</t>
        </is>
      </c>
      <c r="O245">
        <f>M245=N245</f>
        <v/>
      </c>
      <c r="P245">
        <f>AND(MONTH(F245)=MONTH(S245), YEAR(F245)=YEAR(S245))</f>
        <v/>
      </c>
      <c r="Q245">
        <f>"L001-902303751"=U245</f>
        <v/>
      </c>
      <c r="R245">
        <f>G245-W245</f>
        <v/>
      </c>
      <c r="S245" s="36" t="n">
        <v>45558</v>
      </c>
      <c r="T245" t="n">
        <v>84104</v>
      </c>
      <c r="U245" t="inlineStr">
        <is>
          <t>L001-104015799</t>
        </is>
      </c>
      <c r="V245" t="inlineStr">
        <is>
          <t>យូសេន ឡូជីស្ទីក (ខេមបូឌា) ខូ អិលធីឌី</t>
        </is>
      </c>
      <c r="W245" t="n">
        <v>84104</v>
      </c>
      <c r="X245" t="n">
        <v>0</v>
      </c>
    </row>
    <row r="246">
      <c r="A246" t="n">
        <v>245</v>
      </c>
      <c r="B246" t="inlineStr">
        <is>
          <t>THC, DOC FEE and CONTAINER IMBALANCE</t>
        </is>
      </c>
      <c r="C246" t="inlineStr">
        <is>
          <t>សាខាក្រុមហ៊ុន ជីម៉ាឌីប ស៊ីបភីង ខមភេនី លីមីធីត</t>
        </is>
      </c>
      <c r="D246" t="inlineStr">
        <is>
          <t>L001-901704777</t>
        </is>
      </c>
      <c r="E246" t="inlineStr">
        <is>
          <t>24-00829</t>
        </is>
      </c>
      <c r="F246" t="inlineStr">
        <is>
          <t>07-03-2024</t>
        </is>
      </c>
      <c r="G246" t="n">
        <v>135943</v>
      </c>
      <c r="I246">
        <f>G246</f>
        <v/>
      </c>
      <c r="K246">
        <f>I246-G246</f>
        <v/>
      </c>
      <c r="M246" t="inlineStr">
        <is>
          <t>2400829</t>
        </is>
      </c>
      <c r="N246" t="inlineStr">
        <is>
          <t>18689800</t>
        </is>
      </c>
      <c r="O246">
        <f>M246=N246</f>
        <v/>
      </c>
      <c r="P246">
        <f>AND(MONTH(F246)=MONTH(S246), YEAR(F246)=YEAR(S246))</f>
        <v/>
      </c>
      <c r="Q246">
        <f>"L001-902303751"=U246</f>
        <v/>
      </c>
      <c r="R246">
        <f>G246-W246</f>
        <v/>
      </c>
      <c r="S246" s="36" t="n">
        <v>45561</v>
      </c>
      <c r="T246" t="n">
        <v>186898</v>
      </c>
      <c r="U246" t="inlineStr">
        <is>
          <t>K009-901605081</t>
        </is>
      </c>
      <c r="V246" t="inlineStr">
        <is>
          <t>ទ្រូ ខមភែនៀន ឡូជីស្ទីក (ខេមបូឌា)</t>
        </is>
      </c>
      <c r="W246" t="n">
        <v>186898</v>
      </c>
      <c r="X246" t="n">
        <v>0</v>
      </c>
    </row>
    <row r="247">
      <c r="A247" t="n">
        <v>246</v>
      </c>
      <c r="B247" t="inlineStr">
        <is>
          <t>Customs Clearance Fee and Trucking Fee</t>
        </is>
      </c>
      <c r="C247" t="inlineStr">
        <is>
          <t>ត្រាយអ៊ែងហ្គល ឡូជីស្ទីក (ខេមបូឌា) ឯ.ក</t>
        </is>
      </c>
      <c r="D247" t="inlineStr">
        <is>
          <t>K010-902101743</t>
        </is>
      </c>
      <c r="E247" t="inlineStr">
        <is>
          <t>TAG-24-00129</t>
        </is>
      </c>
      <c r="F247" t="inlineStr">
        <is>
          <t>22-03-2024</t>
        </is>
      </c>
      <c r="G247" t="n">
        <v>68816</v>
      </c>
      <c r="I247">
        <f>G247</f>
        <v/>
      </c>
      <c r="K247">
        <f>I247-G247</f>
        <v/>
      </c>
      <c r="M247" t="inlineStr">
        <is>
          <t>TAG2400129</t>
        </is>
      </c>
      <c r="N247" t="inlineStr">
        <is>
          <t>21168200</t>
        </is>
      </c>
      <c r="O247">
        <f>M247=N247</f>
        <v/>
      </c>
      <c r="P247">
        <f>AND(MONTH(F247)=MONTH(S247), YEAR(F247)=YEAR(S247))</f>
        <v/>
      </c>
      <c r="Q247">
        <f>"L001-902303751"=U247</f>
        <v/>
      </c>
      <c r="R247">
        <f>G247-W247</f>
        <v/>
      </c>
      <c r="S247" s="36" t="n">
        <v>45560</v>
      </c>
      <c r="T247" t="n">
        <v>211682</v>
      </c>
      <c r="U247" t="inlineStr">
        <is>
          <t>K002-901900264</t>
        </is>
      </c>
      <c r="V247" t="inlineStr">
        <is>
          <t>ហេកធ័រ ត្រេនស្ព័រថេសិន (ខេមបូឌា) ឯ.ក</t>
        </is>
      </c>
      <c r="W247" t="n">
        <v>211682</v>
      </c>
      <c r="X247" t="n">
        <v>0</v>
      </c>
    </row>
    <row r="248">
      <c r="A248" t="n">
        <v>247</v>
      </c>
      <c r="B248" t="inlineStr">
        <is>
          <t>Lift-On Charges 40" Full and Gate Fee Charge 40" Full</t>
        </is>
      </c>
      <c r="C248" t="inlineStr">
        <is>
          <t>កំពង់ផែស្វយ័តភ្នំពេញ "ក.ស.ភ"</t>
        </is>
      </c>
      <c r="D248" t="inlineStr">
        <is>
          <t>L001-100044999</t>
        </is>
      </c>
      <c r="E248" t="inlineStr">
        <is>
          <t>INV20240314359</t>
        </is>
      </c>
      <c r="F248" t="inlineStr">
        <is>
          <t>13-03-2024</t>
        </is>
      </c>
      <c r="G248" t="n">
        <v>28287</v>
      </c>
      <c r="I248">
        <f>G248</f>
        <v/>
      </c>
      <c r="K248">
        <f>I248-G248</f>
        <v/>
      </c>
      <c r="M248" t="inlineStr">
        <is>
          <t>INV20240314359</t>
        </is>
      </c>
      <c r="N248" t="inlineStr"/>
      <c r="O248">
        <f>M248=N248</f>
        <v/>
      </c>
      <c r="P248">
        <f>AND(MONTH(F248)=MONTH(S248), YEAR(F248)=YEAR(S248))</f>
        <v/>
      </c>
      <c r="Q248">
        <f>"L001-902303751"=U248</f>
        <v/>
      </c>
      <c r="R248">
        <f>G248-W248</f>
        <v/>
      </c>
      <c r="S248" s="36" t="n">
        <v>45546</v>
      </c>
      <c r="T248" t="inlineStr"/>
      <c r="U248" t="inlineStr">
        <is>
          <t>K009-901605081</t>
        </is>
      </c>
      <c r="V248" t="inlineStr">
        <is>
          <t>ទ្រូ ខមភែនៀន ឡូជីស្ទីក (ខេមបូឌា)</t>
        </is>
      </c>
      <c r="W248" t="n">
        <v>0</v>
      </c>
      <c r="X248" t="n">
        <v>0</v>
      </c>
    </row>
    <row r="249">
      <c r="A249" t="n">
        <v>248</v>
      </c>
      <c r="B249" t="inlineStr">
        <is>
          <t>THC, DOC FEE and CONTAINER IMBALANCE</t>
        </is>
      </c>
      <c r="C249" t="inlineStr">
        <is>
          <t>សាខាក្រុមហ៊ុន ជីម៉ាឌីប ស៊ីបភីង ខមភេនី លីមីធីត</t>
        </is>
      </c>
      <c r="D249" t="inlineStr">
        <is>
          <t>L001-901704777</t>
        </is>
      </c>
      <c r="E249" t="inlineStr">
        <is>
          <t>24-00828</t>
        </is>
      </c>
      <c r="F249" t="inlineStr">
        <is>
          <t>07-03-2024</t>
        </is>
      </c>
      <c r="G249" t="n">
        <v>135943</v>
      </c>
      <c r="I249">
        <f>G249</f>
        <v/>
      </c>
      <c r="K249">
        <f>I249-G249</f>
        <v/>
      </c>
      <c r="M249" t="inlineStr">
        <is>
          <t>2400828</t>
        </is>
      </c>
      <c r="N249" t="inlineStr">
        <is>
          <t>18694400</t>
        </is>
      </c>
      <c r="O249">
        <f>M249=N249</f>
        <v/>
      </c>
      <c r="P249">
        <f>AND(MONTH(F249)=MONTH(S249), YEAR(F249)=YEAR(S249))</f>
        <v/>
      </c>
      <c r="Q249">
        <f>"L001-902303751"=U249</f>
        <v/>
      </c>
      <c r="R249">
        <f>G249-W249</f>
        <v/>
      </c>
      <c r="S249" s="36" t="n">
        <v>45546</v>
      </c>
      <c r="T249" t="n">
        <v>186944</v>
      </c>
      <c r="U249" t="inlineStr">
        <is>
          <t>K009-901605081</t>
        </is>
      </c>
      <c r="V249" t="inlineStr">
        <is>
          <t>ទ្រូ ខមភែនៀន ឡូជីស្ទីក (ខេមបូឌា)</t>
        </is>
      </c>
      <c r="W249" t="n">
        <v>186944</v>
      </c>
      <c r="X249" t="n">
        <v>0</v>
      </c>
    </row>
    <row r="250">
      <c r="A250" t="n">
        <v>249</v>
      </c>
      <c r="B250" t="inlineStr">
        <is>
          <t>Customs Clearance Fee and Trucking Fee</t>
        </is>
      </c>
      <c r="C250" t="inlineStr">
        <is>
          <t>ត្រាយអ៊ែងហ្គល ឡូជីស្ទីក (ខេមបូឌា) ឯ.ក</t>
        </is>
      </c>
      <c r="D250" t="inlineStr">
        <is>
          <t>K010-902101743</t>
        </is>
      </c>
      <c r="E250" t="inlineStr">
        <is>
          <t>TAG-24-00127</t>
        </is>
      </c>
      <c r="F250" t="inlineStr">
        <is>
          <t>22-03-2024</t>
        </is>
      </c>
      <c r="G250" t="n">
        <v>68816</v>
      </c>
      <c r="I250">
        <f>G250</f>
        <v/>
      </c>
      <c r="K250">
        <f>I250-G250</f>
        <v/>
      </c>
      <c r="M250" t="inlineStr">
        <is>
          <t>TAG2400127</t>
        </is>
      </c>
      <c r="N250" t="inlineStr"/>
      <c r="O250">
        <f>M250=N250</f>
        <v/>
      </c>
      <c r="P250">
        <f>AND(MONTH(F250)=MONTH(S250), YEAR(F250)=YEAR(S250))</f>
        <v/>
      </c>
      <c r="Q250">
        <f>"L001-902303751"=U250</f>
        <v/>
      </c>
      <c r="R250">
        <f>G250-W250</f>
        <v/>
      </c>
      <c r="S250" s="36" t="n">
        <v>45545</v>
      </c>
      <c r="T250" t="inlineStr"/>
      <c r="U250" t="inlineStr">
        <is>
          <t>K009-901605081</t>
        </is>
      </c>
      <c r="V250" t="inlineStr">
        <is>
          <t>ទ្រូ ខមភែនៀន ឡូជីស្ទីក (ខេមបូឌា)</t>
        </is>
      </c>
      <c r="W250" t="n">
        <v>0</v>
      </c>
      <c r="X250" t="n">
        <v>0</v>
      </c>
    </row>
    <row r="251">
      <c r="A251" t="n">
        <v>250</v>
      </c>
      <c r="B251" t="inlineStr">
        <is>
          <t>Terminal Handing Charge, Container Freight Station, Scanning Fee, Container Imbalance Charge, Agency Fee, Delivery Order, Document Fee and Admin Fee</t>
        </is>
      </c>
      <c r="C251" t="inlineStr">
        <is>
          <t>អឹឡាយអិន ហ្វ័រវើឌីង (ខេមបូឌា) ឯ.ក</t>
        </is>
      </c>
      <c r="D251" t="inlineStr">
        <is>
          <t>K005-901902888</t>
        </is>
      </c>
      <c r="E251" t="inlineStr">
        <is>
          <t>PPTI24-0125</t>
        </is>
      </c>
      <c r="F251" t="inlineStr">
        <is>
          <t>07-03-2024</t>
        </is>
      </c>
      <c r="G251" t="n">
        <v>179419</v>
      </c>
      <c r="I251">
        <f>G251</f>
        <v/>
      </c>
      <c r="K251">
        <f>I251-G251</f>
        <v/>
      </c>
      <c r="M251" t="inlineStr">
        <is>
          <t>PPTI240125</t>
        </is>
      </c>
      <c r="N251" t="inlineStr">
        <is>
          <t>11257300</t>
        </is>
      </c>
      <c r="O251">
        <f>M251=N251</f>
        <v/>
      </c>
      <c r="P251">
        <f>AND(MONTH(F251)=MONTH(S251), YEAR(F251)=YEAR(S251))</f>
        <v/>
      </c>
      <c r="Q251">
        <f>"L001-902303751"=U251</f>
        <v/>
      </c>
      <c r="R251">
        <f>G251-W251</f>
        <v/>
      </c>
      <c r="S251" s="36" t="n">
        <v>45546</v>
      </c>
      <c r="T251" t="n">
        <v>112573</v>
      </c>
      <c r="U251" t="inlineStr">
        <is>
          <t>L001-104015799</t>
        </is>
      </c>
      <c r="V251" t="inlineStr">
        <is>
          <t>យូសេន ឡូជីស្ទីក (ខេមបូឌា) ខូ អិលធីឌី</t>
        </is>
      </c>
      <c r="W251" t="n">
        <v>112573</v>
      </c>
      <c r="X251" t="n">
        <v>0</v>
      </c>
    </row>
    <row r="252">
      <c r="A252" t="n">
        <v>251</v>
      </c>
      <c r="B252" t="inlineStr">
        <is>
          <t>Charge from Warehouse/cy to trucks and Storage Charges</t>
        </is>
      </c>
      <c r="C252" t="inlineStr">
        <is>
          <t>កំពង់ផែស្វយ័តក្រុងព្រះសីហនុ</t>
        </is>
      </c>
      <c r="D252" t="inlineStr">
        <is>
          <t>L001-100044638</t>
        </is>
      </c>
      <c r="E252" t="inlineStr">
        <is>
          <t>051175</t>
        </is>
      </c>
      <c r="F252" t="inlineStr">
        <is>
          <t>21-03-2024</t>
        </is>
      </c>
      <c r="G252" t="n">
        <v>6320</v>
      </c>
      <c r="I252">
        <f>G252</f>
        <v/>
      </c>
      <c r="K252">
        <f>I252-G252</f>
        <v/>
      </c>
      <c r="M252" t="inlineStr">
        <is>
          <t>051175</t>
        </is>
      </c>
      <c r="N252" t="inlineStr"/>
      <c r="O252">
        <f>M252=N252</f>
        <v/>
      </c>
      <c r="P252">
        <f>AND(MONTH(F252)=MONTH(S252), YEAR(F252)=YEAR(S252))</f>
        <v/>
      </c>
      <c r="Q252">
        <f>"L001-902303751"=U252</f>
        <v/>
      </c>
      <c r="R252">
        <f>G252-W252</f>
        <v/>
      </c>
      <c r="S252" s="36" t="n">
        <v>45558</v>
      </c>
      <c r="T252" t="inlineStr"/>
      <c r="U252" t="inlineStr">
        <is>
          <t>L001-104015799</t>
        </is>
      </c>
      <c r="V252" t="inlineStr">
        <is>
          <t>យូសេន ឡូជីស្ទីក (ខេមបូឌា) ខូ អិលធីឌី</t>
        </is>
      </c>
      <c r="W252" t="n">
        <v>0</v>
      </c>
      <c r="X252" t="n">
        <v>0</v>
      </c>
    </row>
    <row r="253">
      <c r="A253" t="n">
        <v>252</v>
      </c>
      <c r="B253" t="inlineStr">
        <is>
          <t>Customs Clearance Fee and Trucking Fee</t>
        </is>
      </c>
      <c r="C253" t="inlineStr">
        <is>
          <t>ត្រាយអ៊ែងហ្គល ឡូជីស្ទីក (ខេមបូឌា) ឯ.ក</t>
        </is>
      </c>
      <c r="D253" t="inlineStr">
        <is>
          <t>K010-902101743</t>
        </is>
      </c>
      <c r="E253" t="inlineStr">
        <is>
          <t>TAG-24-00148</t>
        </is>
      </c>
      <c r="F253" t="inlineStr">
        <is>
          <t>25-03-2024</t>
        </is>
      </c>
      <c r="G253" t="n">
        <v>73181</v>
      </c>
      <c r="I253">
        <f>G253</f>
        <v/>
      </c>
      <c r="K253">
        <f>I253-G253</f>
        <v/>
      </c>
      <c r="M253" t="inlineStr">
        <is>
          <t>TAG2400148</t>
        </is>
      </c>
      <c r="N253" t="inlineStr">
        <is>
          <t>11257300</t>
        </is>
      </c>
      <c r="O253">
        <f>M253=N253</f>
        <v/>
      </c>
      <c r="P253">
        <f>AND(MONTH(F253)=MONTH(S253), YEAR(F253)=YEAR(S253))</f>
        <v/>
      </c>
      <c r="Q253">
        <f>"L001-902303751"=U253</f>
        <v/>
      </c>
      <c r="R253">
        <f>G253-W253</f>
        <v/>
      </c>
      <c r="S253" s="36" t="n">
        <v>45546</v>
      </c>
      <c r="T253" t="n">
        <v>112573</v>
      </c>
      <c r="U253" t="inlineStr">
        <is>
          <t>L001-104015799</t>
        </is>
      </c>
      <c r="V253" t="inlineStr">
        <is>
          <t>យូសេន ឡូជីស្ទីក (ខេមបូឌា) ខូ អិលធីឌី</t>
        </is>
      </c>
      <c r="W253" t="n">
        <v>112573</v>
      </c>
      <c r="X253" t="n">
        <v>0</v>
      </c>
    </row>
    <row r="254">
      <c r="A254" t="n">
        <v>253</v>
      </c>
      <c r="B254" t="inlineStr">
        <is>
          <t>Customs Clearance Fee</t>
        </is>
      </c>
      <c r="C254" t="inlineStr">
        <is>
          <t>ត្រាយអ៊ែងហ្គល ឡូជីស្ទីក (ខេមបូឌា) ឯ.ក</t>
        </is>
      </c>
      <c r="D254" t="inlineStr">
        <is>
          <t>K010-902101743</t>
        </is>
      </c>
      <c r="E254" t="inlineStr">
        <is>
          <t>TAG-24-00089</t>
        </is>
      </c>
      <c r="F254" t="inlineStr">
        <is>
          <t>05-03-2024</t>
        </is>
      </c>
      <c r="G254" t="n">
        <v>8128</v>
      </c>
      <c r="I254">
        <f>G254</f>
        <v/>
      </c>
      <c r="K254">
        <f>I254-G254</f>
        <v/>
      </c>
      <c r="M254" t="inlineStr">
        <is>
          <t>TAG2400089</t>
        </is>
      </c>
      <c r="N254" t="inlineStr">
        <is>
          <t>221106500</t>
        </is>
      </c>
      <c r="O254">
        <f>M254=N254</f>
        <v/>
      </c>
      <c r="P254">
        <f>AND(MONTH(F254)=MONTH(S254), YEAR(F254)=YEAR(S254))</f>
        <v/>
      </c>
      <c r="Q254">
        <f>"L001-902303751"=U254</f>
        <v/>
      </c>
      <c r="R254">
        <f>G254-W254</f>
        <v/>
      </c>
      <c r="S254" s="36" t="n">
        <v>45548</v>
      </c>
      <c r="T254" t="n">
        <v>2211065</v>
      </c>
      <c r="U254" t="inlineStr">
        <is>
          <t>K009-901605081</t>
        </is>
      </c>
      <c r="V254" t="inlineStr">
        <is>
          <t>ទ្រូ ខមភែនៀន ឡូជីស្ទីក (ខេមបូឌា)</t>
        </is>
      </c>
      <c r="W254" t="n">
        <v>2211065</v>
      </c>
      <c r="X254" t="n">
        <v>0</v>
      </c>
    </row>
    <row r="255">
      <c r="A255" t="n">
        <v>254</v>
      </c>
      <c r="B255" t="inlineStr">
        <is>
          <t>Terminal Handling Charge, EMF, 3 Party Trucking, Container Imbalance Charge, D/O Fee, Document Fee and Handling Charge</t>
        </is>
      </c>
      <c r="C255" t="inlineStr">
        <is>
          <t>ខេអិលអិន ហ្វ្រេត (ខេមបូឌា) ឯ.ក</t>
        </is>
      </c>
      <c r="D255" t="inlineStr">
        <is>
          <t>L001-100074669</t>
        </is>
      </c>
      <c r="E255" t="inlineStr">
        <is>
          <t>IVO04218</t>
        </is>
      </c>
      <c r="F255" t="inlineStr">
        <is>
          <t>16-03-2024</t>
        </is>
      </c>
      <c r="G255" t="n">
        <v>124840</v>
      </c>
      <c r="I255">
        <f>G255</f>
        <v/>
      </c>
      <c r="K255">
        <f>I255-G255</f>
        <v/>
      </c>
      <c r="M255" t="inlineStr">
        <is>
          <t>IVO04218</t>
        </is>
      </c>
      <c r="N255" t="inlineStr">
        <is>
          <t>173230000</t>
        </is>
      </c>
      <c r="O255">
        <f>M255=N255</f>
        <v/>
      </c>
      <c r="P255">
        <f>AND(MONTH(F255)=MONTH(S255), YEAR(F255)=YEAR(S255))</f>
        <v/>
      </c>
      <c r="Q255">
        <f>"L001-902303751"=U255</f>
        <v/>
      </c>
      <c r="R255">
        <f>G255-W255</f>
        <v/>
      </c>
      <c r="S255" s="36" t="n">
        <v>45540</v>
      </c>
      <c r="T255" t="n">
        <v>1732300</v>
      </c>
      <c r="U255" t="inlineStr">
        <is>
          <t>K009-901605081</t>
        </is>
      </c>
      <c r="V255" t="inlineStr">
        <is>
          <t>ទ្រូ ខមភែនៀន ឡូជីស្ទីក (ខេមបូឌា)</t>
        </is>
      </c>
      <c r="W255" t="n">
        <v>1732300</v>
      </c>
      <c r="X255" t="n">
        <v>0</v>
      </c>
    </row>
    <row r="256">
      <c r="A256" t="n">
        <v>255</v>
      </c>
      <c r="B256" t="inlineStr">
        <is>
          <t>Lift-On &amp; Lift-Off and Storage Charges</t>
        </is>
      </c>
      <c r="C256" t="inlineStr">
        <is>
          <t>កំពង់ផែស្វយ័តក្រុងព្រះសីហនុ</t>
        </is>
      </c>
      <c r="D256" t="inlineStr">
        <is>
          <t>L001-100044638</t>
        </is>
      </c>
      <c r="E256" t="inlineStr">
        <is>
          <t>045058</t>
        </is>
      </c>
      <c r="F256" t="inlineStr">
        <is>
          <t>13-03-2024</t>
        </is>
      </c>
      <c r="G256" t="n">
        <v>30308</v>
      </c>
      <c r="I256">
        <f>G256</f>
        <v/>
      </c>
      <c r="K256">
        <f>I256-G256</f>
        <v/>
      </c>
      <c r="M256" t="inlineStr">
        <is>
          <t>045058</t>
        </is>
      </c>
      <c r="N256" t="inlineStr">
        <is>
          <t>10882900</t>
        </is>
      </c>
      <c r="O256">
        <f>M256=N256</f>
        <v/>
      </c>
      <c r="P256">
        <f>AND(MONTH(F256)=MONTH(S256), YEAR(F256)=YEAR(S256))</f>
        <v/>
      </c>
      <c r="Q256">
        <f>"L001-902303751"=U256</f>
        <v/>
      </c>
      <c r="R256">
        <f>G256-W256</f>
        <v/>
      </c>
      <c r="S256" s="36" t="n">
        <v>45540</v>
      </c>
      <c r="T256" t="n">
        <v>108829</v>
      </c>
      <c r="U256" t="inlineStr">
        <is>
          <t>L001-104015799</t>
        </is>
      </c>
      <c r="V256" t="inlineStr">
        <is>
          <t>យូសេន ឡូជីស្ទីក (ខេមបូឌា) ខូ អិលធីឌី</t>
        </is>
      </c>
      <c r="W256" t="n">
        <v>108829</v>
      </c>
      <c r="X256" t="n">
        <v>0</v>
      </c>
    </row>
    <row r="257">
      <c r="A257" t="n">
        <v>256</v>
      </c>
      <c r="B257" t="inlineStr">
        <is>
          <t>Customs Clearance Fee and Trucking Fee</t>
        </is>
      </c>
      <c r="C257" t="inlineStr">
        <is>
          <t>ត្រាយអ៊ែងហ្គល ឡូជីស្ទីក (ខេមបូឌា) ឯ.ក</t>
        </is>
      </c>
      <c r="D257" t="inlineStr">
        <is>
          <t>K010-902101743</t>
        </is>
      </c>
      <c r="E257" t="inlineStr">
        <is>
          <t>TAG-24-00126</t>
        </is>
      </c>
      <c r="F257" t="inlineStr">
        <is>
          <t>22-03-2024</t>
        </is>
      </c>
      <c r="G257" t="n">
        <v>68816</v>
      </c>
      <c r="I257">
        <f>G257</f>
        <v/>
      </c>
      <c r="K257">
        <f>I257-G257</f>
        <v/>
      </c>
      <c r="M257" t="inlineStr">
        <is>
          <t>TAG2400126</t>
        </is>
      </c>
      <c r="N257" t="inlineStr">
        <is>
          <t>11454000</t>
        </is>
      </c>
      <c r="O257">
        <f>M257=N257</f>
        <v/>
      </c>
      <c r="P257">
        <f>AND(MONTH(F257)=MONTH(S257), YEAR(F257)=YEAR(S257))</f>
        <v/>
      </c>
      <c r="Q257">
        <f>"L001-902303751"=U257</f>
        <v/>
      </c>
      <c r="R257">
        <f>G257-W257</f>
        <v/>
      </c>
      <c r="S257" s="36" t="n">
        <v>45222</v>
      </c>
      <c r="T257" t="n">
        <v>114540</v>
      </c>
      <c r="U257" t="inlineStr">
        <is>
          <t>K003-901635943</t>
        </is>
      </c>
      <c r="V257" t="inlineStr">
        <is>
          <t>អ៊ីឃ្យូឡាញ វើលវ៉ាយដ៍ ឡូជីស្ទីក</t>
        </is>
      </c>
      <c r="W257" t="n">
        <v>114540</v>
      </c>
      <c r="X257" t="n">
        <v>0</v>
      </c>
    </row>
    <row r="258">
      <c r="A258" t="n">
        <v>257</v>
      </c>
      <c r="B258" t="inlineStr">
        <is>
          <t>THC, EMF, 3 PARTY TRUCKING, CIC, R/O, DOC FEE and HANDLING FEE</t>
        </is>
      </c>
      <c r="C258" t="inlineStr">
        <is>
          <t>ខេអិលអិន ហ្វ្រេត (ខេមបូឌា) ឯ.ក</t>
        </is>
      </c>
      <c r="D258" t="inlineStr">
        <is>
          <t>L001-100074669</t>
        </is>
      </c>
      <c r="E258" t="inlineStr">
        <is>
          <t>IVO04221</t>
        </is>
      </c>
      <c r="F258" t="inlineStr">
        <is>
          <t>16-03-2024</t>
        </is>
      </c>
      <c r="G258" t="n">
        <v>89866</v>
      </c>
      <c r="I258">
        <f>G258</f>
        <v/>
      </c>
      <c r="K258">
        <f>I258-G258</f>
        <v/>
      </c>
      <c r="M258" t="inlineStr">
        <is>
          <t>IVO04221</t>
        </is>
      </c>
      <c r="N258" t="inlineStr">
        <is>
          <t>11437300</t>
        </is>
      </c>
      <c r="O258">
        <f>M258=N258</f>
        <v/>
      </c>
      <c r="P258">
        <f>AND(MONTH(F258)=MONTH(S258), YEAR(F258)=YEAR(S258))</f>
        <v/>
      </c>
      <c r="Q258">
        <f>"L001-902303751"=U258</f>
        <v/>
      </c>
      <c r="R258">
        <f>G258-W258</f>
        <v/>
      </c>
      <c r="S258" s="36" t="n">
        <v>45215</v>
      </c>
      <c r="T258" t="n">
        <v>114373</v>
      </c>
      <c r="U258" t="inlineStr">
        <is>
          <t>K003-901635943</t>
        </is>
      </c>
      <c r="V258" t="inlineStr">
        <is>
          <t>អ៊ីឃ្យូឡាញ វើលវ៉ាយដ៍ ឡូជីស្ទីក</t>
        </is>
      </c>
      <c r="W258" t="n">
        <v>114373</v>
      </c>
      <c r="X258" t="n">
        <v>0</v>
      </c>
    </row>
    <row r="259">
      <c r="A259" t="n">
        <v>258</v>
      </c>
      <c r="B259" t="inlineStr">
        <is>
          <t>Customs Clearance Fee</t>
        </is>
      </c>
      <c r="C259" t="inlineStr">
        <is>
          <t>ត្រាយអ៊ែងហ្គល ឡូជីស្ទីក (ខេមបូឌា) ឯ.ក</t>
        </is>
      </c>
      <c r="D259" t="inlineStr">
        <is>
          <t>K010-902101743</t>
        </is>
      </c>
      <c r="E259" t="inlineStr">
        <is>
          <t>TAG-24-00124</t>
        </is>
      </c>
      <c r="F259" t="inlineStr">
        <is>
          <t>22-03-2024</t>
        </is>
      </c>
      <c r="G259" t="n">
        <v>8096</v>
      </c>
      <c r="I259">
        <f>G259</f>
        <v/>
      </c>
      <c r="K259">
        <f>I259-G259</f>
        <v/>
      </c>
      <c r="M259" t="inlineStr">
        <is>
          <t>TAG2400124</t>
        </is>
      </c>
      <c r="N259" t="inlineStr"/>
      <c r="O259">
        <f>M259=N259</f>
        <v/>
      </c>
      <c r="P259">
        <f>AND(MONTH(F259)=MONTH(S259), YEAR(F259)=YEAR(S259))</f>
        <v/>
      </c>
      <c r="Q259">
        <f>"L001-902303751"=U259</f>
        <v/>
      </c>
      <c r="R259">
        <f>G259-W259</f>
        <v/>
      </c>
      <c r="S259" s="36" t="n">
        <v>45201</v>
      </c>
      <c r="T259" t="inlineStr"/>
      <c r="U259" t="inlineStr">
        <is>
          <t>K003-901635943</t>
        </is>
      </c>
      <c r="V259" t="inlineStr">
        <is>
          <t>អ៊ីឃ្យូឡាញ វើលវ៉ាយដ៍ ឡូជីស្ទីក</t>
        </is>
      </c>
      <c r="W259" t="n">
        <v>0</v>
      </c>
      <c r="X259" t="n">
        <v>0</v>
      </c>
    </row>
    <row r="260">
      <c r="A260" t="n">
        <v>259</v>
      </c>
      <c r="B260" t="inlineStr">
        <is>
          <t>Document Fee and Agency Fee</t>
        </is>
      </c>
      <c r="C260" t="inlineStr">
        <is>
          <t>ត្រាយអ៊ែងហ្គល ឡូជីស្ទីក (ខេមបូឌា) ឯ.ក</t>
        </is>
      </c>
      <c r="D260" t="inlineStr">
        <is>
          <t>K010-902101743</t>
        </is>
      </c>
      <c r="E260" t="inlineStr">
        <is>
          <t>TAG-24-00082</t>
        </is>
      </c>
      <c r="F260" t="inlineStr">
        <is>
          <t>04-03-2024</t>
        </is>
      </c>
      <c r="G260" t="n">
        <v>32536</v>
      </c>
      <c r="I260">
        <f>G260</f>
        <v/>
      </c>
      <c r="K260">
        <f>I260-G260</f>
        <v/>
      </c>
      <c r="M260" t="inlineStr">
        <is>
          <t>TAG2400082</t>
        </is>
      </c>
      <c r="N260" t="inlineStr">
        <is>
          <t>19044000</t>
        </is>
      </c>
      <c r="O260">
        <f>M260=N260</f>
        <v/>
      </c>
      <c r="P260">
        <f>AND(MONTH(F260)=MONTH(S260), YEAR(F260)=YEAR(S260))</f>
        <v/>
      </c>
      <c r="Q260">
        <f>"L001-902303751"=U260</f>
        <v/>
      </c>
      <c r="R260">
        <f>G260-W260</f>
        <v/>
      </c>
      <c r="S260" s="36" t="n">
        <v>45225</v>
      </c>
      <c r="T260" t="n">
        <v>190440</v>
      </c>
      <c r="U260" t="inlineStr">
        <is>
          <t>K009-901605081</t>
        </is>
      </c>
      <c r="V260" t="inlineStr">
        <is>
          <t>ទ្រូ ខមភែនៀន ឡូជីស្ទីក (ខេមបូឌា)</t>
        </is>
      </c>
      <c r="W260" t="n">
        <v>190440</v>
      </c>
      <c r="X260" t="n">
        <v>0</v>
      </c>
    </row>
    <row r="261">
      <c r="A261" t="n">
        <v>260</v>
      </c>
      <c r="B261" t="inlineStr">
        <is>
          <t>Cargo Terminal</t>
        </is>
      </c>
      <c r="C261" t="inlineStr">
        <is>
          <t>សូស៊ីយេតេ កុងសេស្យូនែរ ដឺ ឡាអេរ៉ូព័រ</t>
        </is>
      </c>
      <c r="D261" t="inlineStr">
        <is>
          <t>L001-100047300</t>
        </is>
      </c>
      <c r="E261" t="inlineStr">
        <is>
          <t>2400-015025</t>
        </is>
      </c>
      <c r="F261" t="inlineStr">
        <is>
          <t>04-03-2024</t>
        </is>
      </c>
      <c r="G261" t="n">
        <v>10315</v>
      </c>
      <c r="I261">
        <f>G261</f>
        <v/>
      </c>
      <c r="K261">
        <f>I261-G261</f>
        <v/>
      </c>
      <c r="M261" t="inlineStr">
        <is>
          <t>2400015025</t>
        </is>
      </c>
      <c r="N261" t="inlineStr">
        <is>
          <t>18998000</t>
        </is>
      </c>
      <c r="O261">
        <f>M261=N261</f>
        <v/>
      </c>
      <c r="P261">
        <f>AND(MONTH(F261)=MONTH(S261), YEAR(F261)=YEAR(S261))</f>
        <v/>
      </c>
      <c r="Q261">
        <f>"L001-902303751"=U261</f>
        <v/>
      </c>
      <c r="R261">
        <f>G261-W261</f>
        <v/>
      </c>
      <c r="S261" s="36" t="n">
        <v>45208</v>
      </c>
      <c r="T261" t="n">
        <v>189980</v>
      </c>
      <c r="U261" t="inlineStr">
        <is>
          <t>K009-901605081</t>
        </is>
      </c>
      <c r="V261" t="inlineStr">
        <is>
          <t>ទ្រូ ខមភែនៀន ឡូជីស្ទីក (ខេមបូឌា)</t>
        </is>
      </c>
      <c r="W261" t="n">
        <v>189980</v>
      </c>
      <c r="X261" t="n">
        <v>0</v>
      </c>
    </row>
    <row r="262">
      <c r="A262" t="n">
        <v>261</v>
      </c>
      <c r="B262" t="inlineStr">
        <is>
          <t>Customs Clearance Fee and Trucking Fee</t>
        </is>
      </c>
      <c r="C262" t="inlineStr">
        <is>
          <t>ត្រាយអ៊ែងហ្គល ឡូជីស្ទីក (ខេមបូឌា) ឯ.ក</t>
        </is>
      </c>
      <c r="D262" t="inlineStr">
        <is>
          <t>K010-902101743</t>
        </is>
      </c>
      <c r="E262" t="inlineStr">
        <is>
          <t>TAG-24-00086</t>
        </is>
      </c>
      <c r="F262" t="inlineStr">
        <is>
          <t>05-03-2024</t>
        </is>
      </c>
      <c r="G262" t="n">
        <v>28448</v>
      </c>
      <c r="I262">
        <f>G262</f>
        <v/>
      </c>
      <c r="K262">
        <f>I262-G262</f>
        <v/>
      </c>
      <c r="M262" t="inlineStr">
        <is>
          <t>TAG2400086</t>
        </is>
      </c>
      <c r="N262" t="inlineStr">
        <is>
          <t>224703500</t>
        </is>
      </c>
      <c r="O262">
        <f>M262=N262</f>
        <v/>
      </c>
      <c r="P262">
        <f>AND(MONTH(F262)=MONTH(S262), YEAR(F262)=YEAR(S262))</f>
        <v/>
      </c>
      <c r="Q262">
        <f>"L001-902303751"=U262</f>
        <v/>
      </c>
      <c r="R262">
        <f>G262-W262</f>
        <v/>
      </c>
      <c r="S262" s="36" t="n">
        <v>45201</v>
      </c>
      <c r="T262" t="n">
        <v>2247035</v>
      </c>
      <c r="U262" t="inlineStr">
        <is>
          <t>K009-901605081</t>
        </is>
      </c>
      <c r="V262" t="inlineStr">
        <is>
          <t>ទ្រូ ខមភែនៀន ឡូជីស្ទីក (ខេមបូឌា)</t>
        </is>
      </c>
      <c r="W262" t="n">
        <v>2247035</v>
      </c>
      <c r="X262" t="n">
        <v>0</v>
      </c>
    </row>
    <row r="263">
      <c r="A263" t="n">
        <v>262</v>
      </c>
      <c r="B263" t="inlineStr">
        <is>
          <t>Customs Clearance Fee and Agency Fee</t>
        </is>
      </c>
      <c r="C263" t="inlineStr">
        <is>
          <t>ត្រាយអ៊ែងហ្គល ឡូជីស្ទីក (ខេមបូឌា) ឯ.ក</t>
        </is>
      </c>
      <c r="D263" t="inlineStr">
        <is>
          <t>K010-902101743</t>
        </is>
      </c>
      <c r="E263" t="inlineStr">
        <is>
          <t>TAG-24-00081</t>
        </is>
      </c>
      <c r="F263" t="inlineStr">
        <is>
          <t>04-03-2024</t>
        </is>
      </c>
      <c r="G263" t="n">
        <v>32536</v>
      </c>
      <c r="I263">
        <f>G263</f>
        <v/>
      </c>
      <c r="K263">
        <f>I263-G263</f>
        <v/>
      </c>
      <c r="M263" t="inlineStr">
        <is>
          <t>TAG2400081</t>
        </is>
      </c>
      <c r="N263" t="inlineStr">
        <is>
          <t>225139500</t>
        </is>
      </c>
      <c r="O263">
        <f>M263=N263</f>
        <v/>
      </c>
      <c r="P263">
        <f>AND(MONTH(F263)=MONTH(S263), YEAR(F263)=YEAR(S263))</f>
        <v/>
      </c>
      <c r="Q263">
        <f>"L001-902303751"=U263</f>
        <v/>
      </c>
      <c r="R263">
        <f>G263-W263</f>
        <v/>
      </c>
      <c r="S263" s="36" t="n">
        <v>45210</v>
      </c>
      <c r="T263" t="n">
        <v>2251395</v>
      </c>
      <c r="U263" t="inlineStr">
        <is>
          <t>K009-901605081</t>
        </is>
      </c>
      <c r="V263" t="inlineStr">
        <is>
          <t>ទ្រូ ខមភែនៀន ឡូជីស្ទីក (ខេមបូឌា)</t>
        </is>
      </c>
      <c r="W263" t="n">
        <v>2251395</v>
      </c>
      <c r="X263" t="n">
        <v>0</v>
      </c>
    </row>
    <row r="264">
      <c r="A264" t="n">
        <v>263</v>
      </c>
      <c r="B264" t="inlineStr">
        <is>
          <t>Cargo Terminal</t>
        </is>
      </c>
      <c r="C264" t="inlineStr">
        <is>
          <t>សូស៊ីយេតេ កុងសេស្យូនែរ ដឺ ឡាអេរ៉ូព័រ</t>
        </is>
      </c>
      <c r="D264" t="inlineStr">
        <is>
          <t>L001-100047300</t>
        </is>
      </c>
      <c r="E264" t="inlineStr">
        <is>
          <t>2400-015024</t>
        </is>
      </c>
      <c r="F264" t="inlineStr">
        <is>
          <t>04-03-2024</t>
        </is>
      </c>
      <c r="G264" t="n">
        <v>10249</v>
      </c>
      <c r="I264">
        <f>G264</f>
        <v/>
      </c>
      <c r="K264">
        <f>I264-G264</f>
        <v/>
      </c>
      <c r="M264" t="inlineStr">
        <is>
          <t>2400015024</t>
        </is>
      </c>
      <c r="N264" t="inlineStr">
        <is>
          <t>113575000</t>
        </is>
      </c>
      <c r="O264">
        <f>M264=N264</f>
        <v/>
      </c>
      <c r="P264">
        <f>AND(MONTH(F264)=MONTH(S264), YEAR(F264)=YEAR(S264))</f>
        <v/>
      </c>
      <c r="Q264">
        <f>"L001-902303751"=U264</f>
        <v/>
      </c>
      <c r="R264">
        <f>G264-W264</f>
        <v/>
      </c>
      <c r="S264" s="36" t="n">
        <v>45208</v>
      </c>
      <c r="T264" t="n">
        <v>1135750</v>
      </c>
      <c r="U264" t="inlineStr">
        <is>
          <t>K009-901605081</t>
        </is>
      </c>
      <c r="V264" t="inlineStr">
        <is>
          <t>ទ្រូ ខមភែនៀន ឡូជីស្ទីក (ខេមបូឌា)</t>
        </is>
      </c>
      <c r="W264" t="n">
        <v>1135750</v>
      </c>
      <c r="X264" t="n">
        <v>0</v>
      </c>
    </row>
    <row r="265">
      <c r="A265" t="n">
        <v>264</v>
      </c>
      <c r="B265" t="inlineStr">
        <is>
          <t>Customs Clearance Fee and Trucking Fee</t>
        </is>
      </c>
      <c r="C265" t="inlineStr">
        <is>
          <t>ត្រាយអ៊ែងហ្គល ឡូជីស្ទីក (ខេមបូឌា) ឯ.ក</t>
        </is>
      </c>
      <c r="D265" t="inlineStr">
        <is>
          <t>K010-902101743</t>
        </is>
      </c>
      <c r="E265" t="inlineStr">
        <is>
          <t>TAG-24-00087</t>
        </is>
      </c>
      <c r="F265" t="inlineStr">
        <is>
          <t>05-03-2024</t>
        </is>
      </c>
      <c r="G265" t="n">
        <v>28448</v>
      </c>
      <c r="I265">
        <f>G265</f>
        <v/>
      </c>
      <c r="K265">
        <f>I265-G265</f>
        <v/>
      </c>
      <c r="M265" t="inlineStr">
        <is>
          <t>TAG2400087</t>
        </is>
      </c>
      <c r="N265" t="inlineStr">
        <is>
          <t>11420700</t>
        </is>
      </c>
      <c r="O265">
        <f>M265=N265</f>
        <v/>
      </c>
      <c r="P265">
        <f>AND(MONTH(F265)=MONTH(S265), YEAR(F265)=YEAR(S265))</f>
        <v/>
      </c>
      <c r="Q265">
        <f>"L001-902303751"=U265</f>
        <v/>
      </c>
      <c r="R265">
        <f>G265-W265</f>
        <v/>
      </c>
      <c r="S265" s="36" t="n">
        <v>45201</v>
      </c>
      <c r="T265" t="n">
        <v>114207</v>
      </c>
      <c r="U265" t="inlineStr">
        <is>
          <t>K003-901635943</t>
        </is>
      </c>
      <c r="V265" t="inlineStr">
        <is>
          <t>អ៊ីឃ្យូឡាញ វើលវ៉ាយដ៍ ឡូជីស្ទីក</t>
        </is>
      </c>
      <c r="W265" t="n">
        <v>114207</v>
      </c>
      <c r="X265" t="n">
        <v>0</v>
      </c>
    </row>
    <row r="266">
      <c r="A266" t="n">
        <v>265</v>
      </c>
      <c r="B266" t="inlineStr">
        <is>
          <t>Storage Charge</t>
        </is>
      </c>
      <c r="C266" t="inlineStr">
        <is>
          <t>ហាន​ &amp; ជុន ត្រេនស្ព័ត ខូ អិលធីឌី</t>
        </is>
      </c>
      <c r="D266" t="inlineStr">
        <is>
          <t>L001-104016647</t>
        </is>
      </c>
      <c r="E266" t="inlineStr">
        <is>
          <t>HJ24-0679</t>
        </is>
      </c>
      <c r="F266" t="inlineStr">
        <is>
          <t>04-03-2024</t>
        </is>
      </c>
      <c r="G266" t="n">
        <v>2618</v>
      </c>
      <c r="I266">
        <f>G266</f>
        <v/>
      </c>
      <c r="K266">
        <f>I266-G266</f>
        <v/>
      </c>
      <c r="M266" t="inlineStr">
        <is>
          <t>HJ240679</t>
        </is>
      </c>
      <c r="N266" t="inlineStr"/>
      <c r="O266">
        <f>M266=N266</f>
        <v/>
      </c>
      <c r="P266">
        <f>AND(MONTH(F266)=MONTH(S266), YEAR(F266)=YEAR(S266))</f>
        <v/>
      </c>
      <c r="Q266">
        <f>"L001-902303751"=U266</f>
        <v/>
      </c>
      <c r="R266">
        <f>G266-W266</f>
        <v/>
      </c>
      <c r="S266" s="36" t="n">
        <v>45222</v>
      </c>
      <c r="T266" t="inlineStr"/>
      <c r="U266" t="inlineStr">
        <is>
          <t>K003-901635943</t>
        </is>
      </c>
      <c r="V266" t="inlineStr">
        <is>
          <t>អ៊ីឃ្យូឡាញ វើលវ៉ាយដ៍ ឡូជីស្ទីក</t>
        </is>
      </c>
      <c r="W266" t="n">
        <v>0</v>
      </c>
      <c r="X266" t="n">
        <v>0</v>
      </c>
    </row>
    <row r="267">
      <c r="A267" t="n">
        <v>266</v>
      </c>
      <c r="B267" t="inlineStr">
        <is>
          <t>Warehouse Fee</t>
        </is>
      </c>
      <c r="C267" t="inlineStr">
        <is>
          <t>ហាន​ &amp; ជុន ត្រេនស្ព័ត ខូ អិលធីឌី</t>
        </is>
      </c>
      <c r="D267" t="inlineStr">
        <is>
          <t>L001-104016647</t>
        </is>
      </c>
      <c r="E267" t="inlineStr">
        <is>
          <t>HJ24-0609</t>
        </is>
      </c>
      <c r="F267" t="inlineStr">
        <is>
          <t>04-03-2024</t>
        </is>
      </c>
      <c r="G267" t="n">
        <v>5823</v>
      </c>
      <c r="I267">
        <f>G267</f>
        <v/>
      </c>
      <c r="K267">
        <f>I267-G267</f>
        <v/>
      </c>
      <c r="M267" t="inlineStr">
        <is>
          <t>HJ240609</t>
        </is>
      </c>
      <c r="N267" t="inlineStr">
        <is>
          <t>1655600</t>
        </is>
      </c>
      <c r="O267">
        <f>M267=N267</f>
        <v/>
      </c>
      <c r="P267">
        <f>AND(MONTH(F267)=MONTH(S267), YEAR(F267)=YEAR(S267))</f>
        <v/>
      </c>
      <c r="Q267">
        <f>"L001-902303751"=U267</f>
        <v/>
      </c>
      <c r="R267">
        <f>G267-W267</f>
        <v/>
      </c>
      <c r="S267" s="36" t="n">
        <v>45224</v>
      </c>
      <c r="T267" t="n">
        <v>16556</v>
      </c>
      <c r="U267" t="inlineStr">
        <is>
          <t>K009-901605081</t>
        </is>
      </c>
      <c r="V267" t="inlineStr">
        <is>
          <t>ទ្រូ ខមភែនៀន ឡូជីស្ទីក (ខេមបូឌា)</t>
        </is>
      </c>
      <c r="W267" t="n">
        <v>16556</v>
      </c>
      <c r="X267" t="n">
        <v>0</v>
      </c>
    </row>
    <row r="268">
      <c r="A268" t="n">
        <v>267</v>
      </c>
      <c r="B268" t="inlineStr">
        <is>
          <t>Customs Clearance Fee and Trucking Fee</t>
        </is>
      </c>
      <c r="C268" t="inlineStr">
        <is>
          <t>ត្រាយអ៊ែងហ្គល ឡូជីស្ទីក (ខេមបូឌា) ឯ.ក</t>
        </is>
      </c>
      <c r="D268" t="inlineStr">
        <is>
          <t>K010-902101743</t>
        </is>
      </c>
      <c r="E268" t="inlineStr">
        <is>
          <t>TAG-24-00118</t>
        </is>
      </c>
      <c r="F268" t="inlineStr">
        <is>
          <t>22-03-2024</t>
        </is>
      </c>
      <c r="G268" t="n">
        <v>28336</v>
      </c>
      <c r="I268">
        <f>G268</f>
        <v/>
      </c>
      <c r="K268">
        <f>I268-G268</f>
        <v/>
      </c>
      <c r="M268" t="inlineStr">
        <is>
          <t>TAG2400118</t>
        </is>
      </c>
      <c r="N268" t="inlineStr">
        <is>
          <t>18965800</t>
        </is>
      </c>
      <c r="O268">
        <f>M268=N268</f>
        <v/>
      </c>
      <c r="P268">
        <f>AND(MONTH(F268)=MONTH(S268), YEAR(F268)=YEAR(S268))</f>
        <v/>
      </c>
      <c r="Q268">
        <f>"L001-902303751"=U268</f>
        <v/>
      </c>
      <c r="R268">
        <f>G268-W268</f>
        <v/>
      </c>
      <c r="S268" s="36" t="n">
        <v>45201</v>
      </c>
      <c r="T268" t="n">
        <v>189658</v>
      </c>
      <c r="U268" t="inlineStr">
        <is>
          <t>K009-901605081</t>
        </is>
      </c>
      <c r="V268" t="inlineStr">
        <is>
          <t>ទ្រូ ខមភែនៀន ឡូជីស្ទីក (ខេមបូឌា)</t>
        </is>
      </c>
      <c r="W268" t="n">
        <v>189658</v>
      </c>
      <c r="X268" t="n">
        <v>0</v>
      </c>
    </row>
    <row r="269">
      <c r="A269" t="n">
        <v>268</v>
      </c>
      <c r="B269" t="inlineStr">
        <is>
          <t>THC Fee, CFS Fee, Scan Fee, Border Gate Fee, Docs Fee, Agency Fee and D/O Fee</t>
        </is>
      </c>
      <c r="C269" t="inlineStr">
        <is>
          <t>អូរៀនថល ឡូជីស្ទីក &amp; ឌីស្ទ្រីប៊្យូសិន (ខេមបូឌា)</t>
        </is>
      </c>
      <c r="D269" t="inlineStr">
        <is>
          <t>L001-103007369</t>
        </is>
      </c>
      <c r="E269" t="inlineStr">
        <is>
          <t>24-1961</t>
        </is>
      </c>
      <c r="F269" t="inlineStr">
        <is>
          <t>01-03-2024</t>
        </is>
      </c>
      <c r="G269" t="n">
        <v>79103</v>
      </c>
      <c r="I269">
        <f>G269</f>
        <v/>
      </c>
      <c r="K269">
        <f>I269-G269</f>
        <v/>
      </c>
      <c r="M269" t="inlineStr">
        <is>
          <t>241961</t>
        </is>
      </c>
      <c r="N269" t="inlineStr">
        <is>
          <t>20850500</t>
        </is>
      </c>
      <c r="O269">
        <f>M269=N269</f>
        <v/>
      </c>
      <c r="P269">
        <f>AND(MONTH(F269)=MONTH(S269), YEAR(F269)=YEAR(S269))</f>
        <v/>
      </c>
      <c r="Q269">
        <f>"L001-902303751"=U269</f>
        <v/>
      </c>
      <c r="R269">
        <f>G269-W269</f>
        <v/>
      </c>
      <c r="S269" s="36" t="n">
        <v>45229</v>
      </c>
      <c r="T269" t="n">
        <v>208505</v>
      </c>
      <c r="U269" t="inlineStr">
        <is>
          <t>K003-901635943</t>
        </is>
      </c>
      <c r="V269" t="inlineStr">
        <is>
          <t>អ៊ីឃ្យូឡាញ វើលវ៉ាយដ៍ ឡូជីស្ទីក</t>
        </is>
      </c>
      <c r="W269" t="n">
        <v>208505</v>
      </c>
      <c r="X269" t="n">
        <v>0</v>
      </c>
    </row>
    <row r="270">
      <c r="A270" t="n">
        <v>269</v>
      </c>
      <c r="B270" t="inlineStr">
        <is>
          <t>THC, EMC. EIB, Doc Fee and HANDLING CHARGE</t>
        </is>
      </c>
      <c r="C270" t="inlineStr">
        <is>
          <t>អ.អិន.វ៉ាយ ត្រេនស្ព័ត</t>
        </is>
      </c>
      <c r="D270" t="inlineStr">
        <is>
          <t>L001-901500191</t>
        </is>
      </c>
      <c r="E270" t="inlineStr">
        <is>
          <t>T241506</t>
        </is>
      </c>
      <c r="F270" t="inlineStr">
        <is>
          <t>09-03-2024</t>
        </is>
      </c>
      <c r="G270" t="n">
        <v>148117</v>
      </c>
      <c r="I270">
        <f>G270</f>
        <v/>
      </c>
      <c r="K270">
        <f>I270-G270</f>
        <v/>
      </c>
      <c r="M270" t="inlineStr">
        <is>
          <t>T241506</t>
        </is>
      </c>
      <c r="N270" t="inlineStr">
        <is>
          <t>9499000</t>
        </is>
      </c>
      <c r="O270">
        <f>M270=N270</f>
        <v/>
      </c>
      <c r="P270">
        <f>AND(MONTH(F270)=MONTH(S270), YEAR(F270)=YEAR(S270))</f>
        <v/>
      </c>
      <c r="Q270">
        <f>"L001-902303751"=U270</f>
        <v/>
      </c>
      <c r="R270">
        <f>G270-W270</f>
        <v/>
      </c>
      <c r="S270" s="36" t="n">
        <v>45208</v>
      </c>
      <c r="T270" t="n">
        <v>94990</v>
      </c>
      <c r="U270" t="inlineStr">
        <is>
          <t>K009-901605081</t>
        </is>
      </c>
      <c r="V270" t="inlineStr">
        <is>
          <t>ទ្រូ ខមភែនៀន ឡូជីស្ទីក (ខេមបូឌា)</t>
        </is>
      </c>
      <c r="W270" t="n">
        <v>94990</v>
      </c>
      <c r="X270" t="n">
        <v>0</v>
      </c>
    </row>
    <row r="271">
      <c r="A271" t="n">
        <v>270</v>
      </c>
      <c r="B271" t="inlineStr">
        <is>
          <t>Lift-On &amp; Lift-Off</t>
        </is>
      </c>
      <c r="C271" t="inlineStr">
        <is>
          <t>កំពង់ផែស្វយ័តក្រុងព្រះសីហនុ</t>
        </is>
      </c>
      <c r="D271" t="inlineStr">
        <is>
          <t>L001-100044638</t>
        </is>
      </c>
      <c r="E271" t="inlineStr">
        <is>
          <t>043912</t>
        </is>
      </c>
      <c r="F271" t="inlineStr">
        <is>
          <t>11-03-2024</t>
        </is>
      </c>
      <c r="G271" t="n">
        <v>35279</v>
      </c>
      <c r="I271">
        <f>G271</f>
        <v/>
      </c>
      <c r="K271">
        <f>I271-G271</f>
        <v/>
      </c>
      <c r="M271" t="inlineStr">
        <is>
          <t>043912</t>
        </is>
      </c>
      <c r="N271" t="inlineStr">
        <is>
          <t>224703500</t>
        </is>
      </c>
      <c r="O271">
        <f>M271=N271</f>
        <v/>
      </c>
      <c r="P271">
        <f>AND(MONTH(F271)=MONTH(S271), YEAR(F271)=YEAR(S271))</f>
        <v/>
      </c>
      <c r="Q271">
        <f>"L001-902303751"=U271</f>
        <v/>
      </c>
      <c r="R271">
        <f>G271-W271</f>
        <v/>
      </c>
      <c r="S271" s="36" t="n">
        <v>45201</v>
      </c>
      <c r="T271" t="n">
        <v>2247035</v>
      </c>
      <c r="U271" t="inlineStr">
        <is>
          <t>K009-901605081</t>
        </is>
      </c>
      <c r="V271" t="inlineStr">
        <is>
          <t>ទ្រូ ខមភែនៀន ឡូជីស្ទីក (ខេមបូឌា)</t>
        </is>
      </c>
      <c r="W271" t="n">
        <v>2247035</v>
      </c>
      <c r="X271" t="n">
        <v>0</v>
      </c>
    </row>
    <row r="272">
      <c r="A272" t="n">
        <v>271</v>
      </c>
      <c r="B272" t="inlineStr">
        <is>
          <t>Customs Clearance Fee and Trucking Fee</t>
        </is>
      </c>
      <c r="C272" t="inlineStr">
        <is>
          <t>ត្រាយអ៊ែងហ្គល ឡូជីស្ទីក (ខេមបូឌា) ឯ.ក</t>
        </is>
      </c>
      <c r="D272" t="inlineStr">
        <is>
          <t>K010-902101743</t>
        </is>
      </c>
      <c r="E272" t="inlineStr">
        <is>
          <t>TAG-24-00102</t>
        </is>
      </c>
      <c r="F272" t="inlineStr">
        <is>
          <t>11-03-2024</t>
        </is>
      </c>
      <c r="G272" t="n">
        <v>109485</v>
      </c>
      <c r="I272">
        <f>G272</f>
        <v/>
      </c>
      <c r="K272">
        <f>I272-G272</f>
        <v/>
      </c>
      <c r="M272" t="inlineStr">
        <is>
          <t>TAG2400102</t>
        </is>
      </c>
      <c r="N272" t="inlineStr"/>
      <c r="O272">
        <f>M272=N272</f>
        <v/>
      </c>
      <c r="P272">
        <f>AND(MONTH(F272)=MONTH(S272), YEAR(F272)=YEAR(S272))</f>
        <v/>
      </c>
      <c r="Q272">
        <f>"L001-902303751"=U272</f>
        <v/>
      </c>
      <c r="R272">
        <f>G272-W272</f>
        <v/>
      </c>
      <c r="S272" s="36" t="n">
        <v>45229</v>
      </c>
      <c r="T272" t="inlineStr"/>
      <c r="U272" t="inlineStr">
        <is>
          <t>K003-901635943</t>
        </is>
      </c>
      <c r="V272" t="inlineStr">
        <is>
          <t>អ៊ីឃ្យូឡាញ វើលវ៉ាយដ៍ ឡូជីស្ទីក</t>
        </is>
      </c>
      <c r="W272" t="n">
        <v>0</v>
      </c>
      <c r="X272" t="n">
        <v>0</v>
      </c>
    </row>
    <row r="273">
      <c r="A273" t="n">
        <v>272</v>
      </c>
      <c r="B273" t="inlineStr">
        <is>
          <t>Customs Clearance Fee</t>
        </is>
      </c>
      <c r="C273" t="inlineStr">
        <is>
          <t>ត្រាយអ៊ែងហ្គល ឡូជីស្ទីក (ខេមបូឌា) ឯ.ក</t>
        </is>
      </c>
      <c r="D273" t="inlineStr">
        <is>
          <t>K010-902101743</t>
        </is>
      </c>
      <c r="E273" t="inlineStr">
        <is>
          <t>TAG-24-00079</t>
        </is>
      </c>
      <c r="F273" t="inlineStr">
        <is>
          <t>01-03-2024</t>
        </is>
      </c>
      <c r="G273" t="n">
        <v>8134</v>
      </c>
      <c r="I273">
        <f>G273</f>
        <v/>
      </c>
      <c r="K273">
        <f>I273-G273</f>
        <v/>
      </c>
      <c r="M273" t="inlineStr">
        <is>
          <t>TAG2400079</t>
        </is>
      </c>
      <c r="N273" t="inlineStr">
        <is>
          <t>14045400</t>
        </is>
      </c>
      <c r="O273">
        <f>M273=N273</f>
        <v/>
      </c>
      <c r="P273">
        <f>AND(MONTH(F273)=MONTH(S273), YEAR(F273)=YEAR(S273))</f>
        <v/>
      </c>
      <c r="Q273">
        <f>"L001-902303751"=U273</f>
        <v/>
      </c>
      <c r="R273">
        <f>G273-W273</f>
        <v/>
      </c>
      <c r="S273" s="36" t="n">
        <v>45210</v>
      </c>
      <c r="T273" t="n">
        <v>140454</v>
      </c>
      <c r="U273" t="inlineStr">
        <is>
          <t>L001-107032791</t>
        </is>
      </c>
      <c r="V273" t="inlineStr">
        <is>
          <t>នីបផន អិចប្រេស (ខេមបូឌា) ខូ អិលធីឌី</t>
        </is>
      </c>
      <c r="W273" t="n">
        <v>140454</v>
      </c>
      <c r="X273" t="n">
        <v>0</v>
      </c>
    </row>
    <row r="274">
      <c r="A274" t="n">
        <v>273</v>
      </c>
      <c r="B274" t="inlineStr">
        <is>
          <t>THC, SCAN FEE, LCL CHARGES, TOLL FEE, CONTAINER IMBALANCE CHARGE, LOW SULPHUR FUEL SURCHARGE, DOCUMENTATION, DELIVERY ORDER FEE, AGENCY FEE and CLEAN CONTAINER FEE</t>
        </is>
      </c>
      <c r="C274" t="inlineStr">
        <is>
          <t>ភើហ្វីក ណេតវើក ស៊ីបភីង ឯ.ក</t>
        </is>
      </c>
      <c r="D274" t="inlineStr">
        <is>
          <t>K009-901802143</t>
        </is>
      </c>
      <c r="E274" t="inlineStr">
        <is>
          <t>PNS24/00291</t>
        </is>
      </c>
      <c r="F274" t="inlineStr">
        <is>
          <t>01-03-2024</t>
        </is>
      </c>
      <c r="G274" t="n">
        <v>74019</v>
      </c>
      <c r="I274">
        <f>G274</f>
        <v/>
      </c>
      <c r="K274">
        <f>I274-G274</f>
        <v/>
      </c>
      <c r="M274" t="inlineStr">
        <is>
          <t>PNS2400291</t>
        </is>
      </c>
      <c r="N274" t="inlineStr">
        <is>
          <t>225085000</t>
        </is>
      </c>
      <c r="O274">
        <f>M274=N274</f>
        <v/>
      </c>
      <c r="P274">
        <f>AND(MONTH(F274)=MONTH(S274), YEAR(F274)=YEAR(S274))</f>
        <v/>
      </c>
      <c r="Q274">
        <f>"L001-902303751"=U274</f>
        <v/>
      </c>
      <c r="R274">
        <f>G274-W274</f>
        <v/>
      </c>
      <c r="S274" s="36" t="n">
        <v>45208</v>
      </c>
      <c r="T274" t="n">
        <v>2250850</v>
      </c>
      <c r="U274" t="inlineStr">
        <is>
          <t>K009-901605081</t>
        </is>
      </c>
      <c r="V274" t="inlineStr">
        <is>
          <t>ទ្រូ ខមភែនៀន ឡូជីស្ទីក (ខេមបូឌា)</t>
        </is>
      </c>
      <c r="W274" t="n">
        <v>2250850</v>
      </c>
      <c r="X274" t="n">
        <v>0</v>
      </c>
    </row>
    <row r="275">
      <c r="A275" t="n">
        <v>274</v>
      </c>
      <c r="B275" t="inlineStr">
        <is>
          <t>Charge from Warehouse/cy to trucks</t>
        </is>
      </c>
      <c r="C275" t="inlineStr">
        <is>
          <t>កំពង់ផែស្វយ័តក្រុងព្រះសីហនុ</t>
        </is>
      </c>
      <c r="D275" t="inlineStr">
        <is>
          <t>L001-100044638</t>
        </is>
      </c>
      <c r="E275" t="inlineStr">
        <is>
          <t>051170</t>
        </is>
      </c>
      <c r="F275" t="inlineStr">
        <is>
          <t>21-03-2024</t>
        </is>
      </c>
      <c r="G275" t="n">
        <v>618</v>
      </c>
      <c r="I275">
        <f>G275</f>
        <v/>
      </c>
      <c r="K275">
        <f>I275-G275</f>
        <v/>
      </c>
      <c r="M275" t="inlineStr">
        <is>
          <t>051170</t>
        </is>
      </c>
      <c r="N275" t="inlineStr"/>
      <c r="O275">
        <f>M275=N275</f>
        <v/>
      </c>
      <c r="P275">
        <f>AND(MONTH(F275)=MONTH(S275), YEAR(F275)=YEAR(S275))</f>
        <v/>
      </c>
      <c r="Q275">
        <f>"L001-902303751"=U275</f>
        <v/>
      </c>
      <c r="R275">
        <f>G275-W275</f>
        <v/>
      </c>
      <c r="S275" s="36" t="n">
        <v>45215</v>
      </c>
      <c r="T275" t="inlineStr"/>
      <c r="U275" t="inlineStr">
        <is>
          <t>K003-901635943</t>
        </is>
      </c>
      <c r="V275" t="inlineStr">
        <is>
          <t>អ៊ីឃ្យូឡាញ វើលវ៉ាយដ៍ ឡូជីស្ទីក</t>
        </is>
      </c>
      <c r="W275" t="n">
        <v>0</v>
      </c>
      <c r="X275" t="n">
        <v>0</v>
      </c>
    </row>
    <row r="276">
      <c r="A276" t="n">
        <v>275</v>
      </c>
      <c r="B276" t="inlineStr">
        <is>
          <t>Customs Clearance Fee and Trucking Fee</t>
        </is>
      </c>
      <c r="C276" t="inlineStr">
        <is>
          <t>ត្រាយអ៊ែងហ្គល ឡូជីស្ទីក (ខេមបូឌា) ឯ.ក</t>
        </is>
      </c>
      <c r="D276" t="inlineStr">
        <is>
          <t>K010-902101743</t>
        </is>
      </c>
      <c r="E276" t="inlineStr">
        <is>
          <t>TAG-24-00084</t>
        </is>
      </c>
      <c r="F276" t="inlineStr">
        <is>
          <t>05-03-2024</t>
        </is>
      </c>
      <c r="G276" t="n">
        <v>32512</v>
      </c>
      <c r="I276">
        <f>G276</f>
        <v/>
      </c>
      <c r="K276">
        <f>I276-G276</f>
        <v/>
      </c>
      <c r="M276" t="inlineStr">
        <is>
          <t>TAG2400084</t>
        </is>
      </c>
      <c r="N276" t="inlineStr">
        <is>
          <t>225630000</t>
        </is>
      </c>
      <c r="O276">
        <f>M276=N276</f>
        <v/>
      </c>
      <c r="P276">
        <f>AND(MONTH(F276)=MONTH(S276), YEAR(F276)=YEAR(S276))</f>
        <v/>
      </c>
      <c r="Q276">
        <f>"L001-902303751"=U276</f>
        <v/>
      </c>
      <c r="R276">
        <f>G276-W276</f>
        <v/>
      </c>
      <c r="S276" s="36" t="n">
        <v>45225</v>
      </c>
      <c r="T276" t="n">
        <v>2256300</v>
      </c>
      <c r="U276" t="inlineStr">
        <is>
          <t>K009-901605081</t>
        </is>
      </c>
      <c r="V276" t="inlineStr">
        <is>
          <t>ទ្រូ ខមភែនៀន ឡូជីស្ទីក (ខេមបូឌា)</t>
        </is>
      </c>
      <c r="W276" t="n">
        <v>2256300</v>
      </c>
      <c r="X276" t="n">
        <v>0</v>
      </c>
    </row>
    <row r="277">
      <c r="A277" t="n">
        <v>276</v>
      </c>
      <c r="B277" t="inlineStr">
        <is>
          <t>Terminal Handling Charge, Documentation Fee, Agency Fee. Container Protect Essential and Equipment Positioning Service</t>
        </is>
      </c>
      <c r="C277" t="inlineStr">
        <is>
          <t>ផេនដា គ្លូប៊ល ឡូជីស្ទីក (ខេមបូឌា)</t>
        </is>
      </c>
      <c r="D277" t="inlineStr">
        <is>
          <t>K005-901501155</t>
        </is>
      </c>
      <c r="E277" t="inlineStr">
        <is>
          <t>PD240070</t>
        </is>
      </c>
      <c r="F277" t="inlineStr">
        <is>
          <t>05-03-2024</t>
        </is>
      </c>
      <c r="G277" t="n">
        <v>172720</v>
      </c>
      <c r="I277">
        <f>G277</f>
        <v/>
      </c>
      <c r="K277">
        <f>I277-G277</f>
        <v/>
      </c>
      <c r="M277" t="inlineStr">
        <is>
          <t>PD240070</t>
        </is>
      </c>
      <c r="N277" t="inlineStr">
        <is>
          <t>13193600</t>
        </is>
      </c>
      <c r="O277">
        <f>M277=N277</f>
        <v/>
      </c>
      <c r="P277">
        <f>AND(MONTH(F277)=MONTH(S277), YEAR(F277)=YEAR(S277))</f>
        <v/>
      </c>
      <c r="Q277">
        <f>"L001-902303751"=U277</f>
        <v/>
      </c>
      <c r="R277">
        <f>G277-W277</f>
        <v/>
      </c>
      <c r="S277" s="36" t="n">
        <v>45201</v>
      </c>
      <c r="T277" t="n">
        <v>131936</v>
      </c>
      <c r="U277" t="inlineStr">
        <is>
          <t>K009-902002784</t>
        </is>
      </c>
      <c r="V277" t="inlineStr">
        <is>
          <t>ខាហ្គោលីង អ៊ិនធើណេសិនណល ឯ.ក</t>
        </is>
      </c>
      <c r="W277" t="n">
        <v>131936</v>
      </c>
      <c r="X277" t="n">
        <v>0</v>
      </c>
    </row>
    <row r="278">
      <c r="A278" t="n">
        <v>277</v>
      </c>
      <c r="B278" t="inlineStr">
        <is>
          <t>Lift-On &amp; Lift-Off</t>
        </is>
      </c>
      <c r="C278" t="inlineStr">
        <is>
          <t>កំពង់ផែស្វយ័តក្រុងព្រះសីហនុ</t>
        </is>
      </c>
      <c r="D278" t="inlineStr">
        <is>
          <t>L001-100044638</t>
        </is>
      </c>
      <c r="E278" t="inlineStr">
        <is>
          <t>042877</t>
        </is>
      </c>
      <c r="F278" t="inlineStr">
        <is>
          <t>08-03-2024</t>
        </is>
      </c>
      <c r="G278" t="n">
        <v>23131</v>
      </c>
      <c r="I278">
        <f>G278</f>
        <v/>
      </c>
      <c r="K278">
        <f>I278-G278</f>
        <v/>
      </c>
      <c r="M278" t="inlineStr">
        <is>
          <t>042877</t>
        </is>
      </c>
      <c r="N278" t="inlineStr"/>
      <c r="O278">
        <f>M278=N278</f>
        <v/>
      </c>
      <c r="P278">
        <f>AND(MONTH(F278)=MONTH(S278), YEAR(F278)=YEAR(S278))</f>
        <v/>
      </c>
      <c r="Q278">
        <f>"L001-902303751"=U278</f>
        <v/>
      </c>
      <c r="R278">
        <f>G278-W278</f>
        <v/>
      </c>
      <c r="S278" s="36" t="n">
        <v>45208</v>
      </c>
      <c r="T278" t="inlineStr"/>
      <c r="U278" t="inlineStr">
        <is>
          <t>K003-901635943</t>
        </is>
      </c>
      <c r="V278" t="inlineStr">
        <is>
          <t>អ៊ីឃ្យូឡាញ វើលវ៉ាយដ៍ ឡូជីស្ទីក</t>
        </is>
      </c>
      <c r="W278" t="n">
        <v>0</v>
      </c>
      <c r="X278" t="n">
        <v>0</v>
      </c>
    </row>
    <row r="279">
      <c r="A279" t="n">
        <v>278</v>
      </c>
      <c r="B279" t="inlineStr">
        <is>
          <t>Customs Clearance Fee and Trucking Fee</t>
        </is>
      </c>
      <c r="C279" t="inlineStr">
        <is>
          <t>ត្រាយអ៊ែងហ្គល ឡូជីស្ទីក (ខេមបូឌា) ឯ.ក</t>
        </is>
      </c>
      <c r="D279" t="inlineStr">
        <is>
          <t>K010-902101743</t>
        </is>
      </c>
      <c r="E279" t="inlineStr">
        <is>
          <t>TAG-24-00093</t>
        </is>
      </c>
      <c r="F279" t="inlineStr">
        <is>
          <t>07-03-2024</t>
        </is>
      </c>
      <c r="G279" t="n">
        <v>68986</v>
      </c>
      <c r="I279">
        <f>G279</f>
        <v/>
      </c>
      <c r="K279">
        <f>I279-G279</f>
        <v/>
      </c>
      <c r="M279" t="inlineStr">
        <is>
          <t>TAG2400093</t>
        </is>
      </c>
      <c r="N279" t="inlineStr">
        <is>
          <t>19002600</t>
        </is>
      </c>
      <c r="O279">
        <f>M279=N279</f>
        <v/>
      </c>
      <c r="P279">
        <f>AND(MONTH(F279)=MONTH(S279), YEAR(F279)=YEAR(S279))</f>
        <v/>
      </c>
      <c r="Q279">
        <f>"L001-902303751"=U279</f>
        <v/>
      </c>
      <c r="R279">
        <f>G279-W279</f>
        <v/>
      </c>
      <c r="S279" s="36" t="n">
        <v>45210</v>
      </c>
      <c r="T279" t="n">
        <v>190026</v>
      </c>
      <c r="U279" t="inlineStr">
        <is>
          <t>K009-901605081</t>
        </is>
      </c>
      <c r="V279" t="inlineStr">
        <is>
          <t>ទ្រូ ខមភែនៀន ឡូជីស្ទីក (ខេមបូឌា)</t>
        </is>
      </c>
      <c r="W279" t="n">
        <v>190026</v>
      </c>
      <c r="X279" t="n">
        <v>0</v>
      </c>
    </row>
    <row r="280">
      <c r="A280" t="n">
        <v>279</v>
      </c>
      <c r="B280" t="inlineStr">
        <is>
          <t>Raw Material</t>
        </is>
      </c>
      <c r="C280" t="inlineStr">
        <is>
          <t>ក្លាក ហ៊ូ ឯ.ក</t>
        </is>
      </c>
      <c r="D280" t="inlineStr">
        <is>
          <t>K007-901639199</t>
        </is>
      </c>
      <c r="E280" t="inlineStr">
        <is>
          <t>TN0556</t>
        </is>
      </c>
      <c r="F280" t="inlineStr">
        <is>
          <t>26-03-2024</t>
        </is>
      </c>
      <c r="G280" t="n">
        <v>868707</v>
      </c>
      <c r="I280">
        <f>G280</f>
        <v/>
      </c>
      <c r="K280">
        <f>I280-G280</f>
        <v/>
      </c>
      <c r="M280" t="inlineStr">
        <is>
          <t>TN0556</t>
        </is>
      </c>
      <c r="N280" t="inlineStr">
        <is>
          <t>18965800</t>
        </is>
      </c>
      <c r="O280">
        <f>M280=N280</f>
        <v/>
      </c>
      <c r="P280">
        <f>AND(MONTH(F280)=MONTH(S280), YEAR(F280)=YEAR(S280))</f>
        <v/>
      </c>
      <c r="Q280">
        <f>"L001-902303751"=U280</f>
        <v/>
      </c>
      <c r="R280">
        <f>G280-W280</f>
        <v/>
      </c>
      <c r="S280" s="36" t="n">
        <v>45201</v>
      </c>
      <c r="T280" t="n">
        <v>189658</v>
      </c>
      <c r="U280" t="inlineStr">
        <is>
          <t>K009-901605081</t>
        </is>
      </c>
      <c r="V280" t="inlineStr">
        <is>
          <t>ទ្រូ ខមភែនៀន ឡូជីស្ទីក (ខេមបូឌា)</t>
        </is>
      </c>
      <c r="W280" t="n">
        <v>189658</v>
      </c>
      <c r="X280" t="n">
        <v>0</v>
      </c>
    </row>
    <row r="281">
      <c r="A281" t="n">
        <v>280</v>
      </c>
      <c r="B281" t="inlineStr">
        <is>
          <t>PVC</t>
        </is>
      </c>
      <c r="C281" t="inlineStr">
        <is>
          <t>យីស៊ូ ធេមផ្លេត ក្រាហ្វ ឯ.ក</t>
        </is>
      </c>
      <c r="D281" t="inlineStr">
        <is>
          <t>K010-902200360</t>
        </is>
      </c>
      <c r="E281" t="inlineStr">
        <is>
          <t>24-0058</t>
        </is>
      </c>
      <c r="F281" t="inlineStr">
        <is>
          <t>30-03-2024</t>
        </is>
      </c>
      <c r="G281" t="n">
        <v>909225</v>
      </c>
      <c r="I281">
        <f>G281</f>
        <v/>
      </c>
      <c r="K281">
        <f>I281-G281</f>
        <v/>
      </c>
      <c r="M281" t="inlineStr">
        <is>
          <t>240058</t>
        </is>
      </c>
      <c r="N281" t="inlineStr">
        <is>
          <t>11440100</t>
        </is>
      </c>
      <c r="O281">
        <f>M281=N281</f>
        <v/>
      </c>
      <c r="P281">
        <f>AND(MONTH(F281)=MONTH(S281), YEAR(F281)=YEAR(S281))</f>
        <v/>
      </c>
      <c r="Q281">
        <f>"L001-902303751"=U281</f>
        <v/>
      </c>
      <c r="R281">
        <f>G281-W281</f>
        <v/>
      </c>
      <c r="S281" s="36" t="n">
        <v>45208</v>
      </c>
      <c r="T281" t="n">
        <v>114401</v>
      </c>
      <c r="U281" t="inlineStr">
        <is>
          <t>K003-901635943</t>
        </is>
      </c>
      <c r="V281" t="inlineStr">
        <is>
          <t>អ៊ីឃ្យូឡាញ វើលវ៉ាយដ៍ ឡូជីស្ទីក</t>
        </is>
      </c>
      <c r="W281" t="n">
        <v>114401</v>
      </c>
      <c r="X281" t="n">
        <v>0</v>
      </c>
    </row>
    <row r="282">
      <c r="A282" t="n">
        <v>281</v>
      </c>
      <c r="B282" t="inlineStr">
        <is>
          <t>Machinery Rental for Mar 2024</t>
        </is>
      </c>
      <c r="C282" t="inlineStr">
        <is>
          <t>ក្លាក ហ៊ូ ឯ.ក</t>
        </is>
      </c>
      <c r="D282" t="inlineStr">
        <is>
          <t>K007-901639199</t>
        </is>
      </c>
      <c r="E282" t="inlineStr">
        <is>
          <t>IN0565</t>
        </is>
      </c>
      <c r="F282" t="inlineStr">
        <is>
          <t>27-03-2024</t>
        </is>
      </c>
      <c r="G282" t="n">
        <v>327402</v>
      </c>
      <c r="I282">
        <f>G282</f>
        <v/>
      </c>
      <c r="K282">
        <f>I282-G282</f>
        <v/>
      </c>
      <c r="M282" t="inlineStr">
        <is>
          <t>IN0565</t>
        </is>
      </c>
      <c r="N282" t="inlineStr">
        <is>
          <t>17945900</t>
        </is>
      </c>
      <c r="O282">
        <f>M282=N282</f>
        <v/>
      </c>
      <c r="P282">
        <f>AND(MONTH(F282)=MONTH(S282), YEAR(F282)=YEAR(S282))</f>
        <v/>
      </c>
      <c r="Q282">
        <f>"L001-902303751"=U282</f>
        <v/>
      </c>
      <c r="R282">
        <f>G282-W282</f>
        <v/>
      </c>
      <c r="S282" s="36" t="n">
        <v>45222</v>
      </c>
      <c r="T282" t="n">
        <v>179459</v>
      </c>
      <c r="U282" t="inlineStr">
        <is>
          <t>L001-107041723</t>
        </is>
      </c>
      <c r="V282" t="inlineStr">
        <is>
          <t>ឌីប៊ី សេនឃើរ (ខេមបូឌា) លីមីធីត</t>
        </is>
      </c>
      <c r="W282" t="n">
        <v>179459</v>
      </c>
      <c r="X282" t="n">
        <v>0</v>
      </c>
    </row>
    <row r="283">
      <c r="A283" t="n">
        <v>282</v>
      </c>
      <c r="B283" t="inlineStr">
        <is>
          <t>Stationary</t>
        </is>
      </c>
      <c r="C283" t="inlineStr">
        <is>
          <t>ស៊ី &amp; ជី ត្រេឌីង ឯ.ក</t>
        </is>
      </c>
      <c r="D283" t="inlineStr">
        <is>
          <t>K010-902205065</t>
        </is>
      </c>
      <c r="E283" t="inlineStr">
        <is>
          <t>2024-0024</t>
        </is>
      </c>
      <c r="F283" t="inlineStr">
        <is>
          <t>22-03-2024</t>
        </is>
      </c>
      <c r="G283" t="n">
        <v>730118</v>
      </c>
      <c r="I283">
        <f>G283</f>
        <v/>
      </c>
      <c r="K283">
        <f>I283-G283</f>
        <v/>
      </c>
      <c r="M283" t="inlineStr">
        <is>
          <t>20240024</t>
        </is>
      </c>
      <c r="N283" t="inlineStr">
        <is>
          <t>221488000</t>
        </is>
      </c>
      <c r="O283">
        <f>M283=N283</f>
        <v/>
      </c>
      <c r="P283">
        <f>AND(MONTH(F283)=MONTH(S283), YEAR(F283)=YEAR(S283))</f>
        <v/>
      </c>
      <c r="Q283">
        <f>"L001-902303751"=U283</f>
        <v/>
      </c>
      <c r="R283">
        <f>G283-W283</f>
        <v/>
      </c>
      <c r="S283" s="36" t="n">
        <v>45573</v>
      </c>
      <c r="T283" t="n">
        <v>2214880</v>
      </c>
      <c r="U283" t="inlineStr">
        <is>
          <t>K009-901605081</t>
        </is>
      </c>
      <c r="V283" t="inlineStr">
        <is>
          <t>ទ្រូ ខមភែនៀន ឡូជីស្ទីក (ខេមបូឌា)</t>
        </is>
      </c>
      <c r="W283" t="n">
        <v>2214880</v>
      </c>
      <c r="X283" t="n">
        <v>0</v>
      </c>
    </row>
    <row r="284">
      <c r="A284" t="n">
        <v>283</v>
      </c>
      <c r="B284" t="inlineStr">
        <is>
          <t>Non Woven Interlining</t>
        </is>
      </c>
      <c r="C284" t="inlineStr">
        <is>
          <t>ដេលី ហ្គាមេន អេកសេសឺរី</t>
        </is>
      </c>
      <c r="D284" t="inlineStr">
        <is>
          <t>L001-108012794</t>
        </is>
      </c>
      <c r="E284" t="inlineStr">
        <is>
          <t>00208</t>
        </is>
      </c>
      <c r="F284" t="inlineStr">
        <is>
          <t>29-03-2024</t>
        </is>
      </c>
      <c r="G284" t="n">
        <v>237611</v>
      </c>
      <c r="I284">
        <f>G284</f>
        <v/>
      </c>
      <c r="K284">
        <f>I284-G284</f>
        <v/>
      </c>
      <c r="M284" t="inlineStr">
        <is>
          <t>00208</t>
        </is>
      </c>
      <c r="N284" t="inlineStr">
        <is>
          <t>221597000</t>
        </is>
      </c>
      <c r="O284">
        <f>M284=N284</f>
        <v/>
      </c>
      <c r="P284">
        <f>AND(MONTH(F284)=MONTH(S284), YEAR(F284)=YEAR(S284))</f>
        <v/>
      </c>
      <c r="Q284">
        <f>"L001-902303751"=U284</f>
        <v/>
      </c>
      <c r="R284">
        <f>G284-W284</f>
        <v/>
      </c>
      <c r="S284" s="36" t="n">
        <v>45575</v>
      </c>
      <c r="T284" t="n">
        <v>2215970</v>
      </c>
      <c r="U284" t="inlineStr">
        <is>
          <t>K009-901605081</t>
        </is>
      </c>
      <c r="V284" t="inlineStr">
        <is>
          <t>ទ្រូ ខមភែនៀន ឡូជីស្ទីក (ខេមបូឌា)</t>
        </is>
      </c>
      <c r="W284" t="n">
        <v>2215970</v>
      </c>
      <c r="X284" t="n">
        <v>0</v>
      </c>
    </row>
    <row r="285">
      <c r="A285" t="n">
        <v>284</v>
      </c>
      <c r="B285" t="inlineStr">
        <is>
          <t>PVC, Sponge strips, Automatic Cutting blade and Grinding wheel</t>
        </is>
      </c>
      <c r="C285" t="inlineStr">
        <is>
          <t>យីស៊ូ ធេមផ្លេត ក្រាហ្វ ឯ.ក</t>
        </is>
      </c>
      <c r="D285" t="inlineStr">
        <is>
          <t>K010-902200360</t>
        </is>
      </c>
      <c r="E285" t="inlineStr">
        <is>
          <t>24-0052</t>
        </is>
      </c>
      <c r="F285" t="inlineStr">
        <is>
          <t>25-03-2024</t>
        </is>
      </c>
      <c r="G285" t="n">
        <v>1144331</v>
      </c>
      <c r="I285">
        <f>G285</f>
        <v/>
      </c>
      <c r="K285">
        <f>I285-G285</f>
        <v/>
      </c>
      <c r="M285" t="inlineStr">
        <is>
          <t>240052</t>
        </is>
      </c>
      <c r="N285" t="inlineStr">
        <is>
          <t>8406300</t>
        </is>
      </c>
      <c r="O285">
        <f>M285=N285</f>
        <v/>
      </c>
      <c r="P285">
        <f>AND(MONTH(F285)=MONTH(S285), YEAR(F285)=YEAR(S285))</f>
        <v/>
      </c>
      <c r="Q285">
        <f>"L001-902303751"=U285</f>
        <v/>
      </c>
      <c r="R285">
        <f>G285-W285</f>
        <v/>
      </c>
      <c r="S285" s="36" t="n">
        <v>45593</v>
      </c>
      <c r="T285" t="n">
        <v>84063</v>
      </c>
      <c r="U285" t="inlineStr">
        <is>
          <t>L001-104015799</t>
        </is>
      </c>
      <c r="V285" t="inlineStr">
        <is>
          <t>យូសេន ឡូជីស្ទីក (ខេមបូឌា) ខូ អិលធីឌី</t>
        </is>
      </c>
      <c r="W285" t="n">
        <v>84063</v>
      </c>
      <c r="X285" t="n">
        <v>0</v>
      </c>
    </row>
    <row r="286">
      <c r="A286" t="n">
        <v>285</v>
      </c>
      <c r="B286" t="inlineStr">
        <is>
          <t>Coated paper and Thermal Transfer Ribbons</t>
        </is>
      </c>
      <c r="C286" t="inlineStr">
        <is>
          <t>ហ្គូដញូ ភែកឃីជីង ថេកណឡជី ឯ.ក</t>
        </is>
      </c>
      <c r="D286" t="inlineStr">
        <is>
          <t>L001-901704919</t>
        </is>
      </c>
      <c r="E286" t="inlineStr">
        <is>
          <t>TI-GN-2024-022</t>
        </is>
      </c>
      <c r="F286" t="inlineStr">
        <is>
          <t>30-03-2024</t>
        </is>
      </c>
      <c r="G286" t="n">
        <v>281432</v>
      </c>
      <c r="I286">
        <f>G286</f>
        <v/>
      </c>
      <c r="K286">
        <f>I286-G286</f>
        <v/>
      </c>
      <c r="M286" t="inlineStr">
        <is>
          <t>TIGN2024022</t>
        </is>
      </c>
      <c r="N286" t="inlineStr">
        <is>
          <t>18680600</t>
        </is>
      </c>
      <c r="O286">
        <f>M286=N286</f>
        <v/>
      </c>
      <c r="P286">
        <f>AND(MONTH(F286)=MONTH(S286), YEAR(F286)=YEAR(S286))</f>
        <v/>
      </c>
      <c r="Q286">
        <f>"L001-902303751"=U286</f>
        <v/>
      </c>
      <c r="R286">
        <f>G286-W286</f>
        <v/>
      </c>
      <c r="S286" s="36" t="n">
        <v>45593</v>
      </c>
      <c r="T286" t="n">
        <v>186806</v>
      </c>
      <c r="U286" t="inlineStr">
        <is>
          <t>K009-901605081</t>
        </is>
      </c>
      <c r="V286" t="inlineStr">
        <is>
          <t>ទ្រូ ខមភែនៀន ឡូជីស្ទីក (ខេមបូឌា)</t>
        </is>
      </c>
      <c r="W286" t="n">
        <v>186806</v>
      </c>
      <c r="X286" t="n">
        <v>0</v>
      </c>
    </row>
    <row r="287">
      <c r="A287" t="n">
        <v>286</v>
      </c>
      <c r="B287" t="inlineStr">
        <is>
          <t>Coated paper and Thermal Transfer Ribbons</t>
        </is>
      </c>
      <c r="C287" t="inlineStr">
        <is>
          <t>ហ្គូដញូ ភែកឃីជីង ថេកណឡជី ឯ.ក</t>
        </is>
      </c>
      <c r="D287" t="inlineStr">
        <is>
          <t>L001-901704919</t>
        </is>
      </c>
      <c r="E287" t="inlineStr">
        <is>
          <t>TI-GN-2024-018</t>
        </is>
      </c>
      <c r="F287" t="inlineStr">
        <is>
          <t>04-03-2024</t>
        </is>
      </c>
      <c r="G287" t="n">
        <v>231198</v>
      </c>
      <c r="I287">
        <f>G287</f>
        <v/>
      </c>
      <c r="K287">
        <f>I287-G287</f>
        <v/>
      </c>
      <c r="M287" t="inlineStr">
        <is>
          <t>TIGN2024018</t>
        </is>
      </c>
      <c r="N287" t="inlineStr"/>
      <c r="O287">
        <f>M287=N287</f>
        <v/>
      </c>
      <c r="P287">
        <f>AND(MONTH(F287)=MONTH(S287), YEAR(F287)=YEAR(S287))</f>
        <v/>
      </c>
      <c r="Q287">
        <f>"L001-902303751"=U287</f>
        <v/>
      </c>
      <c r="R287">
        <f>G287-W287</f>
        <v/>
      </c>
      <c r="S287" s="36" t="n">
        <v>45573</v>
      </c>
      <c r="T287" t="inlineStr"/>
      <c r="U287" t="inlineStr">
        <is>
          <t>K009-901605081</t>
        </is>
      </c>
      <c r="V287" t="inlineStr">
        <is>
          <t>ទ្រូ ខមភែនៀន ឡូជីស្ទីក (ខេមបូឌា)</t>
        </is>
      </c>
      <c r="W287" t="n">
        <v>0</v>
      </c>
      <c r="X287" t="n">
        <v>0</v>
      </c>
    </row>
    <row r="288">
      <c r="A288" t="n">
        <v>287</v>
      </c>
      <c r="B288" t="inlineStr">
        <is>
          <t>Care Label</t>
        </is>
      </c>
      <c r="C288" t="inlineStr">
        <is>
          <t>ហ្វ៊ុលម៉ី អេកសេសីរី ឯ.ក</t>
        </is>
      </c>
      <c r="D288" t="inlineStr">
        <is>
          <t>K010-901902807</t>
        </is>
      </c>
      <c r="E288" t="inlineStr">
        <is>
          <t>24/0019</t>
        </is>
      </c>
      <c r="F288" t="inlineStr">
        <is>
          <t>16-03-2024</t>
        </is>
      </c>
      <c r="G288" t="n">
        <v>1008858</v>
      </c>
      <c r="I288">
        <f>G288</f>
        <v/>
      </c>
      <c r="K288">
        <f>I288-G288</f>
        <v/>
      </c>
      <c r="M288" t="inlineStr">
        <is>
          <t>240019</t>
        </is>
      </c>
      <c r="N288" t="inlineStr">
        <is>
          <t>18694400</t>
        </is>
      </c>
      <c r="O288">
        <f>M288=N288</f>
        <v/>
      </c>
      <c r="P288">
        <f>AND(MONTH(F288)=MONTH(S288), YEAR(F288)=YEAR(S288))</f>
        <v/>
      </c>
      <c r="Q288">
        <f>"L001-902303751"=U288</f>
        <v/>
      </c>
      <c r="R288">
        <f>G288-W288</f>
        <v/>
      </c>
      <c r="S288" s="36" t="n">
        <v>45573</v>
      </c>
      <c r="T288" t="n">
        <v>186944</v>
      </c>
      <c r="U288" t="inlineStr">
        <is>
          <t>K009-901605081</t>
        </is>
      </c>
      <c r="V288" t="inlineStr">
        <is>
          <t>ទ្រូ ខមភែនៀន ឡូជីស្ទីក (ខេមបូឌា)</t>
        </is>
      </c>
      <c r="W288" t="n">
        <v>186944</v>
      </c>
      <c r="X288" t="n">
        <v>0</v>
      </c>
    </row>
    <row r="289">
      <c r="A289" t="n">
        <v>288</v>
      </c>
      <c r="B289" t="inlineStr">
        <is>
          <t>Decoration</t>
        </is>
      </c>
      <c r="C289" t="inlineStr">
        <is>
          <t>ដេកូស៍ អ៊ិនដាសស្ទ្រី ឯ.ក</t>
        </is>
      </c>
      <c r="D289" t="inlineStr">
        <is>
          <t>K007-901639102</t>
        </is>
      </c>
      <c r="E289" t="inlineStr">
        <is>
          <t>00037</t>
        </is>
      </c>
      <c r="F289" t="inlineStr">
        <is>
          <t>19-03-2024</t>
        </is>
      </c>
      <c r="G289" t="n">
        <v>841984</v>
      </c>
      <c r="I289">
        <f>G289</f>
        <v/>
      </c>
      <c r="K289">
        <f>I289-G289</f>
        <v/>
      </c>
      <c r="M289" t="inlineStr">
        <is>
          <t>00037</t>
        </is>
      </c>
      <c r="N289" t="inlineStr">
        <is>
          <t>9624600</t>
        </is>
      </c>
      <c r="O289">
        <f>M289=N289</f>
        <v/>
      </c>
      <c r="P289">
        <f>AND(MONTH(F289)=MONTH(S289), YEAR(F289)=YEAR(S289))</f>
        <v/>
      </c>
      <c r="Q289">
        <f>"L001-902303751"=U289</f>
        <v/>
      </c>
      <c r="R289">
        <f>G289-W289</f>
        <v/>
      </c>
      <c r="S289" s="36" t="n">
        <v>45593</v>
      </c>
      <c r="T289" t="n">
        <v>96246</v>
      </c>
      <c r="U289" t="inlineStr">
        <is>
          <t>L001-104015799</t>
        </is>
      </c>
      <c r="V289" t="inlineStr">
        <is>
          <t>យូសេន ឡូជីស្ទីក (ខេមបូឌា) ខូ អិលធីឌី</t>
        </is>
      </c>
      <c r="W289" t="n">
        <v>96246</v>
      </c>
      <c r="X289" t="n">
        <v>0</v>
      </c>
    </row>
    <row r="290">
      <c r="A290" t="n">
        <v>289</v>
      </c>
      <c r="B290" t="inlineStr">
        <is>
          <t>Coated paper and Thermal Transfer Ribbons</t>
        </is>
      </c>
      <c r="C290" t="inlineStr">
        <is>
          <t>ហ្គូដញូ ភែកឃីជីង ថេកណឡជី ឯ.ក</t>
        </is>
      </c>
      <c r="D290" t="inlineStr">
        <is>
          <t>L001-901704919</t>
        </is>
      </c>
      <c r="E290" t="inlineStr">
        <is>
          <t>TI-GN-2024-017</t>
        </is>
      </c>
      <c r="F290" t="inlineStr">
        <is>
          <t>04-03-2024</t>
        </is>
      </c>
      <c r="G290" t="n">
        <v>76866</v>
      </c>
      <c r="I290">
        <f>G290</f>
        <v/>
      </c>
      <c r="K290">
        <f>I290-G290</f>
        <v/>
      </c>
      <c r="M290" t="inlineStr">
        <is>
          <t>TIGN2024017</t>
        </is>
      </c>
      <c r="N290" t="inlineStr">
        <is>
          <t>221324500</t>
        </is>
      </c>
      <c r="O290">
        <f>M290=N290</f>
        <v/>
      </c>
      <c r="P290">
        <f>AND(MONTH(F290)=MONTH(S290), YEAR(F290)=YEAR(S290))</f>
        <v/>
      </c>
      <c r="Q290">
        <f>"L001-902303751"=U290</f>
        <v/>
      </c>
      <c r="R290">
        <f>G290-W290</f>
        <v/>
      </c>
      <c r="S290" s="36" t="n">
        <v>45593</v>
      </c>
      <c r="T290" t="n">
        <v>2213245</v>
      </c>
      <c r="U290" t="inlineStr">
        <is>
          <t>K009-901605081</t>
        </is>
      </c>
      <c r="V290" t="inlineStr">
        <is>
          <t>ទ្រូ ខមភែនៀន ឡូជីស្ទីក (ខេមបូឌា)</t>
        </is>
      </c>
      <c r="W290" t="n">
        <v>2213245</v>
      </c>
      <c r="X290" t="n">
        <v>0</v>
      </c>
    </row>
    <row r="291">
      <c r="A291" t="n">
        <v>290</v>
      </c>
      <c r="B291" t="inlineStr">
        <is>
          <t>Yellow tape</t>
        </is>
      </c>
      <c r="C291" t="inlineStr">
        <is>
          <t>ដេលី ហ្គាមេន អេកសេសឺរី</t>
        </is>
      </c>
      <c r="D291" t="inlineStr">
        <is>
          <t>L001-108012794</t>
        </is>
      </c>
      <c r="E291" t="inlineStr">
        <is>
          <t>00035</t>
        </is>
      </c>
      <c r="F291" t="inlineStr">
        <is>
          <t>15-03-2024</t>
        </is>
      </c>
      <c r="G291" t="n">
        <v>64768</v>
      </c>
      <c r="I291">
        <f>G291</f>
        <v/>
      </c>
      <c r="K291">
        <f>I291-G291</f>
        <v/>
      </c>
      <c r="M291" t="inlineStr">
        <is>
          <t>00035</t>
        </is>
      </c>
      <c r="N291" t="inlineStr">
        <is>
          <t>18676000</t>
        </is>
      </c>
      <c r="O291">
        <f>M291=N291</f>
        <v/>
      </c>
      <c r="P291">
        <f>AND(MONTH(F291)=MONTH(S291), YEAR(F291)=YEAR(S291))</f>
        <v/>
      </c>
      <c r="Q291">
        <f>"L001-902303751"=U291</f>
        <v/>
      </c>
      <c r="R291">
        <f>G291-W291</f>
        <v/>
      </c>
      <c r="S291" s="36" t="n">
        <v>45581</v>
      </c>
      <c r="T291" t="n">
        <v>186760</v>
      </c>
      <c r="U291" t="inlineStr">
        <is>
          <t>K009-901605081</t>
        </is>
      </c>
      <c r="V291" t="inlineStr">
        <is>
          <t>ទ្រូ ខមភែនៀន ឡូជីស្ទីក (ខេមបូឌា)</t>
        </is>
      </c>
      <c r="W291" t="n">
        <v>186760</v>
      </c>
      <c r="X291" t="n">
        <v>0</v>
      </c>
    </row>
    <row r="292">
      <c r="A292" t="n">
        <v>291</v>
      </c>
      <c r="B292" t="inlineStr">
        <is>
          <t>Monthly Charge of Photo Copies Rental from 06/02/2024 to 06/03/2024</t>
        </is>
      </c>
      <c r="C292" t="inlineStr">
        <is>
          <t>វី.អាយ.អេស ខភៀ ឯ.ក</t>
        </is>
      </c>
      <c r="D292" t="inlineStr">
        <is>
          <t>K007-901705195</t>
        </is>
      </c>
      <c r="E292" t="inlineStr">
        <is>
          <t>RNT240326</t>
        </is>
      </c>
      <c r="F292" t="inlineStr">
        <is>
          <t>06-03-2024</t>
        </is>
      </c>
      <c r="G292" t="n">
        <v>56574</v>
      </c>
      <c r="I292">
        <f>G292</f>
        <v/>
      </c>
      <c r="K292">
        <f>I292-G292</f>
        <v/>
      </c>
      <c r="M292" t="inlineStr">
        <is>
          <t>RNT240326</t>
        </is>
      </c>
      <c r="N292" t="inlineStr">
        <is>
          <t>18694400</t>
        </is>
      </c>
      <c r="O292">
        <f>M292=N292</f>
        <v/>
      </c>
      <c r="P292">
        <f>AND(MONTH(F292)=MONTH(S292), YEAR(F292)=YEAR(S292))</f>
        <v/>
      </c>
      <c r="Q292">
        <f>"L001-902303751"=U292</f>
        <v/>
      </c>
      <c r="R292">
        <f>G292-W292</f>
        <v/>
      </c>
      <c r="S292" s="36" t="n">
        <v>45573</v>
      </c>
      <c r="T292" t="n">
        <v>186944</v>
      </c>
      <c r="U292" t="inlineStr">
        <is>
          <t>K009-901605081</t>
        </is>
      </c>
      <c r="V292" t="inlineStr">
        <is>
          <t>ទ្រូ ខមភែនៀន ឡូជីស្ទីក (ខេមបូឌា)</t>
        </is>
      </c>
      <c r="W292" t="n">
        <v>186944</v>
      </c>
      <c r="X292" t="n">
        <v>0</v>
      </c>
    </row>
    <row r="293">
      <c r="A293" t="n">
        <v>292</v>
      </c>
      <c r="B293" t="inlineStr">
        <is>
          <t>Monthly Charge of Photo Copies Rental from 06/02/2024 to 06/03/2024</t>
        </is>
      </c>
      <c r="C293" t="inlineStr">
        <is>
          <t>វី.អាយ.អេស ខភៀ ឯ.ក</t>
        </is>
      </c>
      <c r="D293" t="inlineStr">
        <is>
          <t>K007-901705195</t>
        </is>
      </c>
      <c r="E293" t="inlineStr">
        <is>
          <t>RNT240325</t>
        </is>
      </c>
      <c r="F293" t="inlineStr">
        <is>
          <t>06-03-2024</t>
        </is>
      </c>
      <c r="G293" t="n">
        <v>28455</v>
      </c>
      <c r="I293">
        <f>G293</f>
        <v/>
      </c>
      <c r="K293">
        <f>I293-G293</f>
        <v/>
      </c>
      <c r="M293" t="inlineStr">
        <is>
          <t>RNT240325</t>
        </is>
      </c>
      <c r="N293" t="inlineStr"/>
      <c r="O293">
        <f>M293=N293</f>
        <v/>
      </c>
      <c r="P293">
        <f>AND(MONTH(F293)=MONTH(S293), YEAR(F293)=YEAR(S293))</f>
        <v/>
      </c>
      <c r="Q293">
        <f>"L001-902303751"=U293</f>
        <v/>
      </c>
      <c r="R293">
        <f>G293-W293</f>
        <v/>
      </c>
      <c r="S293" s="36" t="n">
        <v>45586</v>
      </c>
      <c r="T293" t="inlineStr"/>
      <c r="U293" t="inlineStr">
        <is>
          <t>L001-104015799</t>
        </is>
      </c>
      <c r="V293" t="inlineStr">
        <is>
          <t>យូសេន ឡូជីស្ទីក (ខេមបូឌា) ខូ អិលធីឌី</t>
        </is>
      </c>
      <c r="W293" t="n">
        <v>0</v>
      </c>
      <c r="X293" t="n">
        <v>0</v>
      </c>
    </row>
    <row r="294">
      <c r="A294" t="n">
        <v>293</v>
      </c>
      <c r="B294" t="inlineStr">
        <is>
          <t>Monthly Charge of Photo Copies Rental from 06/02/2024 to 06/03/2024</t>
        </is>
      </c>
      <c r="C294" t="inlineStr">
        <is>
          <t>វី.អាយ.អេស ខភៀ ឯ.ក</t>
        </is>
      </c>
      <c r="D294" t="inlineStr">
        <is>
          <t>K007-901705195</t>
        </is>
      </c>
      <c r="E294" t="inlineStr">
        <is>
          <t>RNT240324</t>
        </is>
      </c>
      <c r="F294" t="inlineStr">
        <is>
          <t>06-03-2024</t>
        </is>
      </c>
      <c r="G294" t="n">
        <v>26423</v>
      </c>
      <c r="I294">
        <f>G294</f>
        <v/>
      </c>
      <c r="K294">
        <f>I294-G294</f>
        <v/>
      </c>
      <c r="M294" t="inlineStr">
        <is>
          <t>RNT240324</t>
        </is>
      </c>
      <c r="N294" t="inlineStr">
        <is>
          <t>8406300</t>
        </is>
      </c>
      <c r="O294">
        <f>M294=N294</f>
        <v/>
      </c>
      <c r="P294">
        <f>AND(MONTH(F294)=MONTH(S294), YEAR(F294)=YEAR(S294))</f>
        <v/>
      </c>
      <c r="Q294">
        <f>"L001-902303751"=U294</f>
        <v/>
      </c>
      <c r="R294">
        <f>G294-W294</f>
        <v/>
      </c>
      <c r="S294" s="36" t="n">
        <v>45593</v>
      </c>
      <c r="T294" t="n">
        <v>84063</v>
      </c>
      <c r="U294" t="inlineStr">
        <is>
          <t>K003-901635943</t>
        </is>
      </c>
      <c r="V294" t="inlineStr">
        <is>
          <t>អ៊ីឃ្យូឡាញ វើលវ៉ាយដ៍ ឡូជីស្ទីក</t>
        </is>
      </c>
      <c r="W294" t="n">
        <v>84063</v>
      </c>
      <c r="X294" t="n">
        <v>0</v>
      </c>
    </row>
    <row r="295">
      <c r="A295" t="n">
        <v>294</v>
      </c>
      <c r="B295" t="inlineStr">
        <is>
          <t>Monthly Charge of Photo Copies Rental from 06/02/2024 to 06/03/2024</t>
        </is>
      </c>
      <c r="C295" t="inlineStr">
        <is>
          <t>វី.អាយ.អេស ខភៀ ឯ.ក</t>
        </is>
      </c>
      <c r="D295" t="inlineStr">
        <is>
          <t>K007-901705195</t>
        </is>
      </c>
      <c r="E295" t="inlineStr">
        <is>
          <t>RNT240323</t>
        </is>
      </c>
      <c r="F295" t="inlineStr">
        <is>
          <t>06-03-2024</t>
        </is>
      </c>
      <c r="G295" t="n">
        <v>56910</v>
      </c>
      <c r="I295">
        <f>G295</f>
        <v/>
      </c>
      <c r="K295">
        <f>I295-G295</f>
        <v/>
      </c>
      <c r="M295" t="inlineStr">
        <is>
          <t>RNT240323</t>
        </is>
      </c>
      <c r="N295" t="inlineStr"/>
      <c r="O295">
        <f>M295=N295</f>
        <v/>
      </c>
      <c r="P295">
        <f>AND(MONTH(F295)=MONTH(S295), YEAR(F295)=YEAR(S295))</f>
        <v/>
      </c>
      <c r="Q295">
        <f>"L001-902303751"=U295</f>
        <v/>
      </c>
      <c r="R295">
        <f>G295-W295</f>
        <v/>
      </c>
      <c r="S295" s="36" t="n">
        <v>45593</v>
      </c>
      <c r="T295" t="inlineStr"/>
      <c r="U295" t="inlineStr">
        <is>
          <t>K003-901635943</t>
        </is>
      </c>
      <c r="V295" t="inlineStr">
        <is>
          <t>អ៊ីឃ្យូឡាញ វើលវ៉ាយដ៍ ឡូជីស្ទីក</t>
        </is>
      </c>
      <c r="W295" t="n">
        <v>0</v>
      </c>
      <c r="X295" t="n">
        <v>0</v>
      </c>
    </row>
    <row r="296">
      <c r="A296" t="n">
        <v>295</v>
      </c>
      <c r="B296" t="inlineStr">
        <is>
          <t>50% for Assisting in Preparation CMT Contract and Submission to GDT</t>
        </is>
      </c>
      <c r="C296" t="inlineStr">
        <is>
          <t>ខេឌី ខនសាល់ធេន ឯ.ក</t>
        </is>
      </c>
      <c r="D296" t="inlineStr">
        <is>
          <t>K005-901704277</t>
        </is>
      </c>
      <c r="E296" t="inlineStr">
        <is>
          <t>20240000299</t>
        </is>
      </c>
      <c r="F296" t="inlineStr">
        <is>
          <t>12-03-2024</t>
        </is>
      </c>
      <c r="G296" t="n">
        <v>81100</v>
      </c>
      <c r="I296">
        <f>G296</f>
        <v/>
      </c>
      <c r="K296">
        <f>I296-G296</f>
        <v/>
      </c>
      <c r="M296" t="inlineStr">
        <is>
          <t>20240000299</t>
        </is>
      </c>
      <c r="N296" t="inlineStr">
        <is>
          <t>9619800</t>
        </is>
      </c>
      <c r="O296">
        <f>M296=N296</f>
        <v/>
      </c>
      <c r="P296">
        <f>AND(MONTH(F296)=MONTH(S296), YEAR(F296)=YEAR(S296))</f>
        <v/>
      </c>
      <c r="Q296">
        <f>"L001-902303751"=U296</f>
        <v/>
      </c>
      <c r="R296">
        <f>G296-W296</f>
        <v/>
      </c>
      <c r="S296" s="36" t="n">
        <v>45569</v>
      </c>
      <c r="T296" t="n">
        <v>96198</v>
      </c>
      <c r="U296" t="inlineStr">
        <is>
          <t>L001-104015799</t>
        </is>
      </c>
      <c r="V296" t="inlineStr">
        <is>
          <t>យូសេន ឡូជីស្ទីក (ខេមបូឌា) ខូ អិលធីឌី</t>
        </is>
      </c>
      <c r="W296" t="n">
        <v>96198</v>
      </c>
      <c r="X296" t="n">
        <v>0</v>
      </c>
    </row>
    <row r="297">
      <c r="A297" t="n">
        <v>296</v>
      </c>
      <c r="B297" t="inlineStr">
        <is>
          <t>Decoration</t>
        </is>
      </c>
      <c r="C297" t="inlineStr">
        <is>
          <t>ដេកូស៍ អ៊ិនដាសស្ទ្រី ឯ.ក</t>
        </is>
      </c>
      <c r="D297" t="inlineStr">
        <is>
          <t>K007-901639102</t>
        </is>
      </c>
      <c r="E297" t="inlineStr">
        <is>
          <t>00027</t>
        </is>
      </c>
      <c r="F297" t="inlineStr">
        <is>
          <t>01-03-2024</t>
        </is>
      </c>
      <c r="G297" t="n">
        <v>365054</v>
      </c>
      <c r="I297">
        <f>G297</f>
        <v/>
      </c>
      <c r="K297">
        <f>I297-G297</f>
        <v/>
      </c>
      <c r="M297" t="inlineStr">
        <is>
          <t>00027</t>
        </is>
      </c>
      <c r="N297" t="inlineStr"/>
      <c r="O297">
        <f>M297=N297</f>
        <v/>
      </c>
      <c r="P297">
        <f>AND(MONTH(F297)=MONTH(S297), YEAR(F297)=YEAR(S297))</f>
        <v/>
      </c>
      <c r="Q297">
        <f>"L001-902303751"=U297</f>
        <v/>
      </c>
      <c r="R297">
        <f>G297-W297</f>
        <v/>
      </c>
      <c r="S297" s="36" t="n">
        <v>45593</v>
      </c>
      <c r="T297" t="inlineStr"/>
      <c r="U297" t="inlineStr">
        <is>
          <t>L001-104015799</t>
        </is>
      </c>
      <c r="V297" t="inlineStr">
        <is>
          <t>យូសេន ឡូជីស្ទីក (ខេមបូឌា) ខូ អិលធីឌី</t>
        </is>
      </c>
      <c r="W297" t="n">
        <v>0</v>
      </c>
      <c r="X297" t="n">
        <v>0</v>
      </c>
    </row>
    <row r="298">
      <c r="A298" t="n">
        <v>297</v>
      </c>
      <c r="B298" t="inlineStr">
        <is>
          <t>PVC Thin Film</t>
        </is>
      </c>
      <c r="C298" t="inlineStr">
        <is>
          <t>ដេកូស៍ អ៊ិនដាសស្ទ្រី ឯ.ក</t>
        </is>
      </c>
      <c r="D298" t="inlineStr">
        <is>
          <t>K007-901639102</t>
        </is>
      </c>
      <c r="E298" t="inlineStr">
        <is>
          <t>00028</t>
        </is>
      </c>
      <c r="F298" t="inlineStr">
        <is>
          <t>04-03-2024</t>
        </is>
      </c>
      <c r="G298" t="n">
        <v>178948</v>
      </c>
      <c r="I298">
        <f>G298</f>
        <v/>
      </c>
      <c r="K298">
        <f>I298-G298</f>
        <v/>
      </c>
      <c r="M298" t="inlineStr">
        <is>
          <t>00028</t>
        </is>
      </c>
      <c r="N298" t="inlineStr">
        <is>
          <t>8408300</t>
        </is>
      </c>
      <c r="O298">
        <f>M298=N298</f>
        <v/>
      </c>
      <c r="P298">
        <f>AND(MONTH(F298)=MONTH(S298), YEAR(F298)=YEAR(S298))</f>
        <v/>
      </c>
      <c r="Q298">
        <f>"L001-902303751"=U298</f>
        <v/>
      </c>
      <c r="R298">
        <f>G298-W298</f>
        <v/>
      </c>
      <c r="S298" s="36" t="n">
        <v>45579</v>
      </c>
      <c r="T298" t="n">
        <v>84083</v>
      </c>
      <c r="U298" t="inlineStr">
        <is>
          <t>L001-104015799</t>
        </is>
      </c>
      <c r="V298" t="inlineStr">
        <is>
          <t>យូសេន ឡូជីស្ទីក (ខេមបូឌា) ខូ អិលធីឌី</t>
        </is>
      </c>
      <c r="W298" t="n">
        <v>84083</v>
      </c>
      <c r="X298" t="n">
        <v>0</v>
      </c>
    </row>
    <row r="299">
      <c r="A299" t="n">
        <v>298</v>
      </c>
      <c r="B299" t="inlineStr">
        <is>
          <t>Building Rental from Feb-July 2024</t>
        </is>
      </c>
      <c r="C299" t="inlineStr">
        <is>
          <t>ស្មាត សាញ ហ្គាម៉ិន (ខេមបូឌា) ឯ.ក</t>
        </is>
      </c>
      <c r="D299" t="inlineStr">
        <is>
          <t>L001-902105025</t>
        </is>
      </c>
      <c r="E299" t="inlineStr">
        <is>
          <t>SSG-20240001</t>
        </is>
      </c>
      <c r="F299" t="inlineStr">
        <is>
          <t>01-04-2024</t>
        </is>
      </c>
      <c r="G299" t="n">
        <v>21108344</v>
      </c>
      <c r="I299">
        <f>G299</f>
        <v/>
      </c>
      <c r="K299">
        <f>I299-G299</f>
        <v/>
      </c>
      <c r="M299" t="inlineStr">
        <is>
          <t>SSG20240001</t>
        </is>
      </c>
      <c r="N299" t="inlineStr"/>
      <c r="O299">
        <f>M299=N299</f>
        <v/>
      </c>
      <c r="P299">
        <f>AND(MONTH(F299)=MONTH(S299), YEAR(F299)=YEAR(S299))</f>
        <v/>
      </c>
      <c r="Q299">
        <f>"L001-902303751"=U299</f>
        <v/>
      </c>
      <c r="R299">
        <f>G299-W299</f>
        <v/>
      </c>
      <c r="S299" s="36" t="n">
        <v>45573</v>
      </c>
      <c r="T299" t="inlineStr"/>
      <c r="U299" t="inlineStr">
        <is>
          <t>K009-901605081</t>
        </is>
      </c>
      <c r="V299" t="inlineStr">
        <is>
          <t>ទ្រូ ខមភែនៀន ឡូជីស្ទីក (ខេមបូឌា)</t>
        </is>
      </c>
      <c r="W299" t="n">
        <v>0</v>
      </c>
      <c r="X299" t="n">
        <v>0</v>
      </c>
    </row>
    <row r="300">
      <c r="A300" t="n">
        <v>299</v>
      </c>
      <c r="B300" t="inlineStr">
        <is>
          <t>Supplement fee on building rental</t>
        </is>
      </c>
      <c r="C300" t="inlineStr">
        <is>
          <t>ស្មាត សាញ ហ្គាម៉ិន (ខេមបូឌា) ឯ.ក</t>
        </is>
      </c>
      <c r="D300" t="inlineStr">
        <is>
          <t>L001-902105025</t>
        </is>
      </c>
      <c r="E300" t="inlineStr">
        <is>
          <t>SSG-20240002</t>
        </is>
      </c>
      <c r="F300" t="inlineStr">
        <is>
          <t>30-04-2024</t>
        </is>
      </c>
      <c r="G300" t="n">
        <v>21203637</v>
      </c>
      <c r="I300">
        <f>G300</f>
        <v/>
      </c>
      <c r="K300">
        <f>I300-G300</f>
        <v/>
      </c>
      <c r="M300" t="inlineStr">
        <is>
          <t>SSG20240002</t>
        </is>
      </c>
      <c r="N300" t="inlineStr">
        <is>
          <t>18703600</t>
        </is>
      </c>
      <c r="O300">
        <f>M300=N300</f>
        <v/>
      </c>
      <c r="P300">
        <f>AND(MONTH(F300)=MONTH(S300), YEAR(F300)=YEAR(S300))</f>
        <v/>
      </c>
      <c r="Q300">
        <f>"L001-902303751"=U300</f>
        <v/>
      </c>
      <c r="R300">
        <f>G300-W300</f>
        <v/>
      </c>
      <c r="S300" s="36" t="n">
        <v>45575</v>
      </c>
      <c r="T300" t="n">
        <v>187036</v>
      </c>
      <c r="U300" t="inlineStr">
        <is>
          <t>K009-901605081</t>
        </is>
      </c>
      <c r="V300" t="inlineStr">
        <is>
          <t>ទ្រូ ខមភែនៀន ឡូជីស្ទីក (ខេមបូឌា)</t>
        </is>
      </c>
      <c r="W300" t="n">
        <v>187036</v>
      </c>
      <c r="X300" t="n">
        <v>0</v>
      </c>
    </row>
    <row r="301">
      <c r="A301" t="n">
        <v>300</v>
      </c>
      <c r="B301" t="inlineStr">
        <is>
          <t>Monthly Security for April 2024</t>
        </is>
      </c>
      <c r="C301" t="inlineStr">
        <is>
          <t>អិល.ប៊ី.អិល.អេច ស៊ីឃ្យូរឹធី ឯ.ក</t>
        </is>
      </c>
      <c r="D301" t="inlineStr">
        <is>
          <t>K010-902202247</t>
        </is>
      </c>
      <c r="E301" t="inlineStr">
        <is>
          <t>L.B.L.H00004</t>
        </is>
      </c>
      <c r="F301" t="inlineStr">
        <is>
          <t>25-04-2024</t>
        </is>
      </c>
      <c r="G301" t="n">
        <v>1393650</v>
      </c>
      <c r="I301">
        <f>G301</f>
        <v/>
      </c>
      <c r="K301">
        <f>I301-G301</f>
        <v/>
      </c>
      <c r="M301" t="inlineStr">
        <is>
          <t>LBLH00004</t>
        </is>
      </c>
      <c r="N301" t="inlineStr">
        <is>
          <t>8408300</t>
        </is>
      </c>
      <c r="O301">
        <f>M301=N301</f>
        <v/>
      </c>
      <c r="P301">
        <f>AND(MONTH(F301)=MONTH(S301), YEAR(F301)=YEAR(S301))</f>
        <v/>
      </c>
      <c r="Q301">
        <f>"L001-902303751"=U301</f>
        <v/>
      </c>
      <c r="R301">
        <f>G301-W301</f>
        <v/>
      </c>
      <c r="S301" s="36" t="n">
        <v>45586</v>
      </c>
      <c r="T301" t="n">
        <v>84083</v>
      </c>
      <c r="U301" t="inlineStr">
        <is>
          <t>L001-104015799</t>
        </is>
      </c>
      <c r="V301" t="inlineStr">
        <is>
          <t>យូសេន ឡូជីស្ទីក (ខេមបូឌា) ខូ អិលធីឌី</t>
        </is>
      </c>
      <c r="W301" t="n">
        <v>84083</v>
      </c>
      <c r="X301" t="n">
        <v>0</v>
      </c>
    </row>
    <row r="302">
      <c r="A302" t="n">
        <v>301</v>
      </c>
      <c r="B302" t="inlineStr">
        <is>
          <t>Monthly Security for April 2024</t>
        </is>
      </c>
      <c r="C302" t="inlineStr">
        <is>
          <t>អិល.ប៊ី.អិល.អេច ស៊ីឃ្យូរឹធី ឯ.ក</t>
        </is>
      </c>
      <c r="D302" t="inlineStr">
        <is>
          <t>K010-902202247</t>
        </is>
      </c>
      <c r="E302" t="inlineStr">
        <is>
          <t>L.B.L.H00018</t>
        </is>
      </c>
      <c r="F302" t="inlineStr">
        <is>
          <t>25-04-2024</t>
        </is>
      </c>
      <c r="G302" t="n">
        <v>509375</v>
      </c>
      <c r="I302">
        <f>G302</f>
        <v/>
      </c>
      <c r="K302">
        <f>I302-G302</f>
        <v/>
      </c>
      <c r="M302" t="inlineStr">
        <is>
          <t>LBLH00018</t>
        </is>
      </c>
      <c r="N302" t="inlineStr">
        <is>
          <t>21163000</t>
        </is>
      </c>
      <c r="O302">
        <f>M302=N302</f>
        <v/>
      </c>
      <c r="P302">
        <f>AND(MONTH(F302)=MONTH(S302), YEAR(F302)=YEAR(S302))</f>
        <v/>
      </c>
      <c r="Q302">
        <f>"L001-902303751"=U302</f>
        <v/>
      </c>
      <c r="R302">
        <f>G302-W302</f>
        <v/>
      </c>
      <c r="S302" s="36" t="n">
        <v>45579</v>
      </c>
      <c r="T302" t="n">
        <v>211630</v>
      </c>
      <c r="U302" t="inlineStr">
        <is>
          <t>K002-901900264</t>
        </is>
      </c>
      <c r="V302" t="inlineStr">
        <is>
          <t>ហេកធ័រ ត្រេនស្ព័រថេសិន (ខេមបូឌា) ឯ.ក</t>
        </is>
      </c>
      <c r="W302" t="n">
        <v>211630</v>
      </c>
      <c r="X302" t="n">
        <v>0</v>
      </c>
    </row>
    <row r="303">
      <c r="A303" t="n">
        <v>302</v>
      </c>
      <c r="B303" t="inlineStr">
        <is>
          <t>Forklift Part</t>
        </is>
      </c>
      <c r="C303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303" t="inlineStr">
        <is>
          <t>L001-901906721</t>
        </is>
      </c>
      <c r="E303" t="inlineStr">
        <is>
          <t>TI-0107</t>
        </is>
      </c>
      <c r="F303" t="inlineStr">
        <is>
          <t>10-04-2024</t>
        </is>
      </c>
      <c r="G303" t="n">
        <v>88902</v>
      </c>
      <c r="I303">
        <f>G303</f>
        <v/>
      </c>
      <c r="K303">
        <f>I303-G303</f>
        <v/>
      </c>
      <c r="M303" t="inlineStr">
        <is>
          <t>TI0107</t>
        </is>
      </c>
      <c r="N303" t="inlineStr">
        <is>
          <t>221270000</t>
        </is>
      </c>
      <c r="O303">
        <f>M303=N303</f>
        <v/>
      </c>
      <c r="P303">
        <f>AND(MONTH(F303)=MONTH(S303), YEAR(F303)=YEAR(S303))</f>
        <v/>
      </c>
      <c r="Q303">
        <f>"L001-902303751"=U303</f>
        <v/>
      </c>
      <c r="R303">
        <f>G303-W303</f>
        <v/>
      </c>
      <c r="S303" s="36" t="n">
        <v>45581</v>
      </c>
      <c r="T303" t="n">
        <v>2212700</v>
      </c>
      <c r="U303" t="inlineStr">
        <is>
          <t>K009-901605081</t>
        </is>
      </c>
      <c r="V303" t="inlineStr">
        <is>
          <t>ទ្រូ ខមភែនៀន ឡូជីស្ទីក (ខេមបូឌា)</t>
        </is>
      </c>
      <c r="W303" t="n">
        <v>2212700</v>
      </c>
      <c r="X303" t="n">
        <v>0</v>
      </c>
    </row>
    <row r="304">
      <c r="A304" t="n">
        <v>303</v>
      </c>
      <c r="B304" t="inlineStr">
        <is>
          <t>Cargo Terminal</t>
        </is>
      </c>
      <c r="C304" t="inlineStr">
        <is>
          <t>សូស៊ីយេតេ កុងសេស្យូនែរ ដឺ ឡាអេរ៉ូព័រ</t>
        </is>
      </c>
      <c r="D304" t="inlineStr">
        <is>
          <t>L001-100047300</t>
        </is>
      </c>
      <c r="E304" t="inlineStr">
        <is>
          <t>2400-030399</t>
        </is>
      </c>
      <c r="F304" t="inlineStr">
        <is>
          <t>29-04-2024</t>
        </is>
      </c>
      <c r="G304" t="n">
        <v>812</v>
      </c>
      <c r="I304">
        <f>G304</f>
        <v/>
      </c>
      <c r="K304">
        <f>I304-G304</f>
        <v/>
      </c>
      <c r="M304" t="inlineStr">
        <is>
          <t>2400030399</t>
        </is>
      </c>
      <c r="N304" t="inlineStr"/>
      <c r="O304">
        <f>M304=N304</f>
        <v/>
      </c>
      <c r="P304">
        <f>AND(MONTH(F304)=MONTH(S304), YEAR(F304)=YEAR(S304))</f>
        <v/>
      </c>
      <c r="Q304">
        <f>"L001-902303751"=U304</f>
        <v/>
      </c>
      <c r="R304">
        <f>G304-W304</f>
        <v/>
      </c>
      <c r="S304" s="36" t="n">
        <v>45569</v>
      </c>
      <c r="T304" t="inlineStr"/>
      <c r="U304" t="inlineStr">
        <is>
          <t>L001-104015799</t>
        </is>
      </c>
      <c r="V304" t="inlineStr">
        <is>
          <t>យូសេន ឡូជីស្ទីក (ខេមបូឌា) ខូ អិលធីឌី</t>
        </is>
      </c>
      <c r="W304" t="n">
        <v>0</v>
      </c>
      <c r="X304" t="n">
        <v>0</v>
      </c>
    </row>
    <row r="305">
      <c r="A305" t="n">
        <v>304</v>
      </c>
      <c r="B305" t="inlineStr">
        <is>
          <t>Customs Clearance Fee</t>
        </is>
      </c>
      <c r="C305" t="inlineStr">
        <is>
          <t>ត្រាយអ៊ែងហ្គល ឡូជីស្ទីក (ខេមបូឌា) ឯ.ក</t>
        </is>
      </c>
      <c r="D305" t="inlineStr">
        <is>
          <t>K010-902101743</t>
        </is>
      </c>
      <c r="E305" t="inlineStr">
        <is>
          <t>TAG-24-00297</t>
        </is>
      </c>
      <c r="F305" t="inlineStr">
        <is>
          <t>30-04-2024</t>
        </is>
      </c>
      <c r="G305" t="n">
        <v>8128</v>
      </c>
      <c r="I305">
        <f>G305</f>
        <v/>
      </c>
      <c r="K305">
        <f>I305-G305</f>
        <v/>
      </c>
      <c r="M305" t="inlineStr">
        <is>
          <t>TAG2400297</t>
        </is>
      </c>
      <c r="N305" t="inlineStr">
        <is>
          <t>17629100</t>
        </is>
      </c>
      <c r="O305">
        <f>M305=N305</f>
        <v/>
      </c>
      <c r="P305">
        <f>AND(MONTH(F305)=MONTH(S305), YEAR(F305)=YEAR(S305))</f>
        <v/>
      </c>
      <c r="Q305">
        <f>"L001-902303751"=U305</f>
        <v/>
      </c>
      <c r="R305">
        <f>G305-W305</f>
        <v/>
      </c>
      <c r="S305" s="36" t="n">
        <v>45579</v>
      </c>
      <c r="T305" t="n">
        <v>176291</v>
      </c>
      <c r="U305" t="inlineStr">
        <is>
          <t>L001-104015799</t>
        </is>
      </c>
      <c r="V305" t="inlineStr">
        <is>
          <t>យូសេន ឡូជីស្ទីក (ខេមបូឌា) ខូ អិលធីឌី</t>
        </is>
      </c>
      <c r="W305" t="n">
        <v>176291</v>
      </c>
      <c r="X305" t="n">
        <v>0</v>
      </c>
    </row>
    <row r="306">
      <c r="A306" t="n">
        <v>305</v>
      </c>
      <c r="B306" t="inlineStr">
        <is>
          <t>Cargo Terminal</t>
        </is>
      </c>
      <c r="C306" t="inlineStr">
        <is>
          <t>សូស៊ីយេតេ កុងសេស្យូនែរ ដឺ ឡាអេរ៉ូព័រ</t>
        </is>
      </c>
      <c r="D306" t="inlineStr">
        <is>
          <t>L001-100047300</t>
        </is>
      </c>
      <c r="E306" t="inlineStr">
        <is>
          <t>2400-026356</t>
        </is>
      </c>
      <c r="F306" t="inlineStr">
        <is>
          <t>12-04-2024</t>
        </is>
      </c>
      <c r="G306" t="n">
        <v>6884</v>
      </c>
      <c r="I306">
        <f>G306</f>
        <v/>
      </c>
      <c r="K306">
        <f>I306-G306</f>
        <v/>
      </c>
      <c r="M306" t="inlineStr">
        <is>
          <t>2400026356</t>
        </is>
      </c>
      <c r="N306" t="inlineStr"/>
      <c r="O306">
        <f>M306=N306</f>
        <v/>
      </c>
      <c r="P306">
        <f>AND(MONTH(F306)=MONTH(S306), YEAR(F306)=YEAR(S306))</f>
        <v/>
      </c>
      <c r="Q306">
        <f>"L001-902303751"=U306</f>
        <v/>
      </c>
      <c r="R306">
        <f>G306-W306</f>
        <v/>
      </c>
      <c r="S306" s="36" t="n">
        <v>45575</v>
      </c>
      <c r="T306" t="inlineStr"/>
      <c r="U306" t="inlineStr">
        <is>
          <t>K009-901605081</t>
        </is>
      </c>
      <c r="V306" t="inlineStr">
        <is>
          <t>ទ្រូ ខមភែនៀន ឡូជីស្ទីក (ខេមបូឌា)</t>
        </is>
      </c>
      <c r="W306" t="n">
        <v>0</v>
      </c>
      <c r="X306" t="n">
        <v>0</v>
      </c>
    </row>
    <row r="307">
      <c r="A307" t="n">
        <v>306</v>
      </c>
      <c r="B307" t="inlineStr">
        <is>
          <t>Customs Clearance Fee</t>
        </is>
      </c>
      <c r="C307" t="inlineStr">
        <is>
          <t>ត្រាយអ៊ែងហ្គល ឡូជីស្ទីក (ខេមបូឌា) ឯ.ក</t>
        </is>
      </c>
      <c r="D307" t="inlineStr">
        <is>
          <t>K010-902101743</t>
        </is>
      </c>
      <c r="E307" t="inlineStr">
        <is>
          <t>TAG-24-00252</t>
        </is>
      </c>
      <c r="F307" t="inlineStr">
        <is>
          <t>11-04-2024</t>
        </is>
      </c>
      <c r="G307" t="n">
        <v>8080</v>
      </c>
      <c r="I307">
        <f>G307</f>
        <v/>
      </c>
      <c r="K307">
        <f>I307-G307</f>
        <v/>
      </c>
      <c r="M307" t="inlineStr">
        <is>
          <t>TAG2400252</t>
        </is>
      </c>
      <c r="N307" t="inlineStr">
        <is>
          <t>18685200</t>
        </is>
      </c>
      <c r="O307">
        <f>M307=N307</f>
        <v/>
      </c>
      <c r="P307">
        <f>AND(MONTH(F307)=MONTH(S307), YEAR(F307)=YEAR(S307))</f>
        <v/>
      </c>
      <c r="Q307">
        <f>"L001-902303751"=U307</f>
        <v/>
      </c>
      <c r="R307">
        <f>G307-W307</f>
        <v/>
      </c>
      <c r="S307" s="36" t="n">
        <v>45589</v>
      </c>
      <c r="T307" t="n">
        <v>186852</v>
      </c>
      <c r="U307" t="inlineStr">
        <is>
          <t>K009-901605081</t>
        </is>
      </c>
      <c r="V307" t="inlineStr">
        <is>
          <t>ទ្រូ ខមភែនៀន ឡូជីស្ទីក (ខេមបូឌា)</t>
        </is>
      </c>
      <c r="W307" t="n">
        <v>186852</v>
      </c>
      <c r="X307" t="n">
        <v>0</v>
      </c>
    </row>
    <row r="308">
      <c r="A308" t="n">
        <v>307</v>
      </c>
      <c r="B308" t="inlineStr">
        <is>
          <t>Lift-On Charge and Gate Fee Charge</t>
        </is>
      </c>
      <c r="C308" t="inlineStr">
        <is>
          <t>កំពង់ផែស្វយ័តភ្នំពេញ "ក.ស.ភ"</t>
        </is>
      </c>
      <c r="D308" t="inlineStr">
        <is>
          <t>L001-100044999</t>
        </is>
      </c>
      <c r="E308" t="inlineStr">
        <is>
          <t>INV20240423887</t>
        </is>
      </c>
      <c r="F308" t="inlineStr">
        <is>
          <t>30-04-2024</t>
        </is>
      </c>
      <c r="G308" t="n">
        <v>1219</v>
      </c>
      <c r="I308">
        <f>G308</f>
        <v/>
      </c>
      <c r="K308">
        <f>I308-G308</f>
        <v/>
      </c>
      <c r="M308" t="inlineStr">
        <is>
          <t>INV20240423887</t>
        </is>
      </c>
      <c r="N308" t="inlineStr">
        <is>
          <t>9626900</t>
        </is>
      </c>
      <c r="O308">
        <f>M308=N308</f>
        <v/>
      </c>
      <c r="P308">
        <f>AND(MONTH(F308)=MONTH(S308), YEAR(F308)=YEAR(S308))</f>
        <v/>
      </c>
      <c r="Q308">
        <f>"L001-902303751"=U308</f>
        <v/>
      </c>
      <c r="R308">
        <f>G308-W308</f>
        <v/>
      </c>
      <c r="S308" s="36" t="n">
        <v>45579</v>
      </c>
      <c r="T308" t="n">
        <v>96269</v>
      </c>
      <c r="U308" t="inlineStr">
        <is>
          <t>K009-901605081</t>
        </is>
      </c>
      <c r="V308" t="inlineStr">
        <is>
          <t>ទ្រូ ខមភែនៀន ឡូជីស្ទីក (ខេមបូឌា)</t>
        </is>
      </c>
      <c r="W308" t="n">
        <v>96269</v>
      </c>
      <c r="X308" t="n">
        <v>0</v>
      </c>
    </row>
    <row r="309">
      <c r="A309" t="n">
        <v>308</v>
      </c>
      <c r="B309" t="inlineStr">
        <is>
          <t>Lift-On Charge and Gate Fee Charge</t>
        </is>
      </c>
      <c r="C309" t="inlineStr">
        <is>
          <t>កំពង់ផែស្វយ័តភ្នំពេញ "ក.ស.ភ"</t>
        </is>
      </c>
      <c r="D309" t="inlineStr">
        <is>
          <t>L001-100044999</t>
        </is>
      </c>
      <c r="E309" t="inlineStr">
        <is>
          <t>INV20240423820</t>
        </is>
      </c>
      <c r="F309" t="inlineStr">
        <is>
          <t>30-04-2024</t>
        </is>
      </c>
      <c r="G309" t="n">
        <v>18694</v>
      </c>
      <c r="I309">
        <f>G309</f>
        <v/>
      </c>
      <c r="K309">
        <f>I309-G309</f>
        <v/>
      </c>
      <c r="M309" t="inlineStr">
        <is>
          <t>INV20240423820</t>
        </is>
      </c>
      <c r="N309" t="inlineStr">
        <is>
          <t>11249000</t>
        </is>
      </c>
      <c r="O309">
        <f>M309=N309</f>
        <v/>
      </c>
      <c r="P309">
        <f>AND(MONTH(F309)=MONTH(S309), YEAR(F309)=YEAR(S309))</f>
        <v/>
      </c>
      <c r="Q309">
        <f>"L001-902303751"=U309</f>
        <v/>
      </c>
      <c r="R309">
        <f>G309-W309</f>
        <v/>
      </c>
      <c r="S309" s="36" t="n">
        <v>45593</v>
      </c>
      <c r="T309" t="n">
        <v>112490</v>
      </c>
      <c r="U309" t="inlineStr">
        <is>
          <t>L001-107041723</t>
        </is>
      </c>
      <c r="V309" t="inlineStr">
        <is>
          <t>ឌីប៊ី សេនឃើរ (ខេមបូឌា) លីមីធីត</t>
        </is>
      </c>
      <c r="W309" t="n">
        <v>112490</v>
      </c>
      <c r="X309" t="n">
        <v>0</v>
      </c>
    </row>
    <row r="310">
      <c r="A310" t="n">
        <v>309</v>
      </c>
      <c r="B310" t="inlineStr">
        <is>
          <t>Customs Clearance Fee and Trucking Fee</t>
        </is>
      </c>
      <c r="C310" t="inlineStr">
        <is>
          <t>ត្រាយអ៊ែងហ្គល ឡូជីស្ទីក (ខេមបូឌា) ឯ.ក</t>
        </is>
      </c>
      <c r="D310" t="inlineStr">
        <is>
          <t>K010-902101743</t>
        </is>
      </c>
      <c r="E310" t="inlineStr">
        <is>
          <t>TAG-24-00222</t>
        </is>
      </c>
      <c r="F310" t="inlineStr">
        <is>
          <t>05-04-2024</t>
        </is>
      </c>
      <c r="G310" t="n">
        <v>81331</v>
      </c>
      <c r="I310">
        <f>G310</f>
        <v/>
      </c>
      <c r="K310">
        <f>I310-G310</f>
        <v/>
      </c>
      <c r="M310" t="inlineStr">
        <is>
          <t>TAG2400222</t>
        </is>
      </c>
      <c r="N310" t="inlineStr"/>
      <c r="O310">
        <f>M310=N310</f>
        <v/>
      </c>
      <c r="P310">
        <f>AND(MONTH(F310)=MONTH(S310), YEAR(F310)=YEAR(S310))</f>
        <v/>
      </c>
      <c r="Q310">
        <f>"L001-902303751"=U310</f>
        <v/>
      </c>
      <c r="R310">
        <f>G310-W310</f>
        <v/>
      </c>
      <c r="S310" s="36" t="n">
        <v>45579</v>
      </c>
      <c r="T310" t="inlineStr"/>
      <c r="U310" t="inlineStr">
        <is>
          <t>K002-901900264</t>
        </is>
      </c>
      <c r="V310" t="inlineStr">
        <is>
          <t>ហេកធ័រ ត្រេនស្ព័រថេសិន (ខេមបូឌា) ឯ.ក</t>
        </is>
      </c>
      <c r="W310" t="n">
        <v>0</v>
      </c>
      <c r="X310" t="n">
        <v>0</v>
      </c>
    </row>
    <row r="311">
      <c r="A311" t="n">
        <v>310</v>
      </c>
      <c r="B311" t="inlineStr">
        <is>
          <t>Charge from warehouse and Storage Charges</t>
        </is>
      </c>
      <c r="C311" t="inlineStr">
        <is>
          <t>កំពង់ផែស្វយ័តក្រុងព្រះសីហនុ</t>
        </is>
      </c>
      <c r="D311" t="inlineStr">
        <is>
          <t>L001-100044638</t>
        </is>
      </c>
      <c r="E311" t="inlineStr">
        <is>
          <t>059600</t>
        </is>
      </c>
      <c r="F311" t="inlineStr">
        <is>
          <t>03-04-2024</t>
        </is>
      </c>
      <c r="G311" t="n">
        <v>2219</v>
      </c>
      <c r="I311">
        <f>G311</f>
        <v/>
      </c>
      <c r="K311">
        <f>I311-G311</f>
        <v/>
      </c>
      <c r="M311" t="inlineStr">
        <is>
          <t>059600</t>
        </is>
      </c>
      <c r="N311" t="inlineStr">
        <is>
          <t>11251700</t>
        </is>
      </c>
      <c r="O311">
        <f>M311=N311</f>
        <v/>
      </c>
      <c r="P311">
        <f>AND(MONTH(F311)=MONTH(S311), YEAR(F311)=YEAR(S311))</f>
        <v/>
      </c>
      <c r="Q311">
        <f>"L001-902303751"=U311</f>
        <v/>
      </c>
      <c r="R311">
        <f>G311-W311</f>
        <v/>
      </c>
      <c r="S311" s="36" t="n">
        <v>45586</v>
      </c>
      <c r="T311" t="n">
        <v>112517</v>
      </c>
      <c r="U311" t="inlineStr">
        <is>
          <t>L001-104015799</t>
        </is>
      </c>
      <c r="V311" t="inlineStr">
        <is>
          <t>យូសេន ឡូជីស្ទីក (ខេមបូឌា) ខូ អិលធីឌី</t>
        </is>
      </c>
      <c r="W311" t="n">
        <v>112517</v>
      </c>
      <c r="X311" t="n">
        <v>0</v>
      </c>
    </row>
    <row r="312">
      <c r="A312" t="n">
        <v>311</v>
      </c>
      <c r="B312" t="inlineStr">
        <is>
          <t>Customs Clearance Fee and Trucking Fee</t>
        </is>
      </c>
      <c r="C312" t="inlineStr">
        <is>
          <t>ត្រាយអ៊ែងហ្គល ឡូជីស្ទីក (ខេមបូឌា) ឯ.ក</t>
        </is>
      </c>
      <c r="D312" t="inlineStr">
        <is>
          <t>K010-902101743</t>
        </is>
      </c>
      <c r="E312" t="inlineStr">
        <is>
          <t>TAG-24-00218</t>
        </is>
      </c>
      <c r="F312" t="inlineStr">
        <is>
          <t>05-04-2024</t>
        </is>
      </c>
      <c r="G312" t="n">
        <v>32328</v>
      </c>
      <c r="I312">
        <f>G312</f>
        <v/>
      </c>
      <c r="K312">
        <f>I312-G312</f>
        <v/>
      </c>
      <c r="M312" t="inlineStr">
        <is>
          <t>TAG2400218</t>
        </is>
      </c>
      <c r="N312" t="inlineStr">
        <is>
          <t>221379000</t>
        </is>
      </c>
      <c r="O312">
        <f>M312=N312</f>
        <v/>
      </c>
      <c r="P312">
        <f>AND(MONTH(F312)=MONTH(S312), YEAR(F312)=YEAR(S312))</f>
        <v/>
      </c>
      <c r="Q312">
        <f>"L001-902303751"=U312</f>
        <v/>
      </c>
      <c r="R312">
        <f>G312-W312</f>
        <v/>
      </c>
      <c r="S312" s="36" t="n">
        <v>45589</v>
      </c>
      <c r="T312" t="n">
        <v>2213790</v>
      </c>
      <c r="U312" t="inlineStr">
        <is>
          <t>K009-901605081</t>
        </is>
      </c>
      <c r="V312" t="inlineStr">
        <is>
          <t>ទ្រូ ខមភែនៀន ឡូជីស្ទីក (ខេមបូឌា)</t>
        </is>
      </c>
      <c r="W312" t="n">
        <v>2213790</v>
      </c>
      <c r="X312" t="n">
        <v>0</v>
      </c>
    </row>
    <row r="313">
      <c r="A313" t="n">
        <v>312</v>
      </c>
      <c r="B313" t="inlineStr">
        <is>
          <t>Charge from warehouse and Storage Charges</t>
        </is>
      </c>
      <c r="C313" t="inlineStr">
        <is>
          <t>កំពង់ផែស្វយ័តក្រុងព្រះសីហនុ</t>
        </is>
      </c>
      <c r="D313" t="inlineStr">
        <is>
          <t>L001-100044638</t>
        </is>
      </c>
      <c r="E313" t="inlineStr">
        <is>
          <t>059601</t>
        </is>
      </c>
      <c r="F313" t="inlineStr">
        <is>
          <t>03-04-2024</t>
        </is>
      </c>
      <c r="G313" t="n">
        <v>738</v>
      </c>
      <c r="I313">
        <f>G313</f>
        <v/>
      </c>
      <c r="K313">
        <f>I313-G313</f>
        <v/>
      </c>
      <c r="M313" t="inlineStr">
        <is>
          <t>059601</t>
        </is>
      </c>
      <c r="N313" t="inlineStr"/>
      <c r="O313">
        <f>M313=N313</f>
        <v/>
      </c>
      <c r="P313">
        <f>AND(MONTH(F313)=MONTH(S313), YEAR(F313)=YEAR(S313))</f>
        <v/>
      </c>
      <c r="Q313">
        <f>"L001-902303751"=U313</f>
        <v/>
      </c>
      <c r="R313">
        <f>G313-W313</f>
        <v/>
      </c>
      <c r="S313" s="36" t="n">
        <v>45579</v>
      </c>
      <c r="T313" t="inlineStr"/>
      <c r="U313" t="inlineStr">
        <is>
          <t>K009-901605081</t>
        </is>
      </c>
      <c r="V313" t="inlineStr">
        <is>
          <t>ទ្រូ ខមភែនៀន ឡូជីស្ទីក (ខេមបូឌា)</t>
        </is>
      </c>
      <c r="W313" t="n">
        <v>0</v>
      </c>
      <c r="X313" t="n">
        <v>0</v>
      </c>
    </row>
    <row r="314">
      <c r="A314" t="n">
        <v>313</v>
      </c>
      <c r="B314" t="inlineStr">
        <is>
          <t>Customs Clearance Fee and Trucking Fee</t>
        </is>
      </c>
      <c r="C314" t="inlineStr">
        <is>
          <t>ត្រាយអ៊ែងហ្គល ឡូជីស្ទីក (ខេមបូឌា) ឯ.ក</t>
        </is>
      </c>
      <c r="D314" t="inlineStr">
        <is>
          <t>K010-902101743</t>
        </is>
      </c>
      <c r="E314" t="inlineStr">
        <is>
          <t>TAG-24-00219</t>
        </is>
      </c>
      <c r="F314" t="inlineStr">
        <is>
          <t>05-04-2024</t>
        </is>
      </c>
      <c r="G314" t="n">
        <v>67217</v>
      </c>
      <c r="I314">
        <f>G314</f>
        <v/>
      </c>
      <c r="K314">
        <f>I314-G314</f>
        <v/>
      </c>
      <c r="M314" t="inlineStr">
        <is>
          <t>TAG2400219</t>
        </is>
      </c>
      <c r="N314" t="inlineStr">
        <is>
          <t>221488000</t>
        </is>
      </c>
      <c r="O314">
        <f>M314=N314</f>
        <v/>
      </c>
      <c r="P314">
        <f>AND(MONTH(F314)=MONTH(S314), YEAR(F314)=YEAR(S314))</f>
        <v/>
      </c>
      <c r="Q314">
        <f>"L001-902303751"=U314</f>
        <v/>
      </c>
      <c r="R314">
        <f>G314-W314</f>
        <v/>
      </c>
      <c r="S314" s="36" t="n">
        <v>45573</v>
      </c>
      <c r="T314" t="n">
        <v>2214880</v>
      </c>
      <c r="U314" t="inlineStr">
        <is>
          <t>K009-901605081</t>
        </is>
      </c>
      <c r="V314" t="inlineStr">
        <is>
          <t>ទ្រូ ខមភែនៀន ឡូជីស្ទីក (ខេមបូឌា)</t>
        </is>
      </c>
      <c r="W314" t="n">
        <v>2214880</v>
      </c>
      <c r="X314" t="n">
        <v>0</v>
      </c>
    </row>
    <row r="315">
      <c r="A315" t="n">
        <v>314</v>
      </c>
      <c r="B315" t="inlineStr">
        <is>
          <t>Charge from warehouse</t>
        </is>
      </c>
      <c r="C315" t="inlineStr">
        <is>
          <t>កំពង់ផែស្វយ័តក្រុងព្រះសីហនុ</t>
        </is>
      </c>
      <c r="D315" t="inlineStr">
        <is>
          <t>L001-100044638</t>
        </is>
      </c>
      <c r="E315" t="inlineStr">
        <is>
          <t>061618</t>
        </is>
      </c>
      <c r="F315" t="inlineStr">
        <is>
          <t>05-04-2024</t>
        </is>
      </c>
      <c r="G315" t="n">
        <v>3710</v>
      </c>
      <c r="I315">
        <f>G315</f>
        <v/>
      </c>
      <c r="K315">
        <f>I315-G315</f>
        <v/>
      </c>
      <c r="M315" t="inlineStr">
        <is>
          <t>061618</t>
        </is>
      </c>
      <c r="N315" t="inlineStr">
        <is>
          <t>18984200</t>
        </is>
      </c>
      <c r="O315">
        <f>M315=N315</f>
        <v/>
      </c>
      <c r="P315">
        <f>AND(MONTH(F315)=MONTH(S315), YEAR(F315)=YEAR(S315))</f>
        <v/>
      </c>
      <c r="Q315">
        <f>"L001-902303751"=U315</f>
        <v/>
      </c>
      <c r="R315">
        <f>G315-W315</f>
        <v/>
      </c>
      <c r="S315" s="36" t="n">
        <v>45238</v>
      </c>
      <c r="T315" t="n">
        <v>189842</v>
      </c>
      <c r="U315" t="inlineStr">
        <is>
          <t>K009-901605081</t>
        </is>
      </c>
      <c r="V315" t="inlineStr">
        <is>
          <t>ទ្រូ ខមភែនៀន ឡូជីស្ទីក (ខេមបូឌា)</t>
        </is>
      </c>
      <c r="W315" t="n">
        <v>189842</v>
      </c>
      <c r="X315" t="n">
        <v>0</v>
      </c>
    </row>
    <row r="316">
      <c r="A316" t="n">
        <v>315</v>
      </c>
      <c r="B316" t="inlineStr">
        <is>
          <t>Customs Clearance Fee and Trucking Fee</t>
        </is>
      </c>
      <c r="C316" t="inlineStr">
        <is>
          <t>ត្រាយអ៊ែងហ្គល ឡូជីស្ទីក (ខេមបូឌា) ឯ.ក</t>
        </is>
      </c>
      <c r="D316" t="inlineStr">
        <is>
          <t>K010-902101743</t>
        </is>
      </c>
      <c r="E316" t="inlineStr">
        <is>
          <t>TAG-24-00235</t>
        </is>
      </c>
      <c r="F316" t="inlineStr">
        <is>
          <t>08-04-2024</t>
        </is>
      </c>
      <c r="G316" t="n">
        <v>28280</v>
      </c>
      <c r="I316">
        <f>G316</f>
        <v/>
      </c>
      <c r="K316">
        <f>I316-G316</f>
        <v/>
      </c>
      <c r="M316" t="inlineStr">
        <is>
          <t>TAG2400235</t>
        </is>
      </c>
      <c r="N316" t="inlineStr"/>
      <c r="O316">
        <f>M316=N316</f>
        <v/>
      </c>
      <c r="P316">
        <f>AND(MONTH(F316)=MONTH(S316), YEAR(F316)=YEAR(S316))</f>
        <v/>
      </c>
      <c r="Q316">
        <f>"L001-902303751"=U316</f>
        <v/>
      </c>
      <c r="R316">
        <f>G316-W316</f>
        <v/>
      </c>
      <c r="S316" s="36" t="n">
        <v>45250</v>
      </c>
      <c r="T316" t="inlineStr"/>
      <c r="U316" t="inlineStr">
        <is>
          <t>K003-901635943</t>
        </is>
      </c>
      <c r="V316" t="inlineStr">
        <is>
          <t>អ៊ីឃ្យូឡាញ វើលវ៉ាយដ៍ ឡូជីស្ទីក</t>
        </is>
      </c>
      <c r="W316" t="n">
        <v>0</v>
      </c>
      <c r="X316" t="n">
        <v>0</v>
      </c>
    </row>
    <row r="317">
      <c r="A317" t="n">
        <v>316</v>
      </c>
      <c r="B317" t="inlineStr">
        <is>
          <t>Warehouse Fee, Transit Fee and Storage Fee</t>
        </is>
      </c>
      <c r="C317" t="inlineStr">
        <is>
          <t>អាយធីអាយ អ៊ិនធើណេសិនណល ត្រេនស័្ពរថេសិន (ខេមបូឌា) ឯ.ក</t>
        </is>
      </c>
      <c r="D317" t="inlineStr">
        <is>
          <t>K002-901800477</t>
        </is>
      </c>
      <c r="E317" t="inlineStr">
        <is>
          <t>CAM241529</t>
        </is>
      </c>
      <c r="F317" t="inlineStr">
        <is>
          <t>08-04-2024</t>
        </is>
      </c>
      <c r="G317" t="n">
        <v>14698</v>
      </c>
      <c r="I317">
        <f>G317</f>
        <v/>
      </c>
      <c r="K317">
        <f>I317-G317</f>
        <v/>
      </c>
      <c r="M317" t="inlineStr">
        <is>
          <t>CAM241529</t>
        </is>
      </c>
      <c r="N317" t="inlineStr">
        <is>
          <t>21047700</t>
        </is>
      </c>
      <c r="O317">
        <f>M317=N317</f>
        <v/>
      </c>
      <c r="P317">
        <f>AND(MONTH(F317)=MONTH(S317), YEAR(F317)=YEAR(S317))</f>
        <v/>
      </c>
      <c r="Q317">
        <f>"L001-902303751"=U317</f>
        <v/>
      </c>
      <c r="R317">
        <f>G317-W317</f>
        <v/>
      </c>
      <c r="S317" s="36" t="n">
        <v>45238</v>
      </c>
      <c r="T317" t="n">
        <v>210477</v>
      </c>
      <c r="U317" t="inlineStr">
        <is>
          <t>K009-107021862</t>
        </is>
      </c>
      <c r="V317" t="inlineStr">
        <is>
          <t>អិមអាយ ឡូជីកស៍ (ខេមបូឌា)</t>
        </is>
      </c>
      <c r="W317" t="n">
        <v>210477</v>
      </c>
      <c r="X317" t="n">
        <v>0</v>
      </c>
    </row>
    <row r="318">
      <c r="A318" t="n">
        <v>317</v>
      </c>
      <c r="B318" t="inlineStr">
        <is>
          <t>Import Shipment Expense</t>
        </is>
      </c>
      <c r="C318" t="inlineStr">
        <is>
          <t>ផេនដា គ្លូប៊ល ឡូជីស្ទីក (ខេមបូឌា)</t>
        </is>
      </c>
      <c r="D318" t="inlineStr">
        <is>
          <t>K005-901501155</t>
        </is>
      </c>
      <c r="E318" t="inlineStr">
        <is>
          <t>PD240103</t>
        </is>
      </c>
      <c r="F318" t="inlineStr">
        <is>
          <t>02-04-2024</t>
        </is>
      </c>
      <c r="G318" t="n">
        <v>110826</v>
      </c>
      <c r="I318">
        <f>G318</f>
        <v/>
      </c>
      <c r="K318">
        <f>I318-G318</f>
        <v/>
      </c>
      <c r="M318" t="inlineStr">
        <is>
          <t>PD240103</t>
        </is>
      </c>
      <c r="N318" t="inlineStr">
        <is>
          <t>11406900</t>
        </is>
      </c>
      <c r="O318">
        <f>M318=N318</f>
        <v/>
      </c>
      <c r="P318">
        <f>AND(MONTH(F318)=MONTH(S318), YEAR(F318)=YEAR(S318))</f>
        <v/>
      </c>
      <c r="Q318">
        <f>"L001-902303751"=U318</f>
        <v/>
      </c>
      <c r="R318">
        <f>G318-W318</f>
        <v/>
      </c>
      <c r="S318" s="36" t="n">
        <v>45243</v>
      </c>
      <c r="T318" t="n">
        <v>114069</v>
      </c>
      <c r="U318" t="inlineStr">
        <is>
          <t>K003-901635943</t>
        </is>
      </c>
      <c r="V318" t="inlineStr">
        <is>
          <t>អ៊ីឃ្យូឡាញ វើលវ៉ាយដ៍ ឡូជីស្ទីក</t>
        </is>
      </c>
      <c r="W318" t="n">
        <v>114069</v>
      </c>
      <c r="X318" t="n">
        <v>0</v>
      </c>
    </row>
    <row r="319">
      <c r="A319" t="n">
        <v>318</v>
      </c>
      <c r="B319" t="inlineStr">
        <is>
          <t>Customs Clearance Fee and Trucking Fee</t>
        </is>
      </c>
      <c r="C319" t="inlineStr">
        <is>
          <t>ត្រាយអ៊ែងហ្គល ឡូជីស្ទីក (ខេមបូឌា) ឯ.ក</t>
        </is>
      </c>
      <c r="D319" t="inlineStr">
        <is>
          <t>K010-902101743</t>
        </is>
      </c>
      <c r="E319" t="inlineStr">
        <is>
          <t>TAG-24-00236</t>
        </is>
      </c>
      <c r="F319" t="inlineStr">
        <is>
          <t>08-04-2024</t>
        </is>
      </c>
      <c r="G319" t="n">
        <v>28280</v>
      </c>
      <c r="I319">
        <f>G319</f>
        <v/>
      </c>
      <c r="K319">
        <f>I319-G319</f>
        <v/>
      </c>
      <c r="M319" t="inlineStr">
        <is>
          <t>TAG2400236</t>
        </is>
      </c>
      <c r="N319" t="inlineStr">
        <is>
          <t>18942800</t>
        </is>
      </c>
      <c r="O319">
        <f>M319=N319</f>
        <v/>
      </c>
      <c r="P319">
        <f>AND(MONTH(F319)=MONTH(S319), YEAR(F319)=YEAR(S319))</f>
        <v/>
      </c>
      <c r="Q319">
        <f>"L001-902303751"=U319</f>
        <v/>
      </c>
      <c r="R319">
        <f>G319-W319</f>
        <v/>
      </c>
      <c r="S319" s="36" t="n">
        <v>45243</v>
      </c>
      <c r="T319" t="n">
        <v>189428</v>
      </c>
      <c r="U319" t="inlineStr">
        <is>
          <t>K009-901605081</t>
        </is>
      </c>
      <c r="V319" t="inlineStr">
        <is>
          <t>ទ្រូ ខមភែនៀន ឡូជីស្ទីក (ខេមបូឌា)</t>
        </is>
      </c>
      <c r="W319" t="n">
        <v>189428</v>
      </c>
      <c r="X319" t="n">
        <v>0</v>
      </c>
    </row>
    <row r="320">
      <c r="A320" t="n">
        <v>319</v>
      </c>
      <c r="B320" t="inlineStr">
        <is>
          <t>Warehouse Fee, Transit Fee and Storage Fee</t>
        </is>
      </c>
      <c r="C320" t="inlineStr">
        <is>
          <t>អាយធីអាយ អ៊ិនធើណេសិនណល ត្រេនស័្ពរថេសិន (ខេមបូឌា) ឯ.ក</t>
        </is>
      </c>
      <c r="D320" t="inlineStr">
        <is>
          <t>K002-901800477</t>
        </is>
      </c>
      <c r="E320" t="inlineStr">
        <is>
          <t>CAM241530</t>
        </is>
      </c>
      <c r="F320" t="inlineStr">
        <is>
          <t>08-04-2024</t>
        </is>
      </c>
      <c r="G320" t="n">
        <v>25503</v>
      </c>
      <c r="I320">
        <f>G320</f>
        <v/>
      </c>
      <c r="K320">
        <f>I320-G320</f>
        <v/>
      </c>
      <c r="M320" t="inlineStr">
        <is>
          <t>CAM241530</t>
        </is>
      </c>
      <c r="N320" t="inlineStr">
        <is>
          <t>225194000</t>
        </is>
      </c>
      <c r="O320">
        <f>M320=N320</f>
        <v/>
      </c>
      <c r="P320">
        <f>AND(MONTH(F320)=MONTH(S320), YEAR(F320)=YEAR(S320))</f>
        <v/>
      </c>
      <c r="Q320">
        <f>"L001-902303751"=U320</f>
        <v/>
      </c>
      <c r="R320">
        <f>G320-W320</f>
        <v/>
      </c>
      <c r="S320" s="36" t="n">
        <v>45232</v>
      </c>
      <c r="T320" t="n">
        <v>2251940</v>
      </c>
      <c r="U320" t="inlineStr">
        <is>
          <t>K009-901605081</t>
        </is>
      </c>
      <c r="V320" t="inlineStr">
        <is>
          <t>ទ្រូ ខមភែនៀន ឡូជីស្ទីក (ខេមបូឌា)</t>
        </is>
      </c>
      <c r="W320" t="n">
        <v>2251940</v>
      </c>
      <c r="X320" t="n">
        <v>0</v>
      </c>
    </row>
    <row r="321">
      <c r="A321" t="n">
        <v>320</v>
      </c>
      <c r="B321" t="inlineStr">
        <is>
          <t>Import Shipment Expense</t>
        </is>
      </c>
      <c r="C321" t="inlineStr">
        <is>
          <t>ផេនដា គ្លូប៊ល ឡូជីស្ទីក (ខេមបូឌា)</t>
        </is>
      </c>
      <c r="D321" t="inlineStr">
        <is>
          <t>K005-901501155</t>
        </is>
      </c>
      <c r="E321" t="inlineStr">
        <is>
          <t>PD240102</t>
        </is>
      </c>
      <c r="F321" t="inlineStr">
        <is>
          <t>02-04-2024</t>
        </is>
      </c>
      <c r="G321" t="n">
        <v>135894</v>
      </c>
      <c r="I321">
        <f>G321</f>
        <v/>
      </c>
      <c r="K321">
        <f>I321-G321</f>
        <v/>
      </c>
      <c r="M321" t="inlineStr">
        <is>
          <t>PD240102</t>
        </is>
      </c>
      <c r="N321" t="inlineStr"/>
      <c r="O321">
        <f>M321=N321</f>
        <v/>
      </c>
      <c r="P321">
        <f>AND(MONTH(F321)=MONTH(S321), YEAR(F321)=YEAR(S321))</f>
        <v/>
      </c>
      <c r="Q321">
        <f>"L001-902303751"=U321</f>
        <v/>
      </c>
      <c r="R321">
        <f>G321-W321</f>
        <v/>
      </c>
      <c r="S321" s="36" t="n">
        <v>45243</v>
      </c>
      <c r="T321" t="inlineStr"/>
      <c r="U321" t="inlineStr">
        <is>
          <t>K003-901635943</t>
        </is>
      </c>
      <c r="V321" t="inlineStr">
        <is>
          <t>អ៊ីឃ្យូឡាញ វើលវ៉ាយដ៍ ឡូជីស្ទីក</t>
        </is>
      </c>
      <c r="W321" t="n">
        <v>0</v>
      </c>
      <c r="X321" t="n">
        <v>0</v>
      </c>
    </row>
    <row r="322">
      <c r="A322" t="n">
        <v>321</v>
      </c>
      <c r="B322" t="inlineStr">
        <is>
          <t>Customs Clearance Fee and Trucking Fee</t>
        </is>
      </c>
      <c r="C322" t="inlineStr">
        <is>
          <t>ត្រាយអ៊ែងហ្គល ឡូជីស្ទីក (ខេមបូឌា) ឯ.ក</t>
        </is>
      </c>
      <c r="D322" t="inlineStr">
        <is>
          <t>K010-902101743</t>
        </is>
      </c>
      <c r="E322" t="inlineStr">
        <is>
          <t>TAG-24-00206</t>
        </is>
      </c>
      <c r="F322" t="inlineStr">
        <is>
          <t>05-04-2024</t>
        </is>
      </c>
      <c r="G322" t="n">
        <v>101841</v>
      </c>
      <c r="I322">
        <f>G322</f>
        <v/>
      </c>
      <c r="K322">
        <f>I322-G322</f>
        <v/>
      </c>
      <c r="M322" t="inlineStr">
        <is>
          <t>TAG2400206</t>
        </is>
      </c>
      <c r="N322" t="inlineStr">
        <is>
          <t>18942800</t>
        </is>
      </c>
      <c r="O322">
        <f>M322=N322</f>
        <v/>
      </c>
      <c r="P322">
        <f>AND(MONTH(F322)=MONTH(S322), YEAR(F322)=YEAR(S322))</f>
        <v/>
      </c>
      <c r="Q322">
        <f>"L001-902303751"=U322</f>
        <v/>
      </c>
      <c r="R322">
        <f>G322-W322</f>
        <v/>
      </c>
      <c r="S322" s="36" t="n">
        <v>45243</v>
      </c>
      <c r="T322" t="n">
        <v>189428</v>
      </c>
      <c r="U322" t="inlineStr">
        <is>
          <t>K009-901605081</t>
        </is>
      </c>
      <c r="V322" t="inlineStr">
        <is>
          <t>ទ្រូ ខមភែនៀន ឡូជីស្ទីក (ខេមបូឌា)</t>
        </is>
      </c>
      <c r="W322" t="n">
        <v>189428</v>
      </c>
      <c r="X322" t="n">
        <v>0</v>
      </c>
    </row>
    <row r="323">
      <c r="A323" t="n">
        <v>322</v>
      </c>
      <c r="B323" t="inlineStr">
        <is>
          <t>Charge from warehouse and Storage Charges</t>
        </is>
      </c>
      <c r="C323" t="inlineStr">
        <is>
          <t>កំពង់ផែស្វយ័តក្រុងព្រះសីហនុ</t>
        </is>
      </c>
      <c r="D323" t="inlineStr">
        <is>
          <t>L001-100044638</t>
        </is>
      </c>
      <c r="E323" t="inlineStr">
        <is>
          <t>059602</t>
        </is>
      </c>
      <c r="F323" t="inlineStr">
        <is>
          <t>03-04-2024</t>
        </is>
      </c>
      <c r="G323" t="n">
        <v>7395</v>
      </c>
      <c r="I323">
        <f>G323</f>
        <v/>
      </c>
      <c r="K323">
        <f>I323-G323</f>
        <v/>
      </c>
      <c r="M323" t="inlineStr">
        <is>
          <t>059602</t>
        </is>
      </c>
      <c r="N323" t="inlineStr">
        <is>
          <t>224431000</t>
        </is>
      </c>
      <c r="O323">
        <f>M323=N323</f>
        <v/>
      </c>
      <c r="P323">
        <f>AND(MONTH(F323)=MONTH(S323), YEAR(F323)=YEAR(S323))</f>
        <v/>
      </c>
      <c r="Q323">
        <f>"L001-902303751"=U323</f>
        <v/>
      </c>
      <c r="R323">
        <f>G323-W323</f>
        <v/>
      </c>
      <c r="S323" s="36" t="n">
        <v>45243</v>
      </c>
      <c r="T323" t="n">
        <v>2244310</v>
      </c>
      <c r="U323" t="inlineStr">
        <is>
          <t>K009-901605081</t>
        </is>
      </c>
      <c r="V323" t="inlineStr">
        <is>
          <t>ទ្រូ ខមភែនៀន ឡូជីស្ទីក (ខេមបូឌា)</t>
        </is>
      </c>
      <c r="W323" t="n">
        <v>2244310</v>
      </c>
      <c r="X323" t="n">
        <v>0</v>
      </c>
    </row>
    <row r="324">
      <c r="A324" t="n">
        <v>323</v>
      </c>
      <c r="B324" t="inlineStr">
        <is>
          <t>Customs Clearance Fee and Trucking Fee</t>
        </is>
      </c>
      <c r="C324" t="inlineStr">
        <is>
          <t>ត្រាយអ៊ែងហ្គល ឡូជីស្ទីក (ខេមបូឌា) ឯ.ក</t>
        </is>
      </c>
      <c r="D324" t="inlineStr">
        <is>
          <t>K010-902101743</t>
        </is>
      </c>
      <c r="E324" t="inlineStr">
        <is>
          <t>TAG-24-00216</t>
        </is>
      </c>
      <c r="F324" t="inlineStr">
        <is>
          <t>05-04-2024</t>
        </is>
      </c>
      <c r="G324" t="n">
        <v>93839</v>
      </c>
      <c r="I324">
        <f>G324</f>
        <v/>
      </c>
      <c r="K324">
        <f>I324-G324</f>
        <v/>
      </c>
      <c r="M324" t="inlineStr">
        <is>
          <t>TAG2400216</t>
        </is>
      </c>
      <c r="N324" t="inlineStr">
        <is>
          <t>19007200</t>
        </is>
      </c>
      <c r="O324">
        <f>M324=N324</f>
        <v/>
      </c>
      <c r="P324">
        <f>AND(MONTH(F324)=MONTH(S324), YEAR(F324)=YEAR(S324))</f>
        <v/>
      </c>
      <c r="Q324">
        <f>"L001-902303751"=U324</f>
        <v/>
      </c>
      <c r="R324">
        <f>G324-W324</f>
        <v/>
      </c>
      <c r="S324" s="36" t="n">
        <v>45232</v>
      </c>
      <c r="T324" t="n">
        <v>190072</v>
      </c>
      <c r="U324" t="inlineStr">
        <is>
          <t>K009-901605081</t>
        </is>
      </c>
      <c r="V324" t="inlineStr">
        <is>
          <t>ទ្រូ ខមភែនៀន ឡូជីស្ទីក (ខេមបូឌា)</t>
        </is>
      </c>
      <c r="W324" t="n">
        <v>190072</v>
      </c>
      <c r="X324" t="n">
        <v>0</v>
      </c>
    </row>
    <row r="325">
      <c r="A325" t="n">
        <v>324</v>
      </c>
      <c r="B325" t="inlineStr">
        <is>
          <t>Service Fee</t>
        </is>
      </c>
      <c r="C325" t="inlineStr">
        <is>
          <t>ប្យួរ៉ូ វេរីតាស (ខេមបូឌា) លីមីធីត</t>
        </is>
      </c>
      <c r="D325" t="inlineStr">
        <is>
          <t>L001-107024462</t>
        </is>
      </c>
      <c r="E325" t="inlineStr">
        <is>
          <t>59017377</t>
        </is>
      </c>
      <c r="F325" t="inlineStr">
        <is>
          <t>05-04-2024</t>
        </is>
      </c>
      <c r="G325" t="n">
        <v>803149</v>
      </c>
      <c r="I325">
        <f>G325</f>
        <v/>
      </c>
      <c r="K325">
        <f>I325-G325</f>
        <v/>
      </c>
      <c r="M325" t="inlineStr">
        <is>
          <t>59017377</t>
        </is>
      </c>
      <c r="N325" t="inlineStr">
        <is>
          <t>224921500</t>
        </is>
      </c>
      <c r="O325">
        <f>M325=N325</f>
        <v/>
      </c>
      <c r="P325">
        <f>AND(MONTH(F325)=MONTH(S325), YEAR(F325)=YEAR(S325))</f>
        <v/>
      </c>
      <c r="Q325">
        <f>"L001-902303751"=U325</f>
        <v/>
      </c>
      <c r="R325">
        <f>G325-W325</f>
        <v/>
      </c>
      <c r="S325" s="36" t="n">
        <v>45238</v>
      </c>
      <c r="T325" t="n">
        <v>2249215</v>
      </c>
      <c r="U325" t="inlineStr">
        <is>
          <t>K009-901605081</t>
        </is>
      </c>
      <c r="V325" t="inlineStr">
        <is>
          <t>ទ្រូ ខមភែនៀន ឡូជីស្ទីក (ខេមបូឌា)</t>
        </is>
      </c>
      <c r="W325" t="n">
        <v>2249215</v>
      </c>
      <c r="X325" t="n">
        <v>0</v>
      </c>
    </row>
    <row r="326">
      <c r="A326" t="n">
        <v>325</v>
      </c>
      <c r="B326" t="inlineStr">
        <is>
          <t>Service Fee</t>
        </is>
      </c>
      <c r="C326" t="inlineStr">
        <is>
          <t>ប្យួរ៉ូ វេរីតាស (ខេមបូឌា) លីមីធីត</t>
        </is>
      </c>
      <c r="D326" t="inlineStr">
        <is>
          <t>L001-107024462</t>
        </is>
      </c>
      <c r="E326" t="inlineStr">
        <is>
          <t>59017464</t>
        </is>
      </c>
      <c r="F326" t="inlineStr">
        <is>
          <t>03-04-2024</t>
        </is>
      </c>
      <c r="G326" t="n">
        <v>132851</v>
      </c>
      <c r="I326">
        <f>G326</f>
        <v/>
      </c>
      <c r="K326">
        <f>I326-G326</f>
        <v/>
      </c>
      <c r="M326" t="inlineStr">
        <is>
          <t>59017464</t>
        </is>
      </c>
      <c r="N326" t="inlineStr">
        <is>
          <t>19007200</t>
        </is>
      </c>
      <c r="O326">
        <f>M326=N326</f>
        <v/>
      </c>
      <c r="P326">
        <f>AND(MONTH(F326)=MONTH(S326), YEAR(F326)=YEAR(S326))</f>
        <v/>
      </c>
      <c r="Q326">
        <f>"L001-902303751"=U326</f>
        <v/>
      </c>
      <c r="R326">
        <f>G326-W326</f>
        <v/>
      </c>
      <c r="S326" s="36" t="n">
        <v>45232</v>
      </c>
      <c r="T326" t="n">
        <v>190072</v>
      </c>
      <c r="U326" t="inlineStr">
        <is>
          <t>K009-901605081</t>
        </is>
      </c>
      <c r="V326" t="inlineStr">
        <is>
          <t>ទ្រូ ខមភែនៀន ឡូជីស្ទីក (ខេមបូឌា)</t>
        </is>
      </c>
      <c r="W326" t="n">
        <v>190072</v>
      </c>
      <c r="X326" t="n">
        <v>0</v>
      </c>
    </row>
    <row r="327">
      <c r="A327" t="n">
        <v>326</v>
      </c>
      <c r="B327" t="inlineStr">
        <is>
          <t>Raw Material</t>
        </is>
      </c>
      <c r="C327" t="inlineStr">
        <is>
          <t>ក្លាក ហ៊ូ ឯ.ក</t>
        </is>
      </c>
      <c r="D327" t="inlineStr">
        <is>
          <t>K007-901639199</t>
        </is>
      </c>
      <c r="E327" t="inlineStr">
        <is>
          <t>IN0082</t>
        </is>
      </c>
      <c r="F327" t="inlineStr">
        <is>
          <t>01-04-2024</t>
        </is>
      </c>
      <c r="G327" t="n">
        <v>589052</v>
      </c>
      <c r="I327">
        <f>G327</f>
        <v/>
      </c>
      <c r="K327">
        <f>I327-G327</f>
        <v/>
      </c>
      <c r="M327" t="inlineStr">
        <is>
          <t>IN0082</t>
        </is>
      </c>
      <c r="N327" t="inlineStr">
        <is>
          <t>8528400</t>
        </is>
      </c>
      <c r="O327">
        <f>M327=N327</f>
        <v/>
      </c>
      <c r="P327">
        <f>AND(MONTH(F327)=MONTH(S327), YEAR(F327)=YEAR(S327))</f>
        <v/>
      </c>
      <c r="Q327">
        <f>"L001-902303751"=U327</f>
        <v/>
      </c>
      <c r="R327">
        <f>G327-W327</f>
        <v/>
      </c>
      <c r="S327" s="36" t="n">
        <v>45250</v>
      </c>
      <c r="T327" t="n">
        <v>85284</v>
      </c>
      <c r="U327" t="inlineStr">
        <is>
          <t>L001-104015799</t>
        </is>
      </c>
      <c r="V327" t="inlineStr">
        <is>
          <t>យូសេន ឡូជីស្ទីក (ខេមបូឌា) ខូ អិលធីឌី</t>
        </is>
      </c>
      <c r="W327" t="n">
        <v>85284</v>
      </c>
      <c r="X327" t="n">
        <v>0</v>
      </c>
    </row>
    <row r="328">
      <c r="A328" t="n">
        <v>327</v>
      </c>
      <c r="B328" t="inlineStr">
        <is>
          <t>Customs Clearance Fee and Trucking Fee</t>
        </is>
      </c>
      <c r="C328" t="inlineStr">
        <is>
          <t>ត្រាយអ៊ែងហ្គល ឡូជីស្ទីក (ខេមបូឌា) ឯ.ក</t>
        </is>
      </c>
      <c r="D328" t="inlineStr">
        <is>
          <t>K010-902101743</t>
        </is>
      </c>
      <c r="E328" t="inlineStr">
        <is>
          <t>TAG-24-00215</t>
        </is>
      </c>
      <c r="F328" t="inlineStr">
        <is>
          <t>05-04-2024</t>
        </is>
      </c>
      <c r="G328" t="n">
        <v>68697</v>
      </c>
      <c r="I328">
        <f>G328</f>
        <v/>
      </c>
      <c r="K328">
        <f>I328-G328</f>
        <v/>
      </c>
      <c r="M328" t="inlineStr">
        <is>
          <t>TAG2400215</t>
        </is>
      </c>
      <c r="N328" t="inlineStr">
        <is>
          <t>225194000</t>
        </is>
      </c>
      <c r="O328">
        <f>M328=N328</f>
        <v/>
      </c>
      <c r="P328">
        <f>AND(MONTH(F328)=MONTH(S328), YEAR(F328)=YEAR(S328))</f>
        <v/>
      </c>
      <c r="Q328">
        <f>"L001-902303751"=U328</f>
        <v/>
      </c>
      <c r="R328">
        <f>G328-W328</f>
        <v/>
      </c>
      <c r="S328" s="36" t="n">
        <v>45232</v>
      </c>
      <c r="T328" t="n">
        <v>2251940</v>
      </c>
      <c r="U328" t="inlineStr">
        <is>
          <t>K009-901605081</t>
        </is>
      </c>
      <c r="V328" t="inlineStr">
        <is>
          <t>ទ្រូ ខមភែនៀន ឡូជីស្ទីក (ខេមបូឌា)</t>
        </is>
      </c>
      <c r="W328" t="n">
        <v>2251940</v>
      </c>
      <c r="X328" t="n">
        <v>0</v>
      </c>
    </row>
    <row r="329">
      <c r="A329" t="n">
        <v>328</v>
      </c>
      <c r="B329" t="inlineStr">
        <is>
          <t>Lift-On &amp; Lift-Off</t>
        </is>
      </c>
      <c r="C329" t="inlineStr">
        <is>
          <t>កំពង់ផែស្វយ័តក្រុងព្រះសីហនុ</t>
        </is>
      </c>
      <c r="D329" t="inlineStr">
        <is>
          <t>L001-100044638</t>
        </is>
      </c>
      <c r="E329" t="inlineStr">
        <is>
          <t>059534</t>
        </is>
      </c>
      <c r="F329" t="inlineStr">
        <is>
          <t>03-04-2024</t>
        </is>
      </c>
      <c r="G329" t="n">
        <v>23034</v>
      </c>
      <c r="I329">
        <f>G329</f>
        <v/>
      </c>
      <c r="K329">
        <f>I329-G329</f>
        <v/>
      </c>
      <c r="M329" t="inlineStr">
        <is>
          <t>059534</t>
        </is>
      </c>
      <c r="N329" t="inlineStr">
        <is>
          <t>11398600</t>
        </is>
      </c>
      <c r="O329">
        <f>M329=N329</f>
        <v/>
      </c>
      <c r="P329">
        <f>AND(MONTH(F329)=MONTH(S329), YEAR(F329)=YEAR(S329))</f>
        <v/>
      </c>
      <c r="Q329">
        <f>"L001-902303751"=U329</f>
        <v/>
      </c>
      <c r="R329">
        <f>G329-W329</f>
        <v/>
      </c>
      <c r="S329" s="36" t="n">
        <v>45254</v>
      </c>
      <c r="T329" t="n">
        <v>113986</v>
      </c>
      <c r="U329" t="inlineStr">
        <is>
          <t>L001-104015799</t>
        </is>
      </c>
      <c r="V329" t="inlineStr">
        <is>
          <t>យូសេន ឡូជីស្ទីក (ខេមបូឌា) ខូ អិលធីឌី</t>
        </is>
      </c>
      <c r="W329" t="n">
        <v>113986</v>
      </c>
      <c r="X329" t="n">
        <v>0</v>
      </c>
    </row>
    <row r="330">
      <c r="A330" t="n">
        <v>329</v>
      </c>
      <c r="B330" t="inlineStr">
        <is>
          <t>THC Carrier Charge, CIC Carrire Charge, Admin Fee, Agency Fee and Ocean Freight</t>
        </is>
      </c>
      <c r="C330" t="inlineStr">
        <is>
          <t>ហ្វ្រេត ខនសិប (ខេមបូឌា)</t>
        </is>
      </c>
      <c r="D330" t="inlineStr">
        <is>
          <t>K009-901502482</t>
        </is>
      </c>
      <c r="E330" t="inlineStr">
        <is>
          <t>240287</t>
        </is>
      </c>
      <c r="F330" t="inlineStr">
        <is>
          <t>01-04-2024</t>
        </is>
      </c>
      <c r="G330" t="n">
        <v>248337</v>
      </c>
      <c r="I330">
        <f>G330</f>
        <v/>
      </c>
      <c r="K330">
        <f>I330-G330</f>
        <v/>
      </c>
      <c r="M330" t="inlineStr">
        <is>
          <t>240287</t>
        </is>
      </c>
      <c r="N330" t="inlineStr">
        <is>
          <t>2057500</t>
        </is>
      </c>
      <c r="O330">
        <f>M330=N330</f>
        <v/>
      </c>
      <c r="P330">
        <f>AND(MONTH(F330)=MONTH(S330), YEAR(F330)=YEAR(S330))</f>
        <v/>
      </c>
      <c r="Q330">
        <f>"L001-902303751"=U330</f>
        <v/>
      </c>
      <c r="R330">
        <f>G330-W330</f>
        <v/>
      </c>
      <c r="S330" s="36" t="n">
        <v>45260</v>
      </c>
      <c r="T330" t="n">
        <v>20575</v>
      </c>
      <c r="U330" t="inlineStr">
        <is>
          <t>L001-104015799</t>
        </is>
      </c>
      <c r="V330" t="inlineStr">
        <is>
          <t>យូសេន ឡូជីស្ទីក (ខេមបូឌា) ខូ អិលធីឌី</t>
        </is>
      </c>
      <c r="W330" t="n">
        <v>20575</v>
      </c>
      <c r="X330" t="n">
        <v>0</v>
      </c>
    </row>
    <row r="331">
      <c r="A331" t="n">
        <v>330</v>
      </c>
      <c r="B331" t="inlineStr">
        <is>
          <t>Customs Clearance Fee and Trucking Fee</t>
        </is>
      </c>
      <c r="C331" t="inlineStr">
        <is>
          <t>ត្រាយអ៊ែងហ្គល ឡូជីស្ទីក (ខេមបូឌា) ឯ.ក</t>
        </is>
      </c>
      <c r="D331" t="inlineStr">
        <is>
          <t>K010-902101743</t>
        </is>
      </c>
      <c r="E331" t="inlineStr">
        <is>
          <t>TAG-24-00234</t>
        </is>
      </c>
      <c r="F331" t="inlineStr">
        <is>
          <t>08-04-2024</t>
        </is>
      </c>
      <c r="G331" t="n">
        <v>68680</v>
      </c>
      <c r="I331">
        <f>G331</f>
        <v/>
      </c>
      <c r="K331">
        <f>I331-G331</f>
        <v/>
      </c>
      <c r="M331" t="inlineStr">
        <is>
          <t>TAG2400234</t>
        </is>
      </c>
      <c r="N331" t="inlineStr">
        <is>
          <t>17880800</t>
        </is>
      </c>
      <c r="O331">
        <f>M331=N331</f>
        <v/>
      </c>
      <c r="P331">
        <f>AND(MONTH(F331)=MONTH(S331), YEAR(F331)=YEAR(S331))</f>
        <v/>
      </c>
      <c r="Q331">
        <f>"L001-902303751"=U331</f>
        <v/>
      </c>
      <c r="R331">
        <f>G331-W331</f>
        <v/>
      </c>
      <c r="S331" s="36" t="n">
        <v>45250</v>
      </c>
      <c r="T331" t="n">
        <v>178808</v>
      </c>
      <c r="U331" t="inlineStr">
        <is>
          <t>K003-901635943</t>
        </is>
      </c>
      <c r="V331" t="inlineStr">
        <is>
          <t>អ៊ីឃ្យូឡាញ វើលវ៉ាយដ៍ ឡូជីស្ទីក</t>
        </is>
      </c>
      <c r="W331" t="n">
        <v>178808</v>
      </c>
      <c r="X331" t="n">
        <v>0</v>
      </c>
    </row>
    <row r="332">
      <c r="A332" t="n">
        <v>331</v>
      </c>
      <c r="B332" t="inlineStr">
        <is>
          <t>Lift-On &amp; Lift-Off and Storage Charges</t>
        </is>
      </c>
      <c r="C332" t="inlineStr">
        <is>
          <t>កំពង់ផែស្វយ័តក្រុងព្រះសីហនុ</t>
        </is>
      </c>
      <c r="D332" t="inlineStr">
        <is>
          <t>L001-100044638</t>
        </is>
      </c>
      <c r="E332" t="inlineStr">
        <is>
          <t>062994</t>
        </is>
      </c>
      <c r="F332" t="inlineStr">
        <is>
          <t>08-04-2024</t>
        </is>
      </c>
      <c r="G332" t="n">
        <v>38784</v>
      </c>
      <c r="I332">
        <f>G332</f>
        <v/>
      </c>
      <c r="K332">
        <f>I332-G332</f>
        <v/>
      </c>
      <c r="M332" t="inlineStr">
        <is>
          <t>062994</t>
        </is>
      </c>
      <c r="N332" t="inlineStr">
        <is>
          <t>20739600</t>
        </is>
      </c>
      <c r="O332">
        <f>M332=N332</f>
        <v/>
      </c>
      <c r="P332">
        <f>AND(MONTH(F332)=MONTH(S332), YEAR(F332)=YEAR(S332))</f>
        <v/>
      </c>
      <c r="Q332">
        <f>"L001-902303751"=U332</f>
        <v/>
      </c>
      <c r="R332">
        <f>G332-W332</f>
        <v/>
      </c>
      <c r="S332" s="36" t="n">
        <v>45254</v>
      </c>
      <c r="T332" t="n">
        <v>207396</v>
      </c>
      <c r="U332" t="inlineStr">
        <is>
          <t>L001-104015799</t>
        </is>
      </c>
      <c r="V332" t="inlineStr">
        <is>
          <t>យូសេន ឡូជីស្ទីក (ខេមបូឌា) ខូ អិលធីឌី</t>
        </is>
      </c>
      <c r="W332" t="n">
        <v>207396</v>
      </c>
      <c r="X332" t="n">
        <v>0</v>
      </c>
    </row>
    <row r="333">
      <c r="A333" t="n">
        <v>332</v>
      </c>
      <c r="B333" t="inlineStr">
        <is>
          <t>Charge from warehouse</t>
        </is>
      </c>
      <c r="C333" t="inlineStr">
        <is>
          <t>កំពង់ផែស្វយ័តក្រុងព្រះសីហនុ</t>
        </is>
      </c>
      <c r="D333" t="inlineStr">
        <is>
          <t>L001-100044638</t>
        </is>
      </c>
      <c r="E333" t="inlineStr">
        <is>
          <t>062102</t>
        </is>
      </c>
      <c r="F333" t="inlineStr">
        <is>
          <t>06-04-2024</t>
        </is>
      </c>
      <c r="G333" t="n">
        <v>3710</v>
      </c>
      <c r="I333">
        <f>G333</f>
        <v/>
      </c>
      <c r="K333">
        <f>I333-G333</f>
        <v/>
      </c>
      <c r="M333" t="inlineStr">
        <is>
          <t>062102</t>
        </is>
      </c>
      <c r="N333" t="inlineStr"/>
      <c r="O333">
        <f>M333=N333</f>
        <v/>
      </c>
      <c r="P333">
        <f>AND(MONTH(F333)=MONTH(S333), YEAR(F333)=YEAR(S333))</f>
        <v/>
      </c>
      <c r="Q333">
        <f>"L001-902303751"=U333</f>
        <v/>
      </c>
      <c r="R333">
        <f>G333-W333</f>
        <v/>
      </c>
      <c r="S333" s="36" t="n">
        <v>45254</v>
      </c>
      <c r="T333" t="inlineStr"/>
      <c r="U333" t="inlineStr">
        <is>
          <t>K003-901635943</t>
        </is>
      </c>
      <c r="V333" t="inlineStr">
        <is>
          <t>អ៊ីឃ្យូឡាញ វើលវ៉ាយដ៍ ឡូជីស្ទីក</t>
        </is>
      </c>
      <c r="W333" t="n">
        <v>0</v>
      </c>
      <c r="X333" t="n">
        <v>0</v>
      </c>
    </row>
    <row r="334">
      <c r="A334" t="n">
        <v>333</v>
      </c>
      <c r="B334" t="inlineStr">
        <is>
          <t>Terminal Handling Charges, CFS Fee, Scan Fee, D/O Fee, Document Fee, Handling Fee, Co-Leader Agency Fee and LSS Charge</t>
        </is>
      </c>
      <c r="C334" t="inlineStr">
        <is>
          <t>ត្រាយអ៊ែងហ្គល ឡូជីស្ទីក (ខេមបូឌា) ឯ.ក</t>
        </is>
      </c>
      <c r="D334" t="inlineStr">
        <is>
          <t>K010-902101743</t>
        </is>
      </c>
      <c r="E334" t="inlineStr">
        <is>
          <t>TAG-24-00200</t>
        </is>
      </c>
      <c r="F334" t="inlineStr">
        <is>
          <t>01-04-2024</t>
        </is>
      </c>
      <c r="G334" t="n">
        <v>218738</v>
      </c>
      <c r="I334">
        <f>G334</f>
        <v/>
      </c>
      <c r="K334">
        <f>I334-G334</f>
        <v/>
      </c>
      <c r="M334" t="inlineStr">
        <is>
          <t>TAG2400200</t>
        </is>
      </c>
      <c r="N334" t="inlineStr">
        <is>
          <t>19007200</t>
        </is>
      </c>
      <c r="O334">
        <f>M334=N334</f>
        <v/>
      </c>
      <c r="P334">
        <f>AND(MONTH(F334)=MONTH(S334), YEAR(F334)=YEAR(S334))</f>
        <v/>
      </c>
      <c r="Q334">
        <f>"L001-902303751"=U334</f>
        <v/>
      </c>
      <c r="R334">
        <f>G334-W334</f>
        <v/>
      </c>
      <c r="S334" s="36" t="n">
        <v>45232</v>
      </c>
      <c r="T334" t="n">
        <v>190072</v>
      </c>
      <c r="U334" t="inlineStr">
        <is>
          <t>K009-901605081</t>
        </is>
      </c>
      <c r="V334" t="inlineStr">
        <is>
          <t>ទ្រូ ខមភែនៀន ឡូជីស្ទីក (ខេមបូឌា)</t>
        </is>
      </c>
      <c r="W334" t="n">
        <v>190072</v>
      </c>
      <c r="X334" t="n">
        <v>0</v>
      </c>
    </row>
    <row r="335">
      <c r="A335" t="n">
        <v>334</v>
      </c>
      <c r="B335" t="inlineStr">
        <is>
          <t>Customs Clearance Fee and Trucking Fee</t>
        </is>
      </c>
      <c r="C335" t="inlineStr">
        <is>
          <t>ត្រាយអ៊ែងហ្គល ឡូជីស្ទីក (ខេមបូឌា) ឯ.ក</t>
        </is>
      </c>
      <c r="D335" t="inlineStr">
        <is>
          <t>K010-902101743</t>
        </is>
      </c>
      <c r="E335" t="inlineStr">
        <is>
          <t>TAG-24-00209</t>
        </is>
      </c>
      <c r="F335" t="inlineStr">
        <is>
          <t>05-04-2024</t>
        </is>
      </c>
      <c r="G335" t="n">
        <v>28287</v>
      </c>
      <c r="I335">
        <f>G335</f>
        <v/>
      </c>
      <c r="K335">
        <f>I335-G335</f>
        <v/>
      </c>
      <c r="M335" t="inlineStr">
        <is>
          <t>TAG2400209</t>
        </is>
      </c>
      <c r="N335" t="inlineStr">
        <is>
          <t>11398600</t>
        </is>
      </c>
      <c r="O335">
        <f>M335=N335</f>
        <v/>
      </c>
      <c r="P335">
        <f>AND(MONTH(F335)=MONTH(S335), YEAR(F335)=YEAR(S335))</f>
        <v/>
      </c>
      <c r="Q335">
        <f>"L001-902303751"=U335</f>
        <v/>
      </c>
      <c r="R335">
        <f>G335-W335</f>
        <v/>
      </c>
      <c r="S335" s="36" t="n">
        <v>45254</v>
      </c>
      <c r="T335" t="n">
        <v>113986</v>
      </c>
      <c r="U335" t="inlineStr">
        <is>
          <t>K003-901635943</t>
        </is>
      </c>
      <c r="V335" t="inlineStr">
        <is>
          <t>អ៊ីឃ្យូឡាញ វើលវ៉ាយដ៍ ឡូជីស្ទីក</t>
        </is>
      </c>
      <c r="W335" t="n">
        <v>113986</v>
      </c>
      <c r="X335" t="n">
        <v>0</v>
      </c>
    </row>
    <row r="336">
      <c r="A336" t="n">
        <v>335</v>
      </c>
      <c r="B336" t="inlineStr">
        <is>
          <t>Customs Clearance Fee and Trucking Fee</t>
        </is>
      </c>
      <c r="C336" t="inlineStr">
        <is>
          <t>ត្រាយអ៊ែងហ្គល ឡូជីស្ទីក (ខេមបូឌា) ឯ.ក</t>
        </is>
      </c>
      <c r="D336" t="inlineStr">
        <is>
          <t>K010-902101743</t>
        </is>
      </c>
      <c r="E336" t="inlineStr">
        <is>
          <t>TAG-24-00243</t>
        </is>
      </c>
      <c r="F336" t="inlineStr">
        <is>
          <t>10-04-2024</t>
        </is>
      </c>
      <c r="G336" t="n">
        <v>32328</v>
      </c>
      <c r="I336">
        <f>G336</f>
        <v/>
      </c>
      <c r="K336">
        <f>I336-G336</f>
        <v/>
      </c>
      <c r="M336" t="inlineStr">
        <is>
          <t>TAG2400243</t>
        </is>
      </c>
      <c r="N336" t="inlineStr">
        <is>
          <t>9764400</t>
        </is>
      </c>
      <c r="O336">
        <f>M336=N336</f>
        <v/>
      </c>
      <c r="P336">
        <f>AND(MONTH(F336)=MONTH(S336), YEAR(F336)=YEAR(S336))</f>
        <v/>
      </c>
      <c r="Q336">
        <f>"L001-902303751"=U336</f>
        <v/>
      </c>
      <c r="R336">
        <f>G336-W336</f>
        <v/>
      </c>
      <c r="S336" s="36" t="n">
        <v>45250</v>
      </c>
      <c r="T336" t="n">
        <v>97644</v>
      </c>
      <c r="U336" t="inlineStr">
        <is>
          <t>L001-104015799</t>
        </is>
      </c>
      <c r="V336" t="inlineStr">
        <is>
          <t>យូសេន ឡូជីស្ទីក (ខេមបូឌា) ខូ អិលធីឌី</t>
        </is>
      </c>
      <c r="W336" t="n">
        <v>97644</v>
      </c>
      <c r="X336" t="n">
        <v>0</v>
      </c>
    </row>
    <row r="337">
      <c r="A337" t="n">
        <v>336</v>
      </c>
      <c r="B337" t="inlineStr">
        <is>
          <t>Charge from warehouse</t>
        </is>
      </c>
      <c r="C337" t="inlineStr">
        <is>
          <t>កំពង់ផែស្វយ័តក្រុងព្រះសីហនុ</t>
        </is>
      </c>
      <c r="D337" t="inlineStr">
        <is>
          <t>L001-100044638</t>
        </is>
      </c>
      <c r="E337" t="inlineStr">
        <is>
          <t>064525</t>
        </is>
      </c>
      <c r="F337" t="inlineStr">
        <is>
          <t>10-04-2024</t>
        </is>
      </c>
      <c r="G337" t="n">
        <v>617</v>
      </c>
      <c r="I337">
        <f>G337</f>
        <v/>
      </c>
      <c r="K337">
        <f>I337-G337</f>
        <v/>
      </c>
      <c r="M337" t="inlineStr">
        <is>
          <t>064525</t>
        </is>
      </c>
      <c r="N337" t="inlineStr"/>
      <c r="O337">
        <f>M337=N337</f>
        <v/>
      </c>
      <c r="P337">
        <f>AND(MONTH(F337)=MONTH(S337), YEAR(F337)=YEAR(S337))</f>
        <v/>
      </c>
      <c r="Q337">
        <f>"L001-902303751"=U337</f>
        <v/>
      </c>
      <c r="R337">
        <f>G337-W337</f>
        <v/>
      </c>
      <c r="S337" s="36" t="n">
        <v>45237</v>
      </c>
      <c r="T337" t="inlineStr"/>
      <c r="U337" t="inlineStr">
        <is>
          <t>K003-901635943</t>
        </is>
      </c>
      <c r="V337" t="inlineStr">
        <is>
          <t>អ៊ីឃ្យូឡាញ វើលវ៉ាយដ៍ ឡូជីស្ទីក</t>
        </is>
      </c>
      <c r="W337" t="n">
        <v>0</v>
      </c>
      <c r="X337" t="n">
        <v>0</v>
      </c>
    </row>
    <row r="338">
      <c r="A338" t="n">
        <v>337</v>
      </c>
      <c r="B338" t="inlineStr">
        <is>
          <t>THC Fee, Scanning Fee, LCL Fee, CFS Fee, D/O Fee, Agency Fee, Document Fee and Handling Fee</t>
        </is>
      </c>
      <c r="C338" t="inlineStr">
        <is>
          <t>ខាហ្គោលីង អ៊ិនធើណេសិនណល ឯ.ក</t>
        </is>
      </c>
      <c r="D338" t="inlineStr">
        <is>
          <t>K009-902002784</t>
        </is>
      </c>
      <c r="E338" t="inlineStr">
        <is>
          <t>SIC2404/0007</t>
        </is>
      </c>
      <c r="F338" t="inlineStr">
        <is>
          <t>05-04-2024</t>
        </is>
      </c>
      <c r="G338" t="n">
        <v>100217</v>
      </c>
      <c r="I338">
        <f>G338</f>
        <v/>
      </c>
      <c r="K338">
        <f>I338-G338</f>
        <v/>
      </c>
      <c r="M338" t="inlineStr">
        <is>
          <t>SIC24040007</t>
        </is>
      </c>
      <c r="N338" t="inlineStr">
        <is>
          <t>17859100</t>
        </is>
      </c>
      <c r="O338">
        <f>M338=N338</f>
        <v/>
      </c>
      <c r="P338">
        <f>AND(MONTH(F338)=MONTH(S338), YEAR(F338)=YEAR(S338))</f>
        <v/>
      </c>
      <c r="Q338">
        <f>"L001-902303751"=U338</f>
        <v/>
      </c>
      <c r="R338">
        <f>G338-W338</f>
        <v/>
      </c>
      <c r="S338" s="36" t="n">
        <v>45254</v>
      </c>
      <c r="T338" t="n">
        <v>178591</v>
      </c>
      <c r="U338" t="inlineStr">
        <is>
          <t>L001-107041723</t>
        </is>
      </c>
      <c r="V338" t="inlineStr">
        <is>
          <t>ឌីប៊ី សេនឃើរ (ខេមបូឌា) លីមីធីត</t>
        </is>
      </c>
      <c r="W338" t="n">
        <v>178591</v>
      </c>
      <c r="X338" t="n">
        <v>0</v>
      </c>
    </row>
    <row r="339">
      <c r="A339" t="n">
        <v>338</v>
      </c>
      <c r="B339" t="inlineStr">
        <is>
          <t>Customs Clearance Fee</t>
        </is>
      </c>
      <c r="C339" t="inlineStr">
        <is>
          <t>ត្រាយអ៊ែងហ្គល ឡូជីស្ទីក (ខេមបូឌា) ឯ.ក</t>
        </is>
      </c>
      <c r="D339" t="inlineStr">
        <is>
          <t>K010-902101743</t>
        </is>
      </c>
      <c r="E339" t="inlineStr">
        <is>
          <t>TAG-24-00213</t>
        </is>
      </c>
      <c r="F339" t="inlineStr">
        <is>
          <t>05-04-2024</t>
        </is>
      </c>
      <c r="G339" t="n">
        <v>8082</v>
      </c>
      <c r="I339">
        <f>G339</f>
        <v/>
      </c>
      <c r="K339">
        <f>I339-G339</f>
        <v/>
      </c>
      <c r="M339" t="inlineStr">
        <is>
          <t>TAG2400213</t>
        </is>
      </c>
      <c r="N339" t="inlineStr">
        <is>
          <t>224540000</t>
        </is>
      </c>
      <c r="O339">
        <f>M339=N339</f>
        <v/>
      </c>
      <c r="P339">
        <f>AND(MONTH(F339)=MONTH(S339), YEAR(F339)=YEAR(S339))</f>
        <v/>
      </c>
      <c r="Q339">
        <f>"L001-902303751"=U339</f>
        <v/>
      </c>
      <c r="R339">
        <f>G339-W339</f>
        <v/>
      </c>
      <c r="S339" s="36" t="n">
        <v>45250</v>
      </c>
      <c r="T339" t="n">
        <v>2245400</v>
      </c>
      <c r="U339" t="inlineStr">
        <is>
          <t>K009-901605081</t>
        </is>
      </c>
      <c r="V339" t="inlineStr">
        <is>
          <t>ទ្រូ ខមភែនៀន ឡូជីស្ទីក (ខេមបូឌា)</t>
        </is>
      </c>
      <c r="W339" t="n">
        <v>2245400</v>
      </c>
      <c r="X339" t="n">
        <v>0</v>
      </c>
    </row>
    <row r="340">
      <c r="A340" t="n">
        <v>339</v>
      </c>
      <c r="B340" t="inlineStr">
        <is>
          <t>Customs Clearance Fee and Trucking Fee</t>
        </is>
      </c>
      <c r="C340" t="inlineStr">
        <is>
          <t>ត្រាយអ៊ែងហ្គល ឡូជីស្ទីក (ខេមបូឌា) ឯ.ក</t>
        </is>
      </c>
      <c r="D340" t="inlineStr">
        <is>
          <t>K010-902101743</t>
        </is>
      </c>
      <c r="E340" t="inlineStr">
        <is>
          <t>TAG-24-00245</t>
        </is>
      </c>
      <c r="F340" t="inlineStr">
        <is>
          <t>11-04-2024</t>
        </is>
      </c>
      <c r="G340" t="n">
        <v>32320</v>
      </c>
      <c r="I340">
        <f>G340</f>
        <v/>
      </c>
      <c r="K340">
        <f>I340-G340</f>
        <v/>
      </c>
      <c r="M340" t="inlineStr">
        <is>
          <t>TAG2400245</t>
        </is>
      </c>
      <c r="N340" t="inlineStr">
        <is>
          <t>224431000</t>
        </is>
      </c>
      <c r="O340">
        <f>M340=N340</f>
        <v/>
      </c>
      <c r="P340">
        <f>AND(MONTH(F340)=MONTH(S340), YEAR(F340)=YEAR(S340))</f>
        <v/>
      </c>
      <c r="Q340">
        <f>"L001-902303751"=U340</f>
        <v/>
      </c>
      <c r="R340">
        <f>G340-W340</f>
        <v/>
      </c>
      <c r="S340" s="36" t="n">
        <v>45243</v>
      </c>
      <c r="T340" t="n">
        <v>2244310</v>
      </c>
      <c r="U340" t="inlineStr">
        <is>
          <t>K009-901605081</t>
        </is>
      </c>
      <c r="V340" t="inlineStr">
        <is>
          <t>ទ្រូ ខមភែនៀន ឡូជីស្ទីក (ខេមបូឌា)</t>
        </is>
      </c>
      <c r="W340" t="n">
        <v>2244310</v>
      </c>
      <c r="X340" t="n">
        <v>0</v>
      </c>
    </row>
    <row r="341">
      <c r="A341" t="n">
        <v>340</v>
      </c>
      <c r="B341" t="inlineStr">
        <is>
          <t>Warehouse Fee, Transit Fee and Storage Fee</t>
        </is>
      </c>
      <c r="C341" t="inlineStr">
        <is>
          <t>អាយធីអាយ អ៊ិនធើណេសិនណល ត្រេនស័្ពរថេសិន (ខេមបូឌា) ឯ.ក</t>
        </is>
      </c>
      <c r="D341" t="inlineStr">
        <is>
          <t>K002-901800477</t>
        </is>
      </c>
      <c r="E341" t="inlineStr">
        <is>
          <t>CAM241665</t>
        </is>
      </c>
      <c r="F341" t="inlineStr">
        <is>
          <t>18-04-2024</t>
        </is>
      </c>
      <c r="G341" t="n">
        <v>63874</v>
      </c>
      <c r="I341">
        <f>G341</f>
        <v/>
      </c>
      <c r="K341">
        <f>I341-G341</f>
        <v/>
      </c>
      <c r="M341" t="inlineStr">
        <is>
          <t>CAM241665</t>
        </is>
      </c>
      <c r="N341" t="inlineStr">
        <is>
          <t>224921500</t>
        </is>
      </c>
      <c r="O341">
        <f>M341=N341</f>
        <v/>
      </c>
      <c r="P341">
        <f>AND(MONTH(F341)=MONTH(S341), YEAR(F341)=YEAR(S341))</f>
        <v/>
      </c>
      <c r="Q341">
        <f>"L001-902303751"=U341</f>
        <v/>
      </c>
      <c r="R341">
        <f>G341-W341</f>
        <v/>
      </c>
      <c r="S341" s="36" t="n">
        <v>45238</v>
      </c>
      <c r="T341" t="n">
        <v>2249215</v>
      </c>
      <c r="U341" t="inlineStr">
        <is>
          <t>K009-901605081</t>
        </is>
      </c>
      <c r="V341" t="inlineStr">
        <is>
          <t>ទ្រូ ខមភែនៀន ឡូជីស្ទីក (ខេមបូឌា)</t>
        </is>
      </c>
      <c r="W341" t="n">
        <v>2249215</v>
      </c>
      <c r="X341" t="n">
        <v>0</v>
      </c>
    </row>
    <row r="342">
      <c r="A342" t="n">
        <v>341</v>
      </c>
      <c r="B342" t="inlineStr">
        <is>
          <t>Import Shipment Expense</t>
        </is>
      </c>
      <c r="C342" t="inlineStr">
        <is>
          <t>ផេនដា គ្លូប៊ល ឡូជីស្ទីក (ខេមបូឌា)</t>
        </is>
      </c>
      <c r="D342" t="inlineStr">
        <is>
          <t>K005-901501155</t>
        </is>
      </c>
      <c r="E342" t="inlineStr">
        <is>
          <t>PD240118</t>
        </is>
      </c>
      <c r="F342" t="inlineStr">
        <is>
          <t>09-04-2024</t>
        </is>
      </c>
      <c r="G342" t="n">
        <v>204397</v>
      </c>
      <c r="I342">
        <f>G342</f>
        <v/>
      </c>
      <c r="K342">
        <f>I342-G342</f>
        <v/>
      </c>
      <c r="M342" t="inlineStr">
        <is>
          <t>PD240118</t>
        </is>
      </c>
      <c r="N342" t="inlineStr">
        <is>
          <t>225194000</t>
        </is>
      </c>
      <c r="O342">
        <f>M342=N342</f>
        <v/>
      </c>
      <c r="P342">
        <f>AND(MONTH(F342)=MONTH(S342), YEAR(F342)=YEAR(S342))</f>
        <v/>
      </c>
      <c r="Q342">
        <f>"L001-902303751"=U342</f>
        <v/>
      </c>
      <c r="R342">
        <f>G342-W342</f>
        <v/>
      </c>
      <c r="S342" s="36" t="n">
        <v>45232</v>
      </c>
      <c r="T342" t="n">
        <v>2251940</v>
      </c>
      <c r="U342" t="inlineStr">
        <is>
          <t>K009-901605081</t>
        </is>
      </c>
      <c r="V342" t="inlineStr">
        <is>
          <t>ទ្រូ ខមភែនៀន ឡូជីស្ទីក (ខេមបូឌា)</t>
        </is>
      </c>
      <c r="W342" t="n">
        <v>2251940</v>
      </c>
      <c r="X342" t="n">
        <v>0</v>
      </c>
    </row>
    <row r="343">
      <c r="A343" t="n">
        <v>342</v>
      </c>
      <c r="B343" t="inlineStr">
        <is>
          <t>Customs Clearance Fee and Trucking Fee</t>
        </is>
      </c>
      <c r="C343" t="inlineStr">
        <is>
          <t>ត្រាយអ៊ែងហ្គល ឡូជីស្ទីក (ខេមបូឌា) ឯ.ក</t>
        </is>
      </c>
      <c r="D343" t="inlineStr">
        <is>
          <t>K010-902101743</t>
        </is>
      </c>
      <c r="E343" t="inlineStr">
        <is>
          <t>TAG-24-00258</t>
        </is>
      </c>
      <c r="F343" t="inlineStr">
        <is>
          <t>19-04-2024</t>
        </is>
      </c>
      <c r="G343" t="n">
        <v>101811</v>
      </c>
      <c r="I343">
        <f>G343</f>
        <v/>
      </c>
      <c r="K343">
        <f>I343-G343</f>
        <v/>
      </c>
      <c r="M343" t="inlineStr">
        <is>
          <t>TAG2400258</t>
        </is>
      </c>
      <c r="N343" t="inlineStr">
        <is>
          <t>11398600</t>
        </is>
      </c>
      <c r="O343">
        <f>M343=N343</f>
        <v/>
      </c>
      <c r="P343">
        <f>AND(MONTH(F343)=MONTH(S343), YEAR(F343)=YEAR(S343))</f>
        <v/>
      </c>
      <c r="Q343">
        <f>"L001-902303751"=U343</f>
        <v/>
      </c>
      <c r="R343">
        <f>G343-W343</f>
        <v/>
      </c>
      <c r="S343" s="36" t="n">
        <v>45254</v>
      </c>
      <c r="T343" t="n">
        <v>113986</v>
      </c>
      <c r="U343" t="inlineStr">
        <is>
          <t>L001-104015799</t>
        </is>
      </c>
      <c r="V343" t="inlineStr">
        <is>
          <t>យូសេន ឡូជីស្ទីក (ខេមបូឌា) ខូ អិលធីឌី</t>
        </is>
      </c>
      <c r="W343" t="n">
        <v>113986</v>
      </c>
      <c r="X343" t="n">
        <v>0</v>
      </c>
    </row>
    <row r="344">
      <c r="A344" t="n">
        <v>343</v>
      </c>
      <c r="B344" t="inlineStr">
        <is>
          <t>Charge from warehouse and Storage Charges</t>
        </is>
      </c>
      <c r="C344" t="inlineStr">
        <is>
          <t>កំពង់ផែស្វយ័តក្រុងព្រះសីហនុ</t>
        </is>
      </c>
      <c r="D344" t="inlineStr">
        <is>
          <t>L001-100044638</t>
        </is>
      </c>
      <c r="E344" t="inlineStr">
        <is>
          <t>070480</t>
        </is>
      </c>
      <c r="F344" t="inlineStr">
        <is>
          <t>19-04-2024</t>
        </is>
      </c>
      <c r="G344" t="n">
        <v>8924</v>
      </c>
      <c r="I344">
        <f>G344</f>
        <v/>
      </c>
      <c r="K344">
        <f>I344-G344</f>
        <v/>
      </c>
      <c r="M344" t="inlineStr">
        <is>
          <t>070480</t>
        </is>
      </c>
      <c r="N344" t="inlineStr">
        <is>
          <t>8528400</t>
        </is>
      </c>
      <c r="O344">
        <f>M344=N344</f>
        <v/>
      </c>
      <c r="P344">
        <f>AND(MONTH(F344)=MONTH(S344), YEAR(F344)=YEAR(S344))</f>
        <v/>
      </c>
      <c r="Q344">
        <f>"L001-902303751"=U344</f>
        <v/>
      </c>
      <c r="R344">
        <f>G344-W344</f>
        <v/>
      </c>
      <c r="S344" s="36" t="n">
        <v>45250</v>
      </c>
      <c r="T344" t="n">
        <v>85284</v>
      </c>
      <c r="U344" t="inlineStr">
        <is>
          <t>L001-104015799</t>
        </is>
      </c>
      <c r="V344" t="inlineStr">
        <is>
          <t>យូសេន ឡូជីស្ទីក (ខេមបូឌា) ខូ អិលធីឌី</t>
        </is>
      </c>
      <c r="W344" t="n">
        <v>85284</v>
      </c>
      <c r="X344" t="n">
        <v>0</v>
      </c>
    </row>
    <row r="345">
      <c r="A345" t="n">
        <v>344</v>
      </c>
      <c r="B345" t="inlineStr">
        <is>
          <t>Import Shipment Expense</t>
        </is>
      </c>
      <c r="C345" t="inlineStr">
        <is>
          <t>ទ្រូ ខមភែនៀន ឡូជីស្ទីក (ខេមបូឌា)</t>
        </is>
      </c>
      <c r="D345" t="inlineStr">
        <is>
          <t>K009-901605081</t>
        </is>
      </c>
      <c r="E345" t="inlineStr">
        <is>
          <t>TCLCAMSI2024-0204</t>
        </is>
      </c>
      <c r="F345" t="inlineStr">
        <is>
          <t>08-04-2024</t>
        </is>
      </c>
      <c r="G345" t="n">
        <v>214997</v>
      </c>
      <c r="I345">
        <f>G345</f>
        <v/>
      </c>
      <c r="K345">
        <f>I345-G345</f>
        <v/>
      </c>
      <c r="M345" t="inlineStr">
        <is>
          <t>TCLCAMSI20240204</t>
        </is>
      </c>
      <c r="N345" t="inlineStr"/>
      <c r="O345">
        <f>M345=N345</f>
        <v/>
      </c>
      <c r="P345">
        <f>AND(MONTH(F345)=MONTH(S345), YEAR(F345)=YEAR(S345))</f>
        <v/>
      </c>
      <c r="Q345">
        <f>"L001-902303751"=U345</f>
        <v/>
      </c>
      <c r="R345">
        <f>G345-W345</f>
        <v/>
      </c>
      <c r="S345" s="36" t="n">
        <v>45250</v>
      </c>
      <c r="T345" t="inlineStr"/>
      <c r="U345" t="inlineStr">
        <is>
          <t>L001-104015799</t>
        </is>
      </c>
      <c r="V345" t="inlineStr">
        <is>
          <t>យូសេន ឡូជីស្ទីក (ខេមបូឌា) ខូ អិលធីឌី</t>
        </is>
      </c>
      <c r="W345" t="n">
        <v>0</v>
      </c>
      <c r="X345" t="n">
        <v>0</v>
      </c>
    </row>
    <row r="346">
      <c r="A346" t="n">
        <v>345</v>
      </c>
      <c r="B346" t="inlineStr">
        <is>
          <t>Customs Clearance Fee and Trucking Fee</t>
        </is>
      </c>
      <c r="C346" t="inlineStr">
        <is>
          <t>ត្រាយអ៊ែងហ្គល ឡូជីស្ទីក (ខេមបូឌា) ឯ.ក</t>
        </is>
      </c>
      <c r="D346" t="inlineStr">
        <is>
          <t>K010-902101743</t>
        </is>
      </c>
      <c r="E346" t="inlineStr">
        <is>
          <t>TAG-24-00226</t>
        </is>
      </c>
      <c r="F346" t="inlineStr">
        <is>
          <t>08-04-2024</t>
        </is>
      </c>
      <c r="G346" t="n">
        <v>28280</v>
      </c>
      <c r="I346">
        <f>G346</f>
        <v/>
      </c>
      <c r="K346">
        <f>I346-G346</f>
        <v/>
      </c>
      <c r="M346" t="inlineStr">
        <is>
          <t>TAG2400226</t>
        </is>
      </c>
      <c r="N346" t="inlineStr">
        <is>
          <t>1403200</t>
        </is>
      </c>
      <c r="O346">
        <f>M346=N346</f>
        <v/>
      </c>
      <c r="P346">
        <f>AND(MONTH(F346)=MONTH(S346), YEAR(F346)=YEAR(S346))</f>
        <v/>
      </c>
      <c r="Q346">
        <f>"L001-902303751"=U346</f>
        <v/>
      </c>
      <c r="R346">
        <f>G346-W346</f>
        <v/>
      </c>
      <c r="S346" s="36" t="n">
        <v>45238</v>
      </c>
      <c r="T346" t="n">
        <v>14032</v>
      </c>
      <c r="U346" t="inlineStr">
        <is>
          <t>K009-107021862</t>
        </is>
      </c>
      <c r="V346" t="inlineStr">
        <is>
          <t>អិមអាយ ឡូជីកស៍ (ខេមបូឌា)</t>
        </is>
      </c>
      <c r="W346" t="n">
        <v>14032</v>
      </c>
      <c r="X346" t="n">
        <v>0</v>
      </c>
    </row>
    <row r="347">
      <c r="A347" t="n">
        <v>346</v>
      </c>
      <c r="B347" t="inlineStr">
        <is>
          <t>Cargo Terminal</t>
        </is>
      </c>
      <c r="C347" t="inlineStr">
        <is>
          <t>សូស៊ីយេតេ កុងសេស្យូនែរ ដឺ ឡាអេរ៉ូព័រ</t>
        </is>
      </c>
      <c r="D347" t="inlineStr">
        <is>
          <t>L001-100047300</t>
        </is>
      </c>
      <c r="E347" t="inlineStr">
        <is>
          <t>2400-024137</t>
        </is>
      </c>
      <c r="F347" t="inlineStr">
        <is>
          <t>06-04-2024</t>
        </is>
      </c>
      <c r="G347" t="n">
        <v>2682</v>
      </c>
      <c r="I347">
        <f>G347</f>
        <v/>
      </c>
      <c r="K347">
        <f>I347-G347</f>
        <v/>
      </c>
      <c r="M347" t="inlineStr">
        <is>
          <t>2400024137</t>
        </is>
      </c>
      <c r="N347" t="inlineStr">
        <is>
          <t>947600</t>
        </is>
      </c>
      <c r="O347">
        <f>M347=N347</f>
        <v/>
      </c>
      <c r="P347">
        <f>AND(MONTH(F347)=MONTH(S347), YEAR(F347)=YEAR(S347))</f>
        <v/>
      </c>
      <c r="Q347">
        <f>"L001-902303751"=U347</f>
        <v/>
      </c>
      <c r="R347">
        <f>G347-W347</f>
        <v/>
      </c>
      <c r="S347" s="36" t="n">
        <v>45247</v>
      </c>
      <c r="T347" t="n">
        <v>9476</v>
      </c>
      <c r="U347" t="inlineStr">
        <is>
          <t>L001-100098134</t>
        </is>
      </c>
      <c r="V347" t="inlineStr">
        <is>
          <t>បុងកាហ្វេ (ខេមបូឌា)</t>
        </is>
      </c>
      <c r="W347" t="n">
        <v>9476</v>
      </c>
      <c r="X347" t="n">
        <v>0</v>
      </c>
    </row>
    <row r="348">
      <c r="A348" t="n">
        <v>347</v>
      </c>
      <c r="B348" t="inlineStr">
        <is>
          <t>Customs Clearance Fee and Agency Fee</t>
        </is>
      </c>
      <c r="C348" t="inlineStr">
        <is>
          <t>ត្រាយអ៊ែងហ្គល ឡូជីស្ទីក (ខេមបូឌា) ឯ.ក</t>
        </is>
      </c>
      <c r="D348" t="inlineStr">
        <is>
          <t>K010-902101743</t>
        </is>
      </c>
      <c r="E348" t="inlineStr">
        <is>
          <t>TAG-24-00202</t>
        </is>
      </c>
      <c r="F348" t="inlineStr">
        <is>
          <t>03-04-2024</t>
        </is>
      </c>
      <c r="G348" t="n">
        <v>32328</v>
      </c>
      <c r="I348">
        <f>G348</f>
        <v/>
      </c>
      <c r="K348">
        <f>I348-G348</f>
        <v/>
      </c>
      <c r="M348" t="inlineStr">
        <is>
          <t>TAG2400202</t>
        </is>
      </c>
      <c r="N348" t="inlineStr">
        <is>
          <t>11434600</t>
        </is>
      </c>
      <c r="O348">
        <f>M348=N348</f>
        <v/>
      </c>
      <c r="P348">
        <f>AND(MONTH(F348)=MONTH(S348), YEAR(F348)=YEAR(S348))</f>
        <v/>
      </c>
      <c r="Q348">
        <f>"L001-902303751"=U348</f>
        <v/>
      </c>
      <c r="R348">
        <f>G348-W348</f>
        <v/>
      </c>
      <c r="S348" s="36" t="n">
        <v>45237</v>
      </c>
      <c r="T348" t="n">
        <v>114346</v>
      </c>
      <c r="U348" t="inlineStr">
        <is>
          <t>K003-901635943</t>
        </is>
      </c>
      <c r="V348" t="inlineStr">
        <is>
          <t>អ៊ីឃ្យូឡាញ វើលវ៉ាយដ៍ ឡូជីស្ទីក</t>
        </is>
      </c>
      <c r="W348" t="n">
        <v>114346</v>
      </c>
      <c r="X348" t="n">
        <v>0</v>
      </c>
    </row>
    <row r="349">
      <c r="A349" t="n">
        <v>348</v>
      </c>
      <c r="B349" t="inlineStr">
        <is>
          <t>Cargo Terminal</t>
        </is>
      </c>
      <c r="C349" t="inlineStr">
        <is>
          <t>សូស៊ីយេតេ កុងសេស្យូនែរ ដឺ ឡាអេរ៉ូព័រ</t>
        </is>
      </c>
      <c r="D349" t="inlineStr">
        <is>
          <t>L001-100047300</t>
        </is>
      </c>
      <c r="E349" t="inlineStr">
        <is>
          <t>2400-022860</t>
        </is>
      </c>
      <c r="F349" t="inlineStr">
        <is>
          <t>02-04-2024</t>
        </is>
      </c>
      <c r="G349" t="n">
        <v>2357</v>
      </c>
      <c r="I349">
        <f>G349</f>
        <v/>
      </c>
      <c r="K349">
        <f>I349-G349</f>
        <v/>
      </c>
      <c r="M349" t="inlineStr">
        <is>
          <t>2400022860</t>
        </is>
      </c>
      <c r="N349" t="inlineStr">
        <is>
          <t>224540000</t>
        </is>
      </c>
      <c r="O349">
        <f>M349=N349</f>
        <v/>
      </c>
      <c r="P349">
        <f>AND(MONTH(F349)=MONTH(S349), YEAR(F349)=YEAR(S349))</f>
        <v/>
      </c>
      <c r="Q349">
        <f>"L001-902303751"=U349</f>
        <v/>
      </c>
      <c r="R349">
        <f>G349-W349</f>
        <v/>
      </c>
      <c r="S349" s="36" t="n">
        <v>45250</v>
      </c>
      <c r="T349" t="n">
        <v>2245400</v>
      </c>
      <c r="U349" t="inlineStr">
        <is>
          <t>K009-901605081</t>
        </is>
      </c>
      <c r="V349" t="inlineStr">
        <is>
          <t>ទ្រូ ខមភែនៀន ឡូជីស្ទីក (ខេមបូឌា)</t>
        </is>
      </c>
      <c r="W349" t="n">
        <v>2245400</v>
      </c>
      <c r="X349" t="n">
        <v>0</v>
      </c>
    </row>
    <row r="350">
      <c r="A350" t="n">
        <v>349</v>
      </c>
      <c r="B350" t="inlineStr">
        <is>
          <t>Customs Clearance Fee and Agency Fee</t>
        </is>
      </c>
      <c r="C350" t="inlineStr">
        <is>
          <t>ត្រាយអ៊ែងហ្គល ឡូជីស្ទីក (ខេមបូឌា) ឯ.ក</t>
        </is>
      </c>
      <c r="D350" t="inlineStr">
        <is>
          <t>K010-902101743</t>
        </is>
      </c>
      <c r="E350" t="inlineStr">
        <is>
          <t>TAG-24-00199</t>
        </is>
      </c>
      <c r="F350" t="inlineStr">
        <is>
          <t>01-04-2024</t>
        </is>
      </c>
      <c r="G350" t="n">
        <v>32304</v>
      </c>
      <c r="I350">
        <f>G350</f>
        <v/>
      </c>
      <c r="K350">
        <f>I350-G350</f>
        <v/>
      </c>
      <c r="M350" t="inlineStr">
        <is>
          <t>TAG2400199</t>
        </is>
      </c>
      <c r="N350" t="inlineStr">
        <is>
          <t>18952000</t>
        </is>
      </c>
      <c r="O350">
        <f>M350=N350</f>
        <v/>
      </c>
      <c r="P350">
        <f>AND(MONTH(F350)=MONTH(S350), YEAR(F350)=YEAR(S350))</f>
        <v/>
      </c>
      <c r="Q350">
        <f>"L001-902303751"=U350</f>
        <v/>
      </c>
      <c r="R350">
        <f>G350-W350</f>
        <v/>
      </c>
      <c r="S350" s="36" t="n">
        <v>45250</v>
      </c>
      <c r="T350" t="n">
        <v>189520</v>
      </c>
      <c r="U350" t="inlineStr">
        <is>
          <t>K009-901605081</t>
        </is>
      </c>
      <c r="V350" t="inlineStr">
        <is>
          <t>ទ្រូ ខមភែនៀន ឡូជីស្ទីក (ខេមបូឌា)</t>
        </is>
      </c>
      <c r="W350" t="n">
        <v>189520</v>
      </c>
      <c r="X350" t="n">
        <v>0</v>
      </c>
    </row>
    <row r="351">
      <c r="A351" t="n">
        <v>350</v>
      </c>
      <c r="B351" t="inlineStr">
        <is>
          <t>Customs Clearance Fee and Trucking Fee</t>
        </is>
      </c>
      <c r="C351" t="inlineStr">
        <is>
          <t>ត្រាយអ៊ែងហ្គល ឡូជីស្ទីក (ខេមបូឌា) ឯ.ក</t>
        </is>
      </c>
      <c r="D351" t="inlineStr">
        <is>
          <t>K010-902101743</t>
        </is>
      </c>
      <c r="E351" t="inlineStr">
        <is>
          <t>TAG-24-00207</t>
        </is>
      </c>
      <c r="F351" t="inlineStr">
        <is>
          <t>05-04-2024</t>
        </is>
      </c>
      <c r="G351" t="n">
        <v>46269</v>
      </c>
      <c r="I351">
        <f>G351</f>
        <v/>
      </c>
      <c r="K351">
        <f>I351-G351</f>
        <v/>
      </c>
      <c r="M351" t="inlineStr">
        <is>
          <t>TAG2400207</t>
        </is>
      </c>
      <c r="N351" t="inlineStr">
        <is>
          <t>9064000</t>
        </is>
      </c>
      <c r="O351">
        <f>M351=N351</f>
        <v/>
      </c>
      <c r="P351">
        <f>AND(MONTH(F351)=MONTH(S351), YEAR(F351)=YEAR(S351))</f>
        <v/>
      </c>
      <c r="Q351">
        <f>"L001-902303751"=U351</f>
        <v/>
      </c>
      <c r="R351">
        <f>G351-W351</f>
        <v/>
      </c>
      <c r="S351" s="36" t="n">
        <v>45247</v>
      </c>
      <c r="T351" t="n">
        <v>90640</v>
      </c>
      <c r="U351" t="inlineStr">
        <is>
          <t>L001-100098134</t>
        </is>
      </c>
      <c r="V351" t="inlineStr">
        <is>
          <t>បុងកាហ្វេ (ខេមបូឌា)</t>
        </is>
      </c>
      <c r="W351" t="n">
        <v>90640</v>
      </c>
      <c r="X351" t="n">
        <v>0</v>
      </c>
    </row>
    <row r="352">
      <c r="A352" t="n">
        <v>351</v>
      </c>
      <c r="B352" t="inlineStr">
        <is>
          <t>Charge from warehouse</t>
        </is>
      </c>
      <c r="C352" t="inlineStr">
        <is>
          <t>កំពង់ផែស្វយ័តក្រុងព្រះសីហនុ</t>
        </is>
      </c>
      <c r="D352" t="inlineStr">
        <is>
          <t>L001-100044638</t>
        </is>
      </c>
      <c r="E352" t="inlineStr">
        <is>
          <t>062101</t>
        </is>
      </c>
      <c r="F352" t="inlineStr">
        <is>
          <t>06-04-2024</t>
        </is>
      </c>
      <c r="G352" t="n">
        <v>1855</v>
      </c>
      <c r="I352">
        <f>G352</f>
        <v/>
      </c>
      <c r="K352">
        <f>I352-G352</f>
        <v/>
      </c>
      <c r="M352" t="inlineStr">
        <is>
          <t>062101</t>
        </is>
      </c>
      <c r="N352" t="inlineStr">
        <is>
          <t>18984200</t>
        </is>
      </c>
      <c r="O352">
        <f>M352=N352</f>
        <v/>
      </c>
      <c r="P352">
        <f>AND(MONTH(F352)=MONTH(S352), YEAR(F352)=YEAR(S352))</f>
        <v/>
      </c>
      <c r="Q352">
        <f>"L001-902303751"=U352</f>
        <v/>
      </c>
      <c r="R352">
        <f>G352-W352</f>
        <v/>
      </c>
      <c r="S352" s="36" t="n">
        <v>45238</v>
      </c>
      <c r="T352" t="n">
        <v>189842</v>
      </c>
      <c r="U352" t="inlineStr">
        <is>
          <t>K009-901605081</t>
        </is>
      </c>
      <c r="V352" t="inlineStr">
        <is>
          <t>ទ្រូ ខមភែនៀន ឡូជីស្ទីក (ខេមបូឌា)</t>
        </is>
      </c>
      <c r="W352" t="n">
        <v>189842</v>
      </c>
      <c r="X352" t="n">
        <v>0</v>
      </c>
    </row>
    <row r="353">
      <c r="A353" t="n">
        <v>352</v>
      </c>
      <c r="B353" t="inlineStr">
        <is>
          <t>Terminal Handling Charges, CFS Fee, Scan Fee, D/O Fee, Document Fee, Handling Fee, Co-Leader Agency Fee and LSS Charge</t>
        </is>
      </c>
      <c r="C353" t="inlineStr">
        <is>
          <t>ត្រាយអ៊ែងហ្គល ឡូជីស្ទីក (ខេមបូឌា) ឯ.ក</t>
        </is>
      </c>
      <c r="D353" t="inlineStr">
        <is>
          <t>K010-902101743</t>
        </is>
      </c>
      <c r="E353" t="inlineStr">
        <is>
          <t>TAG-24-00204</t>
        </is>
      </c>
      <c r="F353" t="inlineStr">
        <is>
          <t>03-04-2024</t>
        </is>
      </c>
      <c r="G353" t="n">
        <v>126188</v>
      </c>
      <c r="I353">
        <f>G353</f>
        <v/>
      </c>
      <c r="K353">
        <f>I353-G353</f>
        <v/>
      </c>
      <c r="M353" t="inlineStr">
        <is>
          <t>TAG2400204</t>
        </is>
      </c>
      <c r="N353" t="inlineStr">
        <is>
          <t>2057500</t>
        </is>
      </c>
      <c r="O353">
        <f>M353=N353</f>
        <v/>
      </c>
      <c r="P353">
        <f>AND(MONTH(F353)=MONTH(S353), YEAR(F353)=YEAR(S353))</f>
        <v/>
      </c>
      <c r="Q353">
        <f>"L001-902303751"=U353</f>
        <v/>
      </c>
      <c r="R353">
        <f>G353-W353</f>
        <v/>
      </c>
      <c r="S353" s="36" t="n">
        <v>45260</v>
      </c>
      <c r="T353" t="n">
        <v>20575</v>
      </c>
      <c r="U353" t="inlineStr">
        <is>
          <t>L001-104015799</t>
        </is>
      </c>
      <c r="V353" t="inlineStr">
        <is>
          <t>យូសេន ឡូជីស្ទីក (ខេមបូឌា) ខូ អិលធីឌី</t>
        </is>
      </c>
      <c r="W353" t="n">
        <v>20575</v>
      </c>
      <c r="X353" t="n">
        <v>0</v>
      </c>
    </row>
    <row r="354">
      <c r="A354" t="n">
        <v>353</v>
      </c>
      <c r="B354" t="inlineStr">
        <is>
          <t>Customs Clearance Fee and Trucking Fee</t>
        </is>
      </c>
      <c r="C354" t="inlineStr">
        <is>
          <t>ត្រាយអ៊ែងហ្គល ឡូជីស្ទីក (ខេមបូឌា) ឯ.ក</t>
        </is>
      </c>
      <c r="D354" t="inlineStr">
        <is>
          <t>K010-902101743</t>
        </is>
      </c>
      <c r="E354" t="inlineStr">
        <is>
          <t>TAG-24-00233</t>
        </is>
      </c>
      <c r="F354" t="inlineStr">
        <is>
          <t>08-04-2024</t>
        </is>
      </c>
      <c r="G354" t="n">
        <v>32320</v>
      </c>
      <c r="I354">
        <f>G354</f>
        <v/>
      </c>
      <c r="K354">
        <f>I354-G354</f>
        <v/>
      </c>
      <c r="M354" t="inlineStr">
        <is>
          <t>TAG2400233</t>
        </is>
      </c>
      <c r="N354" t="inlineStr">
        <is>
          <t>11412400</t>
        </is>
      </c>
      <c r="O354">
        <f>M354=N354</f>
        <v/>
      </c>
      <c r="P354">
        <f>AND(MONTH(F354)=MONTH(S354), YEAR(F354)=YEAR(S354))</f>
        <v/>
      </c>
      <c r="Q354">
        <f>"L001-902303751"=U354</f>
        <v/>
      </c>
      <c r="R354">
        <f>G354-W354</f>
        <v/>
      </c>
      <c r="S354" s="36" t="n">
        <v>45250</v>
      </c>
      <c r="T354" t="n">
        <v>114124</v>
      </c>
      <c r="U354" t="inlineStr">
        <is>
          <t>L001-104015799</t>
        </is>
      </c>
      <c r="V354" t="inlineStr">
        <is>
          <t>យូសេន ឡូជីស្ទីក (ខេមបូឌា) ខូ អិលធីឌី</t>
        </is>
      </c>
      <c r="W354" t="n">
        <v>114124</v>
      </c>
      <c r="X354" t="n">
        <v>0</v>
      </c>
    </row>
    <row r="355">
      <c r="A355" t="n">
        <v>354</v>
      </c>
      <c r="B355" t="inlineStr">
        <is>
          <t>Charge from warehouse</t>
        </is>
      </c>
      <c r="C355" t="inlineStr">
        <is>
          <t>កំពង់ផែស្វយ័តក្រុងព្រះសីហនុ</t>
        </is>
      </c>
      <c r="D355" t="inlineStr">
        <is>
          <t>L001-100044638</t>
        </is>
      </c>
      <c r="E355" t="inlineStr">
        <is>
          <t>062100</t>
        </is>
      </c>
      <c r="F355" t="inlineStr">
        <is>
          <t>06-04-2024</t>
        </is>
      </c>
      <c r="G355" t="n">
        <v>1238</v>
      </c>
      <c r="I355">
        <f>G355</f>
        <v/>
      </c>
      <c r="K355">
        <f>I355-G355</f>
        <v/>
      </c>
      <c r="M355" t="inlineStr">
        <is>
          <t>062100</t>
        </is>
      </c>
      <c r="N355" t="inlineStr">
        <is>
          <t>18952000</t>
        </is>
      </c>
      <c r="O355">
        <f>M355=N355</f>
        <v/>
      </c>
      <c r="P355">
        <f>AND(MONTH(F355)=MONTH(S355), YEAR(F355)=YEAR(S355))</f>
        <v/>
      </c>
      <c r="Q355">
        <f>"L001-902303751"=U355</f>
        <v/>
      </c>
      <c r="R355">
        <f>G355-W355</f>
        <v/>
      </c>
      <c r="S355" s="36" t="n">
        <v>45250</v>
      </c>
      <c r="T355" t="n">
        <v>189520</v>
      </c>
      <c r="U355" t="inlineStr">
        <is>
          <t>K009-901605081</t>
        </is>
      </c>
      <c r="V355" t="inlineStr">
        <is>
          <t>ទ្រូ ខមភែនៀន ឡូជីស្ទីក (ខេមបូឌា)</t>
        </is>
      </c>
      <c r="W355" t="n">
        <v>189520</v>
      </c>
      <c r="X355" t="n">
        <v>0</v>
      </c>
    </row>
    <row r="356">
      <c r="A356" t="n">
        <v>355</v>
      </c>
      <c r="B356" t="inlineStr">
        <is>
          <t>THC Charge, CFS Fee, Scanning Fee, CIC Fee, D/O Fee, Doc Fee, Agency Fee, Handling Fee and Ocean Freight</t>
        </is>
      </c>
      <c r="C356" t="inlineStr">
        <is>
          <t>ហ្វ្រេត ខនសិប (ខេមបូឌា)</t>
        </is>
      </c>
      <c r="D356" t="inlineStr">
        <is>
          <t>K009-901502482</t>
        </is>
      </c>
      <c r="E356" t="inlineStr">
        <is>
          <t>240302</t>
        </is>
      </c>
      <c r="F356" t="inlineStr">
        <is>
          <t>03-04-2024</t>
        </is>
      </c>
      <c r="G356" t="n">
        <v>89064</v>
      </c>
      <c r="I356">
        <f>G356</f>
        <v/>
      </c>
      <c r="K356">
        <f>I356-G356</f>
        <v/>
      </c>
      <c r="M356" t="inlineStr">
        <is>
          <t>240302</t>
        </is>
      </c>
      <c r="N356" t="inlineStr">
        <is>
          <t>11260100</t>
        </is>
      </c>
      <c r="O356">
        <f>M356=N356</f>
        <v/>
      </c>
      <c r="P356">
        <f>AND(MONTH(F356)=MONTH(S356), YEAR(F356)=YEAR(S356))</f>
        <v/>
      </c>
      <c r="Q356">
        <f>"L001-902303751"=U356</f>
        <v/>
      </c>
      <c r="R356">
        <f>G356-W356</f>
        <v/>
      </c>
      <c r="S356" s="36" t="n">
        <v>45600</v>
      </c>
      <c r="T356" t="n">
        <v>112601</v>
      </c>
      <c r="U356" t="inlineStr">
        <is>
          <t>L001-104015799</t>
        </is>
      </c>
      <c r="V356" t="inlineStr">
        <is>
          <t>យូសេន ឡូជីស្ទីក (ខេមបូឌា) ខូ អិលធីឌី</t>
        </is>
      </c>
      <c r="W356" t="n">
        <v>112601</v>
      </c>
      <c r="X356" t="n">
        <v>0</v>
      </c>
    </row>
    <row r="357">
      <c r="A357" t="n">
        <v>356</v>
      </c>
      <c r="B357" t="inlineStr">
        <is>
          <t>Charge from warehouse</t>
        </is>
      </c>
      <c r="C357" t="inlineStr">
        <is>
          <t>កំពង់ផែស្វយ័តក្រុងព្រះសីហនុ</t>
        </is>
      </c>
      <c r="D357" t="inlineStr">
        <is>
          <t>L001-100044638</t>
        </is>
      </c>
      <c r="E357" t="inlineStr">
        <is>
          <t>062098</t>
        </is>
      </c>
      <c r="F357" t="inlineStr">
        <is>
          <t>06-04-2024</t>
        </is>
      </c>
      <c r="G357" t="n">
        <v>1855</v>
      </c>
      <c r="I357">
        <f>G357</f>
        <v/>
      </c>
      <c r="K357">
        <f>I357-G357</f>
        <v/>
      </c>
      <c r="M357" t="inlineStr">
        <is>
          <t>062098</t>
        </is>
      </c>
      <c r="N357" t="inlineStr">
        <is>
          <t>8309000</t>
        </is>
      </c>
      <c r="O357">
        <f>M357=N357</f>
        <v/>
      </c>
      <c r="P357">
        <f>AND(MONTH(F357)=MONTH(S357), YEAR(F357)=YEAR(S357))</f>
        <v/>
      </c>
      <c r="Q357">
        <f>"L001-902303751"=U357</f>
        <v/>
      </c>
      <c r="R357">
        <f>G357-W357</f>
        <v/>
      </c>
      <c r="S357" s="36" t="n">
        <v>45621</v>
      </c>
      <c r="T357" t="n">
        <v>83090</v>
      </c>
      <c r="U357" t="inlineStr">
        <is>
          <t>L001-104015799</t>
        </is>
      </c>
      <c r="V357" t="inlineStr">
        <is>
          <t>យូសេន ឡូជីស្ទីក (ខេមបូឌា) ខូ អិលធីឌី</t>
        </is>
      </c>
      <c r="W357" t="n">
        <v>83090</v>
      </c>
      <c r="X357" t="n">
        <v>0</v>
      </c>
    </row>
    <row r="358">
      <c r="A358" t="n">
        <v>357</v>
      </c>
      <c r="B358" t="inlineStr">
        <is>
          <t>THC Charge, CFS Fee, Scanning Fee, CIC Fee, D/O Fee, Doc Fee, Agency Fee, Handling Fee and Ocean Freight</t>
        </is>
      </c>
      <c r="C358" t="inlineStr">
        <is>
          <t>ហ្វ្រេត ខនសិប (ខេមបូឌា)</t>
        </is>
      </c>
      <c r="D358" t="inlineStr">
        <is>
          <t>K009-901502482</t>
        </is>
      </c>
      <c r="E358" t="inlineStr">
        <is>
          <t>240295</t>
        </is>
      </c>
      <c r="F358" t="inlineStr">
        <is>
          <t>01-04-2024</t>
        </is>
      </c>
      <c r="G358" t="n">
        <v>115487</v>
      </c>
      <c r="I358">
        <f>G358</f>
        <v/>
      </c>
      <c r="K358">
        <f>I358-G358</f>
        <v/>
      </c>
      <c r="M358" t="inlineStr">
        <is>
          <t>240295</t>
        </is>
      </c>
      <c r="N358" t="inlineStr">
        <is>
          <t>8364900</t>
        </is>
      </c>
      <c r="O358">
        <f>M358=N358</f>
        <v/>
      </c>
      <c r="P358">
        <f>AND(MONTH(F358)=MONTH(S358), YEAR(F358)=YEAR(S358))</f>
        <v/>
      </c>
      <c r="Q358">
        <f>"L001-902303751"=U358</f>
        <v/>
      </c>
      <c r="R358">
        <f>G358-W358</f>
        <v/>
      </c>
      <c r="S358" s="36" t="n">
        <v>45614</v>
      </c>
      <c r="T358" t="n">
        <v>83649</v>
      </c>
      <c r="U358" t="inlineStr">
        <is>
          <t>L001-104015799</t>
        </is>
      </c>
      <c r="V358" t="inlineStr">
        <is>
          <t>យូសេន ឡូជីស្ទីក (ខេមបូឌា) ខូ អិលធីឌី</t>
        </is>
      </c>
      <c r="W358" t="n">
        <v>83649</v>
      </c>
      <c r="X358" t="n">
        <v>0</v>
      </c>
    </row>
    <row r="359">
      <c r="A359" t="n">
        <v>358</v>
      </c>
      <c r="B359" t="inlineStr">
        <is>
          <t>Customs Clearance Fee and Trucking Fee</t>
        </is>
      </c>
      <c r="C359" t="inlineStr">
        <is>
          <t>ត្រាយអ៊ែងហ្គល ឡូជីស្ទីក (ខេមបូឌា) ឯ.ក</t>
        </is>
      </c>
      <c r="D359" t="inlineStr">
        <is>
          <t>K010-902101743</t>
        </is>
      </c>
      <c r="E359" t="inlineStr">
        <is>
          <t>TAG-24-00225</t>
        </is>
      </c>
      <c r="F359" t="inlineStr">
        <is>
          <t>08-04-2024</t>
        </is>
      </c>
      <c r="G359" t="n">
        <v>32805</v>
      </c>
      <c r="I359">
        <f>G359</f>
        <v/>
      </c>
      <c r="K359">
        <f>I359-G359</f>
        <v/>
      </c>
      <c r="M359" t="inlineStr">
        <is>
          <t>TAG2400225</t>
        </is>
      </c>
      <c r="N359" t="inlineStr">
        <is>
          <t>8309000</t>
        </is>
      </c>
      <c r="O359">
        <f>M359=N359</f>
        <v/>
      </c>
      <c r="P359">
        <f>AND(MONTH(F359)=MONTH(S359), YEAR(F359)=YEAR(S359))</f>
        <v/>
      </c>
      <c r="Q359">
        <f>"L001-902303751"=U359</f>
        <v/>
      </c>
      <c r="R359">
        <f>G359-W359</f>
        <v/>
      </c>
      <c r="S359" s="36" t="n">
        <v>45621</v>
      </c>
      <c r="T359" t="n">
        <v>83090</v>
      </c>
      <c r="U359" t="inlineStr">
        <is>
          <t>L001-104015799</t>
        </is>
      </c>
      <c r="V359" t="inlineStr">
        <is>
          <t>យូសេន ឡូជីស្ទីក (ខេមបូឌា) ខូ អិលធីឌី</t>
        </is>
      </c>
      <c r="W359" t="n">
        <v>83090</v>
      </c>
      <c r="X359" t="n">
        <v>0</v>
      </c>
    </row>
    <row r="360">
      <c r="A360" t="n">
        <v>359</v>
      </c>
      <c r="B360" t="inlineStr">
        <is>
          <t>Customs Clearance Fee and Trucking Fee</t>
        </is>
      </c>
      <c r="C360" t="inlineStr">
        <is>
          <t>ត្រាយអ៊ែងហ្គល ឡូជីស្ទីក (ខេមបូឌា) ឯ.ក</t>
        </is>
      </c>
      <c r="D360" t="inlineStr">
        <is>
          <t>K010-902101743</t>
        </is>
      </c>
      <c r="E360" t="inlineStr">
        <is>
          <t>TAG-24-00231</t>
        </is>
      </c>
      <c r="F360" t="inlineStr">
        <is>
          <t>08-04-2024</t>
        </is>
      </c>
      <c r="G360" t="n">
        <v>32320</v>
      </c>
      <c r="I360">
        <f>G360</f>
        <v/>
      </c>
      <c r="K360">
        <f>I360-G360</f>
        <v/>
      </c>
      <c r="M360" t="inlineStr">
        <is>
          <t>TAG2400231</t>
        </is>
      </c>
      <c r="N360" t="inlineStr">
        <is>
          <t>12988800</t>
        </is>
      </c>
      <c r="O360">
        <f>M360=N360</f>
        <v/>
      </c>
      <c r="P360">
        <f>AND(MONTH(F360)=MONTH(S360), YEAR(F360)=YEAR(S360))</f>
        <v/>
      </c>
      <c r="Q360">
        <f>"L001-902303751"=U360</f>
        <v/>
      </c>
      <c r="R360">
        <f>G360-W360</f>
        <v/>
      </c>
      <c r="S360" s="36" t="n">
        <v>45607</v>
      </c>
      <c r="T360" t="n">
        <v>129888</v>
      </c>
      <c r="U360" t="inlineStr">
        <is>
          <t>L001-100098134</t>
        </is>
      </c>
      <c r="V360" t="inlineStr">
        <is>
          <t>បុងកាហ្វេ (ខេមបូឌា)</t>
        </is>
      </c>
      <c r="W360" t="n">
        <v>129888</v>
      </c>
      <c r="X360" t="n">
        <v>0</v>
      </c>
    </row>
    <row r="361">
      <c r="A361" t="n">
        <v>360</v>
      </c>
      <c r="B361" t="inlineStr">
        <is>
          <t>Charge from warehouse</t>
        </is>
      </c>
      <c r="C361" t="inlineStr">
        <is>
          <t>កំពង់ផែស្វយ័តក្រុងព្រះសីហនុ</t>
        </is>
      </c>
      <c r="D361" t="inlineStr">
        <is>
          <t>L001-100044638</t>
        </is>
      </c>
      <c r="E361" t="inlineStr">
        <is>
          <t>062097</t>
        </is>
      </c>
      <c r="F361" t="inlineStr">
        <is>
          <t>06-04-2024</t>
        </is>
      </c>
      <c r="G361" t="n">
        <v>617</v>
      </c>
      <c r="I361">
        <f>G361</f>
        <v/>
      </c>
      <c r="K361">
        <f>I361-G361</f>
        <v/>
      </c>
      <c r="M361" t="inlineStr">
        <is>
          <t>062097</t>
        </is>
      </c>
      <c r="N361" t="inlineStr">
        <is>
          <t>221215500</t>
        </is>
      </c>
      <c r="O361">
        <f>M361=N361</f>
        <v/>
      </c>
      <c r="P361">
        <f>AND(MONTH(F361)=MONTH(S361), YEAR(F361)=YEAR(S361))</f>
        <v/>
      </c>
      <c r="Q361">
        <f>"L001-902303751"=U361</f>
        <v/>
      </c>
      <c r="R361">
        <f>G361-W361</f>
        <v/>
      </c>
      <c r="S361" s="36" t="n">
        <v>45607</v>
      </c>
      <c r="T361" t="n">
        <v>2212155</v>
      </c>
      <c r="U361" t="inlineStr">
        <is>
          <t>K009-901605081</t>
        </is>
      </c>
      <c r="V361" t="inlineStr">
        <is>
          <t>ទ្រូ ខមភែនៀន ឡូជីស្ទីក (ខេមបូឌា)</t>
        </is>
      </c>
      <c r="W361" t="n">
        <v>2212155</v>
      </c>
      <c r="X361" t="n">
        <v>0</v>
      </c>
    </row>
    <row r="362">
      <c r="A362" t="n">
        <v>361</v>
      </c>
      <c r="B362" t="inlineStr">
        <is>
          <t>THC Charge, CFS Fee, Scanning Fee, CIC Fee, D/O Fee, Doc Fee, Agency Fee, Handling Fee and Ocean Freight</t>
        </is>
      </c>
      <c r="C362" t="inlineStr">
        <is>
          <t>ហ្វ្រេត ខនសិប (ខេមបូឌា)</t>
        </is>
      </c>
      <c r="D362" t="inlineStr">
        <is>
          <t>K009-901502482</t>
        </is>
      </c>
      <c r="E362" t="inlineStr">
        <is>
          <t>240293</t>
        </is>
      </c>
      <c r="F362" t="inlineStr">
        <is>
          <t>01-04-2024</t>
        </is>
      </c>
      <c r="G362" t="n">
        <v>76722</v>
      </c>
      <c r="I362">
        <f>G362</f>
        <v/>
      </c>
      <c r="K362">
        <f>I362-G362</f>
        <v/>
      </c>
      <c r="M362" t="inlineStr">
        <is>
          <t>240293</t>
        </is>
      </c>
      <c r="N362" t="inlineStr">
        <is>
          <t>18588600</t>
        </is>
      </c>
      <c r="O362">
        <f>M362=N362</f>
        <v/>
      </c>
      <c r="P362">
        <f>AND(MONTH(F362)=MONTH(S362), YEAR(F362)=YEAR(S362))</f>
        <v/>
      </c>
      <c r="Q362">
        <f>"L001-902303751"=U362</f>
        <v/>
      </c>
      <c r="R362">
        <f>G362-W362</f>
        <v/>
      </c>
      <c r="S362" s="36" t="n">
        <v>45614</v>
      </c>
      <c r="T362" t="n">
        <v>185886</v>
      </c>
      <c r="U362" t="inlineStr">
        <is>
          <t>K009-901605081</t>
        </is>
      </c>
      <c r="V362" t="inlineStr">
        <is>
          <t>ទ្រូ ខមភែនៀន ឡូជីស្ទីក (ខេមបូឌា)</t>
        </is>
      </c>
      <c r="W362" t="n">
        <v>185886</v>
      </c>
      <c r="X362" t="n">
        <v>0</v>
      </c>
    </row>
    <row r="363">
      <c r="A363" t="n">
        <v>362</v>
      </c>
      <c r="B363" t="inlineStr">
        <is>
          <t>Customs Clearance Fee</t>
        </is>
      </c>
      <c r="C363" t="inlineStr">
        <is>
          <t>ត្រាយអ៊ែងហ្គល ឡូជីស្ទីក (ខេមបូឌា) ឯ.ក</t>
        </is>
      </c>
      <c r="D363" t="inlineStr">
        <is>
          <t>K010-902101743</t>
        </is>
      </c>
      <c r="E363" t="inlineStr">
        <is>
          <t>TAG-24-00211</t>
        </is>
      </c>
      <c r="F363" t="inlineStr">
        <is>
          <t>05-04-2024</t>
        </is>
      </c>
      <c r="G363" t="n">
        <v>8082</v>
      </c>
      <c r="I363">
        <f>G363</f>
        <v/>
      </c>
      <c r="K363">
        <f>I363-G363</f>
        <v/>
      </c>
      <c r="M363" t="inlineStr">
        <is>
          <t>TAG2400211</t>
        </is>
      </c>
      <c r="N363" t="inlineStr">
        <is>
          <t>8309000</t>
        </is>
      </c>
      <c r="O363">
        <f>M363=N363</f>
        <v/>
      </c>
      <c r="P363">
        <f>AND(MONTH(F363)=MONTH(S363), YEAR(F363)=YEAR(S363))</f>
        <v/>
      </c>
      <c r="Q363">
        <f>"L001-902303751"=U363</f>
        <v/>
      </c>
      <c r="R363">
        <f>G363-W363</f>
        <v/>
      </c>
      <c r="S363" s="36" t="n">
        <v>45621</v>
      </c>
      <c r="T363" t="n">
        <v>83090</v>
      </c>
      <c r="U363" t="inlineStr">
        <is>
          <t>K009-901605081</t>
        </is>
      </c>
      <c r="V363" t="inlineStr">
        <is>
          <t>ទ្រូ ខមភែនៀន ឡូជីស្ទីក (ខេមបូឌា)</t>
        </is>
      </c>
      <c r="W363" t="n">
        <v>83090</v>
      </c>
      <c r="X363" t="n">
        <v>0</v>
      </c>
    </row>
    <row r="364">
      <c r="A364" t="n">
        <v>363</v>
      </c>
      <c r="B364" t="inlineStr">
        <is>
          <t>Cargo Terminal</t>
        </is>
      </c>
      <c r="C364" t="inlineStr">
        <is>
          <t>សូស៊ីយេតេ កុងសេស្យូនែរ ដឺ ឡាអេរ៉ូព័រ</t>
        </is>
      </c>
      <c r="D364" t="inlineStr">
        <is>
          <t>L001-100047300</t>
        </is>
      </c>
      <c r="E364" t="inlineStr">
        <is>
          <t>2400-022764</t>
        </is>
      </c>
      <c r="F364" t="inlineStr">
        <is>
          <t>02-04-2024</t>
        </is>
      </c>
      <c r="G364" t="n">
        <v>1616</v>
      </c>
      <c r="I364">
        <f>G364</f>
        <v/>
      </c>
      <c r="K364">
        <f>I364-G364</f>
        <v/>
      </c>
      <c r="M364" t="inlineStr">
        <is>
          <t>2400022764</t>
        </is>
      </c>
      <c r="N364" t="inlineStr">
        <is>
          <t>11193600</t>
        </is>
      </c>
      <c r="O364">
        <f>M364=N364</f>
        <v/>
      </c>
      <c r="P364">
        <f>AND(MONTH(F364)=MONTH(S364), YEAR(F364)=YEAR(S364))</f>
        <v/>
      </c>
      <c r="Q364">
        <f>"L001-902303751"=U364</f>
        <v/>
      </c>
      <c r="R364">
        <f>G364-W364</f>
        <v/>
      </c>
      <c r="S364" s="36" t="n">
        <v>45614</v>
      </c>
      <c r="T364" t="n">
        <v>111936</v>
      </c>
      <c r="U364" t="inlineStr">
        <is>
          <t>L001-104015799</t>
        </is>
      </c>
      <c r="V364" t="inlineStr">
        <is>
          <t>យូសេន ឡូជីស្ទីក (ខេមបូឌា) ខូ អិលធីឌី</t>
        </is>
      </c>
      <c r="W364" t="n">
        <v>111936</v>
      </c>
      <c r="X364" t="n">
        <v>0</v>
      </c>
    </row>
    <row r="365">
      <c r="A365" t="n">
        <v>364</v>
      </c>
      <c r="B365" t="inlineStr">
        <is>
          <t>Customs Clearance Fee and Agency Fee</t>
        </is>
      </c>
      <c r="C365" t="inlineStr">
        <is>
          <t>ត្រាយអ៊ែងហ្គល ឡូជីស្ទីក (ខេមបូឌា) ឯ.ក</t>
        </is>
      </c>
      <c r="D365" t="inlineStr">
        <is>
          <t>K010-902101743</t>
        </is>
      </c>
      <c r="E365" t="inlineStr">
        <is>
          <t>TAG-24-00201</t>
        </is>
      </c>
      <c r="F365" t="inlineStr">
        <is>
          <t>01-04-2024</t>
        </is>
      </c>
      <c r="G365" t="n">
        <v>32304</v>
      </c>
      <c r="I365">
        <f>G365</f>
        <v/>
      </c>
      <c r="K365">
        <f>I365-G365</f>
        <v/>
      </c>
      <c r="M365" t="inlineStr">
        <is>
          <t>TAG2400201</t>
        </is>
      </c>
      <c r="N365" t="inlineStr">
        <is>
          <t>18671400</t>
        </is>
      </c>
      <c r="O365">
        <f>M365=N365</f>
        <v/>
      </c>
      <c r="P365">
        <f>AND(MONTH(F365)=MONTH(S365), YEAR(F365)=YEAR(S365))</f>
        <v/>
      </c>
      <c r="Q365">
        <f>"L001-902303751"=U365</f>
        <v/>
      </c>
      <c r="R365">
        <f>G365-W365</f>
        <v/>
      </c>
      <c r="S365" s="36" t="n">
        <v>45607</v>
      </c>
      <c r="T365" t="n">
        <v>186714</v>
      </c>
      <c r="U365" t="inlineStr">
        <is>
          <t>K009-901605081</t>
        </is>
      </c>
      <c r="V365" t="inlineStr">
        <is>
          <t>ទ្រូ ខមភែនៀន ឡូជីស្ទីក (ខេមបូឌា)</t>
        </is>
      </c>
      <c r="W365" t="n">
        <v>186714</v>
      </c>
      <c r="X365" t="n">
        <v>0</v>
      </c>
    </row>
    <row r="366">
      <c r="A366" t="n">
        <v>365</v>
      </c>
      <c r="B366" t="inlineStr">
        <is>
          <t>PVC Thin Film</t>
        </is>
      </c>
      <c r="C366" t="inlineStr">
        <is>
          <t>ដេកូស៍ អ៊ិនដាសស្ទ្រី ឯ.ក</t>
        </is>
      </c>
      <c r="D366" t="inlineStr">
        <is>
          <t>K007-901639102</t>
        </is>
      </c>
      <c r="E366" t="inlineStr">
        <is>
          <t>00043</t>
        </is>
      </c>
      <c r="F366" t="inlineStr">
        <is>
          <t>08-04-2024</t>
        </is>
      </c>
      <c r="G366" t="n">
        <v>88880</v>
      </c>
      <c r="I366">
        <f>G366</f>
        <v/>
      </c>
      <c r="K366">
        <f>I366-G366</f>
        <v/>
      </c>
      <c r="M366" t="inlineStr">
        <is>
          <t>00043</t>
        </is>
      </c>
      <c r="N366" t="inlineStr"/>
      <c r="O366">
        <f>M366=N366</f>
        <v/>
      </c>
      <c r="P366">
        <f>AND(MONTH(F366)=MONTH(S366), YEAR(F366)=YEAR(S366))</f>
        <v/>
      </c>
      <c r="Q366">
        <f>"L001-902303751"=U366</f>
        <v/>
      </c>
      <c r="R366">
        <f>G366-W366</f>
        <v/>
      </c>
      <c r="S366" s="36" t="n">
        <v>45607</v>
      </c>
      <c r="T366" t="inlineStr"/>
      <c r="U366" t="inlineStr">
        <is>
          <t>L001-104015799</t>
        </is>
      </c>
      <c r="V366" t="inlineStr">
        <is>
          <t>យូសេន ឡូជីស្ទីក (ខេមបូឌា) ខូ អិលធីឌី</t>
        </is>
      </c>
      <c r="W366" t="n">
        <v>0</v>
      </c>
      <c r="X366" t="n">
        <v>0</v>
      </c>
    </row>
    <row r="367">
      <c r="A367" t="n">
        <v>366</v>
      </c>
      <c r="B367" t="inlineStr">
        <is>
          <t>Decoration</t>
        </is>
      </c>
      <c r="C367" t="inlineStr">
        <is>
          <t>ដេកូស៍ អ៊ិនដាសស្ទ្រី ឯ.ក</t>
        </is>
      </c>
      <c r="D367" t="inlineStr">
        <is>
          <t>K007-901639102</t>
        </is>
      </c>
      <c r="E367" t="inlineStr">
        <is>
          <t>00044</t>
        </is>
      </c>
      <c r="F367" t="inlineStr">
        <is>
          <t>08-04-2024</t>
        </is>
      </c>
      <c r="G367" t="n">
        <v>305424</v>
      </c>
      <c r="I367">
        <f>G367</f>
        <v/>
      </c>
      <c r="K367">
        <f>I367-G367</f>
        <v/>
      </c>
      <c r="M367" t="inlineStr">
        <is>
          <t>00044</t>
        </is>
      </c>
      <c r="N367" t="inlineStr">
        <is>
          <t>218763000</t>
        </is>
      </c>
      <c r="O367">
        <f>M367=N367</f>
        <v/>
      </c>
      <c r="P367">
        <f>AND(MONTH(F367)=MONTH(S367), YEAR(F367)=YEAR(S367))</f>
        <v/>
      </c>
      <c r="Q367">
        <f>"L001-902303751"=U367</f>
        <v/>
      </c>
      <c r="R367">
        <f>G367-W367</f>
        <v/>
      </c>
      <c r="S367" s="36" t="n">
        <v>45622</v>
      </c>
      <c r="T367" t="n">
        <v>2187630</v>
      </c>
      <c r="U367" t="inlineStr">
        <is>
          <t>K009-901605081</t>
        </is>
      </c>
      <c r="V367" t="inlineStr">
        <is>
          <t>ទ្រូ ខមភែនៀន ឡូជីស្ទីក (ខេមបូឌា)</t>
        </is>
      </c>
      <c r="W367" t="n">
        <v>2187630</v>
      </c>
      <c r="X367" t="n">
        <v>0</v>
      </c>
    </row>
    <row r="368">
      <c r="A368" t="n">
        <v>367</v>
      </c>
      <c r="B368" t="inlineStr">
        <is>
          <t>Monthly Charge of Photo Copies Rental from06/03/2024 to 06/04/2024</t>
        </is>
      </c>
      <c r="C368" t="inlineStr">
        <is>
          <t>វី.អាយ.អេស ខភៀ ឯ.ក</t>
        </is>
      </c>
      <c r="D368" t="inlineStr">
        <is>
          <t>K007-901705195</t>
        </is>
      </c>
      <c r="E368" t="inlineStr">
        <is>
          <t>RNT240426</t>
        </is>
      </c>
      <c r="F368" t="inlineStr">
        <is>
          <t>06-04-2024</t>
        </is>
      </c>
      <c r="G368" t="n">
        <v>56574</v>
      </c>
      <c r="I368">
        <f>G368</f>
        <v/>
      </c>
      <c r="K368">
        <f>I368-G368</f>
        <v/>
      </c>
      <c r="M368" t="inlineStr">
        <is>
          <t>RNT240426</t>
        </is>
      </c>
      <c r="N368" t="inlineStr">
        <is>
          <t>11118800</t>
        </is>
      </c>
      <c r="O368">
        <f>M368=N368</f>
        <v/>
      </c>
      <c r="P368">
        <f>AND(MONTH(F368)=MONTH(S368), YEAR(F368)=YEAR(S368))</f>
        <v/>
      </c>
      <c r="Q368">
        <f>"L001-902303751"=U368</f>
        <v/>
      </c>
      <c r="R368">
        <f>G368-W368</f>
        <v/>
      </c>
      <c r="S368" s="36" t="n">
        <v>45621</v>
      </c>
      <c r="T368" t="n">
        <v>111188</v>
      </c>
      <c r="U368" t="inlineStr">
        <is>
          <t>L001-104015799</t>
        </is>
      </c>
      <c r="V368" t="inlineStr">
        <is>
          <t>យូសេន ឡូជីស្ទីក (ខេមបូឌា) ខូ អិលធីឌី</t>
        </is>
      </c>
      <c r="W368" t="n">
        <v>111188</v>
      </c>
      <c r="X368" t="n">
        <v>0</v>
      </c>
    </row>
    <row r="369">
      <c r="A369" t="n">
        <v>368</v>
      </c>
      <c r="B369" t="inlineStr">
        <is>
          <t>Monthly Charge of Photo Copies Rental from06/03/2024 to 06/04/2024</t>
        </is>
      </c>
      <c r="C369" t="inlineStr">
        <is>
          <t>វី.អាយ.អេស ខភៀ ឯ.ក</t>
        </is>
      </c>
      <c r="D369" t="inlineStr">
        <is>
          <t>K007-901705195</t>
        </is>
      </c>
      <c r="E369" t="inlineStr">
        <is>
          <t>RNT240425</t>
        </is>
      </c>
      <c r="F369" t="inlineStr">
        <is>
          <t>06-04-2024</t>
        </is>
      </c>
      <c r="G369" t="n">
        <v>28287</v>
      </c>
      <c r="I369">
        <f>G369</f>
        <v/>
      </c>
      <c r="K369">
        <f>I369-G369</f>
        <v/>
      </c>
      <c r="M369" t="inlineStr">
        <is>
          <t>RNT240425</t>
        </is>
      </c>
      <c r="N369" t="inlineStr"/>
      <c r="O369">
        <f>M369=N369</f>
        <v/>
      </c>
      <c r="P369">
        <f>AND(MONTH(F369)=MONTH(S369), YEAR(F369)=YEAR(S369))</f>
        <v/>
      </c>
      <c r="Q369">
        <f>"L001-902303751"=U369</f>
        <v/>
      </c>
      <c r="R369">
        <f>G369-W369</f>
        <v/>
      </c>
      <c r="S369" s="36" t="n">
        <v>45621</v>
      </c>
      <c r="T369" t="inlineStr"/>
      <c r="U369" t="inlineStr">
        <is>
          <t>L001-104015799</t>
        </is>
      </c>
      <c r="V369" t="inlineStr">
        <is>
          <t>យូសេន ឡូជីស្ទីក (ខេមបូឌា) ខូ អិលធីឌី</t>
        </is>
      </c>
      <c r="W369" t="n">
        <v>0</v>
      </c>
      <c r="X369" t="n">
        <v>0</v>
      </c>
    </row>
    <row r="370">
      <c r="A370" t="n">
        <v>369</v>
      </c>
      <c r="B370" t="inlineStr">
        <is>
          <t>Monthly Charge of Photo Copies Rental from06/03/2024 to 06/04/2024</t>
        </is>
      </c>
      <c r="C370" t="inlineStr">
        <is>
          <t>វី.អាយ.អេស ខភៀ ឯ.ក</t>
        </is>
      </c>
      <c r="D370" t="inlineStr">
        <is>
          <t>K007-901705195</t>
        </is>
      </c>
      <c r="E370" t="inlineStr">
        <is>
          <t>RNT240423</t>
        </is>
      </c>
      <c r="F370" t="inlineStr">
        <is>
          <t>06-04-2024</t>
        </is>
      </c>
      <c r="G370" t="n">
        <v>56574</v>
      </c>
      <c r="I370">
        <f>G370</f>
        <v/>
      </c>
      <c r="K370">
        <f>I370-G370</f>
        <v/>
      </c>
      <c r="M370" t="inlineStr">
        <is>
          <t>RNT240423</t>
        </is>
      </c>
      <c r="N370" t="inlineStr"/>
      <c r="O370">
        <f>M370=N370</f>
        <v/>
      </c>
      <c r="P370">
        <f>AND(MONTH(F370)=MONTH(S370), YEAR(F370)=YEAR(S370))</f>
        <v/>
      </c>
      <c r="Q370">
        <f>"L001-902303751"=U370</f>
        <v/>
      </c>
      <c r="R370">
        <f>G370-W370</f>
        <v/>
      </c>
      <c r="S370" s="36" t="n">
        <v>45621</v>
      </c>
      <c r="T370" t="inlineStr"/>
      <c r="U370" t="inlineStr">
        <is>
          <t>L001-104015799</t>
        </is>
      </c>
      <c r="V370" t="inlineStr">
        <is>
          <t>យូសេន ឡូជីស្ទីក (ខេមបូឌា) ខូ អិលធីឌី</t>
        </is>
      </c>
      <c r="W370" t="n">
        <v>0</v>
      </c>
      <c r="X370" t="n">
        <v>0</v>
      </c>
    </row>
    <row r="371">
      <c r="A371" t="n">
        <v>370</v>
      </c>
      <c r="B371" t="inlineStr">
        <is>
          <t>Monthly Charge of Photo Copies Rental from06/03/2024 to 06/04/2024</t>
        </is>
      </c>
      <c r="C371" t="inlineStr">
        <is>
          <t>វី.អាយ.អេស ខភៀ ឯ.ក</t>
        </is>
      </c>
      <c r="D371" t="inlineStr">
        <is>
          <t>K007-901705195</t>
        </is>
      </c>
      <c r="E371" t="inlineStr">
        <is>
          <t>RNT240424</t>
        </is>
      </c>
      <c r="F371" t="inlineStr">
        <is>
          <t>06-04-2024</t>
        </is>
      </c>
      <c r="G371" t="n">
        <v>26267</v>
      </c>
      <c r="I371">
        <f>G371</f>
        <v/>
      </c>
      <c r="K371">
        <f>I371-G371</f>
        <v/>
      </c>
      <c r="M371" t="inlineStr">
        <is>
          <t>RNT240424</t>
        </is>
      </c>
      <c r="N371" t="inlineStr">
        <is>
          <t>933600</t>
        </is>
      </c>
      <c r="O371">
        <f>M371=N371</f>
        <v/>
      </c>
      <c r="P371">
        <f>AND(MONTH(F371)=MONTH(S371), YEAR(F371)=YEAR(S371))</f>
        <v/>
      </c>
      <c r="Q371">
        <f>"L001-902303751"=U371</f>
        <v/>
      </c>
      <c r="R371">
        <f>G371-W371</f>
        <v/>
      </c>
      <c r="S371" s="36" t="n">
        <v>45607</v>
      </c>
      <c r="T371" t="n">
        <v>9336</v>
      </c>
      <c r="U371" t="inlineStr">
        <is>
          <t>L001-100098134</t>
        </is>
      </c>
      <c r="V371" t="inlineStr">
        <is>
          <t>បុងកាហ្វេ (ខេមបូឌា)</t>
        </is>
      </c>
      <c r="W371" t="n">
        <v>9336</v>
      </c>
      <c r="X371" t="n">
        <v>0</v>
      </c>
    </row>
    <row r="372">
      <c r="A372" t="n">
        <v>371</v>
      </c>
      <c r="B372" t="inlineStr">
        <is>
          <t>Customs Clearance Fee and Trucking Fee</t>
        </is>
      </c>
      <c r="C372" t="inlineStr">
        <is>
          <t>ត្រាយអ៊ែងហ្គល ឡូជីស្ទីក (ខេមបូឌា) ឯ.ក</t>
        </is>
      </c>
      <c r="D372" t="inlineStr">
        <is>
          <t>K010-902101743</t>
        </is>
      </c>
      <c r="E372" t="inlineStr">
        <is>
          <t>TAG-24-00224</t>
        </is>
      </c>
      <c r="F372" t="inlineStr">
        <is>
          <t>08-04-2024</t>
        </is>
      </c>
      <c r="G372" t="n">
        <v>28280</v>
      </c>
      <c r="I372">
        <f>G372</f>
        <v/>
      </c>
      <c r="K372">
        <f>I372-G372</f>
        <v/>
      </c>
      <c r="M372" t="inlineStr">
        <is>
          <t>TAG2400224</t>
        </is>
      </c>
      <c r="N372" t="inlineStr">
        <is>
          <t>19908700</t>
        </is>
      </c>
      <c r="O372">
        <f>M372=N372</f>
        <v/>
      </c>
      <c r="P372">
        <f>AND(MONTH(F372)=MONTH(S372), YEAR(F372)=YEAR(S372))</f>
        <v/>
      </c>
      <c r="Q372">
        <f>"L001-902303751"=U372</f>
        <v/>
      </c>
      <c r="R372">
        <f>G372-W372</f>
        <v/>
      </c>
      <c r="S372" s="36" t="n">
        <v>45603</v>
      </c>
      <c r="T372" t="n">
        <v>199087</v>
      </c>
      <c r="U372" t="inlineStr">
        <is>
          <t>K002-901635875</t>
        </is>
      </c>
      <c r="V372" t="inlineStr">
        <is>
          <t>ដាត គ្លូប៊ល ឡូជីស្ទីក (ខេមបូឌា)</t>
        </is>
      </c>
      <c r="W372" t="n">
        <v>199087</v>
      </c>
      <c r="X372" t="n">
        <v>0</v>
      </c>
    </row>
    <row r="373">
      <c r="A373" t="n">
        <v>372</v>
      </c>
      <c r="B373" t="inlineStr">
        <is>
          <t>CFS Handling, Carrier BL, Document Assembly, Terminal Handling, Handling Fee, VGM Processing Fee, Manifest Fee and Late Booking Revisio</t>
        </is>
      </c>
      <c r="C373" t="inlineStr">
        <is>
          <t>អ៊ិចស្ពែឌីធ័រ ខេមបូឌា អិលធីឌី</t>
        </is>
      </c>
      <c r="D373" t="inlineStr">
        <is>
          <t>L001-100045898</t>
        </is>
      </c>
      <c r="E373" t="inlineStr">
        <is>
          <t>TI-0272869</t>
        </is>
      </c>
      <c r="F373" t="inlineStr">
        <is>
          <t>30-04-2024</t>
        </is>
      </c>
      <c r="G373" t="n">
        <v>112166</v>
      </c>
      <c r="I373">
        <f>G373</f>
        <v/>
      </c>
      <c r="K373">
        <f>I373-G373</f>
        <v/>
      </c>
      <c r="M373" t="inlineStr">
        <is>
          <t>TI0272869</t>
        </is>
      </c>
      <c r="N373" t="inlineStr">
        <is>
          <t>8402100</t>
        </is>
      </c>
      <c r="O373">
        <f>M373=N373</f>
        <v/>
      </c>
      <c r="P373">
        <f>AND(MONTH(F373)=MONTH(S373), YEAR(F373)=YEAR(S373))</f>
        <v/>
      </c>
      <c r="Q373">
        <f>"L001-902303751"=U373</f>
        <v/>
      </c>
      <c r="R373">
        <f>G373-W373</f>
        <v/>
      </c>
      <c r="S373" s="36" t="n">
        <v>45607</v>
      </c>
      <c r="T373" t="n">
        <v>84021</v>
      </c>
      <c r="U373" t="inlineStr">
        <is>
          <t>L001-104015799</t>
        </is>
      </c>
      <c r="V373" t="inlineStr">
        <is>
          <t>យូសេន ឡូជីស្ទីក (ខេមបូឌា) ខូ អិលធីឌី</t>
        </is>
      </c>
      <c r="W373" t="n">
        <v>84021</v>
      </c>
      <c r="X373" t="n">
        <v>0</v>
      </c>
    </row>
    <row r="374">
      <c r="A374" t="n">
        <v>373</v>
      </c>
      <c r="B374" t="inlineStr">
        <is>
          <t>Thread</t>
        </is>
      </c>
      <c r="C374" t="inlineStr">
        <is>
          <t>គ្លូប៊ល សុីលីន ហ្គាមុិន អេកសេសឺរី ឯ.ក</t>
        </is>
      </c>
      <c r="D374" t="inlineStr">
        <is>
          <t>L001-902200857</t>
        </is>
      </c>
      <c r="E374" t="inlineStr">
        <is>
          <t>000250</t>
        </is>
      </c>
      <c r="F374" t="inlineStr">
        <is>
          <t>24-04-2024</t>
        </is>
      </c>
      <c r="G374" t="n">
        <v>1823149</v>
      </c>
      <c r="I374">
        <f>G374</f>
        <v/>
      </c>
      <c r="K374">
        <f>I374-G374</f>
        <v/>
      </c>
      <c r="M374" t="inlineStr">
        <is>
          <t>000250</t>
        </is>
      </c>
      <c r="N374" t="inlineStr">
        <is>
          <t>220234500</t>
        </is>
      </c>
      <c r="O374">
        <f>M374=N374</f>
        <v/>
      </c>
      <c r="P374">
        <f>AND(MONTH(F374)=MONTH(S374), YEAR(F374)=YEAR(S374))</f>
        <v/>
      </c>
      <c r="Q374">
        <f>"L001-902303751"=U374</f>
        <v/>
      </c>
      <c r="R374">
        <f>G374-W374</f>
        <v/>
      </c>
      <c r="S374" s="36" t="n">
        <v>45614</v>
      </c>
      <c r="T374" t="n">
        <v>2202345</v>
      </c>
      <c r="U374" t="inlineStr">
        <is>
          <t>K009-901605081</t>
        </is>
      </c>
      <c r="V374" t="inlineStr">
        <is>
          <t>ទ្រូ ខមភែនៀន ឡូជីស្ទីក (ខេមបូឌា)</t>
        </is>
      </c>
      <c r="W374" t="n">
        <v>2202345</v>
      </c>
      <c r="X374" t="n">
        <v>0</v>
      </c>
    </row>
    <row r="375">
      <c r="A375" t="n">
        <v>374</v>
      </c>
      <c r="B375" t="inlineStr">
        <is>
          <t>Thread</t>
        </is>
      </c>
      <c r="C375" t="inlineStr">
        <is>
          <t>គ្លូប៊ល សុីលីន ហ្គាមុិន អេកសេសឺរី ឯ.ក</t>
        </is>
      </c>
      <c r="D375" t="inlineStr">
        <is>
          <t>L001-902200857</t>
        </is>
      </c>
      <c r="E375" t="inlineStr">
        <is>
          <t>000249</t>
        </is>
      </c>
      <c r="F375" t="inlineStr">
        <is>
          <t>24-04-2024</t>
        </is>
      </c>
      <c r="G375" t="n">
        <v>60640</v>
      </c>
      <c r="I375">
        <f>G375</f>
        <v/>
      </c>
      <c r="K375">
        <f>I375-G375</f>
        <v/>
      </c>
      <c r="M375" t="inlineStr">
        <is>
          <t>000249</t>
        </is>
      </c>
      <c r="N375" t="inlineStr">
        <is>
          <t>8414600</t>
        </is>
      </c>
      <c r="O375">
        <f>M375=N375</f>
        <v/>
      </c>
      <c r="P375">
        <f>AND(MONTH(F375)=MONTH(S375), YEAR(F375)=YEAR(S375))</f>
        <v/>
      </c>
      <c r="Q375">
        <f>"L001-902303751"=U375</f>
        <v/>
      </c>
      <c r="R375">
        <f>G375-W375</f>
        <v/>
      </c>
      <c r="S375" s="36" t="n">
        <v>45600</v>
      </c>
      <c r="T375" t="n">
        <v>84146</v>
      </c>
      <c r="U375" t="inlineStr">
        <is>
          <t>L001-104015799</t>
        </is>
      </c>
      <c r="V375" t="inlineStr">
        <is>
          <t>យូសេន ឡូជីស្ទីក (ខេមបូឌា) ខូ អិលធីឌី</t>
        </is>
      </c>
      <c r="W375" t="n">
        <v>84146</v>
      </c>
      <c r="X375" t="n">
        <v>0</v>
      </c>
    </row>
    <row r="376">
      <c r="A376" t="n">
        <v>375</v>
      </c>
      <c r="B376" t="inlineStr">
        <is>
          <t>Documentation Origin, Handling Charges Origin, PLACI Fee and HAWB Transmission Fee</t>
        </is>
      </c>
      <c r="C376" t="inlineStr">
        <is>
          <t>ឌីប៊ី សេនឃើរ (ខេមបូឌា) លីមីធីត</t>
        </is>
      </c>
      <c r="D376" t="inlineStr">
        <is>
          <t>L001-107041723</t>
        </is>
      </c>
      <c r="E376" t="inlineStr">
        <is>
          <t>2400003577</t>
        </is>
      </c>
      <c r="F376" t="inlineStr">
        <is>
          <t>29-04-2024</t>
        </is>
      </c>
      <c r="G376" t="n">
        <v>49963</v>
      </c>
      <c r="I376">
        <f>G376</f>
        <v/>
      </c>
      <c r="K376">
        <f>I376-G376</f>
        <v/>
      </c>
      <c r="M376" t="inlineStr">
        <is>
          <t>2400003577</t>
        </is>
      </c>
      <c r="N376" t="inlineStr">
        <is>
          <t>8402100</t>
        </is>
      </c>
      <c r="O376">
        <f>M376=N376</f>
        <v/>
      </c>
      <c r="P376">
        <f>AND(MONTH(F376)=MONTH(S376), YEAR(F376)=YEAR(S376))</f>
        <v/>
      </c>
      <c r="Q376">
        <f>"L001-902303751"=U376</f>
        <v/>
      </c>
      <c r="R376">
        <f>G376-W376</f>
        <v/>
      </c>
      <c r="S376" s="36" t="n">
        <v>45607</v>
      </c>
      <c r="T376" t="n">
        <v>84021</v>
      </c>
      <c r="U376" t="inlineStr">
        <is>
          <t>L001-104015799</t>
        </is>
      </c>
      <c r="V376" t="inlineStr">
        <is>
          <t>យូសេន ឡូជីស្ទីក (ខេមបូឌា) ខូ អិលធីឌី</t>
        </is>
      </c>
      <c r="W376" t="n">
        <v>84021</v>
      </c>
      <c r="X376" t="n">
        <v>0</v>
      </c>
    </row>
    <row r="377">
      <c r="A377" t="n">
        <v>376</v>
      </c>
      <c r="B377" t="inlineStr">
        <is>
          <t>Export Custom Clearance</t>
        </is>
      </c>
      <c r="C377" t="inlineStr">
        <is>
          <t>អ៊ីឃ្យូឡាញ វើលវ៉ាយដ៍ ឡូជីស្ទីក</t>
        </is>
      </c>
      <c r="D377" t="inlineStr">
        <is>
          <t>K003-901635943</t>
        </is>
      </c>
      <c r="E377" t="inlineStr">
        <is>
          <t>PPTI24/002172</t>
        </is>
      </c>
      <c r="F377" t="inlineStr">
        <is>
          <t>30-04-2024</t>
        </is>
      </c>
      <c r="G377" t="n">
        <v>65024</v>
      </c>
      <c r="I377">
        <f>G377</f>
        <v/>
      </c>
      <c r="K377">
        <f>I377-G377</f>
        <v/>
      </c>
      <c r="M377" t="inlineStr">
        <is>
          <t>PPTI24002172</t>
        </is>
      </c>
      <c r="N377" t="inlineStr">
        <is>
          <t>18464400</t>
        </is>
      </c>
      <c r="O377">
        <f>M377=N377</f>
        <v/>
      </c>
      <c r="P377">
        <f>AND(MONTH(F377)=MONTH(S377), YEAR(F377)=YEAR(S377))</f>
        <v/>
      </c>
      <c r="Q377">
        <f>"L001-902303751"=U377</f>
        <v/>
      </c>
      <c r="R377">
        <f>G377-W377</f>
        <v/>
      </c>
      <c r="S377" s="36" t="n">
        <v>45622</v>
      </c>
      <c r="T377" t="n">
        <v>184644</v>
      </c>
      <c r="U377" t="inlineStr">
        <is>
          <t>K009-901605081</t>
        </is>
      </c>
      <c r="V377" t="inlineStr">
        <is>
          <t>ទ្រូ ខមភែនៀន ឡូជីស្ទីក (ខេមបូឌា)</t>
        </is>
      </c>
      <c r="W377" t="n">
        <v>184644</v>
      </c>
      <c r="X377" t="n">
        <v>0</v>
      </c>
    </row>
    <row r="378">
      <c r="A378" t="n">
        <v>377</v>
      </c>
      <c r="B378" t="inlineStr">
        <is>
          <t>Overtime charges, Late Gate and Standby Fee</t>
        </is>
      </c>
      <c r="C378" t="inlineStr">
        <is>
          <t>អ៊ីឃ្យូឡាញ វើលវ៉ាយដ៍ ឡូជីស្ទីក</t>
        </is>
      </c>
      <c r="D378" t="inlineStr">
        <is>
          <t>K003-901635943</t>
        </is>
      </c>
      <c r="E378" t="inlineStr">
        <is>
          <t>PPTI24/002176</t>
        </is>
      </c>
      <c r="F378" t="inlineStr">
        <is>
          <t>30-04-2024</t>
        </is>
      </c>
      <c r="G378" t="n">
        <v>207264</v>
      </c>
      <c r="I378">
        <f>G378</f>
        <v/>
      </c>
      <c r="K378">
        <f>I378-G378</f>
        <v/>
      </c>
      <c r="M378" t="inlineStr">
        <is>
          <t>PPTI24002176</t>
        </is>
      </c>
      <c r="N378" t="inlineStr">
        <is>
          <t>9513200</t>
        </is>
      </c>
      <c r="O378">
        <f>M378=N378</f>
        <v/>
      </c>
      <c r="P378">
        <f>AND(MONTH(F378)=MONTH(S378), YEAR(F378)=YEAR(S378))</f>
        <v/>
      </c>
      <c r="Q378">
        <f>"L001-902303751"=U378</f>
        <v/>
      </c>
      <c r="R378">
        <f>G378-W378</f>
        <v/>
      </c>
      <c r="S378" s="36" t="n">
        <v>45621</v>
      </c>
      <c r="T378" t="n">
        <v>95132</v>
      </c>
      <c r="U378" t="inlineStr">
        <is>
          <t>L001-104015799</t>
        </is>
      </c>
      <c r="V378" t="inlineStr">
        <is>
          <t>យូសេន ឡូជីស្ទីក (ខេមបូឌា) ខូ អិលធីឌី</t>
        </is>
      </c>
      <c r="W378" t="n">
        <v>95132</v>
      </c>
      <c r="X378" t="n">
        <v>0</v>
      </c>
    </row>
    <row r="379">
      <c r="A379" t="n">
        <v>378</v>
      </c>
      <c r="B379" t="inlineStr">
        <is>
          <t>Export Custom Clearance</t>
        </is>
      </c>
      <c r="C379" t="inlineStr">
        <is>
          <t>អ៊ីឃ្យូឡាញ វើលវ៉ាយដ៍ ឡូជីស្ទីក</t>
        </is>
      </c>
      <c r="D379" t="inlineStr">
        <is>
          <t>K003-901635943</t>
        </is>
      </c>
      <c r="E379" t="inlineStr">
        <is>
          <t>PPTI24/002174</t>
        </is>
      </c>
      <c r="F379" t="inlineStr">
        <is>
          <t>30-04-2024</t>
        </is>
      </c>
      <c r="G379" t="n">
        <v>65024</v>
      </c>
      <c r="I379">
        <f>G379</f>
        <v/>
      </c>
      <c r="K379">
        <f>I379-G379</f>
        <v/>
      </c>
      <c r="M379" t="inlineStr">
        <is>
          <t>PPTI24002174</t>
        </is>
      </c>
      <c r="N379" t="inlineStr">
        <is>
          <t>11193600</t>
        </is>
      </c>
      <c r="O379">
        <f>M379=N379</f>
        <v/>
      </c>
      <c r="P379">
        <f>AND(MONTH(F379)=MONTH(S379), YEAR(F379)=YEAR(S379))</f>
        <v/>
      </c>
      <c r="Q379">
        <f>"L001-902303751"=U379</f>
        <v/>
      </c>
      <c r="R379">
        <f>G379-W379</f>
        <v/>
      </c>
      <c r="S379" s="36" t="n">
        <v>45614</v>
      </c>
      <c r="T379" t="n">
        <v>111936</v>
      </c>
      <c r="U379" t="inlineStr">
        <is>
          <t>L001-104015799</t>
        </is>
      </c>
      <c r="V379" t="inlineStr">
        <is>
          <t>យូសេន ឡូជីស្ទីក (ខេមបូឌា) ខូ អិលធីឌី</t>
        </is>
      </c>
      <c r="W379" t="n">
        <v>111936</v>
      </c>
      <c r="X379" t="n">
        <v>0</v>
      </c>
    </row>
    <row r="380">
      <c r="A380" t="n">
        <v>379</v>
      </c>
      <c r="B380" t="inlineStr">
        <is>
          <t>Overtime charges, Late Gate and Standby Fee</t>
        </is>
      </c>
      <c r="C380" t="inlineStr">
        <is>
          <t>អ៊ីឃ្យូឡាញ វើលវ៉ាយដ៍ ឡូជីស្ទីក</t>
        </is>
      </c>
      <c r="D380" t="inlineStr">
        <is>
          <t>K003-901635943</t>
        </is>
      </c>
      <c r="E380" t="inlineStr">
        <is>
          <t>PPTI24/002175</t>
        </is>
      </c>
      <c r="F380" t="inlineStr">
        <is>
          <t>30-04-2024</t>
        </is>
      </c>
      <c r="G380" t="n">
        <v>207264</v>
      </c>
      <c r="I380">
        <f>G380</f>
        <v/>
      </c>
      <c r="K380">
        <f>I380-G380</f>
        <v/>
      </c>
      <c r="M380" t="inlineStr">
        <is>
          <t>PPTI24002175</t>
        </is>
      </c>
      <c r="N380" t="inlineStr">
        <is>
          <t>219853000</t>
        </is>
      </c>
      <c r="O380">
        <f>M380=N380</f>
        <v/>
      </c>
      <c r="P380">
        <f>AND(MONTH(F380)=MONTH(S380), YEAR(F380)=YEAR(S380))</f>
        <v/>
      </c>
      <c r="Q380">
        <f>"L001-902303751"=U380</f>
        <v/>
      </c>
      <c r="R380">
        <f>G380-W380</f>
        <v/>
      </c>
      <c r="S380" s="36" t="n">
        <v>45617</v>
      </c>
      <c r="T380" t="n">
        <v>2198530</v>
      </c>
      <c r="U380" t="inlineStr">
        <is>
          <t>K009-901605081</t>
        </is>
      </c>
      <c r="V380" t="inlineStr">
        <is>
          <t>ទ្រូ ខមភែនៀន ឡូជីស្ទីក (ខេមបូឌា)</t>
        </is>
      </c>
      <c r="W380" t="n">
        <v>2198530</v>
      </c>
      <c r="X380" t="n">
        <v>0</v>
      </c>
    </row>
    <row r="381">
      <c r="A381" t="n">
        <v>380</v>
      </c>
      <c r="B381" t="inlineStr">
        <is>
          <t>CFS Charges, THC Charges, Bill of Lading Fee, VGM Fee, Manifest Fee and FCR Fee</t>
        </is>
      </c>
      <c r="C381" t="inlineStr">
        <is>
          <t>អ៊ិចស្ពែឌីធ័រ ខេមបូឌា អិលធីឌី</t>
        </is>
      </c>
      <c r="D381" t="inlineStr">
        <is>
          <t>L001-100045898</t>
        </is>
      </c>
      <c r="E381" t="inlineStr">
        <is>
          <t>TI-0272616</t>
        </is>
      </c>
      <c r="F381" t="inlineStr">
        <is>
          <t>29-04-2024</t>
        </is>
      </c>
      <c r="G381" t="n">
        <v>66617</v>
      </c>
      <c r="I381">
        <f>G381</f>
        <v/>
      </c>
      <c r="K381">
        <f>I381-G381</f>
        <v/>
      </c>
      <c r="M381" t="inlineStr">
        <is>
          <t>TI0272616</t>
        </is>
      </c>
      <c r="N381" t="inlineStr">
        <is>
          <t>18556400</t>
        </is>
      </c>
      <c r="O381">
        <f>M381=N381</f>
        <v/>
      </c>
      <c r="P381">
        <f>AND(MONTH(F381)=MONTH(S381), YEAR(F381)=YEAR(S381))</f>
        <v/>
      </c>
      <c r="Q381">
        <f>"L001-902303751"=U381</f>
        <v/>
      </c>
      <c r="R381">
        <f>G381-W381</f>
        <v/>
      </c>
      <c r="S381" s="36" t="n">
        <v>45617</v>
      </c>
      <c r="T381" t="n">
        <v>185564</v>
      </c>
      <c r="U381" t="inlineStr">
        <is>
          <t>K009-901605081</t>
        </is>
      </c>
      <c r="V381" t="inlineStr">
        <is>
          <t>ទ្រូ ខមភែនៀន ឡូជីស្ទីក (ខេមបូឌា)</t>
        </is>
      </c>
      <c r="W381" t="n">
        <v>185564</v>
      </c>
      <c r="X381" t="n">
        <v>0</v>
      </c>
    </row>
    <row r="382">
      <c r="A382" t="n">
        <v>381</v>
      </c>
      <c r="B382" t="inlineStr">
        <is>
          <t>OM Forwarding Fee, Terminal Handling, Carrier BL, Document Assemly, VGM Admin Fee, Container Seal and Manifest Fee</t>
        </is>
      </c>
      <c r="C382" t="inlineStr">
        <is>
          <t>អ៊ិចស្ពែឌីធ័រ ខេមបូឌា អិលធីឌី</t>
        </is>
      </c>
      <c r="D382" t="inlineStr">
        <is>
          <t>L001-100045898</t>
        </is>
      </c>
      <c r="E382" t="inlineStr">
        <is>
          <t>TI-0272867</t>
        </is>
      </c>
      <c r="F382" t="inlineStr">
        <is>
          <t>30-04-2024</t>
        </is>
      </c>
      <c r="G382" t="n">
        <v>193446</v>
      </c>
      <c r="I382">
        <f>G382</f>
        <v/>
      </c>
      <c r="K382">
        <f>I382-G382</f>
        <v/>
      </c>
      <c r="M382" t="inlineStr">
        <is>
          <t>TI0272867</t>
        </is>
      </c>
      <c r="N382" t="inlineStr"/>
      <c r="O382">
        <f>M382=N382</f>
        <v/>
      </c>
      <c r="P382">
        <f>AND(MONTH(F382)=MONTH(S382), YEAR(F382)=YEAR(S382))</f>
        <v/>
      </c>
      <c r="Q382">
        <f>"L001-902303751"=U382</f>
        <v/>
      </c>
      <c r="R382">
        <f>G382-W382</f>
        <v/>
      </c>
      <c r="S382" s="36" t="n">
        <v>45621</v>
      </c>
      <c r="T382" t="inlineStr"/>
      <c r="U382" t="inlineStr">
        <is>
          <t>L001-104015799</t>
        </is>
      </c>
      <c r="V382" t="inlineStr">
        <is>
          <t>យូសេន ឡូជីស្ទីក (ខេមបូឌា) ខូ អិលធីឌី</t>
        </is>
      </c>
      <c r="W382" t="n">
        <v>0</v>
      </c>
      <c r="X382" t="n">
        <v>0</v>
      </c>
    </row>
    <row r="383">
      <c r="A383" t="n">
        <v>382</v>
      </c>
      <c r="B383" t="inlineStr">
        <is>
          <t>CFS Handling, Carrier BL, Document Assembly, Terminal Handling, Handling Fee, VGM Processing Fee, Manifest Fee</t>
        </is>
      </c>
      <c r="C383" t="inlineStr">
        <is>
          <t>អ៊ិចស្ពែឌីធ័រ ខេមបូឌា អិលធីឌី</t>
        </is>
      </c>
      <c r="D383" t="inlineStr">
        <is>
          <t>L001-100045898</t>
        </is>
      </c>
      <c r="E383" t="inlineStr">
        <is>
          <t>TI-0272868</t>
        </is>
      </c>
      <c r="F383" t="inlineStr">
        <is>
          <t>30-04-2024</t>
        </is>
      </c>
      <c r="G383" t="n">
        <v>91846</v>
      </c>
      <c r="I383">
        <f>G383</f>
        <v/>
      </c>
      <c r="K383">
        <f>I383-G383</f>
        <v/>
      </c>
      <c r="M383" t="inlineStr">
        <is>
          <t>TI0272868</t>
        </is>
      </c>
      <c r="N383" t="inlineStr">
        <is>
          <t>18924400</t>
        </is>
      </c>
      <c r="O383">
        <f>M383=N383</f>
        <v/>
      </c>
      <c r="P383">
        <f>AND(MONTH(F383)=MONTH(S383), YEAR(F383)=YEAR(S383))</f>
        <v/>
      </c>
      <c r="Q383">
        <f>"L001-902303751"=U383</f>
        <v/>
      </c>
      <c r="R383">
        <f>G383-W383</f>
        <v/>
      </c>
      <c r="S383" s="36" t="n">
        <v>45271</v>
      </c>
      <c r="T383" t="n">
        <v>189244</v>
      </c>
      <c r="U383" t="inlineStr">
        <is>
          <t>K009-901605081</t>
        </is>
      </c>
      <c r="V383" t="inlineStr">
        <is>
          <t>ទ្រូ ខមភែនៀន ឡូជីស្ទីក (ខេមបូឌា)</t>
        </is>
      </c>
      <c r="W383" t="n">
        <v>189244</v>
      </c>
      <c r="X383" t="n">
        <v>0</v>
      </c>
    </row>
    <row r="384">
      <c r="A384" t="n">
        <v>383</v>
      </c>
      <c r="B384" t="inlineStr">
        <is>
          <t>Raw Material</t>
        </is>
      </c>
      <c r="C384" t="inlineStr">
        <is>
          <t>ហ្វ៊ុលម៉ី អេកសេសីរី ឯ.ក</t>
        </is>
      </c>
      <c r="D384" t="inlineStr">
        <is>
          <t>K010-901902807</t>
        </is>
      </c>
      <c r="E384" t="inlineStr">
        <is>
          <t>24/0030</t>
        </is>
      </c>
      <c r="F384" t="inlineStr">
        <is>
          <t>23-04-2024</t>
        </is>
      </c>
      <c r="G384" t="n">
        <v>146195</v>
      </c>
      <c r="I384">
        <f>G384</f>
        <v/>
      </c>
      <c r="K384">
        <f>I384-G384</f>
        <v/>
      </c>
      <c r="M384" t="inlineStr">
        <is>
          <t>240030</t>
        </is>
      </c>
      <c r="N384" t="inlineStr">
        <is>
          <t>223940500</t>
        </is>
      </c>
      <c r="O384">
        <f>M384=N384</f>
        <v/>
      </c>
      <c r="P384">
        <f>AND(MONTH(F384)=MONTH(S384), YEAR(F384)=YEAR(S384))</f>
        <v/>
      </c>
      <c r="Q384">
        <f>"L001-902303751"=U384</f>
        <v/>
      </c>
      <c r="R384">
        <f>G384-W384</f>
        <v/>
      </c>
      <c r="S384" s="36" t="n">
        <v>45274</v>
      </c>
      <c r="T384" t="n">
        <v>2239405</v>
      </c>
      <c r="U384" t="inlineStr">
        <is>
          <t>K009-901605081</t>
        </is>
      </c>
      <c r="V384" t="inlineStr">
        <is>
          <t>ទ្រូ ខមភែនៀន ឡូជីស្ទីក (ខេមបូឌា)</t>
        </is>
      </c>
      <c r="W384" t="n">
        <v>2239405</v>
      </c>
      <c r="X384" t="n">
        <v>0</v>
      </c>
    </row>
    <row r="385">
      <c r="A385" t="n">
        <v>384</v>
      </c>
      <c r="B385" t="inlineStr">
        <is>
          <t>Non Woven Interlining</t>
        </is>
      </c>
      <c r="C385" t="inlineStr">
        <is>
          <t>ដេលី ហ្គាមេន អេកសេសឺរី</t>
        </is>
      </c>
      <c r="D385" t="inlineStr">
        <is>
          <t>L001-108012794</t>
        </is>
      </c>
      <c r="E385" t="inlineStr">
        <is>
          <t>00160</t>
        </is>
      </c>
      <c r="F385" t="inlineStr">
        <is>
          <t>29-04-2024</t>
        </is>
      </c>
      <c r="G385" t="n">
        <v>874475</v>
      </c>
      <c r="I385">
        <f>G385</f>
        <v/>
      </c>
      <c r="K385">
        <f>I385-G385</f>
        <v/>
      </c>
      <c r="M385" t="inlineStr">
        <is>
          <t>00160</t>
        </is>
      </c>
      <c r="N385" t="inlineStr">
        <is>
          <t>20734600</t>
        </is>
      </c>
      <c r="O385">
        <f>M385=N385</f>
        <v/>
      </c>
      <c r="P385">
        <f>AND(MONTH(F385)=MONTH(S385), YEAR(F385)=YEAR(S385))</f>
        <v/>
      </c>
      <c r="Q385">
        <f>"L001-902303751"=U385</f>
        <v/>
      </c>
      <c r="R385">
        <f>G385-W385</f>
        <v/>
      </c>
      <c r="S385" s="36" t="n">
        <v>45264</v>
      </c>
      <c r="T385" t="n">
        <v>207346</v>
      </c>
      <c r="U385" t="inlineStr">
        <is>
          <t>K003-901635943</t>
        </is>
      </c>
      <c r="V385" t="inlineStr">
        <is>
          <t>អ៊ីឃ្យូឡាញ វើលវ៉ាយដ៍ ឡូជីស្ទីក</t>
        </is>
      </c>
      <c r="W385" t="n">
        <v>207346</v>
      </c>
      <c r="X385" t="n">
        <v>0</v>
      </c>
    </row>
    <row r="386">
      <c r="A386" t="n">
        <v>385</v>
      </c>
      <c r="B386" t="inlineStr">
        <is>
          <t>Non Woven Interlining</t>
        </is>
      </c>
      <c r="C386" t="inlineStr">
        <is>
          <t>ដេលី ហ្គាមេន អេកសេសឺរី</t>
        </is>
      </c>
      <c r="D386" t="inlineStr">
        <is>
          <t>L001-108012794</t>
        </is>
      </c>
      <c r="E386" t="inlineStr">
        <is>
          <t>00161</t>
        </is>
      </c>
      <c r="F386" t="inlineStr">
        <is>
          <t>29-04-2024</t>
        </is>
      </c>
      <c r="G386" t="n">
        <v>48744</v>
      </c>
      <c r="I386">
        <f>G386</f>
        <v/>
      </c>
      <c r="K386">
        <f>I386-G386</f>
        <v/>
      </c>
      <c r="M386" t="inlineStr">
        <is>
          <t>00161</t>
        </is>
      </c>
      <c r="N386" t="inlineStr">
        <is>
          <t>18860000</t>
        </is>
      </c>
      <c r="O386">
        <f>M386=N386</f>
        <v/>
      </c>
      <c r="P386">
        <f>AND(MONTH(F386)=MONTH(S386), YEAR(F386)=YEAR(S386))</f>
        <v/>
      </c>
      <c r="Q386">
        <f>"L001-902303751"=U386</f>
        <v/>
      </c>
      <c r="R386">
        <f>G386-W386</f>
        <v/>
      </c>
      <c r="S386" s="36" t="n">
        <v>45285</v>
      </c>
      <c r="T386" t="n">
        <v>188600</v>
      </c>
      <c r="U386" t="inlineStr">
        <is>
          <t>K009-901605081</t>
        </is>
      </c>
      <c r="V386" t="inlineStr">
        <is>
          <t>ទ្រូ ខមភែនៀន ឡូជីស្ទីក (ខេមបូឌា)</t>
        </is>
      </c>
      <c r="W386" t="n">
        <v>188600</v>
      </c>
      <c r="X386" t="n">
        <v>0</v>
      </c>
    </row>
    <row r="387">
      <c r="A387" t="n">
        <v>386</v>
      </c>
      <c r="B387" t="inlineStr">
        <is>
          <t>Raw Material</t>
        </is>
      </c>
      <c r="C387" t="inlineStr">
        <is>
          <t>ក្លាក ហ៊ូ ឯ.ក</t>
        </is>
      </c>
      <c r="D387" t="inlineStr">
        <is>
          <t>K007-901639199</t>
        </is>
      </c>
      <c r="E387" t="inlineStr">
        <is>
          <t>IN0811</t>
        </is>
      </c>
      <c r="F387" t="inlineStr">
        <is>
          <t>30-04-2024</t>
        </is>
      </c>
      <c r="G387" t="n">
        <v>721360</v>
      </c>
      <c r="I387">
        <f>G387</f>
        <v/>
      </c>
      <c r="K387">
        <f>I387-G387</f>
        <v/>
      </c>
      <c r="M387" t="inlineStr">
        <is>
          <t>IN0811</t>
        </is>
      </c>
      <c r="N387" t="inlineStr">
        <is>
          <t>8509800</t>
        </is>
      </c>
      <c r="O387">
        <f>M387=N387</f>
        <v/>
      </c>
      <c r="P387">
        <f>AND(MONTH(F387)=MONTH(S387), YEAR(F387)=YEAR(S387))</f>
        <v/>
      </c>
      <c r="Q387">
        <f>"L001-902303751"=U387</f>
        <v/>
      </c>
      <c r="R387">
        <f>G387-W387</f>
        <v/>
      </c>
      <c r="S387" s="36" t="n">
        <v>45278</v>
      </c>
      <c r="T387" t="n">
        <v>85098</v>
      </c>
      <c r="U387" t="inlineStr">
        <is>
          <t>L001-104015799</t>
        </is>
      </c>
      <c r="V387" t="inlineStr">
        <is>
          <t>យូសេន ឡូជីស្ទីក (ខេមបូឌា) ខូ អិលធីឌី</t>
        </is>
      </c>
      <c r="W387" t="n">
        <v>85098</v>
      </c>
      <c r="X387" t="n">
        <v>0</v>
      </c>
    </row>
    <row r="388">
      <c r="A388" t="n">
        <v>387</v>
      </c>
      <c r="B388" t="inlineStr">
        <is>
          <t>Customs Clearance Fee and Trucking Fee</t>
        </is>
      </c>
      <c r="C388" t="inlineStr">
        <is>
          <t>ត្រាយអ៊ែងហ្គល ឡូជីស្ទីក (ខេមបូឌា) ឯ.ក</t>
        </is>
      </c>
      <c r="D388" t="inlineStr">
        <is>
          <t>K010-902101743</t>
        </is>
      </c>
      <c r="E388" t="inlineStr">
        <is>
          <t>TAG-24-00289</t>
        </is>
      </c>
      <c r="F388" t="inlineStr">
        <is>
          <t>29-04-2024</t>
        </is>
      </c>
      <c r="G388" t="n">
        <v>69054</v>
      </c>
      <c r="I388">
        <f>G388</f>
        <v/>
      </c>
      <c r="K388">
        <f>I388-G388</f>
        <v/>
      </c>
      <c r="M388" t="inlineStr">
        <is>
          <t>TAG2400289</t>
        </is>
      </c>
      <c r="N388" t="inlineStr">
        <is>
          <t>18929000</t>
        </is>
      </c>
      <c r="O388">
        <f>M388=N388</f>
        <v/>
      </c>
      <c r="P388">
        <f>AND(MONTH(F388)=MONTH(S388), YEAR(F388)=YEAR(S388))</f>
        <v/>
      </c>
      <c r="Q388">
        <f>"L001-902303751"=U388</f>
        <v/>
      </c>
      <c r="R388">
        <f>G388-W388</f>
        <v/>
      </c>
      <c r="S388" s="36" t="n">
        <v>45261</v>
      </c>
      <c r="T388" t="n">
        <v>189290</v>
      </c>
      <c r="U388" t="inlineStr">
        <is>
          <t>K009-901605081</t>
        </is>
      </c>
      <c r="V388" t="inlineStr">
        <is>
          <t>ទ្រូ ខមភែនៀន ឡូជីស្ទីក (ខេមបូឌា)</t>
        </is>
      </c>
      <c r="W388" t="n">
        <v>189290</v>
      </c>
      <c r="X388" t="n">
        <v>0</v>
      </c>
    </row>
    <row r="389">
      <c r="A389" t="n">
        <v>388</v>
      </c>
      <c r="B389" t="inlineStr">
        <is>
          <t>THC, Doc Fee and Container Imbalance</t>
        </is>
      </c>
      <c r="C389" t="inlineStr">
        <is>
          <t>សាខាក្រុមហ៊ុន ជីម៉ាឌីប ស៊ីបភីង ខមភេនី លីមីធីត</t>
        </is>
      </c>
      <c r="D389" t="inlineStr">
        <is>
          <t>L001-901704777</t>
        </is>
      </c>
      <c r="E389" t="inlineStr">
        <is>
          <t>24-01379</t>
        </is>
      </c>
      <c r="F389" t="inlineStr">
        <is>
          <t>25-04-2024</t>
        </is>
      </c>
      <c r="G389" t="n">
        <v>136010</v>
      </c>
      <c r="I389">
        <f>G389</f>
        <v/>
      </c>
      <c r="K389">
        <f>I389-G389</f>
        <v/>
      </c>
      <c r="M389" t="inlineStr">
        <is>
          <t>2401379</t>
        </is>
      </c>
      <c r="N389" t="inlineStr">
        <is>
          <t>18901400</t>
        </is>
      </c>
      <c r="O389">
        <f>M389=N389</f>
        <v/>
      </c>
      <c r="P389">
        <f>AND(MONTH(F389)=MONTH(S389), YEAR(F389)=YEAR(S389))</f>
        <v/>
      </c>
      <c r="Q389">
        <f>"L001-902303751"=U389</f>
        <v/>
      </c>
      <c r="R389">
        <f>G389-W389</f>
        <v/>
      </c>
      <c r="S389" s="36" t="n">
        <v>45274</v>
      </c>
      <c r="T389" t="n">
        <v>189014</v>
      </c>
      <c r="U389" t="inlineStr">
        <is>
          <t>K009-901605081</t>
        </is>
      </c>
      <c r="V389" t="inlineStr">
        <is>
          <t>ទ្រូ ខមភែនៀន ឡូជីស្ទីក (ខេមបូឌា)</t>
        </is>
      </c>
      <c r="W389" t="n">
        <v>189014</v>
      </c>
      <c r="X389" t="n">
        <v>0</v>
      </c>
    </row>
    <row r="390">
      <c r="A390" t="n">
        <v>389</v>
      </c>
      <c r="B390" t="inlineStr">
        <is>
          <t>THC, Doc Fee and Container Imbalance</t>
        </is>
      </c>
      <c r="C390" t="inlineStr">
        <is>
          <t>សាខាក្រុមហ៊ុន ជីម៉ាឌីប ស៊ីបភីង ខមភេនី លីមីធីត</t>
        </is>
      </c>
      <c r="D390" t="inlineStr">
        <is>
          <t>L001-901704777</t>
        </is>
      </c>
      <c r="E390" t="inlineStr">
        <is>
          <t>24-01380</t>
        </is>
      </c>
      <c r="F390" t="inlineStr">
        <is>
          <t>25-04-2024</t>
        </is>
      </c>
      <c r="G390" t="n">
        <v>95410</v>
      </c>
      <c r="I390">
        <f>G390</f>
        <v/>
      </c>
      <c r="K390">
        <f>I390-G390</f>
        <v/>
      </c>
      <c r="M390" t="inlineStr">
        <is>
          <t>2401380</t>
        </is>
      </c>
      <c r="N390" t="inlineStr">
        <is>
          <t>8516000</t>
        </is>
      </c>
      <c r="O390">
        <f>M390=N390</f>
        <v/>
      </c>
      <c r="P390">
        <f>AND(MONTH(F390)=MONTH(S390), YEAR(F390)=YEAR(S390))</f>
        <v/>
      </c>
      <c r="Q390">
        <f>"L001-902303751"=U390</f>
        <v/>
      </c>
      <c r="R390">
        <f>G390-W390</f>
        <v/>
      </c>
      <c r="S390" s="36" t="n">
        <v>45264</v>
      </c>
      <c r="T390" t="n">
        <v>85160</v>
      </c>
      <c r="U390" t="inlineStr">
        <is>
          <t>L001-104015799</t>
        </is>
      </c>
      <c r="V390" t="inlineStr">
        <is>
          <t>យូសេន ឡូជីស្ទីក (ខេមបូឌា) ខូ អិលធីឌី</t>
        </is>
      </c>
      <c r="W390" t="n">
        <v>85160</v>
      </c>
      <c r="X390" t="n">
        <v>0</v>
      </c>
    </row>
    <row r="391">
      <c r="A391" t="n">
        <v>390</v>
      </c>
      <c r="B391" t="inlineStr">
        <is>
          <t>Lift-On Charge and Gate Fee Charage</t>
        </is>
      </c>
      <c r="C391" t="inlineStr">
        <is>
          <t>កំពង់ផែស្វយ័តភ្នំពេញ "ក.ស.ភ"</t>
        </is>
      </c>
      <c r="D391" t="inlineStr">
        <is>
          <t>L001-100044999</t>
        </is>
      </c>
      <c r="E391" t="inlineStr">
        <is>
          <t>INV20240423146</t>
        </is>
      </c>
      <c r="F391" t="inlineStr">
        <is>
          <t>27-04-2024</t>
        </is>
      </c>
      <c r="G391" t="n">
        <v>18681</v>
      </c>
      <c r="I391">
        <f>G391</f>
        <v/>
      </c>
      <c r="K391">
        <f>I391-G391</f>
        <v/>
      </c>
      <c r="M391" t="inlineStr">
        <is>
          <t>INV20240423146</t>
        </is>
      </c>
      <c r="N391" t="inlineStr">
        <is>
          <t>18832400</t>
        </is>
      </c>
      <c r="O391">
        <f>M391=N391</f>
        <v/>
      </c>
      <c r="P391">
        <f>AND(MONTH(F391)=MONTH(S391), YEAR(F391)=YEAR(S391))</f>
        <v/>
      </c>
      <c r="Q391">
        <f>"L001-902303751"=U391</f>
        <v/>
      </c>
      <c r="R391">
        <f>G391-W391</f>
        <v/>
      </c>
      <c r="S391" s="36" t="n">
        <v>45287</v>
      </c>
      <c r="T391" t="n">
        <v>188324</v>
      </c>
      <c r="U391" t="inlineStr">
        <is>
          <t>K009-901605081</t>
        </is>
      </c>
      <c r="V391" t="inlineStr">
        <is>
          <t>ទ្រូ ខមភែនៀន ឡូជីស្ទីក (ខេមបូឌា)</t>
        </is>
      </c>
      <c r="W391" t="n">
        <v>188324</v>
      </c>
      <c r="X391" t="n">
        <v>0</v>
      </c>
    </row>
    <row r="392">
      <c r="A392" t="n">
        <v>391</v>
      </c>
      <c r="B392" t="inlineStr">
        <is>
          <t>Customs Clearance Fee and Trucking Fee</t>
        </is>
      </c>
      <c r="C392" t="inlineStr">
        <is>
          <t>ត្រាយអ៊ែងហ្គល ឡូជីស្ទីក (ខេមបូឌា) ឯ.ក</t>
        </is>
      </c>
      <c r="D392" t="inlineStr">
        <is>
          <t>K010-902101743</t>
        </is>
      </c>
      <c r="E392" t="inlineStr">
        <is>
          <t>TAG-24-00288</t>
        </is>
      </c>
      <c r="F392" t="inlineStr">
        <is>
          <t>29-04-2024</t>
        </is>
      </c>
      <c r="G392" t="n">
        <v>64992</v>
      </c>
      <c r="I392">
        <f>G392</f>
        <v/>
      </c>
      <c r="K392">
        <f>I392-G392</f>
        <v/>
      </c>
      <c r="M392" t="inlineStr">
        <is>
          <t>TAG2400288</t>
        </is>
      </c>
      <c r="N392" t="inlineStr">
        <is>
          <t>2057000</t>
        </is>
      </c>
      <c r="O392">
        <f>M392=N392</f>
        <v/>
      </c>
      <c r="P392">
        <f>AND(MONTH(F392)=MONTH(S392), YEAR(F392)=YEAR(S392))</f>
        <v/>
      </c>
      <c r="Q392">
        <f>"L001-902303751"=U392</f>
        <v/>
      </c>
      <c r="R392">
        <f>G392-W392</f>
        <v/>
      </c>
      <c r="S392" s="36" t="n">
        <v>45266</v>
      </c>
      <c r="T392" t="n">
        <v>20570</v>
      </c>
      <c r="U392" t="inlineStr">
        <is>
          <t>K003-901635943</t>
        </is>
      </c>
      <c r="V392" t="inlineStr">
        <is>
          <t>អ៊ីឃ្យូឡាញ វើលវ៉ាយដ៍ ឡូជីស្ទីក</t>
        </is>
      </c>
      <c r="W392" t="n">
        <v>20570</v>
      </c>
      <c r="X392" t="n">
        <v>0</v>
      </c>
    </row>
    <row r="393">
      <c r="A393" t="n">
        <v>392</v>
      </c>
      <c r="B393" t="inlineStr">
        <is>
          <t>Terminal Handling Charge, CFS FEE, Scanner Fee, CIC Fee, Agency Fee, D/O Fee, Documentation Fee, Handling Fee, Ex-work charge and Ocean Freight Charge</t>
        </is>
      </c>
      <c r="C393" t="inlineStr">
        <is>
          <t>ភី.ដាប់បែលយូ. ស្កេនវែល ឡូជីស្ទីក (ខេមបូឌា)</t>
        </is>
      </c>
      <c r="D393" t="inlineStr">
        <is>
          <t>K002-107011379</t>
        </is>
      </c>
      <c r="E393" t="inlineStr">
        <is>
          <t>240400089</t>
        </is>
      </c>
      <c r="F393" t="inlineStr">
        <is>
          <t>29-04-2024</t>
        </is>
      </c>
      <c r="G393" t="n">
        <v>240795</v>
      </c>
      <c r="I393">
        <f>G393</f>
        <v/>
      </c>
      <c r="K393">
        <f>I393-G393</f>
        <v/>
      </c>
      <c r="M393" t="inlineStr">
        <is>
          <t>240400089</t>
        </is>
      </c>
      <c r="N393" t="inlineStr"/>
      <c r="O393">
        <f>M393=N393</f>
        <v/>
      </c>
      <c r="P393">
        <f>AND(MONTH(F393)=MONTH(S393), YEAR(F393)=YEAR(S393))</f>
        <v/>
      </c>
      <c r="Q393">
        <f>"L001-902303751"=U393</f>
        <v/>
      </c>
      <c r="R393">
        <f>G393-W393</f>
        <v/>
      </c>
      <c r="S393" s="36" t="n">
        <v>45290</v>
      </c>
      <c r="T393" t="inlineStr"/>
      <c r="U393" t="inlineStr">
        <is>
          <t>K003-901635943</t>
        </is>
      </c>
      <c r="V393" t="inlineStr">
        <is>
          <t>អ៊ីឃ្យូឡាញ វើលវ៉ាយដ៍ ឡូជីស្ទីក</t>
        </is>
      </c>
      <c r="W393" t="n">
        <v>0</v>
      </c>
      <c r="X393" t="n">
        <v>0</v>
      </c>
    </row>
    <row r="394">
      <c r="A394" t="n">
        <v>393</v>
      </c>
      <c r="B394" t="inlineStr">
        <is>
          <t>Customs Clearance Fee and Trucking Fee</t>
        </is>
      </c>
      <c r="C394" t="inlineStr">
        <is>
          <t>ត្រាយអ៊ែងហ្គល ឡូជីស្ទីក (ខេមបូឌា) ឯ.ក</t>
        </is>
      </c>
      <c r="D394" t="inlineStr">
        <is>
          <t>K010-902101743</t>
        </is>
      </c>
      <c r="E394" t="inlineStr">
        <is>
          <t>TAG-24-00293</t>
        </is>
      </c>
      <c r="F394" t="inlineStr">
        <is>
          <t>30-04-2024</t>
        </is>
      </c>
      <c r="G394" t="n">
        <v>28448</v>
      </c>
      <c r="I394">
        <f>G394</f>
        <v/>
      </c>
      <c r="K394">
        <f>I394-G394</f>
        <v/>
      </c>
      <c r="M394" t="inlineStr">
        <is>
          <t>TAG2400293</t>
        </is>
      </c>
      <c r="N394" t="inlineStr">
        <is>
          <t>17794000</t>
        </is>
      </c>
      <c r="O394">
        <f>M394=N394</f>
        <v/>
      </c>
      <c r="P394">
        <f>AND(MONTH(F394)=MONTH(S394), YEAR(F394)=YEAR(S394))</f>
        <v/>
      </c>
      <c r="Q394">
        <f>"L001-902303751"=U394</f>
        <v/>
      </c>
      <c r="R394">
        <f>G394-W394</f>
        <v/>
      </c>
      <c r="S394" s="36" t="n">
        <v>45285</v>
      </c>
      <c r="T394" t="n">
        <v>177940</v>
      </c>
      <c r="U394" t="inlineStr">
        <is>
          <t>K003-901635943</t>
        </is>
      </c>
      <c r="V394" t="inlineStr">
        <is>
          <t>អ៊ីឃ្យូឡាញ វើលវ៉ាយដ៍ ឡូជីស្ទីក</t>
        </is>
      </c>
      <c r="W394" t="n">
        <v>177940</v>
      </c>
      <c r="X394" t="n">
        <v>0</v>
      </c>
    </row>
    <row r="395">
      <c r="A395" t="n">
        <v>394</v>
      </c>
      <c r="B395" t="inlineStr">
        <is>
          <t>Customs Clearance Fee and Trucking Fee</t>
        </is>
      </c>
      <c r="C395" t="inlineStr">
        <is>
          <t>ត្រាយអ៊ែងហ្គល ឡូជីស្ទីក (ខេមបូឌា) ឯ.ក</t>
        </is>
      </c>
      <c r="D395" t="inlineStr">
        <is>
          <t>K010-902101743</t>
        </is>
      </c>
      <c r="E395" t="inlineStr">
        <is>
          <t>TAG-24-00295</t>
        </is>
      </c>
      <c r="F395" t="inlineStr">
        <is>
          <t>30-04-2024</t>
        </is>
      </c>
      <c r="G395" t="n">
        <v>76337</v>
      </c>
      <c r="I395">
        <f>G395</f>
        <v/>
      </c>
      <c r="K395">
        <f>I395-G395</f>
        <v/>
      </c>
      <c r="M395" t="inlineStr">
        <is>
          <t>TAG2400295</t>
        </is>
      </c>
      <c r="N395" t="inlineStr">
        <is>
          <t>224213000</t>
        </is>
      </c>
      <c r="O395">
        <f>M395=N395</f>
        <v/>
      </c>
      <c r="P395">
        <f>AND(MONTH(F395)=MONTH(S395), YEAR(F395)=YEAR(S395))</f>
        <v/>
      </c>
      <c r="Q395">
        <f>"L001-902303751"=U395</f>
        <v/>
      </c>
      <c r="R395">
        <f>G395-W395</f>
        <v/>
      </c>
      <c r="S395" s="36" t="n">
        <v>45271</v>
      </c>
      <c r="T395" t="n">
        <v>2242130</v>
      </c>
      <c r="U395" t="inlineStr">
        <is>
          <t>K009-901605081</t>
        </is>
      </c>
      <c r="V395" t="inlineStr">
        <is>
          <t>ទ្រូ ខមភែនៀន ឡូជីស្ទីក (ខេមបូឌា)</t>
        </is>
      </c>
      <c r="W395" t="n">
        <v>2242130</v>
      </c>
      <c r="X395" t="n">
        <v>0</v>
      </c>
    </row>
    <row r="396">
      <c r="A396" t="n">
        <v>395</v>
      </c>
      <c r="B396" t="inlineStr">
        <is>
          <t>THC, CFS Charge, Scanning Fee, D/O Fee, Documentation Fee and Agency Fee</t>
        </is>
      </c>
      <c r="C396" t="inlineStr">
        <is>
          <t>អេស៊ាន ហ្វ្រេត (ខេមបូឌា)</t>
        </is>
      </c>
      <c r="D396" t="inlineStr">
        <is>
          <t>K004-105012505</t>
        </is>
      </c>
      <c r="E396" t="inlineStr">
        <is>
          <t>PPTI24/0777</t>
        </is>
      </c>
      <c r="F396" t="inlineStr">
        <is>
          <t>29-04-2024</t>
        </is>
      </c>
      <c r="G396" t="n">
        <v>170877</v>
      </c>
      <c r="I396">
        <f>G396</f>
        <v/>
      </c>
      <c r="K396">
        <f>I396-G396</f>
        <v/>
      </c>
      <c r="M396" t="inlineStr">
        <is>
          <t>PPTI240777</t>
        </is>
      </c>
      <c r="N396" t="inlineStr">
        <is>
          <t>223450000</t>
        </is>
      </c>
      <c r="O396">
        <f>M396=N396</f>
        <v/>
      </c>
      <c r="P396">
        <f>AND(MONTH(F396)=MONTH(S396), YEAR(F396)=YEAR(S396))</f>
        <v/>
      </c>
      <c r="Q396">
        <f>"L001-902303751"=U396</f>
        <v/>
      </c>
      <c r="R396">
        <f>G396-W396</f>
        <v/>
      </c>
      <c r="S396" s="36" t="n">
        <v>45285</v>
      </c>
      <c r="T396" t="n">
        <v>2234500</v>
      </c>
      <c r="U396" t="inlineStr">
        <is>
          <t>K009-901605081</t>
        </is>
      </c>
      <c r="V396" t="inlineStr">
        <is>
          <t>ទ្រូ ខមភែនៀន ឡូជីស្ទីក (ខេមបូឌា)</t>
        </is>
      </c>
      <c r="W396" t="n">
        <v>2234500</v>
      </c>
      <c r="X396" t="n">
        <v>0</v>
      </c>
    </row>
    <row r="397">
      <c r="A397" t="n">
        <v>396</v>
      </c>
      <c r="B397" t="inlineStr">
        <is>
          <t>Customs Clearance Fee and Trucking Fee</t>
        </is>
      </c>
      <c r="C397" t="inlineStr">
        <is>
          <t>ត្រាយអ៊ែងហ្គល ឡូជីស្ទីក (ខេមបូឌា) ឯ.ក</t>
        </is>
      </c>
      <c r="D397" t="inlineStr">
        <is>
          <t>K010-902101743</t>
        </is>
      </c>
      <c r="E397" t="inlineStr">
        <is>
          <t>TAG-24-00296</t>
        </is>
      </c>
      <c r="F397" t="inlineStr">
        <is>
          <t>30-04-2024</t>
        </is>
      </c>
      <c r="G397" t="n">
        <v>28448</v>
      </c>
      <c r="I397">
        <f>G397</f>
        <v/>
      </c>
      <c r="K397">
        <f>I397-G397</f>
        <v/>
      </c>
      <c r="M397" t="inlineStr">
        <is>
          <t>TAG2400296</t>
        </is>
      </c>
      <c r="N397" t="inlineStr">
        <is>
          <t>223777000</t>
        </is>
      </c>
      <c r="O397">
        <f>M397=N397</f>
        <v/>
      </c>
      <c r="P397">
        <f>AND(MONTH(F397)=MONTH(S397), YEAR(F397)=YEAR(S397))</f>
        <v/>
      </c>
      <c r="Q397">
        <f>"L001-902303751"=U397</f>
        <v/>
      </c>
      <c r="R397">
        <f>G397-W397</f>
        <v/>
      </c>
      <c r="S397" s="36" t="n">
        <v>45280</v>
      </c>
      <c r="T397" t="n">
        <v>2237770</v>
      </c>
      <c r="U397" t="inlineStr">
        <is>
          <t>K009-901605081</t>
        </is>
      </c>
      <c r="V397" t="inlineStr">
        <is>
          <t>ទ្រូ ខមភែនៀន ឡូជីស្ទីក (ខេមបូឌា)</t>
        </is>
      </c>
      <c r="W397" t="n">
        <v>2237770</v>
      </c>
      <c r="X397" t="n">
        <v>0</v>
      </c>
    </row>
    <row r="398">
      <c r="A398" t="n">
        <v>397</v>
      </c>
      <c r="B398" t="inlineStr">
        <is>
          <t>Agency Fee and Bill of Lading</t>
        </is>
      </c>
      <c r="C398" t="inlineStr">
        <is>
          <t>ស្តារ ខង់ខដ (ខេមបូឌា) ឯ.ក</t>
        </is>
      </c>
      <c r="D398" t="inlineStr">
        <is>
          <t>K005-901805913</t>
        </is>
      </c>
      <c r="E398" t="inlineStr">
        <is>
          <t>KHMTAXIV2404001868</t>
        </is>
      </c>
      <c r="F398" t="inlineStr">
        <is>
          <t>28-04-2024</t>
        </is>
      </c>
      <c r="G398" t="n">
        <v>30458</v>
      </c>
      <c r="I398">
        <f>G398</f>
        <v/>
      </c>
      <c r="K398">
        <f>I398-G398</f>
        <v/>
      </c>
      <c r="M398" t="inlineStr">
        <is>
          <t>KHMTAXIV2404001868</t>
        </is>
      </c>
      <c r="N398" t="inlineStr">
        <is>
          <t>223123000</t>
        </is>
      </c>
      <c r="O398">
        <f>M398=N398</f>
        <v/>
      </c>
      <c r="P398">
        <f>AND(MONTH(F398)=MONTH(S398), YEAR(F398)=YEAR(S398))</f>
        <v/>
      </c>
      <c r="Q398">
        <f>"L001-902303751"=U398</f>
        <v/>
      </c>
      <c r="R398">
        <f>G398-W398</f>
        <v/>
      </c>
      <c r="S398" s="36" t="n">
        <v>45287</v>
      </c>
      <c r="T398" t="n">
        <v>2231230</v>
      </c>
      <c r="U398" t="inlineStr">
        <is>
          <t>K009-901605081</t>
        </is>
      </c>
      <c r="V398" t="inlineStr">
        <is>
          <t>ទ្រូ ខមភែនៀន ឡូជីស្ទីក (ខេមបូឌា)</t>
        </is>
      </c>
      <c r="W398" t="n">
        <v>2231230</v>
      </c>
      <c r="X398" t="n">
        <v>0</v>
      </c>
    </row>
    <row r="399">
      <c r="A399" t="n">
        <v>398</v>
      </c>
      <c r="B399" t="inlineStr">
        <is>
          <t>Cargo Terminal</t>
        </is>
      </c>
      <c r="C399" t="inlineStr">
        <is>
          <t>សូស៊ីយេតេ កុងសេស្យូនែរ ដឺ ឡាអេរ៉ូព័រ</t>
        </is>
      </c>
      <c r="D399" t="inlineStr">
        <is>
          <t>L001-100047300</t>
        </is>
      </c>
      <c r="E399" t="inlineStr">
        <is>
          <t>2400-030753</t>
        </is>
      </c>
      <c r="F399" t="inlineStr">
        <is>
          <t>30-04-2024</t>
        </is>
      </c>
      <c r="G399" t="n">
        <v>7445</v>
      </c>
      <c r="I399">
        <f>G399</f>
        <v/>
      </c>
      <c r="K399">
        <f>I399-G399</f>
        <v/>
      </c>
      <c r="M399" t="inlineStr">
        <is>
          <t>2400030753</t>
        </is>
      </c>
      <c r="N399" t="inlineStr"/>
      <c r="O399">
        <f>M399=N399</f>
        <v/>
      </c>
      <c r="P399">
        <f>AND(MONTH(F399)=MONTH(S399), YEAR(F399)=YEAR(S399))</f>
        <v/>
      </c>
      <c r="Q399">
        <f>"L001-902303751"=U399</f>
        <v/>
      </c>
      <c r="R399">
        <f>G399-W399</f>
        <v/>
      </c>
      <c r="S399" s="36" t="n">
        <v>45281</v>
      </c>
      <c r="T399" t="inlineStr"/>
      <c r="U399" t="inlineStr">
        <is>
          <t>L001-104015799</t>
        </is>
      </c>
      <c r="V399" t="inlineStr">
        <is>
          <t>យូសេន ឡូជីស្ទីក (ខេមបូឌា) ខូ អិលធីឌី</t>
        </is>
      </c>
      <c r="W399" t="n">
        <v>0</v>
      </c>
      <c r="X399" t="n">
        <v>0</v>
      </c>
    </row>
    <row r="400">
      <c r="A400" t="n">
        <v>399</v>
      </c>
      <c r="B400" t="inlineStr">
        <is>
          <t>THC, EMF, 3 PARTY TRUCKING, CIC, R/O, DOC FEE and HANDLING FEE</t>
        </is>
      </c>
      <c r="C400" t="inlineStr">
        <is>
          <t>ខេអិលអិន ហ្វ្រេត (ខេមបូឌា) ឯ.ក</t>
        </is>
      </c>
      <c r="D400" t="inlineStr">
        <is>
          <t>L001-100074669</t>
        </is>
      </c>
      <c r="E400" t="inlineStr">
        <is>
          <t>IVO04719</t>
        </is>
      </c>
      <c r="F400" t="inlineStr">
        <is>
          <t>02-04-2024</t>
        </is>
      </c>
      <c r="G400" t="n">
        <v>128345</v>
      </c>
      <c r="I400">
        <f>G400</f>
        <v/>
      </c>
      <c r="K400">
        <f>I400-G400</f>
        <v/>
      </c>
      <c r="M400" t="inlineStr">
        <is>
          <t>IVO04719</t>
        </is>
      </c>
      <c r="N400" t="inlineStr">
        <is>
          <t>223559000</t>
        </is>
      </c>
      <c r="O400">
        <f>M400=N400</f>
        <v/>
      </c>
      <c r="P400">
        <f>AND(MONTH(F400)=MONTH(S400), YEAR(F400)=YEAR(S400))</f>
        <v/>
      </c>
      <c r="Q400">
        <f>"L001-902303751"=U400</f>
        <v/>
      </c>
      <c r="R400">
        <f>G400-W400</f>
        <v/>
      </c>
      <c r="S400" s="36" t="n">
        <v>45282</v>
      </c>
      <c r="T400" t="n">
        <v>2235590</v>
      </c>
      <c r="U400" t="inlineStr">
        <is>
          <t>K009-901605081</t>
        </is>
      </c>
      <c r="V400" t="inlineStr">
        <is>
          <t>ទ្រូ ខមភែនៀន ឡូជីស្ទីក (ខេមបូឌា)</t>
        </is>
      </c>
      <c r="W400" t="n">
        <v>2235590</v>
      </c>
      <c r="X400" t="n">
        <v>0</v>
      </c>
    </row>
    <row r="401">
      <c r="A401" t="n">
        <v>400</v>
      </c>
      <c r="B401" t="inlineStr">
        <is>
          <t>Monthly Tax Service for March 2024</t>
        </is>
      </c>
      <c r="C401" t="inlineStr">
        <is>
          <t>ខេឌី ខនសាល់ធេន ឯ.ក</t>
        </is>
      </c>
      <c r="D401" t="inlineStr">
        <is>
          <t>K005-901704277</t>
        </is>
      </c>
      <c r="E401" t="inlineStr">
        <is>
          <t>20240000510</t>
        </is>
      </c>
      <c r="F401" t="inlineStr">
        <is>
          <t>25-04-2024</t>
        </is>
      </c>
      <c r="G401" t="n">
        <v>101500</v>
      </c>
      <c r="I401">
        <f>G401</f>
        <v/>
      </c>
      <c r="K401">
        <f>I401-G401</f>
        <v/>
      </c>
      <c r="M401" t="inlineStr">
        <is>
          <t>20240000510</t>
        </is>
      </c>
      <c r="N401" t="inlineStr">
        <is>
          <t>224267500</t>
        </is>
      </c>
      <c r="O401">
        <f>M401=N401</f>
        <v/>
      </c>
      <c r="P401">
        <f>AND(MONTH(F401)=MONTH(S401), YEAR(F401)=YEAR(S401))</f>
        <v/>
      </c>
      <c r="Q401">
        <f>"L001-902303751"=U401</f>
        <v/>
      </c>
      <c r="R401">
        <f>G401-W401</f>
        <v/>
      </c>
      <c r="S401" s="36" t="n">
        <v>45261</v>
      </c>
      <c r="T401" t="n">
        <v>2242675</v>
      </c>
      <c r="U401" t="inlineStr">
        <is>
          <t>K009-901605081</t>
        </is>
      </c>
      <c r="V401" t="inlineStr">
        <is>
          <t>ទ្រូ ខមភែនៀន ឡូជីស្ទីក (ខេមបូឌា)</t>
        </is>
      </c>
      <c r="W401" t="n">
        <v>2242675</v>
      </c>
      <c r="X401" t="n">
        <v>0</v>
      </c>
    </row>
    <row r="402">
      <c r="A402" t="n">
        <v>401</v>
      </c>
      <c r="B402" t="inlineStr">
        <is>
          <t>Stationary</t>
        </is>
      </c>
      <c r="C402" t="inlineStr">
        <is>
          <t>ស៊ី &amp; ជី ត្រេឌីង ឯ.ក</t>
        </is>
      </c>
      <c r="D402" t="inlineStr">
        <is>
          <t>K010-902205065</t>
        </is>
      </c>
      <c r="E402" t="inlineStr">
        <is>
          <t>2024-0031</t>
        </is>
      </c>
      <c r="F402" t="inlineStr">
        <is>
          <t>22-04-2024</t>
        </is>
      </c>
      <c r="G402" t="n">
        <v>135738</v>
      </c>
      <c r="I402">
        <f>G402</f>
        <v/>
      </c>
      <c r="K402">
        <f>I402-G402</f>
        <v/>
      </c>
      <c r="M402" t="inlineStr">
        <is>
          <t>20240031</t>
        </is>
      </c>
      <c r="N402" t="inlineStr">
        <is>
          <t>11398600</t>
        </is>
      </c>
      <c r="O402">
        <f>M402=N402</f>
        <v/>
      </c>
      <c r="P402">
        <f>AND(MONTH(F402)=MONTH(S402), YEAR(F402)=YEAR(S402))</f>
        <v/>
      </c>
      <c r="Q402">
        <f>"L001-902303751"=U402</f>
        <v/>
      </c>
      <c r="R402">
        <f>G402-W402</f>
        <v/>
      </c>
      <c r="S402" s="36" t="n">
        <v>45269</v>
      </c>
      <c r="T402" t="n">
        <v>113986</v>
      </c>
      <c r="U402" t="inlineStr">
        <is>
          <t>K003-901635943</t>
        </is>
      </c>
      <c r="V402" t="inlineStr">
        <is>
          <t>អ៊ីឃ្យូឡាញ វើលវ៉ាយដ៍ ឡូជីស្ទីក</t>
        </is>
      </c>
      <c r="W402" t="n">
        <v>113986</v>
      </c>
      <c r="X402" t="n">
        <v>0</v>
      </c>
    </row>
    <row r="403">
      <c r="A403" t="n">
        <v>402</v>
      </c>
      <c r="B403" t="inlineStr">
        <is>
          <t>Hardware</t>
        </is>
      </c>
      <c r="C403" t="inlineStr">
        <is>
          <t>ភ្នំពេញ ថប វើលដ៍ ខនស្ត្រាក់សិន &amp; អេនជីនារីង ឯ.ក</t>
        </is>
      </c>
      <c r="D403" t="inlineStr">
        <is>
          <t>K005-901638261</t>
        </is>
      </c>
      <c r="E403" t="inlineStr">
        <is>
          <t>000010</t>
        </is>
      </c>
      <c r="F403" t="inlineStr">
        <is>
          <t>30-04-2024</t>
        </is>
      </c>
      <c r="G403" t="n">
        <v>34112</v>
      </c>
      <c r="I403">
        <f>G403</f>
        <v/>
      </c>
      <c r="K403">
        <f>I403-G403</f>
        <v/>
      </c>
      <c r="M403" t="inlineStr">
        <is>
          <t>000010</t>
        </is>
      </c>
      <c r="N403" t="inlineStr">
        <is>
          <t>11357000</t>
        </is>
      </c>
      <c r="O403">
        <f>M403=N403</f>
        <v/>
      </c>
      <c r="P403">
        <f>AND(MONTH(F403)=MONTH(S403), YEAR(F403)=YEAR(S403))</f>
        <v/>
      </c>
      <c r="Q403">
        <f>"L001-902303751"=U403</f>
        <v/>
      </c>
      <c r="R403">
        <f>G403-W403</f>
        <v/>
      </c>
      <c r="S403" s="36" t="n">
        <v>45285</v>
      </c>
      <c r="T403" t="n">
        <v>113570</v>
      </c>
      <c r="U403" t="inlineStr">
        <is>
          <t>L001-104015799</t>
        </is>
      </c>
      <c r="V403" t="inlineStr">
        <is>
          <t>យូសេន ឡូជីស្ទីក (ខេមបូឌា) ខូ អិលធីឌី</t>
        </is>
      </c>
      <c r="W403" t="n">
        <v>113570</v>
      </c>
      <c r="X403" t="n">
        <v>0</v>
      </c>
    </row>
    <row r="404">
      <c r="A404" t="n">
        <v>403</v>
      </c>
      <c r="B404" t="inlineStr">
        <is>
          <t>Lift-On Charge and Gate Fee Charage</t>
        </is>
      </c>
      <c r="C404" t="inlineStr">
        <is>
          <t>កំពង់ផែស្វយ័តភ្នំពេញ "ក.ស.ភ"</t>
        </is>
      </c>
      <c r="D404" t="inlineStr">
        <is>
          <t>L001-100044999</t>
        </is>
      </c>
      <c r="E404" t="inlineStr">
        <is>
          <t>INV20240423145</t>
        </is>
      </c>
      <c r="F404" t="inlineStr">
        <is>
          <t>27-04-2024</t>
        </is>
      </c>
      <c r="G404" t="n">
        <v>28427</v>
      </c>
      <c r="I404">
        <f>G404</f>
        <v/>
      </c>
      <c r="K404">
        <f>I404-G404</f>
        <v/>
      </c>
      <c r="M404" t="inlineStr">
        <is>
          <t>INV20240423145</t>
        </is>
      </c>
      <c r="N404" t="inlineStr">
        <is>
          <t>223940500</t>
        </is>
      </c>
      <c r="O404">
        <f>M404=N404</f>
        <v/>
      </c>
      <c r="P404">
        <f>AND(MONTH(F404)=MONTH(S404), YEAR(F404)=YEAR(S404))</f>
        <v/>
      </c>
      <c r="Q404">
        <f>"L001-902303751"=U404</f>
        <v/>
      </c>
      <c r="R404">
        <f>G404-W404</f>
        <v/>
      </c>
      <c r="S404" s="36" t="n">
        <v>45274</v>
      </c>
      <c r="T404" t="n">
        <v>2239405</v>
      </c>
      <c r="U404" t="inlineStr">
        <is>
          <t>K009-901605081</t>
        </is>
      </c>
      <c r="V404" t="inlineStr">
        <is>
          <t>ទ្រូ ខមភែនៀន ឡូជីស្ទីក (ខេមបូឌា)</t>
        </is>
      </c>
      <c r="W404" t="n">
        <v>2239405</v>
      </c>
      <c r="X404" t="n">
        <v>0</v>
      </c>
    </row>
    <row r="405">
      <c r="A405" t="n">
        <v>404</v>
      </c>
      <c r="B405" t="inlineStr">
        <is>
          <t>Customs Clearance Fee and Trucking Fee</t>
        </is>
      </c>
      <c r="C405" t="inlineStr">
        <is>
          <t>ត្រាយអ៊ែងហ្គល ឡូជីស្ទីក (ខេមបូឌា) ឯ.ក</t>
        </is>
      </c>
      <c r="D405" t="inlineStr">
        <is>
          <t>K010-902101743</t>
        </is>
      </c>
      <c r="E405" t="inlineStr">
        <is>
          <t>TAG-24-00259</t>
        </is>
      </c>
      <c r="F405" t="inlineStr">
        <is>
          <t>19-04-2024</t>
        </is>
      </c>
      <c r="G405" t="n">
        <v>28441</v>
      </c>
      <c r="I405">
        <f>G405</f>
        <v/>
      </c>
      <c r="K405">
        <f>I405-G405</f>
        <v/>
      </c>
      <c r="M405" t="inlineStr">
        <is>
          <t>TAG2400259</t>
        </is>
      </c>
      <c r="N405" t="inlineStr">
        <is>
          <t>17728900</t>
        </is>
      </c>
      <c r="O405">
        <f>M405=N405</f>
        <v/>
      </c>
      <c r="P405">
        <f>AND(MONTH(F405)=MONTH(S405), YEAR(F405)=YEAR(S405))</f>
        <v/>
      </c>
      <c r="Q405">
        <f>"L001-902303751"=U405</f>
        <v/>
      </c>
      <c r="R405">
        <f>G405-W405</f>
        <v/>
      </c>
      <c r="S405" s="36" t="n">
        <v>45290</v>
      </c>
      <c r="T405" t="n">
        <v>177289</v>
      </c>
      <c r="U405" t="inlineStr">
        <is>
          <t>K003-901635943</t>
        </is>
      </c>
      <c r="V405" t="inlineStr">
        <is>
          <t>អ៊ីឃ្យូឡាញ វើលវ៉ាយដ៍ ឡូជីស្ទីក</t>
        </is>
      </c>
      <c r="W405" t="n">
        <v>177289</v>
      </c>
      <c r="X405" t="n">
        <v>0</v>
      </c>
    </row>
    <row r="406">
      <c r="A406" t="n">
        <v>405</v>
      </c>
      <c r="B406" t="inlineStr">
        <is>
          <t>Docs Fee and Handling Fee</t>
        </is>
      </c>
      <c r="C406" t="inlineStr">
        <is>
          <t>អិមអាយ ឡូជីកស៍ (ខេមបូឌា)</t>
        </is>
      </c>
      <c r="D406" t="inlineStr">
        <is>
          <t>K009-107021862</t>
        </is>
      </c>
      <c r="E406" t="inlineStr">
        <is>
          <t>MII202404-003</t>
        </is>
      </c>
      <c r="F406" t="inlineStr">
        <is>
          <t>08-04-2024</t>
        </is>
      </c>
      <c r="G406" t="n">
        <v>24240</v>
      </c>
      <c r="I406">
        <f>G406</f>
        <v/>
      </c>
      <c r="K406">
        <f>I406-G406</f>
        <v/>
      </c>
      <c r="M406" t="inlineStr">
        <is>
          <t>MII202404003</t>
        </is>
      </c>
      <c r="N406" t="inlineStr"/>
      <c r="O406">
        <f>M406=N406</f>
        <v/>
      </c>
      <c r="P406">
        <f>AND(MONTH(F406)=MONTH(S406), YEAR(F406)=YEAR(S406))</f>
        <v/>
      </c>
      <c r="Q406">
        <f>"L001-902303751"=U406</f>
        <v/>
      </c>
      <c r="R406">
        <f>G406-W406</f>
        <v/>
      </c>
      <c r="S406" s="36" t="n">
        <v>45285</v>
      </c>
      <c r="T406" t="inlineStr"/>
      <c r="U406" t="inlineStr">
        <is>
          <t>K003-901635943</t>
        </is>
      </c>
      <c r="V406" t="inlineStr">
        <is>
          <t>អ៊ីឃ្យូឡាញ វើលវ៉ាយដ៍ ឡូជីស្ទីក</t>
        </is>
      </c>
      <c r="W406" t="n">
        <v>0</v>
      </c>
      <c r="X406" t="n">
        <v>0</v>
      </c>
    </row>
    <row r="407">
      <c r="A407" t="n">
        <v>406</v>
      </c>
      <c r="B407" t="inlineStr">
        <is>
          <t>Customs Clearance Fee and Trucking Fee</t>
        </is>
      </c>
      <c r="C407" t="inlineStr">
        <is>
          <t>ត្រាយអ៊ែងហ្គល ឡូជីស្ទីក (ខេមបូឌា) ឯ.ក</t>
        </is>
      </c>
      <c r="D407" t="inlineStr">
        <is>
          <t>K010-902101743</t>
        </is>
      </c>
      <c r="E407" t="inlineStr">
        <is>
          <t>TAG-24-00265</t>
        </is>
      </c>
      <c r="F407" t="inlineStr">
        <is>
          <t>19-04-2024</t>
        </is>
      </c>
      <c r="G407" t="n">
        <v>90620</v>
      </c>
      <c r="I407">
        <f>G407</f>
        <v/>
      </c>
      <c r="K407">
        <f>I407-G407</f>
        <v/>
      </c>
      <c r="M407" t="inlineStr">
        <is>
          <t>TAG2400265</t>
        </is>
      </c>
      <c r="N407" t="inlineStr">
        <is>
          <t>18887600</t>
        </is>
      </c>
      <c r="O407">
        <f>M407=N407</f>
        <v/>
      </c>
      <c r="P407">
        <f>AND(MONTH(F407)=MONTH(S407), YEAR(F407)=YEAR(S407))</f>
        <v/>
      </c>
      <c r="Q407">
        <f>"L001-902303751"=U407</f>
        <v/>
      </c>
      <c r="R407">
        <f>G407-W407</f>
        <v/>
      </c>
      <c r="S407" s="36" t="n">
        <v>45280</v>
      </c>
      <c r="T407" t="n">
        <v>188876</v>
      </c>
      <c r="U407" t="inlineStr">
        <is>
          <t>K009-901605081</t>
        </is>
      </c>
      <c r="V407" t="inlineStr">
        <is>
          <t>ទ្រូ ខមភែនៀន ឡូជីស្ទីក (ខេមបូឌា)</t>
        </is>
      </c>
      <c r="W407" t="n">
        <v>188876</v>
      </c>
      <c r="X407" t="n">
        <v>0</v>
      </c>
    </row>
    <row r="408">
      <c r="A408" t="n">
        <v>407</v>
      </c>
      <c r="B408" t="inlineStr">
        <is>
          <t>Charge from warehouse and Storage Charges</t>
        </is>
      </c>
      <c r="C408" t="inlineStr">
        <is>
          <t>កំពង់ផែស្វយ័តក្រុងព្រះសីហនុ</t>
        </is>
      </c>
      <c r="D408" t="inlineStr">
        <is>
          <t>L001-100044638</t>
        </is>
      </c>
      <c r="E408" t="inlineStr">
        <is>
          <t>075856</t>
        </is>
      </c>
      <c r="F408" t="inlineStr">
        <is>
          <t>25-04-2024</t>
        </is>
      </c>
      <c r="G408" t="n">
        <v>2351</v>
      </c>
      <c r="I408">
        <f>G408</f>
        <v/>
      </c>
      <c r="K408">
        <f>I408-G408</f>
        <v/>
      </c>
      <c r="M408" t="inlineStr">
        <is>
          <t>075856</t>
        </is>
      </c>
      <c r="N408" t="inlineStr"/>
      <c r="O408">
        <f>M408=N408</f>
        <v/>
      </c>
      <c r="P408">
        <f>AND(MONTH(F408)=MONTH(S408), YEAR(F408)=YEAR(S408))</f>
        <v/>
      </c>
      <c r="Q408">
        <f>"L001-902303751"=U408</f>
        <v/>
      </c>
      <c r="R408">
        <f>G408-W408</f>
        <v/>
      </c>
      <c r="S408" s="36" t="n">
        <v>45269</v>
      </c>
      <c r="T408" t="inlineStr"/>
      <c r="U408" t="inlineStr">
        <is>
          <t>K003-901635943</t>
        </is>
      </c>
      <c r="V408" t="inlineStr">
        <is>
          <t>អ៊ីឃ្យូឡាញ វើលវ៉ាយដ៍ ឡូជីស្ទីក</t>
        </is>
      </c>
      <c r="W408" t="n">
        <v>0</v>
      </c>
      <c r="X408" t="n">
        <v>0</v>
      </c>
    </row>
    <row r="409">
      <c r="A409" t="n">
        <v>408</v>
      </c>
      <c r="B409" t="inlineStr">
        <is>
          <t>Terminal Handling charge, CFS Fee, Scan Fee, D/O Fee, Document Fee, Handling Fee, Co-Loader THC Charge and LSS Charge</t>
        </is>
      </c>
      <c r="C409" t="inlineStr">
        <is>
          <t>ត្រាយអ៊ែងហ្គល ឡូជីស្ទីក (ខេមបូឌា) ឯ.ក</t>
        </is>
      </c>
      <c r="D409" t="inlineStr">
        <is>
          <t>K010-902101743</t>
        </is>
      </c>
      <c r="E409" t="inlineStr">
        <is>
          <t>TAG-24-00263</t>
        </is>
      </c>
      <c r="F409" t="inlineStr">
        <is>
          <t>19-04-2024</t>
        </is>
      </c>
      <c r="G409" t="n">
        <v>200465</v>
      </c>
      <c r="I409">
        <f>G409</f>
        <v/>
      </c>
      <c r="K409">
        <f>I409-G409</f>
        <v/>
      </c>
      <c r="M409" t="inlineStr">
        <is>
          <t>TAG2400263</t>
        </is>
      </c>
      <c r="N409" t="inlineStr">
        <is>
          <t>9731200</t>
        </is>
      </c>
      <c r="O409">
        <f>M409=N409</f>
        <v/>
      </c>
      <c r="P409">
        <f>AND(MONTH(F409)=MONTH(S409), YEAR(F409)=YEAR(S409))</f>
        <v/>
      </c>
      <c r="Q409">
        <f>"L001-902303751"=U409</f>
        <v/>
      </c>
      <c r="R409">
        <f>G409-W409</f>
        <v/>
      </c>
      <c r="S409" s="36" t="n">
        <v>45281</v>
      </c>
      <c r="T409" t="n">
        <v>97312</v>
      </c>
      <c r="U409" t="inlineStr">
        <is>
          <t>L001-104015799</t>
        </is>
      </c>
      <c r="V409" t="inlineStr">
        <is>
          <t>យូសេន ឡូជីស្ទីក (ខេមបូឌា) ខូ អិលធីឌី</t>
        </is>
      </c>
      <c r="W409" t="n">
        <v>97312</v>
      </c>
      <c r="X409" t="n">
        <v>0</v>
      </c>
    </row>
    <row r="410">
      <c r="A410" t="n">
        <v>409</v>
      </c>
      <c r="B410" t="inlineStr">
        <is>
          <t>Customs Clearance Fee and Trucking Fee</t>
        </is>
      </c>
      <c r="C410" t="inlineStr">
        <is>
          <t>ត្រាយអ៊ែងហ្គល ឡូជីស្ទីក (ខេមបូឌា) ឯ.ក</t>
        </is>
      </c>
      <c r="D410" t="inlineStr">
        <is>
          <t>K010-902101743</t>
        </is>
      </c>
      <c r="E410" t="inlineStr">
        <is>
          <t>TAG-24-00275</t>
        </is>
      </c>
      <c r="F410" t="inlineStr">
        <is>
          <t>24-04-2024</t>
        </is>
      </c>
      <c r="G410" t="n">
        <v>32488</v>
      </c>
      <c r="I410">
        <f>G410</f>
        <v/>
      </c>
      <c r="K410">
        <f>I410-G410</f>
        <v/>
      </c>
      <c r="M410" t="inlineStr">
        <is>
          <t>TAG2400275</t>
        </is>
      </c>
      <c r="N410" t="inlineStr">
        <is>
          <t>18869200</t>
        </is>
      </c>
      <c r="O410">
        <f>M410=N410</f>
        <v/>
      </c>
      <c r="P410">
        <f>AND(MONTH(F410)=MONTH(S410), YEAR(F410)=YEAR(S410))</f>
        <v/>
      </c>
      <c r="Q410">
        <f>"L001-902303751"=U410</f>
        <v/>
      </c>
      <c r="R410">
        <f>G410-W410</f>
        <v/>
      </c>
      <c r="S410" s="36" t="n">
        <v>45282</v>
      </c>
      <c r="T410" t="n">
        <v>188692</v>
      </c>
      <c r="U410" t="inlineStr">
        <is>
          <t>K009-901605081</t>
        </is>
      </c>
      <c r="V410" t="inlineStr">
        <is>
          <t>ទ្រូ ខមភែនៀន ឡូជីស្ទីក (ខេមបូឌា)</t>
        </is>
      </c>
      <c r="W410" t="n">
        <v>188692</v>
      </c>
      <c r="X410" t="n">
        <v>0</v>
      </c>
    </row>
    <row r="411">
      <c r="A411" t="n">
        <v>410</v>
      </c>
      <c r="B411" t="inlineStr">
        <is>
          <t>Charge from warehouse and Storage Charges</t>
        </is>
      </c>
      <c r="C411" t="inlineStr">
        <is>
          <t>កំពង់ផែស្វយ័តក្រុងព្រះសីហនុ</t>
        </is>
      </c>
      <c r="D411" t="inlineStr">
        <is>
          <t>L001-100044638</t>
        </is>
      </c>
      <c r="E411" t="inlineStr">
        <is>
          <t>075853</t>
        </is>
      </c>
      <c r="F411" t="inlineStr">
        <is>
          <t>25-04-2024</t>
        </is>
      </c>
      <c r="G411" t="n">
        <v>661</v>
      </c>
      <c r="I411">
        <f>G411</f>
        <v/>
      </c>
      <c r="K411">
        <f>I411-G411</f>
        <v/>
      </c>
      <c r="M411" t="inlineStr">
        <is>
          <t>075853</t>
        </is>
      </c>
      <c r="N411" t="inlineStr">
        <is>
          <t>18933600</t>
        </is>
      </c>
      <c r="O411">
        <f>M411=N411</f>
        <v/>
      </c>
      <c r="P411">
        <f>AND(MONTH(F411)=MONTH(S411), YEAR(F411)=YEAR(S411))</f>
        <v/>
      </c>
      <c r="Q411">
        <f>"L001-902303751"=U411</f>
        <v/>
      </c>
      <c r="R411">
        <f>G411-W411</f>
        <v/>
      </c>
      <c r="S411" s="36" t="n">
        <v>45267</v>
      </c>
      <c r="T411" t="n">
        <v>189336</v>
      </c>
      <c r="U411" t="inlineStr">
        <is>
          <t>K009-901605081</t>
        </is>
      </c>
      <c r="V411" t="inlineStr">
        <is>
          <t>ទ្រូ ខមភែនៀន ឡូជីស្ទីក (ខេមបូឌា)</t>
        </is>
      </c>
      <c r="W411" t="n">
        <v>189336</v>
      </c>
      <c r="X411" t="n">
        <v>0</v>
      </c>
    </row>
    <row r="412">
      <c r="A412" t="n">
        <v>411</v>
      </c>
      <c r="B412" t="inlineStr">
        <is>
          <t>Import Shipment Expense</t>
        </is>
      </c>
      <c r="C412" t="inlineStr">
        <is>
          <t>ហ្វ្រេត ខនសិប (ខេមបូឌា)</t>
        </is>
      </c>
      <c r="D412" t="inlineStr">
        <is>
          <t>K009-901502482</t>
        </is>
      </c>
      <c r="E412" t="inlineStr">
        <is>
          <t>240352</t>
        </is>
      </c>
      <c r="F412" t="inlineStr">
        <is>
          <t>18-04-2024</t>
        </is>
      </c>
      <c r="G412" t="n">
        <v>77017</v>
      </c>
      <c r="I412">
        <f>G412</f>
        <v/>
      </c>
      <c r="K412">
        <f>I412-G412</f>
        <v/>
      </c>
      <c r="M412" t="inlineStr">
        <is>
          <t>240352</t>
        </is>
      </c>
      <c r="N412" t="inlineStr"/>
      <c r="O412">
        <f>M412=N412</f>
        <v/>
      </c>
      <c r="P412">
        <f>AND(MONTH(F412)=MONTH(S412), YEAR(F412)=YEAR(S412))</f>
        <v/>
      </c>
      <c r="Q412">
        <f>"L001-902303751"=U412</f>
        <v/>
      </c>
      <c r="R412">
        <f>G412-W412</f>
        <v/>
      </c>
      <c r="S412" s="36" t="n">
        <v>45264</v>
      </c>
      <c r="T412" t="inlineStr"/>
      <c r="U412" t="inlineStr">
        <is>
          <t>K003-901635943</t>
        </is>
      </c>
      <c r="V412" t="inlineStr">
        <is>
          <t>អ៊ីឃ្យូឡាញ វើលវ៉ាយដ៍ ឡូជីស្ទីក</t>
        </is>
      </c>
      <c r="W412" t="n">
        <v>0</v>
      </c>
      <c r="X412" t="n">
        <v>0</v>
      </c>
    </row>
    <row r="413">
      <c r="A413" t="n">
        <v>412</v>
      </c>
      <c r="B413" t="inlineStr">
        <is>
          <t>Customs Clearance Fee</t>
        </is>
      </c>
      <c r="C413" t="inlineStr">
        <is>
          <t>ត្រាយអ៊ែងហ្គល ឡូជីស្ទីក (ខេមបូឌា) ឯ.ក</t>
        </is>
      </c>
      <c r="D413" t="inlineStr">
        <is>
          <t>K010-902101743</t>
        </is>
      </c>
      <c r="E413" t="inlineStr">
        <is>
          <t>TAG-24-00292</t>
        </is>
      </c>
      <c r="F413" t="inlineStr">
        <is>
          <t>29-04-2024</t>
        </is>
      </c>
      <c r="G413" t="n">
        <v>8124</v>
      </c>
      <c r="I413">
        <f>G413</f>
        <v/>
      </c>
      <c r="K413">
        <f>I413-G413</f>
        <v/>
      </c>
      <c r="M413" t="inlineStr">
        <is>
          <t>TAG2400292</t>
        </is>
      </c>
      <c r="N413" t="inlineStr">
        <is>
          <t>13164800</t>
        </is>
      </c>
      <c r="O413">
        <f>M413=N413</f>
        <v/>
      </c>
      <c r="P413">
        <f>AND(MONTH(F413)=MONTH(S413), YEAR(F413)=YEAR(S413))</f>
        <v/>
      </c>
      <c r="Q413">
        <f>"L001-902303751"=U413</f>
        <v/>
      </c>
      <c r="R413">
        <f>G413-W413</f>
        <v/>
      </c>
      <c r="S413" s="36" t="n">
        <v>45266</v>
      </c>
      <c r="T413" t="n">
        <v>131648</v>
      </c>
      <c r="U413" t="inlineStr">
        <is>
          <t>K009-901605081</t>
        </is>
      </c>
      <c r="V413" t="inlineStr">
        <is>
          <t>ទ្រូ ខមភែនៀន ឡូជីស្ទីក (ខេមបូឌា)</t>
        </is>
      </c>
      <c r="W413" t="n">
        <v>131648</v>
      </c>
      <c r="X413" t="n">
        <v>0</v>
      </c>
    </row>
    <row r="414">
      <c r="A414" t="n">
        <v>413</v>
      </c>
      <c r="B414" t="inlineStr">
        <is>
          <t>Cargo Terminal</t>
        </is>
      </c>
      <c r="C414" t="inlineStr">
        <is>
          <t>សូស៊ីយេតេ កុងសេស្យូនែរ ដឺ ឡាអេរ៉ូព័រ</t>
        </is>
      </c>
      <c r="D414" t="inlineStr">
        <is>
          <t>L001-100047300</t>
        </is>
      </c>
      <c r="E414" t="inlineStr">
        <is>
          <t>2400-027471</t>
        </is>
      </c>
      <c r="F414" t="inlineStr">
        <is>
          <t>19-04-2024</t>
        </is>
      </c>
      <c r="G414" t="n">
        <v>15993</v>
      </c>
      <c r="I414">
        <f>G414</f>
        <v/>
      </c>
      <c r="K414">
        <f>I414-G414</f>
        <v/>
      </c>
      <c r="M414" t="inlineStr">
        <is>
          <t>2400027471</t>
        </is>
      </c>
      <c r="N414" t="inlineStr">
        <is>
          <t>20719400</t>
        </is>
      </c>
      <c r="O414">
        <f>M414=N414</f>
        <v/>
      </c>
      <c r="P414">
        <f>AND(MONTH(F414)=MONTH(S414), YEAR(F414)=YEAR(S414))</f>
        <v/>
      </c>
      <c r="Q414">
        <f>"L001-902303751"=U414</f>
        <v/>
      </c>
      <c r="R414">
        <f>G414-W414</f>
        <v/>
      </c>
      <c r="S414" s="36" t="n">
        <v>45278</v>
      </c>
      <c r="T414" t="n">
        <v>207194</v>
      </c>
      <c r="U414" t="inlineStr">
        <is>
          <t>K003-901635943</t>
        </is>
      </c>
      <c r="V414" t="inlineStr">
        <is>
          <t>អ៊ីឃ្យូឡាញ វើលវ៉ាយដ៍ ឡូជីស្ទីក</t>
        </is>
      </c>
      <c r="W414" t="n">
        <v>207194</v>
      </c>
      <c r="X414" t="n">
        <v>0</v>
      </c>
    </row>
    <row r="415">
      <c r="A415" t="n">
        <v>414</v>
      </c>
      <c r="B415" t="inlineStr">
        <is>
          <t>Airway bill fee and Handling Agency fee</t>
        </is>
      </c>
      <c r="C415" t="inlineStr">
        <is>
          <t>ត្រេន ស្តារ ហ្រេ្វត</t>
        </is>
      </c>
      <c r="D415" t="inlineStr">
        <is>
          <t>L001-100011888</t>
        </is>
      </c>
      <c r="E415" t="inlineStr">
        <is>
          <t>PPTI24-04107</t>
        </is>
      </c>
      <c r="F415" t="inlineStr">
        <is>
          <t>18-04-2024</t>
        </is>
      </c>
      <c r="G415" t="n">
        <v>34383</v>
      </c>
      <c r="I415">
        <f>G415</f>
        <v/>
      </c>
      <c r="K415">
        <f>I415-G415</f>
        <v/>
      </c>
      <c r="M415" t="inlineStr">
        <is>
          <t>PPTI2404107</t>
        </is>
      </c>
      <c r="N415" t="inlineStr"/>
      <c r="O415">
        <f>M415=N415</f>
        <v/>
      </c>
      <c r="P415">
        <f>AND(MONTH(F415)=MONTH(S415), YEAR(F415)=YEAR(S415))</f>
        <v/>
      </c>
      <c r="Q415">
        <f>"L001-902303751"=U415</f>
        <v/>
      </c>
      <c r="R415">
        <f>G415-W415</f>
        <v/>
      </c>
      <c r="S415" s="36" t="n">
        <v>45278</v>
      </c>
      <c r="T415" t="inlineStr"/>
      <c r="U415" t="inlineStr">
        <is>
          <t>K003-901635943</t>
        </is>
      </c>
      <c r="V415" t="inlineStr">
        <is>
          <t>អ៊ីឃ្យូឡាញ វើលវ៉ាយដ៍ ឡូជីស្ទីក</t>
        </is>
      </c>
      <c r="W415" t="n">
        <v>0</v>
      </c>
      <c r="X415" t="n">
        <v>0</v>
      </c>
    </row>
    <row r="416">
      <c r="A416" t="n">
        <v>415</v>
      </c>
      <c r="B416" t="inlineStr">
        <is>
          <t>Customs Clearance Fee and Trucking Fee</t>
        </is>
      </c>
      <c r="C416" t="inlineStr">
        <is>
          <t>ត្រាយអ៊ែងហ្គល ឡូជីស្ទីក (ខេមបូឌា) ឯ.ក</t>
        </is>
      </c>
      <c r="D416" t="inlineStr">
        <is>
          <t>K010-902101743</t>
        </is>
      </c>
      <c r="E416" t="inlineStr">
        <is>
          <t>TAG-24-00270</t>
        </is>
      </c>
      <c r="F416" t="inlineStr">
        <is>
          <t>22-04-2024</t>
        </is>
      </c>
      <c r="G416" t="n">
        <v>28448</v>
      </c>
      <c r="I416">
        <f>G416</f>
        <v/>
      </c>
      <c r="K416">
        <f>I416-G416</f>
        <v/>
      </c>
      <c r="M416" t="inlineStr">
        <is>
          <t>TAG2400270</t>
        </is>
      </c>
      <c r="N416" t="inlineStr">
        <is>
          <t>18901400</t>
        </is>
      </c>
      <c r="O416">
        <f>M416=N416</f>
        <v/>
      </c>
      <c r="P416">
        <f>AND(MONTH(F416)=MONTH(S416), YEAR(F416)=YEAR(S416))</f>
        <v/>
      </c>
      <c r="Q416">
        <f>"L001-902303751"=U416</f>
        <v/>
      </c>
      <c r="R416">
        <f>G416-W416</f>
        <v/>
      </c>
      <c r="S416" s="36" t="n">
        <v>45274</v>
      </c>
      <c r="T416" t="n">
        <v>189014</v>
      </c>
      <c r="U416" t="inlineStr">
        <is>
          <t>K009-901605081</t>
        </is>
      </c>
      <c r="V416" t="inlineStr">
        <is>
          <t>ទ្រូ ខមភែនៀន ឡូជីស្ទីក (ខេមបូឌា)</t>
        </is>
      </c>
      <c r="W416" t="n">
        <v>189014</v>
      </c>
      <c r="X416" t="n">
        <v>0</v>
      </c>
    </row>
    <row r="417">
      <c r="A417" t="n">
        <v>416</v>
      </c>
      <c r="B417" t="inlineStr">
        <is>
          <t>Gate Fee Charage</t>
        </is>
      </c>
      <c r="C417" t="inlineStr">
        <is>
          <t>កំពង់ផែស្វយ័តភ្នំពេញ "ក.ស.ភ"</t>
        </is>
      </c>
      <c r="D417" t="inlineStr">
        <is>
          <t>L001-100044999</t>
        </is>
      </c>
      <c r="E417" t="inlineStr">
        <is>
          <t>INV20240422600</t>
        </is>
      </c>
      <c r="F417" t="inlineStr">
        <is>
          <t>24-04-2024</t>
        </is>
      </c>
      <c r="G417" t="n">
        <v>812</v>
      </c>
      <c r="I417">
        <f>G417</f>
        <v/>
      </c>
      <c r="K417">
        <f>I417-G417</f>
        <v/>
      </c>
      <c r="M417" t="inlineStr">
        <is>
          <t>INV20240422600</t>
        </is>
      </c>
      <c r="N417" t="inlineStr">
        <is>
          <t>224322000</t>
        </is>
      </c>
      <c r="O417">
        <f>M417=N417</f>
        <v/>
      </c>
      <c r="P417">
        <f>AND(MONTH(F417)=MONTH(S417), YEAR(F417)=YEAR(S417))</f>
        <v/>
      </c>
      <c r="Q417">
        <f>"L001-902303751"=U417</f>
        <v/>
      </c>
      <c r="R417">
        <f>G417-W417</f>
        <v/>
      </c>
      <c r="S417" s="36" t="n">
        <v>45267</v>
      </c>
      <c r="T417" t="n">
        <v>2243220</v>
      </c>
      <c r="U417" t="inlineStr">
        <is>
          <t>K009-901605081</t>
        </is>
      </c>
      <c r="V417" t="inlineStr">
        <is>
          <t>ទ្រូ ខមភែនៀន ឡូជីស្ទីក (ខេមបូឌា)</t>
        </is>
      </c>
      <c r="W417" t="n">
        <v>2243220</v>
      </c>
      <c r="X417" t="n">
        <v>0</v>
      </c>
    </row>
    <row r="418">
      <c r="A418" t="n">
        <v>417</v>
      </c>
      <c r="B418" t="inlineStr">
        <is>
          <t>Terminal Handling Charge, CFS FEE, Scanner Fee, CIC Fee, Agency Fee, D/O Fee, Documentation Fee, Handling Fee, Ex-work charge and Ocean Freight Charge</t>
        </is>
      </c>
      <c r="C418" t="inlineStr">
        <is>
          <t>ភី.ដាប់បែលយូ. ស្កេនវែល ឡូជីស្ទីក (ខេមបូឌា)</t>
        </is>
      </c>
      <c r="D418" t="inlineStr">
        <is>
          <t>K002-107011379</t>
        </is>
      </c>
      <c r="E418" t="inlineStr">
        <is>
          <t>240400079</t>
        </is>
      </c>
      <c r="F418" t="inlineStr">
        <is>
          <t>18-04-2024</t>
        </is>
      </c>
      <c r="G418" t="n">
        <v>1483441</v>
      </c>
      <c r="I418">
        <f>G418</f>
        <v/>
      </c>
      <c r="K418">
        <f>I418-G418</f>
        <v/>
      </c>
      <c r="M418" t="inlineStr">
        <is>
          <t>240400079</t>
        </is>
      </c>
      <c r="N418" t="inlineStr">
        <is>
          <t>8518100</t>
        </is>
      </c>
      <c r="O418">
        <f>M418=N418</f>
        <v/>
      </c>
      <c r="P418">
        <f>AND(MONTH(F418)=MONTH(S418), YEAR(F418)=YEAR(S418))</f>
        <v/>
      </c>
      <c r="Q418">
        <f>"L001-902303751"=U418</f>
        <v/>
      </c>
      <c r="R418">
        <f>G418-W418</f>
        <v/>
      </c>
      <c r="S418" s="36" t="n">
        <v>45268</v>
      </c>
      <c r="T418" t="n">
        <v>85181</v>
      </c>
      <c r="U418" t="inlineStr">
        <is>
          <t>K009-901605081</t>
        </is>
      </c>
      <c r="V418" t="inlineStr">
        <is>
          <t>ទ្រូ ខមភែនៀន ឡូជីស្ទីក (ខេមបូឌា)</t>
        </is>
      </c>
      <c r="W418" t="n">
        <v>85181</v>
      </c>
      <c r="X418" t="n">
        <v>0</v>
      </c>
    </row>
    <row r="419">
      <c r="A419" t="n">
        <v>418</v>
      </c>
      <c r="B419" t="inlineStr">
        <is>
          <t>Customs Clearance Fee and Trucking Fee</t>
        </is>
      </c>
      <c r="C419" t="inlineStr">
        <is>
          <t>ត្រាយអ៊ែងហ្គល ឡូជីស្ទីក (ខេមបូឌា) ឯ.ក</t>
        </is>
      </c>
      <c r="D419" t="inlineStr">
        <is>
          <t>K010-902101743</t>
        </is>
      </c>
      <c r="E419" t="inlineStr">
        <is>
          <t>TAG-24-00272</t>
        </is>
      </c>
      <c r="F419" t="inlineStr">
        <is>
          <t>22-04-2024</t>
        </is>
      </c>
      <c r="G419" t="n">
        <v>28448</v>
      </c>
      <c r="I419">
        <f>G419</f>
        <v/>
      </c>
      <c r="K419">
        <f>I419-G419</f>
        <v/>
      </c>
      <c r="M419" t="inlineStr">
        <is>
          <t>TAG2400272</t>
        </is>
      </c>
      <c r="N419" t="inlineStr">
        <is>
          <t>18515000</t>
        </is>
      </c>
      <c r="O419">
        <f>M419=N419</f>
        <v/>
      </c>
      <c r="P419">
        <f>AND(MONTH(F419)=MONTH(S419), YEAR(F419)=YEAR(S419))</f>
        <v/>
      </c>
      <c r="Q419">
        <f>"L001-902303751"=U419</f>
        <v/>
      </c>
      <c r="R419">
        <f>G419-W419</f>
        <v/>
      </c>
      <c r="S419" s="36" t="n">
        <v>45636</v>
      </c>
      <c r="T419" t="n">
        <v>185150</v>
      </c>
      <c r="U419" t="inlineStr">
        <is>
          <t>K009-901605081</t>
        </is>
      </c>
      <c r="V419" t="inlineStr">
        <is>
          <t>ទ្រូ ខមភែនៀន ឡូជីស្ទីក (ខេមបូឌា)</t>
        </is>
      </c>
      <c r="W419" t="n">
        <v>185150</v>
      </c>
      <c r="X419" t="n">
        <v>0</v>
      </c>
    </row>
    <row r="420">
      <c r="A420" t="n">
        <v>419</v>
      </c>
      <c r="B420" t="inlineStr">
        <is>
          <t>Cargo Terminal</t>
        </is>
      </c>
      <c r="C420" t="inlineStr">
        <is>
          <t>សូស៊ីយេតេ កុងសេស្យូនែរ ដឺ ឡាអេរ៉ូព័រ</t>
        </is>
      </c>
      <c r="D420" t="inlineStr">
        <is>
          <t>L001-100047300</t>
        </is>
      </c>
      <c r="E420" t="inlineStr">
        <is>
          <t>2400-028003</t>
        </is>
      </c>
      <c r="F420" t="inlineStr">
        <is>
          <t>22-04-2024</t>
        </is>
      </c>
      <c r="G420" t="n">
        <v>7511</v>
      </c>
      <c r="I420">
        <f>G420</f>
        <v/>
      </c>
      <c r="K420">
        <f>I420-G420</f>
        <v/>
      </c>
      <c r="M420" t="inlineStr">
        <is>
          <t>2400028003</t>
        </is>
      </c>
      <c r="N420" t="inlineStr">
        <is>
          <t>23758200</t>
        </is>
      </c>
      <c r="O420">
        <f>M420=N420</f>
        <v/>
      </c>
      <c r="P420">
        <f>AND(MONTH(F420)=MONTH(S420), YEAR(F420)=YEAR(S420))</f>
        <v/>
      </c>
      <c r="Q420">
        <f>"L001-902303751"=U420</f>
        <v/>
      </c>
      <c r="R420">
        <f>G420-W420</f>
        <v/>
      </c>
      <c r="S420" s="36" t="n">
        <v>45649</v>
      </c>
      <c r="T420" t="n">
        <v>237582</v>
      </c>
      <c r="U420" t="inlineStr">
        <is>
          <t>L001-104015799</t>
        </is>
      </c>
      <c r="V420" t="inlineStr">
        <is>
          <t>យូសេន ឡូជីស្ទីក (ខេមបូឌា) ខូ អិលធីឌី</t>
        </is>
      </c>
      <c r="W420" t="n">
        <v>237582</v>
      </c>
      <c r="X420" t="n">
        <v>0</v>
      </c>
    </row>
    <row r="421">
      <c r="A421" t="n">
        <v>420</v>
      </c>
      <c r="B421" t="inlineStr">
        <is>
          <t>Docs Fee and Handling Fee</t>
        </is>
      </c>
      <c r="C421" t="inlineStr">
        <is>
          <t>អិមអាយ ឡូជីកស៍ (ខេមបូឌា)</t>
        </is>
      </c>
      <c r="D421" t="inlineStr">
        <is>
          <t>K009-107021862</t>
        </is>
      </c>
      <c r="E421" t="inlineStr">
        <is>
          <t>MII202404-004</t>
        </is>
      </c>
      <c r="F421" t="inlineStr">
        <is>
          <t>19-04-2024</t>
        </is>
      </c>
      <c r="G421" t="n">
        <v>24378</v>
      </c>
      <c r="I421">
        <f>G421</f>
        <v/>
      </c>
      <c r="K421">
        <f>I421-G421</f>
        <v/>
      </c>
      <c r="M421" t="inlineStr">
        <is>
          <t>MII202404004</t>
        </is>
      </c>
      <c r="N421" t="inlineStr">
        <is>
          <t>18515000</t>
        </is>
      </c>
      <c r="O421">
        <f>M421=N421</f>
        <v/>
      </c>
      <c r="P421">
        <f>AND(MONTH(F421)=MONTH(S421), YEAR(F421)=YEAR(S421))</f>
        <v/>
      </c>
      <c r="Q421">
        <f>"L001-902303751"=U421</f>
        <v/>
      </c>
      <c r="R421">
        <f>G421-W421</f>
        <v/>
      </c>
      <c r="S421" s="36" t="n">
        <v>45636</v>
      </c>
      <c r="T421" t="n">
        <v>185150</v>
      </c>
      <c r="U421" t="inlineStr">
        <is>
          <t>K009-901605081</t>
        </is>
      </c>
      <c r="V421" t="inlineStr">
        <is>
          <t>ទ្រូ ខមភែនៀន ឡូជីស្ទីក (ខេមបូឌា)</t>
        </is>
      </c>
      <c r="W421" t="n">
        <v>185150</v>
      </c>
      <c r="X421" t="n">
        <v>0</v>
      </c>
    </row>
    <row r="422">
      <c r="A422" t="n">
        <v>421</v>
      </c>
      <c r="B422" t="inlineStr">
        <is>
          <t>Cargo Terminal</t>
        </is>
      </c>
      <c r="C422" t="inlineStr">
        <is>
          <t>សូស៊ីយេតេ កុងសេស្យូនែរ ដឺ ឡាអេរ៉ូព័រ</t>
        </is>
      </c>
      <c r="D422" t="inlineStr">
        <is>
          <t>L001-100047300</t>
        </is>
      </c>
      <c r="E422" t="inlineStr">
        <is>
          <t>2400-025290</t>
        </is>
      </c>
      <c r="F422" t="inlineStr">
        <is>
          <t>09-04-2024</t>
        </is>
      </c>
      <c r="G422" t="n">
        <v>4397</v>
      </c>
      <c r="I422">
        <f>G422</f>
        <v/>
      </c>
      <c r="K422">
        <f>I422-G422</f>
        <v/>
      </c>
      <c r="M422" t="inlineStr">
        <is>
          <t>2400025290</t>
        </is>
      </c>
      <c r="N422" t="inlineStr">
        <is>
          <t>8321400</t>
        </is>
      </c>
      <c r="O422">
        <f>M422=N422</f>
        <v/>
      </c>
      <c r="P422">
        <f>AND(MONTH(F422)=MONTH(S422), YEAR(F422)=YEAR(S422))</f>
        <v/>
      </c>
      <c r="Q422">
        <f>"L001-902303751"=U422</f>
        <v/>
      </c>
      <c r="R422">
        <f>G422-W422</f>
        <v/>
      </c>
      <c r="S422" s="36" t="n">
        <v>45649</v>
      </c>
      <c r="T422" t="n">
        <v>83214</v>
      </c>
      <c r="U422" t="inlineStr">
        <is>
          <t>K009-901605081</t>
        </is>
      </c>
      <c r="V422" t="inlineStr">
        <is>
          <t>ទ្រូ ខមភែនៀន ឡូជីស្ទីក (ខេមបូឌា)</t>
        </is>
      </c>
      <c r="W422" t="n">
        <v>83214</v>
      </c>
      <c r="X422" t="n">
        <v>0</v>
      </c>
    </row>
    <row r="423">
      <c r="A423" t="n">
        <v>422</v>
      </c>
      <c r="B423" t="inlineStr">
        <is>
          <t>Customs Clearance Fee and Trucking Fee</t>
        </is>
      </c>
      <c r="C423" t="inlineStr">
        <is>
          <t>ត្រាយអ៊ែងហ្គល ឡូជីស្ទីក (ខេមបូឌា) ឯ.ក</t>
        </is>
      </c>
      <c r="D423" t="inlineStr">
        <is>
          <t>K010-902101743</t>
        </is>
      </c>
      <c r="E423" t="inlineStr">
        <is>
          <t>TAG-24-00238</t>
        </is>
      </c>
      <c r="F423" t="inlineStr">
        <is>
          <t>09-04-2024</t>
        </is>
      </c>
      <c r="G423" t="n">
        <v>28287</v>
      </c>
      <c r="I423">
        <f>G423</f>
        <v/>
      </c>
      <c r="K423">
        <f>I423-G423</f>
        <v/>
      </c>
      <c r="M423" t="inlineStr">
        <is>
          <t>TAG2400238</t>
        </is>
      </c>
      <c r="N423" t="inlineStr">
        <is>
          <t>18496600</t>
        </is>
      </c>
      <c r="O423">
        <f>M423=N423</f>
        <v/>
      </c>
      <c r="P423">
        <f>AND(MONTH(F423)=MONTH(S423), YEAR(F423)=YEAR(S423))</f>
        <v/>
      </c>
      <c r="Q423">
        <f>"L001-902303751"=U423</f>
        <v/>
      </c>
      <c r="R423">
        <f>G423-W423</f>
        <v/>
      </c>
      <c r="S423" s="36" t="n">
        <v>45653</v>
      </c>
      <c r="T423" t="n">
        <v>184966</v>
      </c>
      <c r="U423" t="inlineStr">
        <is>
          <t>K009-901605081</t>
        </is>
      </c>
      <c r="V423" t="inlineStr">
        <is>
          <t>ទ្រូ ខមភែនៀន ឡូជីស្ទីក (ខេមបូឌា)</t>
        </is>
      </c>
      <c r="W423" t="n">
        <v>184966</v>
      </c>
      <c r="X423" t="n">
        <v>0</v>
      </c>
    </row>
    <row r="424">
      <c r="A424" t="n">
        <v>423</v>
      </c>
      <c r="B424" t="inlineStr">
        <is>
          <t>Cargo Terminal</t>
        </is>
      </c>
      <c r="C424" t="inlineStr">
        <is>
          <t>សូស៊ីយេតេ កុងសេស្យូនែរ ដឺ ឡាអេរ៉ូព័រ</t>
        </is>
      </c>
      <c r="D424" t="inlineStr">
        <is>
          <t>L001-100047300</t>
        </is>
      </c>
      <c r="E424" t="inlineStr">
        <is>
          <t>2400-024173</t>
        </is>
      </c>
      <c r="F424" t="inlineStr">
        <is>
          <t>06-04-2024</t>
        </is>
      </c>
      <c r="G424" t="n">
        <v>13288</v>
      </c>
      <c r="I424">
        <f>G424</f>
        <v/>
      </c>
      <c r="K424">
        <f>I424-G424</f>
        <v/>
      </c>
      <c r="M424" t="inlineStr">
        <is>
          <t>2400024173</t>
        </is>
      </c>
      <c r="N424" t="inlineStr">
        <is>
          <t>11146500</t>
        </is>
      </c>
      <c r="O424">
        <f>M424=N424</f>
        <v/>
      </c>
      <c r="P424">
        <f>AND(MONTH(F424)=MONTH(S424), YEAR(F424)=YEAR(S424))</f>
        <v/>
      </c>
      <c r="Q424">
        <f>"L001-902303751"=U424</f>
        <v/>
      </c>
      <c r="R424">
        <f>G424-W424</f>
        <v/>
      </c>
      <c r="S424" s="36" t="n">
        <v>45656</v>
      </c>
      <c r="T424" t="n">
        <v>111465</v>
      </c>
      <c r="U424" t="inlineStr">
        <is>
          <t>L001-104015799</t>
        </is>
      </c>
      <c r="V424" t="inlineStr">
        <is>
          <t>យូសេន ឡូជីស្ទីក (ខេមបូឌា) ខូ អិលធីឌី</t>
        </is>
      </c>
      <c r="W424" t="n">
        <v>111465</v>
      </c>
      <c r="X424" t="n">
        <v>0</v>
      </c>
    </row>
    <row r="425">
      <c r="A425" t="n">
        <v>424</v>
      </c>
      <c r="B425" t="inlineStr">
        <is>
          <t>Customs Clearance Fee and Agency Fee</t>
        </is>
      </c>
      <c r="C425" t="inlineStr">
        <is>
          <t>ត្រាយអ៊ែងហ្គល ឡូជីស្ទីក (ខេមបូឌា) ឯ.ក</t>
        </is>
      </c>
      <c r="D425" t="inlineStr">
        <is>
          <t>K010-902101743</t>
        </is>
      </c>
      <c r="E425" t="inlineStr">
        <is>
          <t>TAG-24-00203</t>
        </is>
      </c>
      <c r="F425" t="inlineStr">
        <is>
          <t>03-04-2024</t>
        </is>
      </c>
      <c r="G425" t="n">
        <v>32328</v>
      </c>
      <c r="I425">
        <f>G425</f>
        <v/>
      </c>
      <c r="K425">
        <f>I425-G425</f>
        <v/>
      </c>
      <c r="M425" t="inlineStr">
        <is>
          <t>TAG2400203</t>
        </is>
      </c>
      <c r="N425" t="inlineStr">
        <is>
          <t>8319300</t>
        </is>
      </c>
      <c r="O425">
        <f>M425=N425</f>
        <v/>
      </c>
      <c r="P425">
        <f>AND(MONTH(F425)=MONTH(S425), YEAR(F425)=YEAR(S425))</f>
        <v/>
      </c>
      <c r="Q425">
        <f>"L001-902303751"=U425</f>
        <v/>
      </c>
      <c r="R425">
        <f>G425-W425</f>
        <v/>
      </c>
      <c r="S425" s="36" t="n">
        <v>45642</v>
      </c>
      <c r="T425" t="n">
        <v>83193</v>
      </c>
      <c r="U425" t="inlineStr">
        <is>
          <t>K007-901702732</t>
        </is>
      </c>
      <c r="V425" t="inlineStr">
        <is>
          <t>គ្លូប៊ល ស៊ី &amp; លែន ឯ.ក</t>
        </is>
      </c>
      <c r="W425" t="n">
        <v>83193</v>
      </c>
      <c r="X425" t="n">
        <v>0</v>
      </c>
    </row>
    <row r="426">
      <c r="A426" t="n">
        <v>425</v>
      </c>
      <c r="B426" t="inlineStr">
        <is>
          <t>Customs Clearance Fee and Trucking Fee</t>
        </is>
      </c>
      <c r="C426" t="inlineStr">
        <is>
          <t>ត្រាយអ៊ែងហ្គល ឡូជីស្ទីក (ខេមបូឌា) ឯ.ក</t>
        </is>
      </c>
      <c r="D426" t="inlineStr">
        <is>
          <t>K010-902101743</t>
        </is>
      </c>
      <c r="E426" t="inlineStr">
        <is>
          <t>TAG-24-00227</t>
        </is>
      </c>
      <c r="F426" t="inlineStr">
        <is>
          <t>08-04-2024</t>
        </is>
      </c>
      <c r="G426" t="n">
        <v>68680</v>
      </c>
      <c r="I426">
        <f>G426</f>
        <v/>
      </c>
      <c r="K426">
        <f>I426-G426</f>
        <v/>
      </c>
      <c r="M426" t="inlineStr">
        <is>
          <t>TAG2400227</t>
        </is>
      </c>
      <c r="N426" t="inlineStr">
        <is>
          <t>18487400</t>
        </is>
      </c>
      <c r="O426">
        <f>M426=N426</f>
        <v/>
      </c>
      <c r="P426">
        <f>AND(MONTH(F426)=MONTH(S426), YEAR(F426)=YEAR(S426))</f>
        <v/>
      </c>
      <c r="Q426">
        <f>"L001-902303751"=U426</f>
        <v/>
      </c>
      <c r="R426">
        <f>G426-W426</f>
        <v/>
      </c>
      <c r="S426" s="36" t="n">
        <v>45643</v>
      </c>
      <c r="T426" t="n">
        <v>184874</v>
      </c>
      <c r="U426" t="inlineStr">
        <is>
          <t>K009-901605081</t>
        </is>
      </c>
      <c r="V426" t="inlineStr">
        <is>
          <t>ទ្រូ ខមភែនៀន ឡូជីស្ទីក (ខេមបូឌា)</t>
        </is>
      </c>
      <c r="W426" t="n">
        <v>184874</v>
      </c>
      <c r="X426" t="n">
        <v>0</v>
      </c>
    </row>
    <row r="427">
      <c r="A427" t="n">
        <v>426</v>
      </c>
      <c r="B427" t="inlineStr">
        <is>
          <t>Lift-On &amp; Lift-Off</t>
        </is>
      </c>
      <c r="C427" t="inlineStr">
        <is>
          <t>កំពង់ផែស្វយ័តក្រុងព្រះសីហនុ</t>
        </is>
      </c>
      <c r="D427" t="inlineStr">
        <is>
          <t>L001-100044638</t>
        </is>
      </c>
      <c r="E427" t="inlineStr">
        <is>
          <t>062057</t>
        </is>
      </c>
      <c r="F427" t="inlineStr">
        <is>
          <t>06-04-2024</t>
        </is>
      </c>
      <c r="G427" t="n">
        <v>23034</v>
      </c>
      <c r="I427">
        <f>G427</f>
        <v/>
      </c>
      <c r="K427">
        <f>I427-G427</f>
        <v/>
      </c>
      <c r="M427" t="inlineStr">
        <is>
          <t>062057</t>
        </is>
      </c>
      <c r="N427" t="inlineStr">
        <is>
          <t>8335900</t>
        </is>
      </c>
      <c r="O427">
        <f>M427=N427</f>
        <v/>
      </c>
      <c r="P427">
        <f>AND(MONTH(F427)=MONTH(S427), YEAR(F427)=YEAR(S427))</f>
        <v/>
      </c>
      <c r="Q427">
        <f>"L001-902303751"=U427</f>
        <v/>
      </c>
      <c r="R427">
        <f>G427-W427</f>
        <v/>
      </c>
      <c r="S427" s="36" t="n">
        <v>45635</v>
      </c>
      <c r="T427" t="n">
        <v>83359</v>
      </c>
      <c r="U427" t="inlineStr">
        <is>
          <t>K009-901605081</t>
        </is>
      </c>
      <c r="V427" t="inlineStr">
        <is>
          <t>ទ្រូ ខមភែនៀន ឡូជីស្ទីក (ខេមបូឌា)</t>
        </is>
      </c>
      <c r="W427" t="n">
        <v>83359</v>
      </c>
      <c r="X427" t="n">
        <v>0</v>
      </c>
    </row>
    <row r="428">
      <c r="A428" t="n">
        <v>427</v>
      </c>
      <c r="B428" t="inlineStr">
        <is>
          <t>THC, EMF, 3 PARTY TRUCKING, CIC, R/O, DOC FEE and HANDLING FEE</t>
        </is>
      </c>
      <c r="C428" t="inlineStr">
        <is>
          <t>ខេអិលអិន ហ្វ្រេត (ខេមបូឌា) ឯ.ក</t>
        </is>
      </c>
      <c r="D428" t="inlineStr">
        <is>
          <t>L001-100074669</t>
        </is>
      </c>
      <c r="E428" t="inlineStr">
        <is>
          <t>IVO05777</t>
        </is>
      </c>
      <c r="F428" t="inlineStr">
        <is>
          <t>19-04-2024</t>
        </is>
      </c>
      <c r="G428" t="n">
        <v>124627</v>
      </c>
      <c r="I428">
        <f>G428</f>
        <v/>
      </c>
      <c r="K428">
        <f>I428-G428</f>
        <v/>
      </c>
      <c r="M428" t="inlineStr">
        <is>
          <t>IVO05777</t>
        </is>
      </c>
      <c r="N428" t="inlineStr">
        <is>
          <t>2576000</t>
        </is>
      </c>
      <c r="O428">
        <f>M428=N428</f>
        <v/>
      </c>
      <c r="P428">
        <f>AND(MONTH(F428)=MONTH(S428), YEAR(F428)=YEAR(S428))</f>
        <v/>
      </c>
      <c r="Q428">
        <f>"L001-902303751"=U428</f>
        <v/>
      </c>
      <c r="R428">
        <f>G428-W428</f>
        <v/>
      </c>
      <c r="S428" s="36" t="n">
        <v>45636</v>
      </c>
      <c r="T428" t="n">
        <v>25760</v>
      </c>
      <c r="U428" t="inlineStr">
        <is>
          <t>K002-901635875</t>
        </is>
      </c>
      <c r="V428" t="inlineStr">
        <is>
          <t>ដាត គ្លូប៊ល ឡូជីស្ទីក (ខេមបូឌា)</t>
        </is>
      </c>
      <c r="W428" t="n">
        <v>25760</v>
      </c>
      <c r="X428" t="n">
        <v>0</v>
      </c>
    </row>
    <row r="429">
      <c r="A429" t="n">
        <v>428</v>
      </c>
      <c r="B429" t="inlineStr">
        <is>
          <t>Customs Clearance Fee and Trucking Fee</t>
        </is>
      </c>
      <c r="C429" t="inlineStr">
        <is>
          <t>ត្រាយអ៊ែងហ្គល ឡូជីស្ទីក (ខេមបូឌា) ឯ.ក</t>
        </is>
      </c>
      <c r="D429" t="inlineStr">
        <is>
          <t>K010-902101743</t>
        </is>
      </c>
      <c r="E429" t="inlineStr">
        <is>
          <t>TAG-24-00257</t>
        </is>
      </c>
      <c r="F429" t="inlineStr">
        <is>
          <t>19-04-2024</t>
        </is>
      </c>
      <c r="G429" t="n">
        <v>32504</v>
      </c>
      <c r="I429">
        <f>G429</f>
        <v/>
      </c>
      <c r="K429">
        <f>I429-G429</f>
        <v/>
      </c>
      <c r="M429" t="inlineStr">
        <is>
          <t>TAG2400257</t>
        </is>
      </c>
      <c r="N429" t="inlineStr">
        <is>
          <t>22099000</t>
        </is>
      </c>
      <c r="O429">
        <f>M429=N429</f>
        <v/>
      </c>
      <c r="P429">
        <f>AND(MONTH(F429)=MONTH(S429), YEAR(F429)=YEAR(S429))</f>
        <v/>
      </c>
      <c r="Q429">
        <f>"L001-902303751"=U429</f>
        <v/>
      </c>
      <c r="R429">
        <f>G429-W429</f>
        <v/>
      </c>
      <c r="S429" s="36" t="n">
        <v>45652</v>
      </c>
      <c r="T429" t="n">
        <v>220990</v>
      </c>
      <c r="U429" t="inlineStr">
        <is>
          <t>L001-106004107</t>
        </is>
      </c>
      <c r="V429" t="inlineStr">
        <is>
          <t>ត្រេនម៉ារីន ឡូជីស្ទីក (ខេមបូឌា)</t>
        </is>
      </c>
      <c r="W429" t="n">
        <v>220990</v>
      </c>
      <c r="X429" t="n">
        <v>0</v>
      </c>
    </row>
    <row r="430">
      <c r="A430" t="n">
        <v>429</v>
      </c>
      <c r="B430" t="inlineStr">
        <is>
          <t>Charge from warehouse and Storage Charges</t>
        </is>
      </c>
      <c r="C430" t="inlineStr">
        <is>
          <t>កំពង់ផែស្វយ័តក្រុងព្រះសីហនុ</t>
        </is>
      </c>
      <c r="D430" t="inlineStr">
        <is>
          <t>L001-100044638</t>
        </is>
      </c>
      <c r="E430" t="inlineStr">
        <is>
          <t>070477</t>
        </is>
      </c>
      <c r="F430" t="inlineStr">
        <is>
          <t>19-04-2024</t>
        </is>
      </c>
      <c r="G430" t="n">
        <v>1489</v>
      </c>
      <c r="I430">
        <f>G430</f>
        <v/>
      </c>
      <c r="K430">
        <f>I430-G430</f>
        <v/>
      </c>
      <c r="M430" t="inlineStr">
        <is>
          <t>070477</t>
        </is>
      </c>
      <c r="N430" t="inlineStr">
        <is>
          <t>219144500</t>
        </is>
      </c>
      <c r="O430">
        <f>M430=N430</f>
        <v/>
      </c>
      <c r="P430">
        <f>AND(MONTH(F430)=MONTH(S430), YEAR(F430)=YEAR(S430))</f>
        <v/>
      </c>
      <c r="Q430">
        <f>"L001-902303751"=U430</f>
        <v/>
      </c>
      <c r="R430">
        <f>G430-W430</f>
        <v/>
      </c>
      <c r="S430" s="36" t="n">
        <v>45653</v>
      </c>
      <c r="T430" t="n">
        <v>2191445</v>
      </c>
      <c r="U430" t="inlineStr">
        <is>
          <t>K009-901605081</t>
        </is>
      </c>
      <c r="V430" t="inlineStr">
        <is>
          <t>ទ្រូ ខមភែនៀន ឡូជីស្ទីក (ខេមបូឌា)</t>
        </is>
      </c>
      <c r="W430" t="n">
        <v>2191445</v>
      </c>
      <c r="X430" t="n">
        <v>0</v>
      </c>
    </row>
    <row r="431">
      <c r="A431" t="n">
        <v>430</v>
      </c>
      <c r="B431" t="inlineStr">
        <is>
          <t>Import Shipment Expense</t>
        </is>
      </c>
      <c r="C431" t="inlineStr">
        <is>
          <t>ត្រាយអ៊ែងហ្គល ឡូជីស្ទីក (ខេមបូឌា) ឯ.ក</t>
        </is>
      </c>
      <c r="D431" t="inlineStr">
        <is>
          <t>K010-902101743</t>
        </is>
      </c>
      <c r="E431" t="inlineStr">
        <is>
          <t>TAG-24-00205</t>
        </is>
      </c>
      <c r="F431" t="inlineStr">
        <is>
          <t>05-04-2024</t>
        </is>
      </c>
      <c r="G431" t="n">
        <v>95977</v>
      </c>
      <c r="I431">
        <f>G431</f>
        <v/>
      </c>
      <c r="K431">
        <f>I431-G431</f>
        <v/>
      </c>
      <c r="M431" t="inlineStr">
        <is>
          <t>TAG2400205</t>
        </is>
      </c>
      <c r="N431" t="inlineStr">
        <is>
          <t>219362500</t>
        </is>
      </c>
      <c r="O431">
        <f>M431=N431</f>
        <v/>
      </c>
      <c r="P431">
        <f>AND(MONTH(F431)=MONTH(S431), YEAR(F431)=YEAR(S431))</f>
        <v/>
      </c>
      <c r="Q431">
        <f>"L001-902303751"=U431</f>
        <v/>
      </c>
      <c r="R431">
        <f>G431-W431</f>
        <v/>
      </c>
      <c r="S431" s="36" t="n">
        <v>45636</v>
      </c>
      <c r="T431" t="n">
        <v>2193625</v>
      </c>
      <c r="U431" t="inlineStr">
        <is>
          <t>K009-901605081</t>
        </is>
      </c>
      <c r="V431" t="inlineStr">
        <is>
          <t>ទ្រូ ខមភែនៀន ឡូជីស្ទីក (ខេមបូឌា)</t>
        </is>
      </c>
      <c r="W431" t="n">
        <v>2193625</v>
      </c>
      <c r="X431" t="n">
        <v>0</v>
      </c>
    </row>
    <row r="432">
      <c r="A432" t="n">
        <v>431</v>
      </c>
      <c r="B432" t="inlineStr">
        <is>
          <t>Customs Clearance Fee and Trucking Fee</t>
        </is>
      </c>
      <c r="C432" t="inlineStr">
        <is>
          <t>ត្រាយអ៊ែងហ្គល ឡូជីស្ទីក (ខេមបូឌា) ឯ.ក</t>
        </is>
      </c>
      <c r="D432" t="inlineStr">
        <is>
          <t>K010-902101743</t>
        </is>
      </c>
      <c r="E432" t="inlineStr">
        <is>
          <t>TAG-24-00254</t>
        </is>
      </c>
      <c r="F432" t="inlineStr">
        <is>
          <t>11-04-2024</t>
        </is>
      </c>
      <c r="G432" t="n">
        <v>28280</v>
      </c>
      <c r="I432">
        <f>G432</f>
        <v/>
      </c>
      <c r="K432">
        <f>I432-G432</f>
        <v/>
      </c>
      <c r="M432" t="inlineStr">
        <is>
          <t>TAG2400254</t>
        </is>
      </c>
      <c r="N432" t="inlineStr">
        <is>
          <t>219362500</t>
        </is>
      </c>
      <c r="O432">
        <f>M432=N432</f>
        <v/>
      </c>
      <c r="P432">
        <f>AND(MONTH(F432)=MONTH(S432), YEAR(F432)=YEAR(S432))</f>
        <v/>
      </c>
      <c r="Q432">
        <f>"L001-902303751"=U432</f>
        <v/>
      </c>
      <c r="R432">
        <f>G432-W432</f>
        <v/>
      </c>
      <c r="S432" s="36" t="n">
        <v>45636</v>
      </c>
      <c r="T432" t="n">
        <v>2193625</v>
      </c>
      <c r="U432" t="inlineStr">
        <is>
          <t>K009-901605081</t>
        </is>
      </c>
      <c r="V432" t="inlineStr">
        <is>
          <t>ទ្រូ ខមភែនៀន ឡូជីស្ទីក (ខេមបូឌា)</t>
        </is>
      </c>
      <c r="W432" t="n">
        <v>2193625</v>
      </c>
      <c r="X432" t="n">
        <v>0</v>
      </c>
    </row>
    <row r="433">
      <c r="A433" t="n">
        <v>432</v>
      </c>
      <c r="B433" t="inlineStr">
        <is>
          <t>Gate Fee Charage</t>
        </is>
      </c>
      <c r="C433" t="inlineStr">
        <is>
          <t>កំពង់ផែស្វយ័តភ្នំពេញ "ក.ស.ភ"</t>
        </is>
      </c>
      <c r="D433" t="inlineStr">
        <is>
          <t>L001-100044999</t>
        </is>
      </c>
      <c r="E433" t="inlineStr">
        <is>
          <t>INV20240421558</t>
        </is>
      </c>
      <c r="F433" t="inlineStr">
        <is>
          <t>19-04-2024</t>
        </is>
      </c>
      <c r="G433" t="n">
        <v>813</v>
      </c>
      <c r="I433">
        <f>G433</f>
        <v/>
      </c>
      <c r="K433">
        <f>I433-G433</f>
        <v/>
      </c>
      <c r="M433" t="inlineStr">
        <is>
          <t>INV20240421558</t>
        </is>
      </c>
      <c r="N433" t="inlineStr">
        <is>
          <t>219471500</t>
        </is>
      </c>
      <c r="O433">
        <f>M433=N433</f>
        <v/>
      </c>
      <c r="P433">
        <f>AND(MONTH(F433)=MONTH(S433), YEAR(F433)=YEAR(S433))</f>
        <v/>
      </c>
      <c r="Q433">
        <f>"L001-902303751"=U433</f>
        <v/>
      </c>
      <c r="R433">
        <f>G433-W433</f>
        <v/>
      </c>
      <c r="S433" s="36" t="n">
        <v>45635</v>
      </c>
      <c r="T433" t="n">
        <v>2194715</v>
      </c>
      <c r="U433" t="inlineStr">
        <is>
          <t>K009-901605081</t>
        </is>
      </c>
      <c r="V433" t="inlineStr">
        <is>
          <t>ទ្រូ ខមភែនៀន ឡូជីស្ទីក (ខេមបូឌា)</t>
        </is>
      </c>
      <c r="W433" t="n">
        <v>2194715</v>
      </c>
      <c r="X433" t="n">
        <v>0</v>
      </c>
    </row>
    <row r="434">
      <c r="A434" t="n">
        <v>433</v>
      </c>
      <c r="B434" t="inlineStr">
        <is>
          <t>Import Shipment Expense</t>
        </is>
      </c>
      <c r="C434" t="inlineStr">
        <is>
          <t>អូរៀនថល ឡូជីស្ទីក &amp; ឌីស្ទ្រីប៊្យូសិន (ខេមបូឌា)</t>
        </is>
      </c>
      <c r="D434" t="inlineStr">
        <is>
          <t>L001-103007369</t>
        </is>
      </c>
      <c r="E434" t="inlineStr">
        <is>
          <t>24-3375</t>
        </is>
      </c>
      <c r="F434" t="inlineStr">
        <is>
          <t>19-04-2024</t>
        </is>
      </c>
      <c r="G434" t="n">
        <v>13408</v>
      </c>
      <c r="I434">
        <f>G434</f>
        <v/>
      </c>
      <c r="K434">
        <f>I434-G434</f>
        <v/>
      </c>
      <c r="M434" t="inlineStr">
        <is>
          <t>243375</t>
        </is>
      </c>
      <c r="N434" t="inlineStr">
        <is>
          <t>18492000</t>
        </is>
      </c>
      <c r="O434">
        <f>M434=N434</f>
        <v/>
      </c>
      <c r="P434">
        <f>AND(MONTH(F434)=MONTH(S434), YEAR(F434)=YEAR(S434))</f>
        <v/>
      </c>
      <c r="Q434">
        <f>"L001-902303751"=U434</f>
        <v/>
      </c>
      <c r="R434">
        <f>G434-W434</f>
        <v/>
      </c>
      <c r="S434" s="36" t="n">
        <v>45649</v>
      </c>
      <c r="T434" t="n">
        <v>184920</v>
      </c>
      <c r="U434" t="inlineStr">
        <is>
          <t>K009-901605081</t>
        </is>
      </c>
      <c r="V434" t="inlineStr">
        <is>
          <t>ទ្រូ ខមភែនៀន ឡូជីស្ទីក (ខេមបូឌា)</t>
        </is>
      </c>
      <c r="W434" t="n">
        <v>184920</v>
      </c>
      <c r="X434" t="n">
        <v>0</v>
      </c>
    </row>
    <row r="435">
      <c r="A435" t="n">
        <v>434</v>
      </c>
      <c r="B435" t="inlineStr">
        <is>
          <t>Terminal Handling Charge, CFS FEE, Scanner Fee, CIC Fee, Agency Fee, D/O Fee, Documentation Fee, Handling Fee, Ex-work charge and Ocean Freight Charge</t>
        </is>
      </c>
      <c r="C435" t="inlineStr">
        <is>
          <t>ភី.ដាប់បែលយូ. ស្កេនវែល ឡូជីស្ទីក (ខេមបូឌា)</t>
        </is>
      </c>
      <c r="D435" t="inlineStr">
        <is>
          <t>K002-107011379</t>
        </is>
      </c>
      <c r="E435" t="inlineStr">
        <is>
          <t>240400077</t>
        </is>
      </c>
      <c r="F435" t="inlineStr">
        <is>
          <t>08-04-2024</t>
        </is>
      </c>
      <c r="G435" t="n">
        <v>206289</v>
      </c>
      <c r="I435">
        <f>G435</f>
        <v/>
      </c>
      <c r="K435">
        <f>I435-G435</f>
        <v/>
      </c>
      <c r="M435" t="inlineStr">
        <is>
          <t>240400077</t>
        </is>
      </c>
      <c r="N435" t="inlineStr">
        <is>
          <t>218981000</t>
        </is>
      </c>
      <c r="O435">
        <f>M435=N435</f>
        <v/>
      </c>
      <c r="P435">
        <f>AND(MONTH(F435)=MONTH(S435), YEAR(F435)=YEAR(S435))</f>
        <v/>
      </c>
      <c r="Q435">
        <f>"L001-902303751"=U435</f>
        <v/>
      </c>
      <c r="R435">
        <f>G435-W435</f>
        <v/>
      </c>
      <c r="S435" s="36" t="n">
        <v>45652</v>
      </c>
      <c r="T435" t="n">
        <v>2189810</v>
      </c>
      <c r="U435" t="inlineStr">
        <is>
          <t>K009-901605081</t>
        </is>
      </c>
      <c r="V435" t="inlineStr">
        <is>
          <t>ទ្រូ ខមភែនៀន ឡូជីស្ទីក (ខេមបូឌា)</t>
        </is>
      </c>
      <c r="W435" t="n">
        <v>2189810</v>
      </c>
      <c r="X435" t="n">
        <v>0</v>
      </c>
    </row>
    <row r="436">
      <c r="A436" t="n">
        <v>435</v>
      </c>
      <c r="B436" t="inlineStr">
        <is>
          <t>Customs Clearance Fee and Trucking Fee</t>
        </is>
      </c>
      <c r="C436" t="inlineStr">
        <is>
          <t>ត្រាយអ៊ែងហ្គល ឡូជីស្ទីក (ខេមបូឌា) ឯ.ក</t>
        </is>
      </c>
      <c r="D436" t="inlineStr">
        <is>
          <t>K010-902101743</t>
        </is>
      </c>
      <c r="E436" t="inlineStr">
        <is>
          <t>TAG-24-00237</t>
        </is>
      </c>
      <c r="F436" t="inlineStr">
        <is>
          <t>09-04-2024</t>
        </is>
      </c>
      <c r="G436" t="n">
        <v>28287</v>
      </c>
      <c r="I436">
        <f>G436</f>
        <v/>
      </c>
      <c r="K436">
        <f>I436-G436</f>
        <v/>
      </c>
      <c r="M436" t="inlineStr">
        <is>
          <t>TAG2400237</t>
        </is>
      </c>
      <c r="N436" t="inlineStr">
        <is>
          <t>8335900</t>
        </is>
      </c>
      <c r="O436">
        <f>M436=N436</f>
        <v/>
      </c>
      <c r="P436">
        <f>AND(MONTH(F436)=MONTH(S436), YEAR(F436)=YEAR(S436))</f>
        <v/>
      </c>
      <c r="Q436">
        <f>"L001-902303751"=U436</f>
        <v/>
      </c>
      <c r="R436">
        <f>G436-W436</f>
        <v/>
      </c>
      <c r="S436" s="36" t="n">
        <v>45635</v>
      </c>
      <c r="T436" t="n">
        <v>83359</v>
      </c>
      <c r="U436" t="inlineStr">
        <is>
          <t>L001-104015799</t>
        </is>
      </c>
      <c r="V436" t="inlineStr">
        <is>
          <t>យូសេន ឡូជីស្ទីក (ខេមបូឌា) ខូ អិលធីឌី</t>
        </is>
      </c>
      <c r="W436" t="n">
        <v>83359</v>
      </c>
      <c r="X436" t="n">
        <v>0</v>
      </c>
    </row>
    <row r="437">
      <c r="A437" t="n">
        <v>436</v>
      </c>
      <c r="B437" t="inlineStr">
        <is>
          <t>Cargo Terminal</t>
        </is>
      </c>
      <c r="C437" t="inlineStr">
        <is>
          <t>សូស៊ីយេតេ កុងសេស្យូនែរ ដឺ ឡាអេរ៉ូព័រ</t>
        </is>
      </c>
      <c r="D437" t="inlineStr">
        <is>
          <t>L001-100047300</t>
        </is>
      </c>
      <c r="E437" t="inlineStr">
        <is>
          <t>2400-025289</t>
        </is>
      </c>
      <c r="F437" t="inlineStr">
        <is>
          <t>09-04-2024</t>
        </is>
      </c>
      <c r="G437" t="n">
        <v>8534</v>
      </c>
      <c r="I437">
        <f>G437</f>
        <v/>
      </c>
      <c r="K437">
        <f>I437-G437</f>
        <v/>
      </c>
      <c r="M437" t="inlineStr">
        <is>
          <t>2400025289</t>
        </is>
      </c>
      <c r="N437" t="inlineStr">
        <is>
          <t>18482800</t>
        </is>
      </c>
      <c r="O437">
        <f>M437=N437</f>
        <v/>
      </c>
      <c r="P437">
        <f>AND(MONTH(F437)=MONTH(S437), YEAR(F437)=YEAR(S437))</f>
        <v/>
      </c>
      <c r="Q437">
        <f>"L001-902303751"=U437</f>
        <v/>
      </c>
      <c r="R437">
        <f>G437-W437</f>
        <v/>
      </c>
      <c r="S437" s="36" t="n">
        <v>45652</v>
      </c>
      <c r="T437" t="n">
        <v>184828</v>
      </c>
      <c r="U437" t="inlineStr">
        <is>
          <t>K009-901605081</t>
        </is>
      </c>
      <c r="V437" t="inlineStr">
        <is>
          <t>ទ្រូ ខមភែនៀន ឡូជីស្ទីក (ខេមបូឌា)</t>
        </is>
      </c>
      <c r="W437" t="n">
        <v>184828</v>
      </c>
      <c r="X437" t="n">
        <v>0</v>
      </c>
    </row>
    <row r="438">
      <c r="A438" t="n">
        <v>437</v>
      </c>
      <c r="B438" t="inlineStr">
        <is>
          <t>Document Fee and Agency Fee</t>
        </is>
      </c>
      <c r="C438" t="inlineStr">
        <is>
          <t>ឆាយ ដា ឡូយីស្ទីក</t>
        </is>
      </c>
      <c r="D438" t="inlineStr">
        <is>
          <t>L001-100063098</t>
        </is>
      </c>
      <c r="E438" t="inlineStr">
        <is>
          <t>2404004302</t>
        </is>
      </c>
      <c r="F438" t="inlineStr">
        <is>
          <t>08-04-2024</t>
        </is>
      </c>
      <c r="G438" t="n">
        <v>24240</v>
      </c>
      <c r="I438">
        <f>G438</f>
        <v/>
      </c>
      <c r="K438">
        <f>I438-G438</f>
        <v/>
      </c>
      <c r="M438" t="inlineStr">
        <is>
          <t>2404004302</t>
        </is>
      </c>
      <c r="N438" t="inlineStr">
        <is>
          <t>11135400</t>
        </is>
      </c>
      <c r="O438">
        <f>M438=N438</f>
        <v/>
      </c>
      <c r="P438">
        <f>AND(MONTH(F438)=MONTH(S438), YEAR(F438)=YEAR(S438))</f>
        <v/>
      </c>
      <c r="Q438">
        <f>"L001-902303751"=U438</f>
        <v/>
      </c>
      <c r="R438">
        <f>G438-W438</f>
        <v/>
      </c>
      <c r="S438" s="36" t="n">
        <v>45649</v>
      </c>
      <c r="T438" t="n">
        <v>111354</v>
      </c>
      <c r="U438" t="inlineStr">
        <is>
          <t>L001-107041723</t>
        </is>
      </c>
      <c r="V438" t="inlineStr">
        <is>
          <t>ឌីប៊ី សេនឃើរ (ខេមបូឌា) លីមីធីត</t>
        </is>
      </c>
      <c r="W438" t="n">
        <v>111354</v>
      </c>
      <c r="X438" t="n">
        <v>0</v>
      </c>
    </row>
    <row r="439">
      <c r="A439" t="n">
        <v>438</v>
      </c>
      <c r="B439" t="inlineStr">
        <is>
          <t>Customs Clearance Fee and Trucking Fee</t>
        </is>
      </c>
      <c r="C439" t="inlineStr">
        <is>
          <t>ត្រាយអ៊ែងហ្គល ឡូជីស្ទីក (ខេមបូឌា) ឯ.ក</t>
        </is>
      </c>
      <c r="D439" t="inlineStr">
        <is>
          <t>K010-902101743</t>
        </is>
      </c>
      <c r="E439" t="inlineStr">
        <is>
          <t>TAG-24-00242</t>
        </is>
      </c>
      <c r="F439" t="inlineStr">
        <is>
          <t>10-04-2024</t>
        </is>
      </c>
      <c r="G439" t="n">
        <v>8082</v>
      </c>
      <c r="I439">
        <f>G439</f>
        <v/>
      </c>
      <c r="K439">
        <f>I439-G439</f>
        <v/>
      </c>
      <c r="M439" t="inlineStr">
        <is>
          <t>TAG2400242</t>
        </is>
      </c>
      <c r="N439" t="inlineStr">
        <is>
          <t>8321400</t>
        </is>
      </c>
      <c r="O439">
        <f>M439=N439</f>
        <v/>
      </c>
      <c r="P439">
        <f>AND(MONTH(F439)=MONTH(S439), YEAR(F439)=YEAR(S439))</f>
        <v/>
      </c>
      <c r="Q439">
        <f>"L001-902303751"=U439</f>
        <v/>
      </c>
      <c r="R439">
        <f>G439-W439</f>
        <v/>
      </c>
      <c r="S439" s="36" t="n">
        <v>45649</v>
      </c>
      <c r="T439" t="n">
        <v>83214</v>
      </c>
      <c r="U439" t="inlineStr">
        <is>
          <t>L001-104015799</t>
        </is>
      </c>
      <c r="V439" t="inlineStr">
        <is>
          <t>យូសេន ឡូជីស្ទីក (ខេមបូឌា) ខូ អិលធីឌី</t>
        </is>
      </c>
      <c r="W439" t="n">
        <v>83214</v>
      </c>
      <c r="X439" t="n">
        <v>0</v>
      </c>
    </row>
    <row r="440">
      <c r="A440" t="n">
        <v>439</v>
      </c>
      <c r="B440" t="inlineStr">
        <is>
          <t>Customs Clearance Fee and Trucking Fee</t>
        </is>
      </c>
      <c r="C440" t="inlineStr">
        <is>
          <t>ត្រាយអ៊ែងហ្គល ឡូជីស្ទីក (ខេមបូឌា) ឯ.ក</t>
        </is>
      </c>
      <c r="D440" t="inlineStr">
        <is>
          <t>K010-902101743</t>
        </is>
      </c>
      <c r="E440" t="inlineStr">
        <is>
          <t>TAG-24-00269</t>
        </is>
      </c>
      <c r="F440" t="inlineStr">
        <is>
          <t>22-04-2024</t>
        </is>
      </c>
      <c r="G440" t="n">
        <v>65024</v>
      </c>
      <c r="I440">
        <f>G440</f>
        <v/>
      </c>
      <c r="K440">
        <f>I440-G440</f>
        <v/>
      </c>
      <c r="M440" t="inlineStr">
        <is>
          <t>TAG2400269</t>
        </is>
      </c>
      <c r="N440" t="inlineStr">
        <is>
          <t>11135400</t>
        </is>
      </c>
      <c r="O440">
        <f>M440=N440</f>
        <v/>
      </c>
      <c r="P440">
        <f>AND(MONTH(F440)=MONTH(S440), YEAR(F440)=YEAR(S440))</f>
        <v/>
      </c>
      <c r="Q440">
        <f>"L001-902303751"=U440</f>
        <v/>
      </c>
      <c r="R440">
        <f>G440-W440</f>
        <v/>
      </c>
      <c r="S440" s="36" t="n">
        <v>45649</v>
      </c>
      <c r="T440" t="n">
        <v>111354</v>
      </c>
      <c r="U440" t="inlineStr">
        <is>
          <t>L001-104015799</t>
        </is>
      </c>
      <c r="V440" t="inlineStr">
        <is>
          <t>យូសេន ឡូជីស្ទីក (ខេមបូឌា) ខូ អិលធីឌី</t>
        </is>
      </c>
      <c r="W440" t="n">
        <v>111354</v>
      </c>
      <c r="X440" t="n">
        <v>0</v>
      </c>
    </row>
    <row r="441">
      <c r="A441" t="n">
        <v>440</v>
      </c>
      <c r="B441" t="inlineStr">
        <is>
          <t>Lift-On Charge and Gate Fee Charage</t>
        </is>
      </c>
      <c r="C441" t="inlineStr">
        <is>
          <t>កំពង់ផែស្វយ័តភ្នំពេញ "ក.ស.ភ"</t>
        </is>
      </c>
      <c r="D441" t="inlineStr">
        <is>
          <t>L001-100044999</t>
        </is>
      </c>
      <c r="E441" t="inlineStr">
        <is>
          <t>INV20240422319</t>
        </is>
      </c>
      <c r="F441" t="inlineStr">
        <is>
          <t>22-04-2024</t>
        </is>
      </c>
      <c r="G441" t="n">
        <v>18694</v>
      </c>
      <c r="I441">
        <f>G441</f>
        <v/>
      </c>
      <c r="K441">
        <f>I441-G441</f>
        <v/>
      </c>
      <c r="M441" t="inlineStr">
        <is>
          <t>INV20240422319</t>
        </is>
      </c>
      <c r="N441" t="inlineStr">
        <is>
          <t>17485900</t>
        </is>
      </c>
      <c r="O441">
        <f>M441=N441</f>
        <v/>
      </c>
      <c r="P441">
        <f>AND(MONTH(F441)=MONTH(S441), YEAR(F441)=YEAR(S441))</f>
        <v/>
      </c>
      <c r="Q441">
        <f>"L001-902303751"=U441</f>
        <v/>
      </c>
      <c r="R441">
        <f>G441-W441</f>
        <v/>
      </c>
      <c r="S441" s="36" t="n">
        <v>45631</v>
      </c>
      <c r="T441" t="n">
        <v>174859</v>
      </c>
      <c r="U441" t="inlineStr">
        <is>
          <t>L001-104015799</t>
        </is>
      </c>
      <c r="V441" t="inlineStr">
        <is>
          <t>យូសេន ឡូជីស្ទីក (ខេមបូឌា) ខូ អិលធីឌី</t>
        </is>
      </c>
      <c r="W441" t="n">
        <v>174859</v>
      </c>
      <c r="X441" t="n">
        <v>0</v>
      </c>
    </row>
    <row r="442">
      <c r="A442" t="n">
        <v>441</v>
      </c>
      <c r="B442" t="inlineStr">
        <is>
          <t>Customs Clearance Fee</t>
        </is>
      </c>
      <c r="C442" t="inlineStr">
        <is>
          <t>ត្រាយអ៊ែងហ្គល ឡូជីស្ទីក (ខេមបូឌា) ឯ.ក</t>
        </is>
      </c>
      <c r="D442" t="inlineStr">
        <is>
          <t>K010-902101743</t>
        </is>
      </c>
      <c r="E442" t="inlineStr">
        <is>
          <t>TAG-24-00282</t>
        </is>
      </c>
      <c r="F442" t="inlineStr">
        <is>
          <t>26-04-2024</t>
        </is>
      </c>
      <c r="G442" t="n">
        <v>8122</v>
      </c>
      <c r="I442">
        <f>G442</f>
        <v/>
      </c>
      <c r="K442">
        <f>I442-G442</f>
        <v/>
      </c>
      <c r="M442" t="inlineStr">
        <is>
          <t>TAG2400282</t>
        </is>
      </c>
      <c r="N442" t="inlineStr">
        <is>
          <t>924800</t>
        </is>
      </c>
      <c r="O442">
        <f>M442=N442</f>
        <v/>
      </c>
      <c r="P442">
        <f>AND(MONTH(F442)=MONTH(S442), YEAR(F442)=YEAR(S442))</f>
        <v/>
      </c>
      <c r="Q442">
        <f>"L001-902303751"=U442</f>
        <v/>
      </c>
      <c r="R442">
        <f>G442-W442</f>
        <v/>
      </c>
      <c r="S442" s="36" t="n">
        <v>45639</v>
      </c>
      <c r="T442" t="n">
        <v>9248</v>
      </c>
      <c r="U442" t="inlineStr">
        <is>
          <t>L001-100098134</t>
        </is>
      </c>
      <c r="V442" t="inlineStr">
        <is>
          <t>បុងកាហ្វេ (ខេមបូឌា)</t>
        </is>
      </c>
      <c r="W442" t="n">
        <v>9248</v>
      </c>
      <c r="X442" t="n">
        <v>0</v>
      </c>
    </row>
    <row r="443">
      <c r="A443" t="n">
        <v>442</v>
      </c>
      <c r="B443" t="inlineStr">
        <is>
          <t>THC, EMF, 3 PARTY TRUCKING, CIC, R/O, DOC FEE and HANDLING FEE</t>
        </is>
      </c>
      <c r="C443" t="inlineStr">
        <is>
          <t>ខេអិលអិន ហ្វ្រេត (ខេមបូឌា) ឯ.ក</t>
        </is>
      </c>
      <c r="D443" t="inlineStr">
        <is>
          <t>L001-100074669</t>
        </is>
      </c>
      <c r="E443" t="inlineStr">
        <is>
          <t>IVO06123</t>
        </is>
      </c>
      <c r="F443" t="inlineStr">
        <is>
          <t>25-04-2024</t>
        </is>
      </c>
      <c r="G443" t="n">
        <v>86072</v>
      </c>
      <c r="I443">
        <f>G443</f>
        <v/>
      </c>
      <c r="K443">
        <f>I443-G443</f>
        <v/>
      </c>
      <c r="M443" t="inlineStr">
        <is>
          <t>IVO06123</t>
        </is>
      </c>
      <c r="N443" t="inlineStr">
        <is>
          <t>8329700</t>
        </is>
      </c>
      <c r="O443">
        <f>M443=N443</f>
        <v/>
      </c>
      <c r="P443">
        <f>AND(MONTH(F443)=MONTH(S443), YEAR(F443)=YEAR(S443))</f>
        <v/>
      </c>
      <c r="Q443">
        <f>"L001-902303751"=U443</f>
        <v/>
      </c>
      <c r="R443">
        <f>G443-W443</f>
        <v/>
      </c>
      <c r="S443" s="36" t="n">
        <v>45656</v>
      </c>
      <c r="T443" t="n">
        <v>83297</v>
      </c>
      <c r="U443" t="inlineStr">
        <is>
          <t>L001-104015799</t>
        </is>
      </c>
      <c r="V443" t="inlineStr">
        <is>
          <t>យូសេន ឡូជីស្ទីក (ខេមបូឌា) ខូ អិលធីឌី</t>
        </is>
      </c>
      <c r="W443" t="n">
        <v>83297</v>
      </c>
      <c r="X443" t="n">
        <v>0</v>
      </c>
    </row>
    <row r="444">
      <c r="A444" t="n">
        <v>443</v>
      </c>
      <c r="B444" t="inlineStr">
        <is>
          <t>Customs Clearance Fee and Trucking Fee</t>
        </is>
      </c>
      <c r="C444" t="inlineStr">
        <is>
          <t>ត្រាយអ៊ែងហ្គល ឡូជីស្ទីក (ខេមបូឌា) ឯ.ក</t>
        </is>
      </c>
      <c r="D444" t="inlineStr">
        <is>
          <t>K010-902101743</t>
        </is>
      </c>
      <c r="E444" t="inlineStr">
        <is>
          <t>TAG-24-00274</t>
        </is>
      </c>
      <c r="F444" t="inlineStr">
        <is>
          <t>24-04-2024</t>
        </is>
      </c>
      <c r="G444" t="n">
        <v>28427</v>
      </c>
      <c r="I444">
        <f>G444</f>
        <v/>
      </c>
      <c r="K444">
        <f>I444-G444</f>
        <v/>
      </c>
      <c r="M444" t="inlineStr">
        <is>
          <t>TAG2400274</t>
        </is>
      </c>
      <c r="N444" t="inlineStr">
        <is>
          <t>219035500</t>
        </is>
      </c>
      <c r="O444">
        <f>M444=N444</f>
        <v/>
      </c>
      <c r="P444">
        <f>AND(MONTH(F444)=MONTH(S444), YEAR(F444)=YEAR(S444))</f>
        <v/>
      </c>
      <c r="Q444">
        <f>"L001-902303751"=U444</f>
        <v/>
      </c>
      <c r="R444">
        <f>G444-W444</f>
        <v/>
      </c>
      <c r="S444" s="36" t="n">
        <v>45643</v>
      </c>
      <c r="T444" t="n">
        <v>2190355</v>
      </c>
      <c r="U444" t="inlineStr">
        <is>
          <t>K009-901605081</t>
        </is>
      </c>
      <c r="V444" t="inlineStr">
        <is>
          <t>ទ្រូ ខមភែនៀន ឡូជីស្ទីក (ខេមបូឌា)</t>
        </is>
      </c>
      <c r="W444" t="n">
        <v>2190355</v>
      </c>
      <c r="X444" t="n">
        <v>0</v>
      </c>
    </row>
    <row r="445">
      <c r="A445" t="n">
        <v>444</v>
      </c>
      <c r="B445" t="inlineStr">
        <is>
          <t>Cargo Terminal</t>
        </is>
      </c>
      <c r="C445" t="inlineStr">
        <is>
          <t>សូស៊ីយេតេ កុងសេស្យូនែរ ដឺ ឡាអេរ៉ូព័រ</t>
        </is>
      </c>
      <c r="D445" t="inlineStr">
        <is>
          <t>L001-100047300</t>
        </is>
      </c>
      <c r="E445" t="inlineStr">
        <is>
          <t>2400-028583</t>
        </is>
      </c>
      <c r="F445" t="inlineStr">
        <is>
          <t>24-04-2024</t>
        </is>
      </c>
      <c r="G445" t="n">
        <v>1624</v>
      </c>
      <c r="I445">
        <f>G445</f>
        <v/>
      </c>
      <c r="K445">
        <f>I445-G445</f>
        <v/>
      </c>
      <c r="M445" t="inlineStr">
        <is>
          <t>2400028583</t>
        </is>
      </c>
      <c r="N445" t="inlineStr">
        <is>
          <t>219090000</t>
        </is>
      </c>
      <c r="O445">
        <f>M445=N445</f>
        <v/>
      </c>
      <c r="P445">
        <f>AND(MONTH(F445)=MONTH(S445), YEAR(F445)=YEAR(S445))</f>
        <v/>
      </c>
      <c r="Q445">
        <f>"L001-902303751"=U445</f>
        <v/>
      </c>
      <c r="R445">
        <f>G445-W445</f>
        <v/>
      </c>
      <c r="S445" s="36" t="n">
        <v>45649</v>
      </c>
      <c r="T445" t="n">
        <v>2190900</v>
      </c>
      <c r="U445" t="inlineStr">
        <is>
          <t>K009-901605081</t>
        </is>
      </c>
      <c r="V445" t="inlineStr">
        <is>
          <t>ទ្រូ ខមភែនៀន ឡូជីស្ទីក (ខេមបូឌា)</t>
        </is>
      </c>
      <c r="W445" t="n">
        <v>2190900</v>
      </c>
      <c r="X445" t="n">
        <v>0</v>
      </c>
    </row>
    <row r="446">
      <c r="A446" t="n">
        <v>445</v>
      </c>
      <c r="B446" t="inlineStr">
        <is>
          <t>Docs Fee and Handling Fee</t>
        </is>
      </c>
      <c r="C446" t="inlineStr">
        <is>
          <t>អិមអាយ ឡូជីកស៍ (ខេមបូឌា)</t>
        </is>
      </c>
      <c r="D446" t="inlineStr">
        <is>
          <t>K009-107021862</t>
        </is>
      </c>
      <c r="E446" t="inlineStr">
        <is>
          <t>MII202404-005</t>
        </is>
      </c>
      <c r="F446" t="inlineStr">
        <is>
          <t>24-04-2024</t>
        </is>
      </c>
      <c r="G446" t="n">
        <v>24378</v>
      </c>
      <c r="I446">
        <f>G446</f>
        <v/>
      </c>
      <c r="K446">
        <f>I446-G446</f>
        <v/>
      </c>
      <c r="M446" t="inlineStr">
        <is>
          <t>MII202404005</t>
        </is>
      </c>
      <c r="N446" t="inlineStr">
        <is>
          <t>8321400</t>
        </is>
      </c>
      <c r="O446">
        <f>M446=N446</f>
        <v/>
      </c>
      <c r="P446">
        <f>AND(MONTH(F446)=MONTH(S446), YEAR(F446)=YEAR(S446))</f>
        <v/>
      </c>
      <c r="Q446">
        <f>"L001-902303751"=U446</f>
        <v/>
      </c>
      <c r="R446">
        <f>G446-W446</f>
        <v/>
      </c>
      <c r="S446" s="36" t="n">
        <v>45649</v>
      </c>
      <c r="T446" t="n">
        <v>83214</v>
      </c>
      <c r="U446" t="inlineStr">
        <is>
          <t>L001-107041723</t>
        </is>
      </c>
      <c r="V446" t="inlineStr">
        <is>
          <t>ឌីប៊ី សេនឃើរ (ខេមបូឌា) លីមីធីត</t>
        </is>
      </c>
      <c r="W446" t="n">
        <v>83214</v>
      </c>
      <c r="X446" t="n">
        <v>0</v>
      </c>
    </row>
    <row r="447">
      <c r="A447" t="n">
        <v>446</v>
      </c>
      <c r="B447" t="inlineStr">
        <is>
          <t>Customs Clearance Fee and Trucking Fee</t>
        </is>
      </c>
      <c r="C447" t="inlineStr">
        <is>
          <t>ត្រាយអ៊ែងហ្គល ឡូជីស្ទីក (ខេមបូឌា) ឯ.ក</t>
        </is>
      </c>
      <c r="D447" t="inlineStr">
        <is>
          <t>K010-902101743</t>
        </is>
      </c>
      <c r="E447" t="inlineStr">
        <is>
          <t>TAG-24-00278</t>
        </is>
      </c>
      <c r="F447" t="inlineStr">
        <is>
          <t>25-04-2024</t>
        </is>
      </c>
      <c r="G447" t="n">
        <v>28420</v>
      </c>
      <c r="I447">
        <f>G447</f>
        <v/>
      </c>
      <c r="K447">
        <f>I447-G447</f>
        <v/>
      </c>
      <c r="M447" t="inlineStr">
        <is>
          <t>TAG2400278</t>
        </is>
      </c>
      <c r="N447" t="inlineStr">
        <is>
          <t>8340000</t>
        </is>
      </c>
      <c r="O447">
        <f>M447=N447</f>
        <v/>
      </c>
      <c r="P447">
        <f>AND(MONTH(F447)=MONTH(S447), YEAR(F447)=YEAR(S447))</f>
        <v/>
      </c>
      <c r="Q447">
        <f>"L001-902303751"=U447</f>
        <v/>
      </c>
      <c r="R447">
        <f>G447-W447</f>
        <v/>
      </c>
      <c r="S447" s="36" t="n">
        <v>45631</v>
      </c>
      <c r="T447" t="n">
        <v>83400</v>
      </c>
      <c r="U447" t="inlineStr">
        <is>
          <t>K009-901605081</t>
        </is>
      </c>
      <c r="V447" t="inlineStr">
        <is>
          <t>ទ្រូ ខមភែនៀន ឡូជីស្ទីក (ខេមបូឌា)</t>
        </is>
      </c>
      <c r="W447" t="n">
        <v>83400</v>
      </c>
      <c r="X447" t="n">
        <v>0</v>
      </c>
    </row>
    <row r="448">
      <c r="A448" t="n">
        <v>447</v>
      </c>
      <c r="B448" t="inlineStr">
        <is>
          <t>Cargo Terminal</t>
        </is>
      </c>
      <c r="C448" t="inlineStr">
        <is>
          <t>សូស៊ីយេតេ កុងសេស្យូនែរ ដឺ ឡាអេរ៉ូព័រ</t>
        </is>
      </c>
      <c r="D448" t="inlineStr">
        <is>
          <t>L001-100047300</t>
        </is>
      </c>
      <c r="E448" t="inlineStr">
        <is>
          <t>2400-028876</t>
        </is>
      </c>
      <c r="F448" t="inlineStr">
        <is>
          <t>25-04-2024</t>
        </is>
      </c>
      <c r="G448" t="n">
        <v>4481</v>
      </c>
      <c r="I448">
        <f>G448</f>
        <v/>
      </c>
      <c r="K448">
        <f>I448-G448</f>
        <v/>
      </c>
      <c r="M448" t="inlineStr">
        <is>
          <t>2400028876</t>
        </is>
      </c>
      <c r="N448" t="inlineStr">
        <is>
          <t>1366100</t>
        </is>
      </c>
      <c r="O448">
        <f>M448=N448</f>
        <v/>
      </c>
      <c r="P448">
        <f>AND(MONTH(F448)=MONTH(S448), YEAR(F448)=YEAR(S448))</f>
        <v/>
      </c>
      <c r="Q448">
        <f>"L001-902303751"=U448</f>
        <v/>
      </c>
      <c r="R448">
        <f>G448-W448</f>
        <v/>
      </c>
      <c r="S448" s="36" t="n">
        <v>45652</v>
      </c>
      <c r="T448" t="n">
        <v>13661</v>
      </c>
      <c r="U448" t="inlineStr">
        <is>
          <t>L001-106004107</t>
        </is>
      </c>
      <c r="V448" t="inlineStr">
        <is>
          <t>ត្រេនម៉ារីន ឡូជីស្ទីក (ខេមបូឌា)</t>
        </is>
      </c>
      <c r="W448" t="n">
        <v>13661</v>
      </c>
      <c r="X448" t="n">
        <v>0</v>
      </c>
    </row>
    <row r="449">
      <c r="A449" t="n">
        <v>448</v>
      </c>
      <c r="B449" t="inlineStr">
        <is>
          <t>Airway bill fee and Handling Agency fee</t>
        </is>
      </c>
      <c r="C449" t="inlineStr">
        <is>
          <t>ត្រេន ស្តារ ហ្រេ្វត</t>
        </is>
      </c>
      <c r="D449" t="inlineStr">
        <is>
          <t>L001-100011888</t>
        </is>
      </c>
      <c r="E449" t="inlineStr">
        <is>
          <t>PPTI24-04397</t>
        </is>
      </c>
      <c r="F449" t="inlineStr">
        <is>
          <t>23-04-2024</t>
        </is>
      </c>
      <c r="G449" t="n">
        <v>34527</v>
      </c>
      <c r="I449">
        <f>G449</f>
        <v/>
      </c>
      <c r="K449">
        <f>I449-G449</f>
        <v/>
      </c>
      <c r="M449" t="inlineStr">
        <is>
          <t>PPTI2404397</t>
        </is>
      </c>
      <c r="N449" t="inlineStr">
        <is>
          <t>17477200</t>
        </is>
      </c>
      <c r="O449">
        <f>M449=N449</f>
        <v/>
      </c>
      <c r="P449">
        <f>AND(MONTH(F449)=MONTH(S449), YEAR(F449)=YEAR(S449))</f>
        <v/>
      </c>
      <c r="Q449">
        <f>"L001-902303751"=U449</f>
        <v/>
      </c>
      <c r="R449">
        <f>G449-W449</f>
        <v/>
      </c>
      <c r="S449" s="36" t="n">
        <v>45635</v>
      </c>
      <c r="T449" t="n">
        <v>174772</v>
      </c>
      <c r="U449" t="inlineStr">
        <is>
          <t>L001-104015799</t>
        </is>
      </c>
      <c r="V449" t="inlineStr">
        <is>
          <t>យូសេន ឡូជីស្ទីក (ខេមបូឌា) ខូ អិលធីឌី</t>
        </is>
      </c>
      <c r="W449" t="n">
        <v>174772</v>
      </c>
      <c r="X449" t="n">
        <v>0</v>
      </c>
    </row>
    <row r="450">
      <c r="A450" t="n">
        <v>449</v>
      </c>
      <c r="B450" t="inlineStr">
        <is>
          <t>Customs Clearance Fee and Trucking Fee</t>
        </is>
      </c>
      <c r="C450" t="inlineStr">
        <is>
          <t>ត្រាយអ៊ែងហ្គល ឡូជីស្ទីក (ខេមបូឌា) ឯ.ក</t>
        </is>
      </c>
      <c r="D450" t="inlineStr">
        <is>
          <t>K010-902101743</t>
        </is>
      </c>
      <c r="E450" t="inlineStr">
        <is>
          <t>TAG-24-00279</t>
        </is>
      </c>
      <c r="F450" t="inlineStr">
        <is>
          <t>25-04-2024</t>
        </is>
      </c>
      <c r="G450" t="n">
        <v>28420</v>
      </c>
      <c r="I450">
        <f>G450</f>
        <v/>
      </c>
      <c r="K450">
        <f>I450-G450</f>
        <v/>
      </c>
      <c r="M450" t="inlineStr">
        <is>
          <t>TAG2400279</t>
        </is>
      </c>
      <c r="N450" t="inlineStr">
        <is>
          <t>8340000</t>
        </is>
      </c>
      <c r="O450">
        <f>M450=N450</f>
        <v/>
      </c>
      <c r="P450">
        <f>AND(MONTH(F450)=MONTH(S450), YEAR(F450)=YEAR(S450))</f>
        <v/>
      </c>
      <c r="Q450">
        <f>"L001-902303751"=U450</f>
        <v/>
      </c>
      <c r="R450">
        <f>G450-W450</f>
        <v/>
      </c>
      <c r="S450" s="36" t="n">
        <v>45631</v>
      </c>
      <c r="T450" t="n">
        <v>83400</v>
      </c>
      <c r="U450" t="inlineStr">
        <is>
          <t>L001-104015799</t>
        </is>
      </c>
      <c r="V450" t="inlineStr">
        <is>
          <t>យូសេន ឡូជីស្ទីក (ខេមបូឌា) ខូ អិលធីឌី</t>
        </is>
      </c>
      <c r="W450" t="n">
        <v>83400</v>
      </c>
      <c r="X450" t="n">
        <v>0</v>
      </c>
    </row>
    <row r="451">
      <c r="A451" t="n">
        <v>450</v>
      </c>
      <c r="B451" t="inlineStr">
        <is>
          <t>Cargo Terminal</t>
        </is>
      </c>
      <c r="C451" t="inlineStr">
        <is>
          <t>សូស៊ីយេតេ កុងសេស្យូនែរ ដឺ ឡាអេរ៉ូព័រ</t>
        </is>
      </c>
      <c r="D451" t="inlineStr">
        <is>
          <t>L001-100047300</t>
        </is>
      </c>
      <c r="E451" t="inlineStr">
        <is>
          <t>2400-028989</t>
        </is>
      </c>
      <c r="F451" t="inlineStr">
        <is>
          <t>25-04-2024</t>
        </is>
      </c>
      <c r="G451" t="n">
        <v>2403</v>
      </c>
      <c r="I451">
        <f>G451</f>
        <v/>
      </c>
      <c r="K451">
        <f>I451-G451</f>
        <v/>
      </c>
      <c r="M451" t="inlineStr">
        <is>
          <t>2400028989</t>
        </is>
      </c>
      <c r="N451" t="inlineStr">
        <is>
          <t>12867200</t>
        </is>
      </c>
      <c r="O451">
        <f>M451=N451</f>
        <v/>
      </c>
      <c r="P451">
        <f>AND(MONTH(F451)=MONTH(S451), YEAR(F451)=YEAR(S451))</f>
        <v/>
      </c>
      <c r="Q451">
        <f>"L001-902303751"=U451</f>
        <v/>
      </c>
      <c r="R451">
        <f>G451-W451</f>
        <v/>
      </c>
      <c r="S451" s="36" t="n">
        <v>45639</v>
      </c>
      <c r="T451" t="n">
        <v>128672</v>
      </c>
      <c r="U451" t="inlineStr">
        <is>
          <t>L001-100098134</t>
        </is>
      </c>
      <c r="V451" t="inlineStr">
        <is>
          <t>បុងកាហ្វេ (ខេមបូឌា)</t>
        </is>
      </c>
      <c r="W451" t="n">
        <v>128672</v>
      </c>
      <c r="X451" t="n">
        <v>0</v>
      </c>
    </row>
    <row r="452">
      <c r="A452" t="n">
        <v>451</v>
      </c>
      <c r="B452" t="inlineStr">
        <is>
          <t>Customs Clearance Fee and Trucking Fee</t>
        </is>
      </c>
      <c r="C452" t="inlineStr">
        <is>
          <t>ត្រាយអ៊ែងហ្គល ឡូជីស្ទីក (ខេមបូឌា) ឯ.ក</t>
        </is>
      </c>
      <c r="D452" t="inlineStr">
        <is>
          <t>K010-902101743</t>
        </is>
      </c>
      <c r="E452" t="inlineStr">
        <is>
          <t>TAG-24-00276</t>
        </is>
      </c>
      <c r="F452" t="inlineStr">
        <is>
          <t>25-04-2024</t>
        </is>
      </c>
      <c r="G452" t="n">
        <v>32480</v>
      </c>
      <c r="I452">
        <f>G452</f>
        <v/>
      </c>
      <c r="K452">
        <f>I452-G452</f>
        <v/>
      </c>
      <c r="M452" t="inlineStr">
        <is>
          <t>TAG2400276</t>
        </is>
      </c>
      <c r="N452" t="inlineStr">
        <is>
          <t>18524200</t>
        </is>
      </c>
      <c r="O452">
        <f>M452=N452</f>
        <v/>
      </c>
      <c r="P452">
        <f>AND(MONTH(F452)=MONTH(S452), YEAR(F452)=YEAR(S452))</f>
        <v/>
      </c>
      <c r="Q452">
        <f>"L001-902303751"=U452</f>
        <v/>
      </c>
      <c r="R452">
        <f>G452-W452</f>
        <v/>
      </c>
      <c r="S452" s="36" t="n">
        <v>45635</v>
      </c>
      <c r="T452" t="n">
        <v>185242</v>
      </c>
      <c r="U452" t="inlineStr">
        <is>
          <t>K009-901605081</t>
        </is>
      </c>
      <c r="V452" t="inlineStr">
        <is>
          <t>ទ្រូ ខមភែនៀន ឡូជីស្ទីក (ខេមបូឌា)</t>
        </is>
      </c>
      <c r="W452" t="n">
        <v>185242</v>
      </c>
      <c r="X452" t="n">
        <v>0</v>
      </c>
    </row>
    <row r="453">
      <c r="A453" t="n">
        <v>452</v>
      </c>
      <c r="B453" t="inlineStr">
        <is>
          <t>Customs Clearance Fee and Trucking Fee</t>
        </is>
      </c>
      <c r="C453" t="inlineStr">
        <is>
          <t>ត្រាយអ៊ែងហ្គល ឡូជីស្ទីក (ខេមបូឌា) ឯ.ក</t>
        </is>
      </c>
      <c r="D453" t="inlineStr">
        <is>
          <t>K010-902101743</t>
        </is>
      </c>
      <c r="E453" t="inlineStr">
        <is>
          <t>TAG-24-00277</t>
        </is>
      </c>
      <c r="F453" t="inlineStr">
        <is>
          <t>25-04-2024</t>
        </is>
      </c>
      <c r="G453" t="n">
        <v>28420</v>
      </c>
      <c r="I453">
        <f>G453</f>
        <v/>
      </c>
      <c r="K453">
        <f>I453-G453</f>
        <v/>
      </c>
      <c r="M453" t="inlineStr">
        <is>
          <t>TAG2400277</t>
        </is>
      </c>
      <c r="N453" t="inlineStr">
        <is>
          <t>11132600</t>
        </is>
      </c>
      <c r="O453">
        <f>M453=N453</f>
        <v/>
      </c>
      <c r="P453">
        <f>AND(MONTH(F453)=MONTH(S453), YEAR(F453)=YEAR(S453))</f>
        <v/>
      </c>
      <c r="Q453">
        <f>"L001-902303751"=U453</f>
        <v/>
      </c>
      <c r="R453">
        <f>G453-W453</f>
        <v/>
      </c>
      <c r="S453" s="36" t="n">
        <v>45642</v>
      </c>
      <c r="T453" t="n">
        <v>111326</v>
      </c>
      <c r="U453" t="inlineStr">
        <is>
          <t>L001-104015799</t>
        </is>
      </c>
      <c r="V453" t="inlineStr">
        <is>
          <t>យូសេន ឡូជីស្ទីក (ខេមបូឌា) ខូ អិលធីឌី</t>
        </is>
      </c>
      <c r="W453" t="n">
        <v>111326</v>
      </c>
      <c r="X453" t="n">
        <v>0</v>
      </c>
    </row>
    <row r="454">
      <c r="A454" t="n">
        <v>453</v>
      </c>
      <c r="B454" t="inlineStr">
        <is>
          <t>Cargo Terminal</t>
        </is>
      </c>
      <c r="C454" t="inlineStr">
        <is>
          <t>សូស៊ីយេតេ កុងសេស្យូនែរ ដឺ ឡាអេរ៉ូព័រ</t>
        </is>
      </c>
      <c r="D454" t="inlineStr">
        <is>
          <t>L001-100047300</t>
        </is>
      </c>
      <c r="E454" t="inlineStr">
        <is>
          <t>2400-028988</t>
        </is>
      </c>
      <c r="F454" t="inlineStr">
        <is>
          <t>25-04-2024</t>
        </is>
      </c>
      <c r="G454" t="n">
        <v>24068</v>
      </c>
      <c r="I454">
        <f>G454</f>
        <v/>
      </c>
      <c r="K454">
        <f>I454-G454</f>
        <v/>
      </c>
      <c r="M454" t="inlineStr">
        <is>
          <t>2400028988</t>
        </is>
      </c>
      <c r="N454" t="inlineStr">
        <is>
          <t>8335900</t>
        </is>
      </c>
      <c r="O454">
        <f>M454=N454</f>
        <v/>
      </c>
      <c r="P454">
        <f>AND(MONTH(F454)=MONTH(S454), YEAR(F454)=YEAR(S454))</f>
        <v/>
      </c>
      <c r="Q454">
        <f>"L001-902303751"=U454</f>
        <v/>
      </c>
      <c r="R454">
        <f>G454-W454</f>
        <v/>
      </c>
      <c r="S454" s="36" t="n">
        <v>45635</v>
      </c>
      <c r="T454" t="n">
        <v>83359</v>
      </c>
      <c r="U454" t="inlineStr">
        <is>
          <t>L001-104015799</t>
        </is>
      </c>
      <c r="V454" t="inlineStr">
        <is>
          <t>យូសេន ឡូជីស្ទីក (ខេមបូឌា) ខូ អិលធីឌី</t>
        </is>
      </c>
      <c r="W454" t="n">
        <v>83359</v>
      </c>
      <c r="X454" t="n">
        <v>0</v>
      </c>
    </row>
    <row r="455">
      <c r="A455" t="n">
        <v>454</v>
      </c>
      <c r="B455" t="inlineStr">
        <is>
          <t>Document Fee and Agency Fee</t>
        </is>
      </c>
      <c r="C455" t="inlineStr">
        <is>
          <t>អ៊ីហ្វាវ ឡូជីស</t>
        </is>
      </c>
      <c r="D455" t="inlineStr">
        <is>
          <t>K009-100186262</t>
        </is>
      </c>
      <c r="E455" t="inlineStr">
        <is>
          <t>EFAW2024-059</t>
        </is>
      </c>
      <c r="F455" t="inlineStr">
        <is>
          <t>25-04-2024</t>
        </is>
      </c>
      <c r="G455" t="n">
        <v>24360</v>
      </c>
      <c r="I455">
        <f>G455</f>
        <v/>
      </c>
      <c r="K455">
        <f>I455-G455</f>
        <v/>
      </c>
      <c r="M455" t="inlineStr">
        <is>
          <t>EFAW2024059</t>
        </is>
      </c>
      <c r="N455" t="inlineStr">
        <is>
          <t>33567000</t>
        </is>
      </c>
      <c r="O455">
        <f>M455=N455</f>
        <v/>
      </c>
      <c r="P455">
        <f>AND(MONTH(F455)=MONTH(S455), YEAR(F455)=YEAR(S455))</f>
        <v/>
      </c>
      <c r="Q455">
        <f>"L001-902303751"=U455</f>
        <v/>
      </c>
      <c r="R455">
        <f>G455-W455</f>
        <v/>
      </c>
      <c r="S455" s="36" t="n">
        <v>45649</v>
      </c>
      <c r="T455" t="n">
        <v>335670</v>
      </c>
      <c r="U455" t="inlineStr">
        <is>
          <t>K002-901900264</t>
        </is>
      </c>
      <c r="V455" t="inlineStr">
        <is>
          <t>ហេកធ័រ ត្រេនស្ព័រថេសិន (ខេមបូឌា) ឯ.ក</t>
        </is>
      </c>
      <c r="W455" t="n">
        <v>335670</v>
      </c>
      <c r="X455" t="n">
        <v>0</v>
      </c>
    </row>
    <row r="456">
      <c r="A456" t="n">
        <v>455</v>
      </c>
      <c r="B456" t="inlineStr">
        <is>
          <t>Customs Clearance Fee</t>
        </is>
      </c>
      <c r="C456" t="inlineStr">
        <is>
          <t>ត្រាយអ៊ែងហ្គល ឡូជីស្ទីក (ខេមបូឌា) ឯ.ក</t>
        </is>
      </c>
      <c r="D456" t="inlineStr">
        <is>
          <t>K010-902101743</t>
        </is>
      </c>
      <c r="E456" t="inlineStr">
        <is>
          <t>TAG-24-00290</t>
        </is>
      </c>
      <c r="F456" t="inlineStr">
        <is>
          <t>29-04-2024</t>
        </is>
      </c>
      <c r="G456" t="n">
        <v>8124</v>
      </c>
      <c r="I456">
        <f>G456</f>
        <v/>
      </c>
      <c r="K456">
        <f>I456-G456</f>
        <v/>
      </c>
      <c r="M456" t="inlineStr">
        <is>
          <t>TAG2400290</t>
        </is>
      </c>
      <c r="N456" t="inlineStr">
        <is>
          <t>1841800</t>
        </is>
      </c>
      <c r="O456">
        <f>M456=N456</f>
        <v/>
      </c>
      <c r="P456">
        <f>AND(MONTH(F456)=MONTH(S456), YEAR(F456)=YEAR(S456))</f>
        <v/>
      </c>
      <c r="Q456">
        <f>"L001-902303751"=U456</f>
        <v/>
      </c>
      <c r="R456">
        <f>G456-W456</f>
        <v/>
      </c>
      <c r="S456" s="36" t="n">
        <v>45296</v>
      </c>
      <c r="T456" t="n">
        <v>18418</v>
      </c>
      <c r="U456" t="inlineStr">
        <is>
          <t>L001-100078885</t>
        </is>
      </c>
      <c r="V456" t="inlineStr">
        <is>
          <t>អង្គរ ដាតា ខមម្ញូនីខេសិន គ្រុប (អេ ឌី​ ស៊ី)</t>
        </is>
      </c>
      <c r="W456" t="n">
        <v>18418</v>
      </c>
      <c r="X456" t="n">
        <v>0</v>
      </c>
    </row>
    <row r="457">
      <c r="A457" t="n">
        <v>456</v>
      </c>
      <c r="B457" t="inlineStr">
        <is>
          <t>THC, Doc Fee and Container Imbalance</t>
        </is>
      </c>
      <c r="C457" t="inlineStr">
        <is>
          <t>សាខាក្រុមហ៊ុន ជីម៉ាឌីប ស៊ីបភីង ខមភេនី លីមីធីត</t>
        </is>
      </c>
      <c r="D457" t="inlineStr">
        <is>
          <t>L001-901704777</t>
        </is>
      </c>
      <c r="E457" t="inlineStr">
        <is>
          <t>24-01256</t>
        </is>
      </c>
      <c r="F457" t="inlineStr">
        <is>
          <t>17-04-2024</t>
        </is>
      </c>
      <c r="G457" t="n">
        <v>95034</v>
      </c>
      <c r="I457">
        <f>G457</f>
        <v/>
      </c>
      <c r="K457">
        <f>I457-G457</f>
        <v/>
      </c>
      <c r="M457" t="inlineStr">
        <is>
          <t>2401256</t>
        </is>
      </c>
      <c r="N457" t="inlineStr">
        <is>
          <t>3683700</t>
        </is>
      </c>
      <c r="O457">
        <f>M457=N457</f>
        <v/>
      </c>
      <c r="P457">
        <f>AND(MONTH(F457)=MONTH(S457), YEAR(F457)=YEAR(S457))</f>
        <v/>
      </c>
      <c r="Q457">
        <f>"L001-902303751"=U457</f>
        <v/>
      </c>
      <c r="R457">
        <f>G457-W457</f>
        <v/>
      </c>
      <c r="S457" s="36" t="n">
        <v>45296</v>
      </c>
      <c r="T457" t="n">
        <v>36837</v>
      </c>
      <c r="U457" t="inlineStr">
        <is>
          <t>L001-100078885</t>
        </is>
      </c>
      <c r="V457" t="inlineStr">
        <is>
          <t>អង្គរ ដាតា ខមម្ញូនីខេសិន គ្រុប (អេ ឌី​ ស៊ី)</t>
        </is>
      </c>
      <c r="W457" t="n">
        <v>36837</v>
      </c>
      <c r="X457" t="n">
        <v>0</v>
      </c>
    </row>
    <row r="458">
      <c r="A458" t="n">
        <v>457</v>
      </c>
      <c r="B458" t="inlineStr">
        <is>
          <t>Doc Fee and Agency Fee</t>
        </is>
      </c>
      <c r="C458" t="inlineStr">
        <is>
          <t>អ៊ែតវ៉ានស៍ គ្លរី ឡូជីស្ទីក (ខេមបូឌា) (អេ ជី អិល)</t>
        </is>
      </c>
      <c r="D458" t="inlineStr">
        <is>
          <t>K005-100059945</t>
        </is>
      </c>
      <c r="E458" t="inlineStr">
        <is>
          <t>AGL2400576</t>
        </is>
      </c>
      <c r="F458" t="inlineStr">
        <is>
          <t>22-04-2024</t>
        </is>
      </c>
      <c r="G458" t="n">
        <v>44704</v>
      </c>
      <c r="I458">
        <f>G458</f>
        <v/>
      </c>
      <c r="K458">
        <f>I458-G458</f>
        <v/>
      </c>
      <c r="M458" t="inlineStr">
        <is>
          <t>AGL2400576</t>
        </is>
      </c>
      <c r="N458" t="inlineStr">
        <is>
          <t>3683700</t>
        </is>
      </c>
      <c r="O458">
        <f>M458=N458</f>
        <v/>
      </c>
      <c r="P458">
        <f>AND(MONTH(F458)=MONTH(S458), YEAR(F458)=YEAR(S458))</f>
        <v/>
      </c>
      <c r="Q458">
        <f>"L001-902303751"=U458</f>
        <v/>
      </c>
      <c r="R458">
        <f>G458-W458</f>
        <v/>
      </c>
      <c r="S458" s="36" t="n">
        <v>45296</v>
      </c>
      <c r="T458" t="n">
        <v>36837</v>
      </c>
      <c r="U458" t="inlineStr">
        <is>
          <t>L001-100129250</t>
        </is>
      </c>
      <c r="V458" t="inlineStr">
        <is>
          <t>អេស.អាយ គ្រុប</t>
        </is>
      </c>
      <c r="W458" t="n">
        <v>36837</v>
      </c>
      <c r="X458" t="n">
        <v>0</v>
      </c>
    </row>
    <row r="459">
      <c r="A459" t="n">
        <v>458</v>
      </c>
      <c r="B459" t="inlineStr">
        <is>
          <t>Customs Clearance Fee and Trucking Fee</t>
        </is>
      </c>
      <c r="C459" t="inlineStr">
        <is>
          <t>ត្រាយអ៊ែងហ្គល ឡូជីស្ទីក (ខេមបូឌា) ឯ.ក</t>
        </is>
      </c>
      <c r="D459" t="inlineStr">
        <is>
          <t>K010-902101743</t>
        </is>
      </c>
      <c r="E459" t="inlineStr">
        <is>
          <t>TAG-24-00260</t>
        </is>
      </c>
      <c r="F459" t="inlineStr">
        <is>
          <t>19-04-2024</t>
        </is>
      </c>
      <c r="G459" t="n">
        <v>28441</v>
      </c>
      <c r="I459">
        <f>G459</f>
        <v/>
      </c>
      <c r="K459">
        <f>I459-G459</f>
        <v/>
      </c>
      <c r="M459" t="inlineStr">
        <is>
          <t>TAG2400260</t>
        </is>
      </c>
      <c r="N459" t="inlineStr">
        <is>
          <t>49052000</t>
        </is>
      </c>
      <c r="O459">
        <f>M459=N459</f>
        <v/>
      </c>
      <c r="P459">
        <f>AND(MONTH(F459)=MONTH(S459), YEAR(F459)=YEAR(S459))</f>
        <v/>
      </c>
      <c r="Q459">
        <f>"L001-902303751"=U459</f>
        <v/>
      </c>
      <c r="R459">
        <f>G459-W459</f>
        <v/>
      </c>
      <c r="S459" s="36" t="n">
        <v>45296</v>
      </c>
      <c r="T459" t="n">
        <v>490520</v>
      </c>
      <c r="U459" t="inlineStr">
        <is>
          <t>L001-100078885</t>
        </is>
      </c>
      <c r="V459" t="inlineStr">
        <is>
          <t>អង្គរ ដាតា ខមម្ញូនីខេសិន គ្រុប (អេ ឌី​ ស៊ី)</t>
        </is>
      </c>
      <c r="W459" t="n">
        <v>490520</v>
      </c>
      <c r="X459" t="n">
        <v>0</v>
      </c>
    </row>
    <row r="460">
      <c r="A460" t="n">
        <v>459</v>
      </c>
      <c r="B460" t="inlineStr">
        <is>
          <t>Cargo Terminal</t>
        </is>
      </c>
      <c r="C460" t="inlineStr">
        <is>
          <t>សូស៊ីយេតេ កុងសេស្យូនែរ ដឺ ឡាអេរ៉ូព័រ</t>
        </is>
      </c>
      <c r="D460" t="inlineStr">
        <is>
          <t>L001-100047300</t>
        </is>
      </c>
      <c r="E460" t="inlineStr">
        <is>
          <t>2400-027470</t>
        </is>
      </c>
      <c r="F460" t="inlineStr">
        <is>
          <t>19-04-2024</t>
        </is>
      </c>
      <c r="G460" t="n">
        <v>21032</v>
      </c>
      <c r="I460">
        <f>G460</f>
        <v/>
      </c>
      <c r="K460">
        <f>I460-G460</f>
        <v/>
      </c>
      <c r="M460" t="inlineStr">
        <is>
          <t>2400027470</t>
        </is>
      </c>
      <c r="N460" t="inlineStr">
        <is>
          <t>1456719700</t>
        </is>
      </c>
      <c r="O460">
        <f>M460=N460</f>
        <v/>
      </c>
      <c r="P460">
        <f>AND(MONTH(F460)=MONTH(S460), YEAR(F460)=YEAR(S460))</f>
        <v/>
      </c>
      <c r="Q460">
        <f>"L001-902303751"=U460</f>
        <v/>
      </c>
      <c r="R460">
        <f>G460-W460</f>
        <v/>
      </c>
      <c r="S460" s="36" t="n">
        <v>45322</v>
      </c>
      <c r="T460" t="n">
        <v>14567197</v>
      </c>
      <c r="U460" t="inlineStr">
        <is>
          <t>L001-100047149</t>
        </is>
      </c>
      <c r="V460" t="inlineStr">
        <is>
          <t>ធនាគារ អេស៊ីលីដា ភីអិលស៊ី</t>
        </is>
      </c>
      <c r="W460" t="n">
        <v>14567197</v>
      </c>
      <c r="X460" t="n">
        <v>0</v>
      </c>
    </row>
    <row r="461">
      <c r="A461" t="n">
        <v>460</v>
      </c>
      <c r="B461" t="inlineStr">
        <is>
          <t>Document Fee and Agency Fee</t>
        </is>
      </c>
      <c r="C461" t="inlineStr">
        <is>
          <t>អ៊ីហ្វាវ ឡូជីស</t>
        </is>
      </c>
      <c r="D461" t="inlineStr">
        <is>
          <t>K009-100186262</t>
        </is>
      </c>
      <c r="E461" t="inlineStr">
        <is>
          <t>EFAW2024-056</t>
        </is>
      </c>
      <c r="F461" t="inlineStr">
        <is>
          <t>17-04-2024</t>
        </is>
      </c>
      <c r="G461" t="n">
        <v>24264</v>
      </c>
      <c r="I461">
        <f>G461</f>
        <v/>
      </c>
      <c r="K461">
        <f>I461-G461</f>
        <v/>
      </c>
      <c r="M461" t="inlineStr">
        <is>
          <t>EFAW2024056</t>
        </is>
      </c>
      <c r="N461" t="inlineStr">
        <is>
          <t>1841800</t>
        </is>
      </c>
      <c r="O461">
        <f>M461=N461</f>
        <v/>
      </c>
      <c r="P461">
        <f>AND(MONTH(F461)=MONTH(S461), YEAR(F461)=YEAR(S461))</f>
        <v/>
      </c>
      <c r="Q461">
        <f>"L001-902303751"=U461</f>
        <v/>
      </c>
      <c r="R461">
        <f>G461-W461</f>
        <v/>
      </c>
      <c r="S461" s="36" t="n">
        <v>45296</v>
      </c>
      <c r="T461" t="n">
        <v>18418</v>
      </c>
      <c r="U461" t="inlineStr">
        <is>
          <t>L001-100078885</t>
        </is>
      </c>
      <c r="V461" t="inlineStr">
        <is>
          <t>អង្គរ ដាតា ខមម្ញូនីខេសិន គ្រុប (អេ ឌី​ ស៊ី)</t>
        </is>
      </c>
      <c r="W461" t="n">
        <v>18418</v>
      </c>
      <c r="X461" t="n">
        <v>0</v>
      </c>
    </row>
    <row r="462">
      <c r="A462" t="n">
        <v>461</v>
      </c>
      <c r="B462" t="inlineStr">
        <is>
          <t>Customs Clearance Fee and Trucking Fee</t>
        </is>
      </c>
      <c r="C462" t="inlineStr">
        <is>
          <t>ត្រាយអ៊ែងហ្គល ឡូជីស្ទីក (ខេមបូឌា) ឯ.ក</t>
        </is>
      </c>
      <c r="D462" t="inlineStr">
        <is>
          <t>K010-902101743</t>
        </is>
      </c>
      <c r="E462" t="inlineStr">
        <is>
          <t>TAG-24-00280</t>
        </is>
      </c>
      <c r="F462" t="inlineStr">
        <is>
          <t>25-04-2024</t>
        </is>
      </c>
      <c r="G462" t="n">
        <v>51676</v>
      </c>
      <c r="I462">
        <f>G462</f>
        <v/>
      </c>
      <c r="K462">
        <f>I462-G462</f>
        <v/>
      </c>
      <c r="M462" t="inlineStr">
        <is>
          <t>TAG2400280</t>
        </is>
      </c>
      <c r="N462" t="inlineStr">
        <is>
          <t>53724900</t>
        </is>
      </c>
      <c r="O462">
        <f>M462=N462</f>
        <v/>
      </c>
      <c r="P462">
        <f>AND(MONTH(F462)=MONTH(S462), YEAR(F462)=YEAR(S462))</f>
        <v/>
      </c>
      <c r="Q462">
        <f>"L001-902303751"=U462</f>
        <v/>
      </c>
      <c r="R462">
        <f>G462-W462</f>
        <v/>
      </c>
      <c r="S462" s="36" t="n">
        <v>45329</v>
      </c>
      <c r="T462" t="n">
        <v>537249</v>
      </c>
      <c r="U462" t="inlineStr">
        <is>
          <t>L001-100078885</t>
        </is>
      </c>
      <c r="V462" t="inlineStr">
        <is>
          <t>អង្គរ ដាតា ខមម្ញូនីខេសិន គ្រុប (អេ ឌី​ ស៊ី)</t>
        </is>
      </c>
      <c r="W462" t="n">
        <v>537249</v>
      </c>
      <c r="X462" t="n">
        <v>0</v>
      </c>
    </row>
    <row r="463">
      <c r="A463" t="n">
        <v>462</v>
      </c>
      <c r="B463" t="inlineStr">
        <is>
          <t>Charge from warehouse</t>
        </is>
      </c>
      <c r="C463" t="inlineStr">
        <is>
          <t>កំពង់ផែស្វយ័តក្រុងព្រះសីហនុ</t>
        </is>
      </c>
      <c r="D463" t="inlineStr">
        <is>
          <t>L001-100044638</t>
        </is>
      </c>
      <c r="E463" t="inlineStr">
        <is>
          <t>078019</t>
        </is>
      </c>
      <c r="F463" t="inlineStr">
        <is>
          <t>27-04-2024</t>
        </is>
      </c>
      <c r="G463" t="n">
        <v>3109</v>
      </c>
      <c r="I463">
        <f>G463</f>
        <v/>
      </c>
      <c r="K463">
        <f>I463-G463</f>
        <v/>
      </c>
      <c r="M463" t="inlineStr">
        <is>
          <t>078019</t>
        </is>
      </c>
      <c r="N463" t="inlineStr">
        <is>
          <t>1838700</t>
        </is>
      </c>
      <c r="O463">
        <f>M463=N463</f>
        <v/>
      </c>
      <c r="P463">
        <f>AND(MONTH(F463)=MONTH(S463), YEAR(F463)=YEAR(S463))</f>
        <v/>
      </c>
      <c r="Q463">
        <f>"L001-902303751"=U463</f>
        <v/>
      </c>
      <c r="R463">
        <f>G463-W463</f>
        <v/>
      </c>
      <c r="S463" s="36" t="n">
        <v>45324</v>
      </c>
      <c r="T463" t="n">
        <v>18387</v>
      </c>
      <c r="U463" t="inlineStr">
        <is>
          <t>L001-100078885</t>
        </is>
      </c>
      <c r="V463" t="inlineStr">
        <is>
          <t>អង្គរ ដាតា ខមម្ញូនីខេសិន គ្រុប (អេ ឌី​ ស៊ី)</t>
        </is>
      </c>
      <c r="W463" t="n">
        <v>18387</v>
      </c>
      <c r="X463" t="n">
        <v>0</v>
      </c>
    </row>
    <row r="464">
      <c r="A464" t="n">
        <v>463</v>
      </c>
      <c r="B464" t="inlineStr">
        <is>
          <t>Terminal Handling Charge, Container Freight Station, Scanning Fee, Container Imbalance Charge, Agency Fee, Delivery Order, Document Fee and Admin Fee</t>
        </is>
      </c>
      <c r="C464" t="inlineStr">
        <is>
          <t>អឹឡាយអិន ហ្វ័រវើឌីង (ខេមបូឌា) ឯ.ក</t>
        </is>
      </c>
      <c r="D464" t="inlineStr">
        <is>
          <t>K005-901902888</t>
        </is>
      </c>
      <c r="E464" t="inlineStr">
        <is>
          <t>PPTI24-0245</t>
        </is>
      </c>
      <c r="F464" t="inlineStr">
        <is>
          <t>22-04-2024</t>
        </is>
      </c>
      <c r="G464" t="n">
        <v>142144</v>
      </c>
      <c r="I464">
        <f>G464</f>
        <v/>
      </c>
      <c r="K464">
        <f>I464-G464</f>
        <v/>
      </c>
      <c r="M464" t="inlineStr">
        <is>
          <t>PPTI240245</t>
        </is>
      </c>
      <c r="N464" t="inlineStr"/>
      <c r="O464">
        <f>M464=N464</f>
        <v/>
      </c>
      <c r="P464">
        <f>AND(MONTH(F464)=MONTH(S464), YEAR(F464)=YEAR(S464))</f>
        <v/>
      </c>
      <c r="Q464">
        <f>"L001-902303751"=U464</f>
        <v/>
      </c>
      <c r="R464">
        <f>G464-W464</f>
        <v/>
      </c>
      <c r="S464" s="36" t="n">
        <v>45313</v>
      </c>
      <c r="T464" t="inlineStr"/>
      <c r="U464" t="inlineStr">
        <is>
          <t>L001-100045340</t>
        </is>
      </c>
      <c r="V464" t="inlineStr">
        <is>
          <t xml:space="preserve">ស៊ីវ៉ា អ៊ែរ អ៊ែន អូសៀន (ខេមបូឌា) ឯ.ក </t>
        </is>
      </c>
      <c r="W464" t="n">
        <v>0</v>
      </c>
      <c r="X464" t="n">
        <v>0</v>
      </c>
    </row>
    <row r="465">
      <c r="A465" t="n">
        <v>464</v>
      </c>
      <c r="B465" t="inlineStr">
        <is>
          <t>Customs Clearance Fee and Trucking Fee</t>
        </is>
      </c>
      <c r="C465" t="inlineStr">
        <is>
          <t>ត្រាយអ៊ែងហ្គល ឡូជីស្ទីក (ខេមបូឌា) ឯ.ក</t>
        </is>
      </c>
      <c r="D465" t="inlineStr">
        <is>
          <t>K010-902101743</t>
        </is>
      </c>
      <c r="E465" t="inlineStr">
        <is>
          <t>TAG-24-00281</t>
        </is>
      </c>
      <c r="F465" t="inlineStr">
        <is>
          <t>26-04-2024</t>
        </is>
      </c>
      <c r="G465" t="n">
        <v>32480</v>
      </c>
      <c r="I465">
        <f>G465</f>
        <v/>
      </c>
      <c r="K465">
        <f>I465-G465</f>
        <v/>
      </c>
      <c r="M465" t="inlineStr">
        <is>
          <t>TAG2400281</t>
        </is>
      </c>
      <c r="N465" t="inlineStr"/>
      <c r="O465">
        <f>M465=N465</f>
        <v/>
      </c>
      <c r="P465">
        <f>AND(MONTH(F465)=MONTH(S465), YEAR(F465)=YEAR(S465))</f>
        <v/>
      </c>
      <c r="Q465">
        <f>"L001-902303751"=U465</f>
        <v/>
      </c>
      <c r="R465">
        <f>G465-W465</f>
        <v/>
      </c>
      <c r="S465" s="36" t="n">
        <v>45320</v>
      </c>
      <c r="T465" t="inlineStr"/>
      <c r="U465" t="inlineStr">
        <is>
          <t>L001-107032791</t>
        </is>
      </c>
      <c r="V465" t="inlineStr">
        <is>
          <t>នីបផន អិចប្រេស (ខេមបូឌា) ខូ អិលធីឌី</t>
        </is>
      </c>
      <c r="W465" t="n">
        <v>0</v>
      </c>
      <c r="X465" t="n">
        <v>0</v>
      </c>
    </row>
    <row r="466">
      <c r="A466" t="n">
        <v>465</v>
      </c>
      <c r="B466" t="inlineStr">
        <is>
          <t>Charge from warehouse</t>
        </is>
      </c>
      <c r="C466" t="inlineStr">
        <is>
          <t>កំពង់ផែស្វយ័តក្រុងព្រះសីហនុ</t>
        </is>
      </c>
      <c r="D466" t="inlineStr">
        <is>
          <t>L001-100044638</t>
        </is>
      </c>
      <c r="E466" t="inlineStr">
        <is>
          <t>078018</t>
        </is>
      </c>
      <c r="F466" t="inlineStr">
        <is>
          <t>27-04-2024</t>
        </is>
      </c>
      <c r="G466" t="n">
        <v>620</v>
      </c>
      <c r="I466">
        <f>G466</f>
        <v/>
      </c>
      <c r="K466">
        <f>I466-G466</f>
        <v/>
      </c>
      <c r="M466" t="inlineStr">
        <is>
          <t>078018</t>
        </is>
      </c>
      <c r="N466" t="inlineStr"/>
      <c r="O466">
        <f>M466=N466</f>
        <v/>
      </c>
      <c r="P466">
        <f>AND(MONTH(F466)=MONTH(S466), YEAR(F466)=YEAR(S466))</f>
        <v/>
      </c>
      <c r="Q466">
        <f>"L001-902303751"=U466</f>
        <v/>
      </c>
      <c r="R466">
        <f>G466-W466</f>
        <v/>
      </c>
      <c r="S466" s="36" t="n">
        <v>45320</v>
      </c>
      <c r="T466" t="inlineStr"/>
      <c r="U466" t="inlineStr">
        <is>
          <t>K003-901635943</t>
        </is>
      </c>
      <c r="V466" t="inlineStr">
        <is>
          <t>អ៊ីឃ្យូឡាញ វើលវ៉ាយដ៍ ឡូជីស្ទីក</t>
        </is>
      </c>
      <c r="W466" t="n">
        <v>0</v>
      </c>
      <c r="X466" t="n">
        <v>0</v>
      </c>
    </row>
    <row r="467">
      <c r="A467" t="n">
        <v>466</v>
      </c>
      <c r="B467" t="inlineStr">
        <is>
          <t>THC FEE, DOC FEE, CFS FEE, SCANNER FEE, D/O FEE, AGENCY FEE, LSS CHARGE</t>
        </is>
      </c>
      <c r="C467" t="inlineStr">
        <is>
          <t>ខាហ្គោផត (ខេមបូឌា)</t>
        </is>
      </c>
      <c r="D467" t="inlineStr">
        <is>
          <t>K005-100099521</t>
        </is>
      </c>
      <c r="E467" t="inlineStr">
        <is>
          <t>24-0852</t>
        </is>
      </c>
      <c r="F467" t="inlineStr">
        <is>
          <t>16-04-2024</t>
        </is>
      </c>
      <c r="G467" t="n">
        <v>50513</v>
      </c>
      <c r="I467">
        <f>G467</f>
        <v/>
      </c>
      <c r="K467">
        <f>I467-G467</f>
        <v/>
      </c>
      <c r="M467" t="inlineStr">
        <is>
          <t>240852</t>
        </is>
      </c>
      <c r="N467" t="inlineStr">
        <is>
          <t>8194000</t>
        </is>
      </c>
      <c r="O467">
        <f>M467=N467</f>
        <v/>
      </c>
      <c r="P467">
        <f>AND(MONTH(F467)=MONTH(S467), YEAR(F467)=YEAR(S467))</f>
        <v/>
      </c>
      <c r="Q467">
        <f>"L001-902303751"=U467</f>
        <v/>
      </c>
      <c r="R467">
        <f>G467-W467</f>
        <v/>
      </c>
      <c r="S467" s="36" t="n">
        <v>45300</v>
      </c>
      <c r="T467" t="n">
        <v>81940</v>
      </c>
      <c r="U467" t="inlineStr">
        <is>
          <t>K005-100059945</t>
        </is>
      </c>
      <c r="V467" t="inlineStr">
        <is>
          <t>អ៊ែតវ៉ានស៍ គ្លរី ឡូជីស្ទីក (ខេមបូឌា) (អេ ជី អិល)</t>
        </is>
      </c>
      <c r="W467" t="n">
        <v>81940</v>
      </c>
      <c r="X467" t="n">
        <v>0</v>
      </c>
    </row>
    <row r="468">
      <c r="A468" t="n">
        <v>467</v>
      </c>
      <c r="B468" t="inlineStr">
        <is>
          <t>Customs Clearance Fee</t>
        </is>
      </c>
      <c r="C468" t="inlineStr">
        <is>
          <t>ត្រាយអ៊ែងហ្គល ឡូជីស្ទីក (ខេមបូឌា) ឯ.ក</t>
        </is>
      </c>
      <c r="D468" t="inlineStr">
        <is>
          <t>K010-902101743</t>
        </is>
      </c>
      <c r="E468" t="inlineStr">
        <is>
          <t>TAG-24-00262</t>
        </is>
      </c>
      <c r="F468" t="inlineStr">
        <is>
          <t>19-04-2024</t>
        </is>
      </c>
      <c r="G468" t="n">
        <v>8126</v>
      </c>
      <c r="I468">
        <f>G468</f>
        <v/>
      </c>
      <c r="K468">
        <f>I468-G468</f>
        <v/>
      </c>
      <c r="M468" t="inlineStr">
        <is>
          <t>TAG2400262</t>
        </is>
      </c>
      <c r="N468" t="inlineStr">
        <is>
          <t>8152000</t>
        </is>
      </c>
      <c r="O468">
        <f>M468=N468</f>
        <v/>
      </c>
      <c r="P468">
        <f>AND(MONTH(F468)=MONTH(S468), YEAR(F468)=YEAR(S468))</f>
        <v/>
      </c>
      <c r="Q468">
        <f>"L001-902303751"=U468</f>
        <v/>
      </c>
      <c r="R468">
        <f>G468-W468</f>
        <v/>
      </c>
      <c r="S468" s="36" t="n">
        <v>45310</v>
      </c>
      <c r="T468" t="n">
        <v>81520</v>
      </c>
      <c r="U468" t="inlineStr">
        <is>
          <t>K003-901635943</t>
        </is>
      </c>
      <c r="V468" t="inlineStr">
        <is>
          <t>អ៊ីឃ្យូឡាញ វើលវ៉ាយដ៍ ឡូជីស្ទីក</t>
        </is>
      </c>
      <c r="W468" t="n">
        <v>81520</v>
      </c>
      <c r="X468" t="n">
        <v>0</v>
      </c>
    </row>
    <row r="469">
      <c r="A469" t="n">
        <v>468</v>
      </c>
      <c r="B469" t="inlineStr">
        <is>
          <t>Customs Clearance Fee and Trucking Fee</t>
        </is>
      </c>
      <c r="C469" t="inlineStr">
        <is>
          <t>ត្រាយអ៊ែងហ្គល ឡូជីស្ទីក (ខេមបូឌា) ឯ.ក</t>
        </is>
      </c>
      <c r="D469" t="inlineStr">
        <is>
          <t>K010-902101743</t>
        </is>
      </c>
      <c r="E469" t="inlineStr">
        <is>
          <t>TAG-24-00268</t>
        </is>
      </c>
      <c r="F469" t="inlineStr">
        <is>
          <t>22-04-2024</t>
        </is>
      </c>
      <c r="G469" t="n">
        <v>69088</v>
      </c>
      <c r="I469">
        <f>G469</f>
        <v/>
      </c>
      <c r="K469">
        <f>I469-G469</f>
        <v/>
      </c>
      <c r="M469" t="inlineStr">
        <is>
          <t>TAG2400268</t>
        </is>
      </c>
      <c r="N469" t="inlineStr">
        <is>
          <t>8162000</t>
        </is>
      </c>
      <c r="O469">
        <f>M469=N469</f>
        <v/>
      </c>
      <c r="P469">
        <f>AND(MONTH(F469)=MONTH(S469), YEAR(F469)=YEAR(S469))</f>
        <v/>
      </c>
      <c r="Q469">
        <f>"L001-902303751"=U469</f>
        <v/>
      </c>
      <c r="R469">
        <f>G469-W469</f>
        <v/>
      </c>
      <c r="S469" s="36" t="n">
        <v>45293</v>
      </c>
      <c r="T469" t="n">
        <v>81620</v>
      </c>
      <c r="U469" t="inlineStr">
        <is>
          <t>K005-901902888</t>
        </is>
      </c>
      <c r="V469" t="inlineStr">
        <is>
          <t>អឹឡាយអិន ហ្វ័រវើឌីង (ខេមបូឌា) ឯ.ក</t>
        </is>
      </c>
      <c r="W469" t="n">
        <v>81620</v>
      </c>
      <c r="X469" t="n">
        <v>0</v>
      </c>
    </row>
    <row r="470">
      <c r="A470" t="n">
        <v>469</v>
      </c>
      <c r="B470" t="inlineStr">
        <is>
          <t>Import Shipment Expense</t>
        </is>
      </c>
      <c r="C470" t="inlineStr">
        <is>
          <t>ខេអិលអិន ហ្វ្រេត (ខេមបូឌា) ឯ.ក</t>
        </is>
      </c>
      <c r="D470" t="inlineStr">
        <is>
          <t>L001-100074669</t>
        </is>
      </c>
      <c r="E470" t="inlineStr">
        <is>
          <t>IVO06121</t>
        </is>
      </c>
      <c r="F470" t="inlineStr">
        <is>
          <t>25-04-2024</t>
        </is>
      </c>
      <c r="G470" t="n">
        <v>117954</v>
      </c>
      <c r="I470">
        <f>G470</f>
        <v/>
      </c>
      <c r="K470">
        <f>I470-G470</f>
        <v/>
      </c>
      <c r="M470" t="inlineStr">
        <is>
          <t>IVO06121</t>
        </is>
      </c>
      <c r="N470" t="inlineStr"/>
      <c r="O470">
        <f>M470=N470</f>
        <v/>
      </c>
      <c r="P470">
        <f>AND(MONTH(F470)=MONTH(S470), YEAR(F470)=YEAR(S470))</f>
        <v/>
      </c>
      <c r="Q470">
        <f>"L001-902303751"=U470</f>
        <v/>
      </c>
      <c r="R470">
        <f>G470-W470</f>
        <v/>
      </c>
      <c r="S470" s="36" t="n">
        <v>45293</v>
      </c>
      <c r="T470" t="inlineStr"/>
      <c r="U470" t="inlineStr">
        <is>
          <t>L001-100045995</t>
        </is>
      </c>
      <c r="V470" t="inlineStr">
        <is>
          <t>ឌីអេចអិល ឡូជីស្ទីក (ខេមបូឌា)</t>
        </is>
      </c>
      <c r="W470" t="n">
        <v>0</v>
      </c>
      <c r="X470" t="n">
        <v>0</v>
      </c>
    </row>
    <row r="471">
      <c r="A471" t="n">
        <v>470</v>
      </c>
      <c r="B471" t="inlineStr">
        <is>
          <t>Customs Clearance Fee</t>
        </is>
      </c>
      <c r="C471" t="inlineStr">
        <is>
          <t>ត្រាយអ៊ែងហ្គល ឡូជីស្ទីក (ខេមបូឌា) ឯ.ក</t>
        </is>
      </c>
      <c r="D471" t="inlineStr">
        <is>
          <t>K010-902101743</t>
        </is>
      </c>
      <c r="E471" t="inlineStr">
        <is>
          <t>TAG-24-00273</t>
        </is>
      </c>
      <c r="F471" t="inlineStr">
        <is>
          <t>23-04-2024</t>
        </is>
      </c>
      <c r="G471" t="n">
        <v>28434</v>
      </c>
      <c r="I471">
        <f>G471</f>
        <v/>
      </c>
      <c r="K471">
        <f>I471-G471</f>
        <v/>
      </c>
      <c r="M471" t="inlineStr">
        <is>
          <t>TAG2400273</t>
        </is>
      </c>
      <c r="N471" t="inlineStr">
        <is>
          <t>8158000</t>
        </is>
      </c>
      <c r="O471">
        <f>M471=N471</f>
        <v/>
      </c>
      <c r="P471">
        <f>AND(MONTH(F471)=MONTH(S471), YEAR(F471)=YEAR(S471))</f>
        <v/>
      </c>
      <c r="Q471">
        <f>"L001-902303751"=U471</f>
        <v/>
      </c>
      <c r="R471">
        <f>G471-W471</f>
        <v/>
      </c>
      <c r="S471" s="36" t="n">
        <v>45316</v>
      </c>
      <c r="T471" t="n">
        <v>81580</v>
      </c>
      <c r="U471" t="inlineStr">
        <is>
          <t>K003-901635943</t>
        </is>
      </c>
      <c r="V471" t="inlineStr">
        <is>
          <t>អ៊ីឃ្យូឡាញ វើលវ៉ាយដ៍ ឡូជីស្ទីក</t>
        </is>
      </c>
      <c r="W471" t="n">
        <v>81580</v>
      </c>
      <c r="X471" t="n">
        <v>0</v>
      </c>
    </row>
    <row r="472">
      <c r="A472" t="n">
        <v>471</v>
      </c>
      <c r="B472" t="inlineStr">
        <is>
          <t>Cargo Terminal</t>
        </is>
      </c>
      <c r="C472" t="inlineStr">
        <is>
          <t>សូស៊ីយេតេ កុងសេស្យូនែរ ដឺ ឡាអេរ៉ូព័រ</t>
        </is>
      </c>
      <c r="D472" t="inlineStr">
        <is>
          <t>L001-100047300</t>
        </is>
      </c>
      <c r="E472" t="inlineStr">
        <is>
          <t>2400-028404</t>
        </is>
      </c>
      <c r="F472" t="inlineStr">
        <is>
          <t>23-04-2024</t>
        </is>
      </c>
      <c r="G472" t="n">
        <v>5883</v>
      </c>
      <c r="I472">
        <f>G472</f>
        <v/>
      </c>
      <c r="K472">
        <f>I472-G472</f>
        <v/>
      </c>
      <c r="M472" t="inlineStr">
        <is>
          <t>2400028404</t>
        </is>
      </c>
      <c r="N472" t="inlineStr">
        <is>
          <t>8164000</t>
        </is>
      </c>
      <c r="O472">
        <f>M472=N472</f>
        <v/>
      </c>
      <c r="P472">
        <f>AND(MONTH(F472)=MONTH(S472), YEAR(F472)=YEAR(S472))</f>
        <v/>
      </c>
      <c r="Q472">
        <f>"L001-902303751"=U472</f>
        <v/>
      </c>
      <c r="R472">
        <f>G472-W472</f>
        <v/>
      </c>
      <c r="S472" s="36" t="n">
        <v>45294</v>
      </c>
      <c r="T472" t="n">
        <v>81640</v>
      </c>
      <c r="U472" t="inlineStr">
        <is>
          <t>K002-901800477</t>
        </is>
      </c>
      <c r="V472" t="inlineStr">
        <is>
          <t>អាយធីអាយ អ៊ិនធើណេសិនណល ត្រេនស័្ពរថេសិន (ខេមបូឌា) ឯ.ក</t>
        </is>
      </c>
      <c r="W472" t="n">
        <v>81640</v>
      </c>
      <c r="X472" t="n">
        <v>0</v>
      </c>
    </row>
    <row r="473">
      <c r="A473" t="n">
        <v>472</v>
      </c>
      <c r="B473" t="inlineStr">
        <is>
          <t>Machine and accessory</t>
        </is>
      </c>
      <c r="C473" t="inlineStr">
        <is>
          <t>ក្លាក ហ៊ូ ឯ.ក</t>
        </is>
      </c>
      <c r="D473" t="inlineStr">
        <is>
          <t>K007-901639199</t>
        </is>
      </c>
      <c r="E473" t="inlineStr">
        <is>
          <t>IN1065</t>
        </is>
      </c>
      <c r="F473" t="inlineStr">
        <is>
          <t>31-05-2024</t>
        </is>
      </c>
      <c r="G473" t="n">
        <v>1044329</v>
      </c>
      <c r="I473">
        <f>G473</f>
        <v/>
      </c>
      <c r="K473">
        <f>I473-G473</f>
        <v/>
      </c>
      <c r="M473" t="inlineStr">
        <is>
          <t>IN1065</t>
        </is>
      </c>
      <c r="N473" t="inlineStr">
        <is>
          <t>11026800</t>
        </is>
      </c>
      <c r="O473">
        <f>M473=N473</f>
        <v/>
      </c>
      <c r="P473">
        <f>AND(MONTH(F473)=MONTH(S473), YEAR(F473)=YEAR(S473))</f>
        <v/>
      </c>
      <c r="Q473">
        <f>"L001-902303751"=U473</f>
        <v/>
      </c>
      <c r="R473">
        <f>G473-W473</f>
        <v/>
      </c>
      <c r="S473" s="36" t="n">
        <v>45303</v>
      </c>
      <c r="T473" t="n">
        <v>110268</v>
      </c>
      <c r="U473" t="inlineStr">
        <is>
          <t>L001-107032791</t>
        </is>
      </c>
      <c r="V473" t="inlineStr">
        <is>
          <t>នីបផន អិចប្រេស (ខេមបូឌា) ខូ អិលធីឌី</t>
        </is>
      </c>
      <c r="W473" t="n">
        <v>110268</v>
      </c>
      <c r="X473" t="n">
        <v>0</v>
      </c>
    </row>
    <row r="474">
      <c r="A474" t="n">
        <v>473</v>
      </c>
      <c r="B474" t="inlineStr">
        <is>
          <t>Stationery</t>
        </is>
      </c>
      <c r="C474" t="inlineStr">
        <is>
          <t>ស៊ី &amp; ជី ត្រេឌីង ឯ.ក</t>
        </is>
      </c>
      <c r="D474" t="inlineStr">
        <is>
          <t>K010-902205065</t>
        </is>
      </c>
      <c r="E474" t="inlineStr">
        <is>
          <t>2024-0039</t>
        </is>
      </c>
      <c r="F474" t="inlineStr">
        <is>
          <t>20-05-2024</t>
        </is>
      </c>
      <c r="G474" t="n">
        <v>727398</v>
      </c>
      <c r="I474">
        <f>G474</f>
        <v/>
      </c>
      <c r="K474">
        <f>I474-G474</f>
        <v/>
      </c>
      <c r="M474" t="inlineStr">
        <is>
          <t>20240039</t>
        </is>
      </c>
      <c r="N474" t="inlineStr"/>
      <c r="O474">
        <f>M474=N474</f>
        <v/>
      </c>
      <c r="P474">
        <f>AND(MONTH(F474)=MONTH(S474), YEAR(F474)=YEAR(S474))</f>
        <v/>
      </c>
      <c r="Q474">
        <f>"L001-902303751"=U474</f>
        <v/>
      </c>
      <c r="R474">
        <f>G474-W474</f>
        <v/>
      </c>
      <c r="S474" s="36" t="n">
        <v>45310</v>
      </c>
      <c r="T474" t="inlineStr"/>
      <c r="U474" t="inlineStr">
        <is>
          <t>K003-901635943</t>
        </is>
      </c>
      <c r="V474" t="inlineStr">
        <is>
          <t>អ៊ីឃ្យូឡាញ វើលវ៉ាយដ៍ ឡូជីស្ទីក</t>
        </is>
      </c>
      <c r="W474" t="n">
        <v>0</v>
      </c>
      <c r="X474" t="n">
        <v>0</v>
      </c>
    </row>
    <row r="475">
      <c r="A475" t="n">
        <v>474</v>
      </c>
      <c r="B475" t="inlineStr">
        <is>
          <t>Thread</t>
        </is>
      </c>
      <c r="C475" t="inlineStr">
        <is>
          <t>គ្លូប៊ល សុីលីន ហ្គាមុិន អេកសេសឺរី ឯ.ក</t>
        </is>
      </c>
      <c r="D475" t="inlineStr">
        <is>
          <t>L001-902200857</t>
        </is>
      </c>
      <c r="E475" t="inlineStr">
        <is>
          <t>000343</t>
        </is>
      </c>
      <c r="F475" t="inlineStr">
        <is>
          <t>28-05-2024</t>
        </is>
      </c>
      <c r="G475" t="n">
        <v>212316</v>
      </c>
      <c r="I475">
        <f>G475</f>
        <v/>
      </c>
      <c r="K475">
        <f>I475-G475</f>
        <v/>
      </c>
      <c r="M475" t="inlineStr">
        <is>
          <t>000343</t>
        </is>
      </c>
      <c r="N475" t="inlineStr"/>
      <c r="O475">
        <f>M475=N475</f>
        <v/>
      </c>
      <c r="P475">
        <f>AND(MONTH(F475)=MONTH(S475), YEAR(F475)=YEAR(S475))</f>
        <v/>
      </c>
      <c r="Q475">
        <f>"L001-902303751"=U475</f>
        <v/>
      </c>
      <c r="R475">
        <f>G475-W475</f>
        <v/>
      </c>
      <c r="S475" s="36" t="n">
        <v>45307</v>
      </c>
      <c r="T475" t="inlineStr"/>
      <c r="U475" t="inlineStr">
        <is>
          <t>K003-901635943</t>
        </is>
      </c>
      <c r="V475" t="inlineStr">
        <is>
          <t>អ៊ីឃ្យូឡាញ វើលវ៉ាយដ៍ ឡូជីស្ទីក</t>
        </is>
      </c>
      <c r="W475" t="n">
        <v>0</v>
      </c>
      <c r="X475" t="n">
        <v>0</v>
      </c>
    </row>
    <row r="476">
      <c r="A476" t="n">
        <v>475</v>
      </c>
      <c r="B476" t="inlineStr">
        <is>
          <t>Monthly Security for May 2024</t>
        </is>
      </c>
      <c r="C476" t="inlineStr">
        <is>
          <t>អិល.ប៊ី.អិល.អេច ស៊ីឃ្យូរឹធី ឯ.ក</t>
        </is>
      </c>
      <c r="D476" t="inlineStr">
        <is>
          <t>K010-902202247</t>
        </is>
      </c>
      <c r="E476" t="inlineStr">
        <is>
          <t>L.B.L.H00019</t>
        </is>
      </c>
      <c r="F476" t="inlineStr">
        <is>
          <t>25-05-2024</t>
        </is>
      </c>
      <c r="G476" t="n">
        <v>509875</v>
      </c>
      <c r="I476">
        <f>G476</f>
        <v/>
      </c>
      <c r="K476">
        <f>I476-G476</f>
        <v/>
      </c>
      <c r="M476" t="inlineStr">
        <is>
          <t>LBLH00019</t>
        </is>
      </c>
      <c r="N476" t="inlineStr"/>
      <c r="O476">
        <f>M476=N476</f>
        <v/>
      </c>
      <c r="P476">
        <f>AND(MONTH(F476)=MONTH(S476), YEAR(F476)=YEAR(S476))</f>
        <v/>
      </c>
      <c r="Q476">
        <f>"L001-902303751"=U476</f>
        <v/>
      </c>
      <c r="R476">
        <f>G476-W476</f>
        <v/>
      </c>
      <c r="S476" s="36" t="n">
        <v>45307</v>
      </c>
      <c r="T476" t="inlineStr"/>
      <c r="U476" t="inlineStr">
        <is>
          <t>L001-100045995</t>
        </is>
      </c>
      <c r="V476" t="inlineStr">
        <is>
          <t>ឌីអេចអិល ឡូជីស្ទីក (ខេមបូឌា)</t>
        </is>
      </c>
      <c r="W476" t="n">
        <v>0</v>
      </c>
      <c r="X476" t="n">
        <v>0</v>
      </c>
    </row>
    <row r="477">
      <c r="A477" t="n">
        <v>476</v>
      </c>
      <c r="B477" t="inlineStr">
        <is>
          <t>Shipment Expense</t>
        </is>
      </c>
      <c r="C477" t="inlineStr">
        <is>
          <t>អ៊ិចស្ពែឌីធ័រ ខេមបូឌា អិលធីឌី</t>
        </is>
      </c>
      <c r="D477" t="inlineStr">
        <is>
          <t>L001-100045898</t>
        </is>
      </c>
      <c r="E477" t="inlineStr">
        <is>
          <t>TI-0274918</t>
        </is>
      </c>
      <c r="F477" t="inlineStr">
        <is>
          <t>27-05-2024</t>
        </is>
      </c>
      <c r="G477" t="n">
        <v>22446</v>
      </c>
      <c r="I477">
        <f>G477</f>
        <v/>
      </c>
      <c r="K477">
        <f>I477-G477</f>
        <v/>
      </c>
      <c r="M477" t="inlineStr">
        <is>
          <t>TI0274918</t>
        </is>
      </c>
      <c r="N477" t="inlineStr">
        <is>
          <t>11024100</t>
        </is>
      </c>
      <c r="O477">
        <f>M477=N477</f>
        <v/>
      </c>
      <c r="P477">
        <f>AND(MONTH(F477)=MONTH(S477), YEAR(F477)=YEAR(S477))</f>
        <v/>
      </c>
      <c r="Q477">
        <f>"L001-902303751"=U477</f>
        <v/>
      </c>
      <c r="R477">
        <f>G477-W477</f>
        <v/>
      </c>
      <c r="S477" s="36" t="n">
        <v>45307</v>
      </c>
      <c r="T477" t="n">
        <v>110241</v>
      </c>
      <c r="U477" t="inlineStr">
        <is>
          <t>L001-100045995</t>
        </is>
      </c>
      <c r="V477" t="inlineStr">
        <is>
          <t>ឌីអេចអិល ឡូជីស្ទីក (ខេមបូឌា)</t>
        </is>
      </c>
      <c r="W477" t="n">
        <v>110241</v>
      </c>
      <c r="X477" t="n">
        <v>0</v>
      </c>
    </row>
    <row r="478">
      <c r="A478" t="n">
        <v>477</v>
      </c>
      <c r="B478" t="inlineStr">
        <is>
          <t>Shipment Expense</t>
        </is>
      </c>
      <c r="C478" t="inlineStr">
        <is>
          <t>អ៊ិចស្ពែឌីធ័រ ខេមបូឌា អិលធីឌី</t>
        </is>
      </c>
      <c r="D478" t="inlineStr">
        <is>
          <t>L001-100045898</t>
        </is>
      </c>
      <c r="E478" t="inlineStr">
        <is>
          <t>TI-0275538</t>
        </is>
      </c>
      <c r="F478" t="inlineStr">
        <is>
          <t>30-05-2024</t>
        </is>
      </c>
      <c r="G478" t="n">
        <v>107444</v>
      </c>
      <c r="I478">
        <f>G478</f>
        <v/>
      </c>
      <c r="K478">
        <f>I478-G478</f>
        <v/>
      </c>
      <c r="M478" t="inlineStr">
        <is>
          <t>TI0275538</t>
        </is>
      </c>
      <c r="N478" t="inlineStr">
        <is>
          <t>11024100</t>
        </is>
      </c>
      <c r="O478">
        <f>M478=N478</f>
        <v/>
      </c>
      <c r="P478">
        <f>AND(MONTH(F478)=MONTH(S478), YEAR(F478)=YEAR(S478))</f>
        <v/>
      </c>
      <c r="Q478">
        <f>"L001-902303751"=U478</f>
        <v/>
      </c>
      <c r="R478">
        <f>G478-W478</f>
        <v/>
      </c>
      <c r="S478" s="36" t="n">
        <v>45307</v>
      </c>
      <c r="T478" t="n">
        <v>110241</v>
      </c>
      <c r="U478" t="inlineStr">
        <is>
          <t>L001-100045995</t>
        </is>
      </c>
      <c r="V478" t="inlineStr">
        <is>
          <t>ឌីអេចអិល ឡូជីស្ទីក (ខេមបូឌា)</t>
        </is>
      </c>
      <c r="W478" t="n">
        <v>110241</v>
      </c>
      <c r="X478" t="n">
        <v>0</v>
      </c>
    </row>
    <row r="479">
      <c r="A479" t="n">
        <v>478</v>
      </c>
      <c r="B479" t="inlineStr">
        <is>
          <t>Shipment Expense</t>
        </is>
      </c>
      <c r="C479" t="inlineStr">
        <is>
          <t>អ៊ិចស្ពែឌីធ័រ ខេមបូឌា អិលធីឌី</t>
        </is>
      </c>
      <c r="D479" t="inlineStr">
        <is>
          <t>L001-100045898</t>
        </is>
      </c>
      <c r="E479" t="inlineStr">
        <is>
          <t>TI-0275540</t>
        </is>
      </c>
      <c r="F479" t="inlineStr">
        <is>
          <t>30-05-2024</t>
        </is>
      </c>
      <c r="G479" t="n">
        <v>131371</v>
      </c>
      <c r="I479">
        <f>G479</f>
        <v/>
      </c>
      <c r="K479">
        <f>I479-G479</f>
        <v/>
      </c>
      <c r="M479" t="inlineStr">
        <is>
          <t>TI0275540</t>
        </is>
      </c>
      <c r="N479" t="inlineStr"/>
      <c r="O479">
        <f>M479=N479</f>
        <v/>
      </c>
      <c r="P479">
        <f>AND(MONTH(F479)=MONTH(S479), YEAR(F479)=YEAR(S479))</f>
        <v/>
      </c>
      <c r="Q479">
        <f>"L001-902303751"=U479</f>
        <v/>
      </c>
      <c r="R479">
        <f>G479-W479</f>
        <v/>
      </c>
      <c r="S479" s="36" t="n">
        <v>45310</v>
      </c>
      <c r="T479" t="inlineStr"/>
      <c r="U479" t="inlineStr">
        <is>
          <t>K005-100059945</t>
        </is>
      </c>
      <c r="V479" t="inlineStr">
        <is>
          <t>អ៊ែតវ៉ានស៍ គ្លរី ឡូជីស្ទីក (ខេមបូឌា) (អេ ជី អិល)</t>
        </is>
      </c>
      <c r="W479" t="n">
        <v>0</v>
      </c>
      <c r="X479" t="n">
        <v>0</v>
      </c>
    </row>
    <row r="480">
      <c r="A480" t="n">
        <v>479</v>
      </c>
      <c r="B480" t="inlineStr">
        <is>
          <t>Shipment Expense</t>
        </is>
      </c>
      <c r="C480" t="inlineStr">
        <is>
          <t>អ៊ិចស្ពែឌីធ័រ ខេមបូឌា អិលធីឌី</t>
        </is>
      </c>
      <c r="D480" t="inlineStr">
        <is>
          <t>L001-100045898</t>
        </is>
      </c>
      <c r="E480" t="inlineStr">
        <is>
          <t>TI-0275541</t>
        </is>
      </c>
      <c r="F480" t="inlineStr">
        <is>
          <t>30-05-2024</t>
        </is>
      </c>
      <c r="G480" t="n">
        <v>134725</v>
      </c>
      <c r="I480">
        <f>G480</f>
        <v/>
      </c>
      <c r="K480">
        <f>I480-G480</f>
        <v/>
      </c>
      <c r="M480" t="inlineStr">
        <is>
          <t>TI0275541</t>
        </is>
      </c>
      <c r="N480" t="inlineStr">
        <is>
          <t>20001800</t>
        </is>
      </c>
      <c r="O480">
        <f>M480=N480</f>
        <v/>
      </c>
      <c r="P480">
        <f>AND(MONTH(F480)=MONTH(S480), YEAR(F480)=YEAR(S480))</f>
        <v/>
      </c>
      <c r="Q480">
        <f>"L001-902303751"=U480</f>
        <v/>
      </c>
      <c r="R480">
        <f>G480-W480</f>
        <v/>
      </c>
      <c r="S480" s="36" t="n">
        <v>45294</v>
      </c>
      <c r="T480" t="n">
        <v>200018</v>
      </c>
      <c r="U480" t="inlineStr">
        <is>
          <t>K002-901800477</t>
        </is>
      </c>
      <c r="V480" t="inlineStr">
        <is>
          <t>អាយធីអាយ អ៊ិនធើណេសិនណល ត្រេនស័្ពរថេសិន (ខេមបូឌា) ឯ.ក</t>
        </is>
      </c>
      <c r="W480" t="n">
        <v>200018</v>
      </c>
      <c r="X480" t="n">
        <v>0</v>
      </c>
    </row>
    <row r="481">
      <c r="A481" t="n">
        <v>480</v>
      </c>
      <c r="B481" t="inlineStr">
        <is>
          <t>Shipment Expense</t>
        </is>
      </c>
      <c r="C481" t="inlineStr">
        <is>
          <t>អ៊ិចស្ពែឌីធ័រ ខេមបូឌា អិលធីឌី</t>
        </is>
      </c>
      <c r="D481" t="inlineStr">
        <is>
          <t>L001-100045898</t>
        </is>
      </c>
      <c r="E481" t="inlineStr">
        <is>
          <t>TI-0275152</t>
        </is>
      </c>
      <c r="F481" t="inlineStr">
        <is>
          <t>29-05-2024</t>
        </is>
      </c>
      <c r="G481" t="n">
        <v>211514</v>
      </c>
      <c r="I481">
        <f>G481</f>
        <v/>
      </c>
      <c r="K481">
        <f>I481-G481</f>
        <v/>
      </c>
      <c r="M481" t="inlineStr">
        <is>
          <t>TI0275152</t>
        </is>
      </c>
      <c r="N481" t="inlineStr">
        <is>
          <t>8162000</t>
        </is>
      </c>
      <c r="O481">
        <f>M481=N481</f>
        <v/>
      </c>
      <c r="P481">
        <f>AND(MONTH(F481)=MONTH(S481), YEAR(F481)=YEAR(S481))</f>
        <v/>
      </c>
      <c r="Q481">
        <f>"L001-902303751"=U481</f>
        <v/>
      </c>
      <c r="R481">
        <f>G481-W481</f>
        <v/>
      </c>
      <c r="S481" s="36" t="n">
        <v>45293</v>
      </c>
      <c r="T481" t="n">
        <v>81620</v>
      </c>
      <c r="U481" t="inlineStr">
        <is>
          <t>L001-100045995</t>
        </is>
      </c>
      <c r="V481" t="inlineStr">
        <is>
          <t>ឌីអេចអិល ឡូជីស្ទីក (ខេមបូឌា)</t>
        </is>
      </c>
      <c r="W481" t="n">
        <v>81620</v>
      </c>
      <c r="X481" t="n">
        <v>0</v>
      </c>
    </row>
    <row r="482">
      <c r="A482" t="n">
        <v>481</v>
      </c>
      <c r="B482" t="inlineStr">
        <is>
          <t>Shipment Expense</t>
        </is>
      </c>
      <c r="C482" t="inlineStr">
        <is>
          <t>អ៊ិចស្ពែឌីធ័រ ខេមបូឌា អិលធីឌី</t>
        </is>
      </c>
      <c r="D482" t="inlineStr">
        <is>
          <t>L001-100045898</t>
        </is>
      </c>
      <c r="E482" t="inlineStr">
        <is>
          <t>TI-0275534</t>
        </is>
      </c>
      <c r="F482" t="inlineStr">
        <is>
          <t>30-05-2024</t>
        </is>
      </c>
      <c r="G482" t="n">
        <v>92434</v>
      </c>
      <c r="I482">
        <f>G482</f>
        <v/>
      </c>
      <c r="K482">
        <f>I482-G482</f>
        <v/>
      </c>
      <c r="M482" t="inlineStr">
        <is>
          <t>TI0275534</t>
        </is>
      </c>
      <c r="N482" t="inlineStr"/>
      <c r="O482">
        <f>M482=N482</f>
        <v/>
      </c>
      <c r="P482">
        <f>AND(MONTH(F482)=MONTH(S482), YEAR(F482)=YEAR(S482))</f>
        <v/>
      </c>
      <c r="Q482">
        <f>"L001-902303751"=U482</f>
        <v/>
      </c>
      <c r="R482">
        <f>G482-W482</f>
        <v/>
      </c>
      <c r="S482" s="36" t="n">
        <v>45320</v>
      </c>
      <c r="T482" t="inlineStr"/>
      <c r="U482" t="inlineStr">
        <is>
          <t>K005-100150195</t>
        </is>
      </c>
      <c r="V482" t="inlineStr">
        <is>
          <t>អេស អ វី ស៊ី ហ្វ្រេត សឺវីស (ខេមបូឌា) ខូ អិលធីឌី</t>
        </is>
      </c>
      <c r="W482" t="n">
        <v>0</v>
      </c>
      <c r="X482" t="n">
        <v>0</v>
      </c>
    </row>
    <row r="483">
      <c r="A483" t="n">
        <v>482</v>
      </c>
      <c r="B483" t="inlineStr">
        <is>
          <t>Documentation Origin, Handling Charges Origin, PLACI Fee and HAWB Transmission Fee</t>
        </is>
      </c>
      <c r="C483" t="inlineStr">
        <is>
          <t>ឌីប៊ី សេនឃើរ (ខេមបូឌា) លីមីធីត</t>
        </is>
      </c>
      <c r="D483" t="inlineStr">
        <is>
          <t>L001-107041723</t>
        </is>
      </c>
      <c r="E483" t="inlineStr">
        <is>
          <t>2400004450</t>
        </is>
      </c>
      <c r="F483" t="inlineStr">
        <is>
          <t>31-05-2024</t>
        </is>
      </c>
      <c r="G483" t="n">
        <v>50344</v>
      </c>
      <c r="I483">
        <f>G483</f>
        <v/>
      </c>
      <c r="K483">
        <f>I483-G483</f>
        <v/>
      </c>
      <c r="M483" t="inlineStr">
        <is>
          <t>2400004450</t>
        </is>
      </c>
      <c r="N483" t="inlineStr">
        <is>
          <t>20001800</t>
        </is>
      </c>
      <c r="O483">
        <f>M483=N483</f>
        <v/>
      </c>
      <c r="P483">
        <f>AND(MONTH(F483)=MONTH(S483), YEAR(F483)=YEAR(S483))</f>
        <v/>
      </c>
      <c r="Q483">
        <f>"L001-902303751"=U483</f>
        <v/>
      </c>
      <c r="R483">
        <f>G483-W483</f>
        <v/>
      </c>
      <c r="S483" s="36" t="n">
        <v>45294</v>
      </c>
      <c r="T483" t="n">
        <v>200018</v>
      </c>
      <c r="U483" t="inlineStr">
        <is>
          <t>K002-901800477</t>
        </is>
      </c>
      <c r="V483" t="inlineStr">
        <is>
          <t>អាយធីអាយ អ៊ិនធើណេសិនណល ត្រេនស័្ពរថេសិន (ខេមបូឌា) ឯ.ក</t>
        </is>
      </c>
      <c r="W483" t="n">
        <v>200018</v>
      </c>
      <c r="X483" t="n">
        <v>0</v>
      </c>
    </row>
    <row r="484">
      <c r="A484" t="n">
        <v>483</v>
      </c>
      <c r="B484" t="inlineStr">
        <is>
          <t>Shipment Expense</t>
        </is>
      </c>
      <c r="C484" t="inlineStr">
        <is>
          <t>អ៊ិចស្ពែឌីធ័រ ខេមបូឌា អិលធីឌី</t>
        </is>
      </c>
      <c r="D484" t="inlineStr">
        <is>
          <t>L001-100045898</t>
        </is>
      </c>
      <c r="E484" t="inlineStr">
        <is>
          <t>TI-0275547</t>
        </is>
      </c>
      <c r="F484" t="inlineStr">
        <is>
          <t>30-05-2024</t>
        </is>
      </c>
      <c r="G484" t="n">
        <v>47035</v>
      </c>
      <c r="I484">
        <f>G484</f>
        <v/>
      </c>
      <c r="K484">
        <f>I484-G484</f>
        <v/>
      </c>
      <c r="M484" t="inlineStr">
        <is>
          <t>TI0275547</t>
        </is>
      </c>
      <c r="N484" t="inlineStr">
        <is>
          <t>8164000</t>
        </is>
      </c>
      <c r="O484">
        <f>M484=N484</f>
        <v/>
      </c>
      <c r="P484">
        <f>AND(MONTH(F484)=MONTH(S484), YEAR(F484)=YEAR(S484))</f>
        <v/>
      </c>
      <c r="Q484">
        <f>"L001-902303751"=U484</f>
        <v/>
      </c>
      <c r="R484">
        <f>G484-W484</f>
        <v/>
      </c>
      <c r="S484" s="36" t="n">
        <v>45294</v>
      </c>
      <c r="T484" t="n">
        <v>81640</v>
      </c>
      <c r="U484" t="inlineStr">
        <is>
          <t>L001-107032791</t>
        </is>
      </c>
      <c r="V484" t="inlineStr">
        <is>
          <t>នីបផន អិចប្រេស (ខេមបូឌា) ខូ អិលធីឌី</t>
        </is>
      </c>
      <c r="W484" t="n">
        <v>81640</v>
      </c>
      <c r="X484" t="n">
        <v>0</v>
      </c>
    </row>
    <row r="485">
      <c r="A485" t="n">
        <v>484</v>
      </c>
      <c r="B485" t="inlineStr">
        <is>
          <t>Gate Fee Charges</t>
        </is>
      </c>
      <c r="C485" t="inlineStr">
        <is>
          <t>កំពង់ផែស្វយ័តភ្នំពេញ "ក.ស.ភ"</t>
        </is>
      </c>
      <c r="D485" t="inlineStr">
        <is>
          <t>L001-100044999</t>
        </is>
      </c>
      <c r="E485" t="inlineStr">
        <is>
          <t>INV20240524309</t>
        </is>
      </c>
      <c r="F485" t="inlineStr">
        <is>
          <t>02-05-2024</t>
        </is>
      </c>
      <c r="G485" t="n">
        <v>813</v>
      </c>
      <c r="I485">
        <f>G485</f>
        <v/>
      </c>
      <c r="K485">
        <f>I485-G485</f>
        <v/>
      </c>
      <c r="M485" t="inlineStr">
        <is>
          <t>INV20240524309</t>
        </is>
      </c>
      <c r="N485" t="inlineStr">
        <is>
          <t>28982200</t>
        </is>
      </c>
      <c r="O485">
        <f>M485=N485</f>
        <v/>
      </c>
      <c r="P485">
        <f>AND(MONTH(F485)=MONTH(S485), YEAR(F485)=YEAR(S485))</f>
        <v/>
      </c>
      <c r="Q485">
        <f>"L001-902303751"=U485</f>
        <v/>
      </c>
      <c r="R485">
        <f>G485-W485</f>
        <v/>
      </c>
      <c r="S485" s="36" t="n">
        <v>45294</v>
      </c>
      <c r="T485" t="n">
        <v>289822</v>
      </c>
      <c r="U485" t="inlineStr">
        <is>
          <t>L001-901500191</t>
        </is>
      </c>
      <c r="V485" t="inlineStr">
        <is>
          <t>អ.អិន.វ៉ាយ ត្រេនស្ព័ត</t>
        </is>
      </c>
      <c r="W485" t="n">
        <v>289822</v>
      </c>
      <c r="X485" t="n">
        <v>0</v>
      </c>
    </row>
    <row r="486">
      <c r="A486" t="n">
        <v>485</v>
      </c>
      <c r="B486" t="inlineStr">
        <is>
          <t>Spare Part</t>
        </is>
      </c>
      <c r="C486" t="inlineStr">
        <is>
          <t>ហ៊ីង អាង ស៊ូ ម៉ាស៊ីន</t>
        </is>
      </c>
      <c r="D486" t="inlineStr">
        <is>
          <t>K010-108009556</t>
        </is>
      </c>
      <c r="E486" t="inlineStr">
        <is>
          <t>XA20240026</t>
        </is>
      </c>
      <c r="F486" t="inlineStr">
        <is>
          <t>13-05-2024</t>
        </is>
      </c>
      <c r="G486" t="n">
        <v>782784</v>
      </c>
      <c r="I486">
        <f>G486</f>
        <v/>
      </c>
      <c r="K486">
        <f>I486-G486</f>
        <v/>
      </c>
      <c r="M486" t="inlineStr">
        <is>
          <t>XA20240026</t>
        </is>
      </c>
      <c r="N486" t="inlineStr"/>
      <c r="O486">
        <f>M486=N486</f>
        <v/>
      </c>
      <c r="P486">
        <f>AND(MONTH(F486)=MONTH(S486), YEAR(F486)=YEAR(S486))</f>
        <v/>
      </c>
      <c r="Q486">
        <f>"L001-902303751"=U486</f>
        <v/>
      </c>
      <c r="R486">
        <f>G486-W486</f>
        <v/>
      </c>
      <c r="S486" s="36" t="n">
        <v>45300</v>
      </c>
      <c r="T486" t="inlineStr"/>
      <c r="U486" t="inlineStr">
        <is>
          <t>K003-901635943</t>
        </is>
      </c>
      <c r="V486" t="inlineStr">
        <is>
          <t>អ៊ីឃ្យូឡាញ វើលវ៉ាយដ៍ ឡូជីស្ទីក</t>
        </is>
      </c>
      <c r="W486" t="n">
        <v>0</v>
      </c>
      <c r="X486" t="n">
        <v>0</v>
      </c>
    </row>
    <row r="487">
      <c r="A487" t="n">
        <v>486</v>
      </c>
      <c r="B487" t="inlineStr">
        <is>
          <t>Monthly Security for May 2024</t>
        </is>
      </c>
      <c r="C487" t="inlineStr">
        <is>
          <t>អិល.ប៊ី.អិល.អេច ស៊ីឃ្យូរឹធី ឯ.ក</t>
        </is>
      </c>
      <c r="D487" t="inlineStr">
        <is>
          <t>K010-902202247</t>
        </is>
      </c>
      <c r="E487" t="inlineStr">
        <is>
          <t>L.B.L.H00005</t>
        </is>
      </c>
      <c r="F487" t="inlineStr">
        <is>
          <t>25-05-2024</t>
        </is>
      </c>
      <c r="G487" t="n">
        <v>1395018</v>
      </c>
      <c r="I487">
        <f>G487</f>
        <v/>
      </c>
      <c r="K487">
        <f>I487-G487</f>
        <v/>
      </c>
      <c r="M487" t="inlineStr">
        <is>
          <t>LBLH00005</t>
        </is>
      </c>
      <c r="N487" t="inlineStr"/>
      <c r="O487">
        <f>M487=N487</f>
        <v/>
      </c>
      <c r="P487">
        <f>AND(MONTH(F487)=MONTH(S487), YEAR(F487)=YEAR(S487))</f>
        <v/>
      </c>
      <c r="Q487">
        <f>"L001-902303751"=U487</f>
        <v/>
      </c>
      <c r="R487">
        <f>G487-W487</f>
        <v/>
      </c>
      <c r="S487" s="36" t="n">
        <v>45307</v>
      </c>
      <c r="T487" t="inlineStr"/>
      <c r="U487" t="inlineStr">
        <is>
          <t>L001-100182259</t>
        </is>
      </c>
      <c r="V487" t="inlineStr">
        <is>
          <t>សាខាក្រុមហ៊ុន ប៊ី ឡូជីស្ទីក ខបភើរេសិន (ខេមបូឌា)</t>
        </is>
      </c>
      <c r="W487" t="n">
        <v>0</v>
      </c>
      <c r="X487" t="n">
        <v>0</v>
      </c>
    </row>
    <row r="488">
      <c r="A488" t="n">
        <v>487</v>
      </c>
      <c r="B488" t="inlineStr">
        <is>
          <t>Trucking, Customs Clearance, Extra Trucking and Truck Fuel Surcharge</t>
        </is>
      </c>
      <c r="C488" t="inlineStr">
        <is>
          <t>អេស អ វី ស៊ី ហ្វ្រេត សឺវីស (ខេមបូឌា) ខូ អិលធីឌី</t>
        </is>
      </c>
      <c r="D488" t="inlineStr">
        <is>
          <t>K005-100150195</t>
        </is>
      </c>
      <c r="E488" t="inlineStr">
        <is>
          <t>SRVI2402258</t>
        </is>
      </c>
      <c r="F488" t="inlineStr">
        <is>
          <t>02-05-2024</t>
        </is>
      </c>
      <c r="G488" t="n">
        <v>176871</v>
      </c>
      <c r="I488">
        <f>G488</f>
        <v/>
      </c>
      <c r="K488">
        <f>I488-G488</f>
        <v/>
      </c>
      <c r="M488" t="inlineStr">
        <is>
          <t>SRVI2402258</t>
        </is>
      </c>
      <c r="N488" t="inlineStr"/>
      <c r="O488">
        <f>M488=N488</f>
        <v/>
      </c>
      <c r="P488">
        <f>AND(MONTH(F488)=MONTH(S488), YEAR(F488)=YEAR(S488))</f>
        <v/>
      </c>
      <c r="Q488">
        <f>"L001-902303751"=U488</f>
        <v/>
      </c>
      <c r="R488">
        <f>G488-W488</f>
        <v/>
      </c>
      <c r="S488" s="36" t="n">
        <v>45303</v>
      </c>
      <c r="T488" t="inlineStr"/>
      <c r="U488" t="inlineStr">
        <is>
          <t>K005-100059945</t>
        </is>
      </c>
      <c r="V488" t="inlineStr">
        <is>
          <t>អ៊ែតវ៉ានស៍ គ្លរី ឡូជីស្ទីក (ខេមបូឌា) (អេ ជី អិល)</t>
        </is>
      </c>
      <c r="W488" t="n">
        <v>0</v>
      </c>
      <c r="X488" t="n">
        <v>0</v>
      </c>
    </row>
    <row r="489">
      <c r="A489" t="n">
        <v>488</v>
      </c>
      <c r="B489" t="inlineStr">
        <is>
          <t>Air Compressor, KDNRA 75-LED and Air Conditioner</t>
        </is>
      </c>
      <c r="C489" t="inlineStr">
        <is>
          <t>ស្មាត សាញ ហ្គាម៉ិន (ខេមបូឌា) ឯ.ក</t>
        </is>
      </c>
      <c r="D489" t="inlineStr">
        <is>
          <t>L001-902105025</t>
        </is>
      </c>
      <c r="E489" t="inlineStr">
        <is>
          <t>SSG-20240003</t>
        </is>
      </c>
      <c r="F489" t="inlineStr">
        <is>
          <t>23-05-2024</t>
        </is>
      </c>
      <c r="G489" t="n">
        <v>10516348</v>
      </c>
      <c r="I489">
        <f>G489</f>
        <v/>
      </c>
      <c r="K489">
        <f>I489-G489</f>
        <v/>
      </c>
      <c r="M489" t="inlineStr">
        <is>
          <t>SSG20240003</t>
        </is>
      </c>
      <c r="N489" t="inlineStr"/>
      <c r="O489">
        <f>M489=N489</f>
        <v/>
      </c>
      <c r="P489">
        <f>AND(MONTH(F489)=MONTH(S489), YEAR(F489)=YEAR(S489))</f>
        <v/>
      </c>
      <c r="Q489">
        <f>"L001-902303751"=U489</f>
        <v/>
      </c>
      <c r="R489">
        <f>G489-W489</f>
        <v/>
      </c>
      <c r="S489" s="36" t="n">
        <v>45307</v>
      </c>
      <c r="T489" t="inlineStr"/>
      <c r="U489" t="inlineStr">
        <is>
          <t>L001-100045995</t>
        </is>
      </c>
      <c r="V489" t="inlineStr">
        <is>
          <t>ឌីអេចអិល ឡូជីស្ទីក (ខេមបូឌា)</t>
        </is>
      </c>
      <c r="W489" t="n">
        <v>0</v>
      </c>
      <c r="X489" t="n">
        <v>0</v>
      </c>
    </row>
    <row r="490">
      <c r="A490" t="n">
        <v>489</v>
      </c>
      <c r="B490" t="inlineStr">
        <is>
          <t>Machine &amp; Computer</t>
        </is>
      </c>
      <c r="C490" t="inlineStr">
        <is>
          <t>ខ្វាន់ទុម ហ្គាមេន ឯ.ក</t>
        </is>
      </c>
      <c r="D490" t="inlineStr">
        <is>
          <t>L001-100181244</t>
        </is>
      </c>
      <c r="E490" t="inlineStr">
        <is>
          <t>CBK-202400015</t>
        </is>
      </c>
      <c r="F490" t="inlineStr">
        <is>
          <t>23-05-2024</t>
        </is>
      </c>
      <c r="G490" t="n">
        <v>47895210</v>
      </c>
      <c r="I490">
        <f>G490</f>
        <v/>
      </c>
      <c r="K490">
        <f>I490-G490</f>
        <v/>
      </c>
      <c r="M490" t="inlineStr">
        <is>
          <t>CBK202400015</t>
        </is>
      </c>
      <c r="N490" t="inlineStr">
        <is>
          <t>35105200</t>
        </is>
      </c>
      <c r="O490">
        <f>M490=N490</f>
        <v/>
      </c>
      <c r="P490">
        <f>AND(MONTH(F490)=MONTH(S490), YEAR(F490)=YEAR(S490))</f>
        <v/>
      </c>
      <c r="Q490">
        <f>"L001-902303751"=U490</f>
        <v/>
      </c>
      <c r="R490">
        <f>G490-W490</f>
        <v/>
      </c>
      <c r="S490" s="36" t="n">
        <v>45294</v>
      </c>
      <c r="T490" t="n">
        <v>351052</v>
      </c>
      <c r="U490" t="inlineStr">
        <is>
          <t>L001-100011888</t>
        </is>
      </c>
      <c r="V490" t="inlineStr">
        <is>
          <t>ត្រេន ស្តារ ហ្រេ្វត</t>
        </is>
      </c>
      <c r="W490" t="n">
        <v>351052</v>
      </c>
      <c r="X490" t="n">
        <v>0</v>
      </c>
    </row>
    <row r="491">
      <c r="A491" t="n">
        <v>490</v>
      </c>
      <c r="B491" t="inlineStr">
        <is>
          <t>Cargo Terminal</t>
        </is>
      </c>
      <c r="C491" t="inlineStr">
        <is>
          <t>សូស៊ីយេតេ កុងសេស្យូនែរ ដឺ ឡាអេរ៉ូព័រ</t>
        </is>
      </c>
      <c r="D491" t="inlineStr">
        <is>
          <t>L001-100047300</t>
        </is>
      </c>
      <c r="E491" t="inlineStr">
        <is>
          <t>2400-039417</t>
        </is>
      </c>
      <c r="F491" t="inlineStr">
        <is>
          <t>28-05-2024</t>
        </is>
      </c>
      <c r="G491" t="n">
        <v>23388</v>
      </c>
      <c r="I491">
        <f>G491</f>
        <v/>
      </c>
      <c r="K491">
        <f>I491-G491</f>
        <v/>
      </c>
      <c r="M491" t="inlineStr">
        <is>
          <t>2400039417</t>
        </is>
      </c>
      <c r="N491" t="inlineStr">
        <is>
          <t>8162000</t>
        </is>
      </c>
      <c r="O491">
        <f>M491=N491</f>
        <v/>
      </c>
      <c r="P491">
        <f>AND(MONTH(F491)=MONTH(S491), YEAR(F491)=YEAR(S491))</f>
        <v/>
      </c>
      <c r="Q491">
        <f>"L001-902303751"=U491</f>
        <v/>
      </c>
      <c r="R491">
        <f>G491-W491</f>
        <v/>
      </c>
      <c r="S491" s="36" t="n">
        <v>45320</v>
      </c>
      <c r="T491" t="n">
        <v>81620</v>
      </c>
      <c r="U491" t="inlineStr">
        <is>
          <t>L001-901500191</t>
        </is>
      </c>
      <c r="V491" t="inlineStr">
        <is>
          <t>អ.អិន.វ៉ាយ ត្រេនស្ព័ត</t>
        </is>
      </c>
      <c r="W491" t="n">
        <v>81620</v>
      </c>
      <c r="X491" t="n">
        <v>0</v>
      </c>
    </row>
    <row r="492">
      <c r="A492" t="n">
        <v>491</v>
      </c>
      <c r="B492" t="inlineStr">
        <is>
          <t>Customs Clearance Fee</t>
        </is>
      </c>
      <c r="C492" t="inlineStr">
        <is>
          <t>ត្រាយអ៊ែងហ្គល ឡូជីស្ទីក (ខេមបូឌា) ឯ.ក</t>
        </is>
      </c>
      <c r="D492" t="inlineStr">
        <is>
          <t>K010-902101743</t>
        </is>
      </c>
      <c r="E492" t="inlineStr">
        <is>
          <t>TAG-24-00381</t>
        </is>
      </c>
      <c r="F492" t="inlineStr">
        <is>
          <t>31-05-2024</t>
        </is>
      </c>
      <c r="G492" t="n">
        <v>8186</v>
      </c>
      <c r="I492">
        <f>G492</f>
        <v/>
      </c>
      <c r="K492">
        <f>I492-G492</f>
        <v/>
      </c>
      <c r="M492" t="inlineStr">
        <is>
          <t>TAG2400381</t>
        </is>
      </c>
      <c r="N492" t="inlineStr"/>
      <c r="O492">
        <f>M492=N492</f>
        <v/>
      </c>
      <c r="P492">
        <f>AND(MONTH(F492)=MONTH(S492), YEAR(F492)=YEAR(S492))</f>
        <v/>
      </c>
      <c r="Q492">
        <f>"L001-902303751"=U492</f>
        <v/>
      </c>
      <c r="R492">
        <f>G492-W492</f>
        <v/>
      </c>
      <c r="S492" s="36" t="n">
        <v>45294</v>
      </c>
      <c r="T492" t="inlineStr"/>
      <c r="U492" t="inlineStr">
        <is>
          <t>K002-901800477</t>
        </is>
      </c>
      <c r="V492" t="inlineStr">
        <is>
          <t>អាយធីអាយ អ៊ិនធើណេសិនណល ត្រេនស័្ពរថេសិន (ខេមបូឌា) ឯ.ក</t>
        </is>
      </c>
      <c r="W492" t="n">
        <v>0</v>
      </c>
      <c r="X492" t="n">
        <v>0</v>
      </c>
    </row>
    <row r="493">
      <c r="A493" t="n">
        <v>492</v>
      </c>
      <c r="B493" t="inlineStr">
        <is>
          <t>Cargo Terminal</t>
        </is>
      </c>
      <c r="C493" t="inlineStr">
        <is>
          <t>សូស៊ីយេតេ កុងសេស្យូនែរ ដឺ ឡាអេរ៉ូព័រ</t>
        </is>
      </c>
      <c r="D493" t="inlineStr">
        <is>
          <t>L001-100047300</t>
        </is>
      </c>
      <c r="E493" t="inlineStr">
        <is>
          <t>2400-040101</t>
        </is>
      </c>
      <c r="F493" t="inlineStr">
        <is>
          <t>30-05-2024</t>
        </is>
      </c>
      <c r="G493" t="n">
        <v>1439</v>
      </c>
      <c r="I493">
        <f>G493</f>
        <v/>
      </c>
      <c r="K493">
        <f>I493-G493</f>
        <v/>
      </c>
      <c r="M493" t="inlineStr">
        <is>
          <t>2400040101</t>
        </is>
      </c>
      <c r="N493" t="inlineStr"/>
      <c r="O493">
        <f>M493=N493</f>
        <v/>
      </c>
      <c r="P493">
        <f>AND(MONTH(F493)=MONTH(S493), YEAR(F493)=YEAR(S493))</f>
        <v/>
      </c>
      <c r="Q493">
        <f>"L001-902303751"=U493</f>
        <v/>
      </c>
      <c r="R493">
        <f>G493-W493</f>
        <v/>
      </c>
      <c r="S493" s="36" t="n">
        <v>45294</v>
      </c>
      <c r="T493" t="inlineStr"/>
      <c r="U493" t="inlineStr">
        <is>
          <t>L001-100011888</t>
        </is>
      </c>
      <c r="V493" t="inlineStr">
        <is>
          <t>ត្រេន ស្តារ ហ្រេ្វត</t>
        </is>
      </c>
      <c r="W493" t="n">
        <v>0</v>
      </c>
      <c r="X493" t="n">
        <v>0</v>
      </c>
    </row>
    <row r="494">
      <c r="A494" t="n">
        <v>493</v>
      </c>
      <c r="B494" t="inlineStr">
        <is>
          <t>Customs Clearance Fee</t>
        </is>
      </c>
      <c r="C494" t="inlineStr">
        <is>
          <t>ត្រាយអ៊ែងហ្គល ឡូជីស្ទីក (ខេមបូឌា) ឯ.ក</t>
        </is>
      </c>
      <c r="D494" t="inlineStr">
        <is>
          <t>K010-902101743</t>
        </is>
      </c>
      <c r="E494" t="inlineStr">
        <is>
          <t>TAG-24-00378</t>
        </is>
      </c>
      <c r="F494" t="inlineStr">
        <is>
          <t>31-05-2024</t>
        </is>
      </c>
      <c r="G494" t="n">
        <v>8186</v>
      </c>
      <c r="I494">
        <f>G494</f>
        <v/>
      </c>
      <c r="K494">
        <f>I494-G494</f>
        <v/>
      </c>
      <c r="M494" t="inlineStr">
        <is>
          <t>TAG2400378</t>
        </is>
      </c>
      <c r="N494" t="inlineStr">
        <is>
          <t>8164000</t>
        </is>
      </c>
      <c r="O494">
        <f>M494=N494</f>
        <v/>
      </c>
      <c r="P494">
        <f>AND(MONTH(F494)=MONTH(S494), YEAR(F494)=YEAR(S494))</f>
        <v/>
      </c>
      <c r="Q494">
        <f>"L001-902303751"=U494</f>
        <v/>
      </c>
      <c r="R494">
        <f>G494-W494</f>
        <v/>
      </c>
      <c r="S494" s="36" t="n">
        <v>45294</v>
      </c>
      <c r="T494" t="n">
        <v>81640</v>
      </c>
      <c r="U494" t="inlineStr">
        <is>
          <t>L001-103007369</t>
        </is>
      </c>
      <c r="V494" t="inlineStr">
        <is>
          <t>អូរៀនថល ឡូជីស្ទីក &amp; ឌីស្ទ្រីប៊្យូសិន (ខេមបូឌា)</t>
        </is>
      </c>
      <c r="W494" t="n">
        <v>81640</v>
      </c>
      <c r="X494" t="n">
        <v>0</v>
      </c>
    </row>
    <row r="495">
      <c r="A495" t="n">
        <v>494</v>
      </c>
      <c r="B495" t="inlineStr">
        <is>
          <t>Cargo Terminal</t>
        </is>
      </c>
      <c r="C495" t="inlineStr">
        <is>
          <t>សូស៊ីយេតេ កុងសេស្យូនែរ ដឺ ឡាអេរ៉ូព័រ</t>
        </is>
      </c>
      <c r="D495" t="inlineStr">
        <is>
          <t>L001-100047300</t>
        </is>
      </c>
      <c r="E495" t="inlineStr">
        <is>
          <t>2400-040096</t>
        </is>
      </c>
      <c r="F495" t="inlineStr">
        <is>
          <t>30-05-2024</t>
        </is>
      </c>
      <c r="G495" t="n">
        <v>1569</v>
      </c>
      <c r="I495">
        <f>G495</f>
        <v/>
      </c>
      <c r="K495">
        <f>I495-G495</f>
        <v/>
      </c>
      <c r="M495" t="inlineStr">
        <is>
          <t>2400040096</t>
        </is>
      </c>
      <c r="N495" t="inlineStr"/>
      <c r="O495">
        <f>M495=N495</f>
        <v/>
      </c>
      <c r="P495">
        <f>AND(MONTH(F495)=MONTH(S495), YEAR(F495)=YEAR(S495))</f>
        <v/>
      </c>
      <c r="Q495">
        <f>"L001-902303751"=U495</f>
        <v/>
      </c>
      <c r="R495">
        <f>G495-W495</f>
        <v/>
      </c>
      <c r="S495" s="36" t="n">
        <v>45293</v>
      </c>
      <c r="T495" t="inlineStr"/>
      <c r="U495" t="inlineStr">
        <is>
          <t>L001-100074669</t>
        </is>
      </c>
      <c r="V495" t="inlineStr">
        <is>
          <t>ខេអិលអិន ហ្វ្រេត (ខេមបូឌា) ឯ.ក</t>
        </is>
      </c>
      <c r="W495" t="n">
        <v>0</v>
      </c>
      <c r="X495" t="n">
        <v>0</v>
      </c>
    </row>
    <row r="496">
      <c r="A496" t="n">
        <v>495</v>
      </c>
      <c r="B496" t="inlineStr">
        <is>
          <t>Customs Clearance Fee</t>
        </is>
      </c>
      <c r="C496" t="inlineStr">
        <is>
          <t>ត្រាយអ៊ែងហ្គល ឡូជីស្ទីក (ខេមបូឌា) ឯ.ក</t>
        </is>
      </c>
      <c r="D496" t="inlineStr">
        <is>
          <t>K010-902101743</t>
        </is>
      </c>
      <c r="E496" t="inlineStr">
        <is>
          <t>TAG-24-00377</t>
        </is>
      </c>
      <c r="F496" t="inlineStr">
        <is>
          <t>31-05-2024</t>
        </is>
      </c>
      <c r="G496" t="n">
        <v>8186</v>
      </c>
      <c r="I496">
        <f>G496</f>
        <v/>
      </c>
      <c r="K496">
        <f>I496-G496</f>
        <v/>
      </c>
      <c r="M496" t="inlineStr">
        <is>
          <t>TAG2400377</t>
        </is>
      </c>
      <c r="N496" t="inlineStr"/>
      <c r="O496">
        <f>M496=N496</f>
        <v/>
      </c>
      <c r="P496">
        <f>AND(MONTH(F496)=MONTH(S496), YEAR(F496)=YEAR(S496))</f>
        <v/>
      </c>
      <c r="Q496">
        <f>"L001-902303751"=U496</f>
        <v/>
      </c>
      <c r="R496">
        <f>G496-W496</f>
        <v/>
      </c>
      <c r="S496" s="36" t="n">
        <v>45294</v>
      </c>
      <c r="T496" t="inlineStr"/>
      <c r="U496" t="inlineStr">
        <is>
          <t>K002-901800477</t>
        </is>
      </c>
      <c r="V496" t="inlineStr">
        <is>
          <t>អាយធីអាយ អ៊ិនធើណេសិនណល ត្រេនស័្ពរថេសិន (ខេមបូឌា) ឯ.ក</t>
        </is>
      </c>
      <c r="W496" t="n">
        <v>0</v>
      </c>
      <c r="X496" t="n">
        <v>0</v>
      </c>
    </row>
    <row r="497">
      <c r="A497" t="n">
        <v>496</v>
      </c>
      <c r="B497" t="inlineStr">
        <is>
          <t>Customs Clearance Fee</t>
        </is>
      </c>
      <c r="C497" t="inlineStr">
        <is>
          <t>ត្រាយអ៊ែងហ្គល ឡូជីស្ទីក (ខេមបូឌា) ឯ.ក</t>
        </is>
      </c>
      <c r="D497" t="inlineStr">
        <is>
          <t>K010-902101743</t>
        </is>
      </c>
      <c r="E497" t="inlineStr">
        <is>
          <t>TAG-24-00374</t>
        </is>
      </c>
      <c r="F497" t="inlineStr">
        <is>
          <t>31-05-2024</t>
        </is>
      </c>
      <c r="G497" t="n">
        <v>8186</v>
      </c>
      <c r="I497">
        <f>G497</f>
        <v/>
      </c>
      <c r="K497">
        <f>I497-G497</f>
        <v/>
      </c>
      <c r="M497" t="inlineStr">
        <is>
          <t>TAG2400374</t>
        </is>
      </c>
      <c r="N497" t="inlineStr"/>
      <c r="O497">
        <f>M497=N497</f>
        <v/>
      </c>
      <c r="P497">
        <f>AND(MONTH(F497)=MONTH(S497), YEAR(F497)=YEAR(S497))</f>
        <v/>
      </c>
      <c r="Q497">
        <f>"L001-902303751"=U497</f>
        <v/>
      </c>
      <c r="R497">
        <f>G497-W497</f>
        <v/>
      </c>
      <c r="S497" s="36" t="n">
        <v>45300</v>
      </c>
      <c r="T497" t="inlineStr"/>
      <c r="U497" t="inlineStr">
        <is>
          <t>K005-100059945</t>
        </is>
      </c>
      <c r="V497" t="inlineStr">
        <is>
          <t>អ៊ែតវ៉ានស៍ គ្លរី ឡូជីស្ទីក (ខេមបូឌា) (អេ ជី អិល)</t>
        </is>
      </c>
      <c r="W497" t="n">
        <v>0</v>
      </c>
      <c r="X497" t="n">
        <v>0</v>
      </c>
    </row>
    <row r="498">
      <c r="A498" t="n">
        <v>497</v>
      </c>
      <c r="B498" t="inlineStr">
        <is>
          <t>Cargo Terminal</t>
        </is>
      </c>
      <c r="C498" t="inlineStr">
        <is>
          <t>សូស៊ីយេតេ កុងសេស្យូនែរ ដឺ ឡាអេរ៉ូព័រ</t>
        </is>
      </c>
      <c r="D498" t="inlineStr">
        <is>
          <t>L001-100047300</t>
        </is>
      </c>
      <c r="E498" t="inlineStr">
        <is>
          <t>2400-038261</t>
        </is>
      </c>
      <c r="F498" t="inlineStr">
        <is>
          <t>24-05-2024</t>
        </is>
      </c>
      <c r="G498" t="n">
        <v>816</v>
      </c>
      <c r="I498">
        <f>G498</f>
        <v/>
      </c>
      <c r="K498">
        <f>I498-G498</f>
        <v/>
      </c>
      <c r="M498" t="inlineStr">
        <is>
          <t>2400038261</t>
        </is>
      </c>
      <c r="N498" t="inlineStr">
        <is>
          <t>295926600</t>
        </is>
      </c>
      <c r="O498">
        <f>M498=N498</f>
        <v/>
      </c>
      <c r="P498">
        <f>AND(MONTH(F498)=MONTH(S498), YEAR(F498)=YEAR(S498))</f>
        <v/>
      </c>
      <c r="Q498">
        <f>"L001-902303751"=U498</f>
        <v/>
      </c>
      <c r="R498">
        <f>G498-W498</f>
        <v/>
      </c>
      <c r="S498" s="36" t="n">
        <v>45304</v>
      </c>
      <c r="T498" t="n">
        <v>2959266</v>
      </c>
      <c r="U498" t="inlineStr">
        <is>
          <t>K004-105012505</t>
        </is>
      </c>
      <c r="V498" t="inlineStr">
        <is>
          <t>អេស៊ាន ហ្វ្រេត (ខេមបូឌា)</t>
        </is>
      </c>
      <c r="W498" t="n">
        <v>2959266</v>
      </c>
      <c r="X498" t="n">
        <v>0</v>
      </c>
    </row>
    <row r="499">
      <c r="A499" t="n">
        <v>498</v>
      </c>
      <c r="B499" t="inlineStr">
        <is>
          <t>Customs Clearance Fee</t>
        </is>
      </c>
      <c r="C499" t="inlineStr">
        <is>
          <t>ត្រាយអ៊ែងហ្គល ឡូជីស្ទីក (ខេមបូឌា) ឯ.ក</t>
        </is>
      </c>
      <c r="D499" t="inlineStr">
        <is>
          <t>K010-902101743</t>
        </is>
      </c>
      <c r="E499" t="inlineStr">
        <is>
          <t>TAG-24-00373</t>
        </is>
      </c>
      <c r="F499" t="inlineStr">
        <is>
          <t>31-05-2024</t>
        </is>
      </c>
      <c r="G499" t="n">
        <v>8186</v>
      </c>
      <c r="I499">
        <f>G499</f>
        <v/>
      </c>
      <c r="K499">
        <f>I499-G499</f>
        <v/>
      </c>
      <c r="M499" t="inlineStr">
        <is>
          <t>TAG2400373</t>
        </is>
      </c>
      <c r="N499" t="inlineStr">
        <is>
          <t>11026800</t>
        </is>
      </c>
      <c r="O499">
        <f>M499=N499</f>
        <v/>
      </c>
      <c r="P499">
        <f>AND(MONTH(F499)=MONTH(S499), YEAR(F499)=YEAR(S499))</f>
        <v/>
      </c>
      <c r="Q499">
        <f>"L001-902303751"=U499</f>
        <v/>
      </c>
      <c r="R499">
        <f>G499-W499</f>
        <v/>
      </c>
      <c r="S499" s="36" t="n">
        <v>45303</v>
      </c>
      <c r="T499" t="n">
        <v>110268</v>
      </c>
      <c r="U499" t="inlineStr">
        <is>
          <t>K005-100059945</t>
        </is>
      </c>
      <c r="V499" t="inlineStr">
        <is>
          <t>អ៊ែតវ៉ានស៍ គ្លរី ឡូជីស្ទីក (ខេមបូឌា) (អេ ជី អិល)</t>
        </is>
      </c>
      <c r="W499" t="n">
        <v>110268</v>
      </c>
      <c r="X499" t="n">
        <v>0</v>
      </c>
    </row>
    <row r="500">
      <c r="A500" t="n">
        <v>499</v>
      </c>
      <c r="B500" t="inlineStr">
        <is>
          <t>Cargo Terminal</t>
        </is>
      </c>
      <c r="C500" t="inlineStr">
        <is>
          <t>សូស៊ីយេតេ កុងសេស្យូនែរ ដឺ ឡាអេរ៉ូព័រ</t>
        </is>
      </c>
      <c r="D500" t="inlineStr">
        <is>
          <t>L001-100047300</t>
        </is>
      </c>
      <c r="E500" t="inlineStr">
        <is>
          <t>2400-038612</t>
        </is>
      </c>
      <c r="F500" t="inlineStr">
        <is>
          <t>25-05-2024</t>
        </is>
      </c>
      <c r="G500" t="n">
        <v>6560</v>
      </c>
      <c r="I500">
        <f>G500</f>
        <v/>
      </c>
      <c r="K500">
        <f>I500-G500</f>
        <v/>
      </c>
      <c r="M500" t="inlineStr">
        <is>
          <t>2400038612</t>
        </is>
      </c>
      <c r="N500" t="inlineStr">
        <is>
          <t>11029500</t>
        </is>
      </c>
      <c r="O500">
        <f>M500=N500</f>
        <v/>
      </c>
      <c r="P500">
        <f>AND(MONTH(F500)=MONTH(S500), YEAR(F500)=YEAR(S500))</f>
        <v/>
      </c>
      <c r="Q500">
        <f>"L001-902303751"=U500</f>
        <v/>
      </c>
      <c r="R500">
        <f>G500-W500</f>
        <v/>
      </c>
      <c r="S500" s="36" t="n">
        <v>45292</v>
      </c>
      <c r="T500" t="n">
        <v>110295</v>
      </c>
      <c r="U500" t="inlineStr">
        <is>
          <t>L001-107000385</t>
        </is>
      </c>
      <c r="V500" t="inlineStr">
        <is>
          <t>អិចស្ពោលាំងកា ហ្រ្វេត (ខេមបូឌា) លីមីធីត</t>
        </is>
      </c>
      <c r="W500" t="n">
        <v>110295</v>
      </c>
      <c r="X500" t="n">
        <v>0</v>
      </c>
    </row>
    <row r="501">
      <c r="A501" t="n">
        <v>500</v>
      </c>
      <c r="B501" t="inlineStr">
        <is>
          <t>Customs Clearance Fee</t>
        </is>
      </c>
      <c r="C501" t="inlineStr">
        <is>
          <t>ត្រាយអ៊ែងហ្គល ឡូជីស្ទីក (ខេមបូឌា) ឯ.ក</t>
        </is>
      </c>
      <c r="D501" t="inlineStr">
        <is>
          <t>K010-902101743</t>
        </is>
      </c>
      <c r="E501" t="inlineStr">
        <is>
          <t>TAG-24-00372</t>
        </is>
      </c>
      <c r="F501" t="inlineStr">
        <is>
          <t>31-05-2024</t>
        </is>
      </c>
      <c r="G501" t="n">
        <v>8186</v>
      </c>
      <c r="I501">
        <f>G501</f>
        <v/>
      </c>
      <c r="K501">
        <f>I501-G501</f>
        <v/>
      </c>
      <c r="M501" t="inlineStr">
        <is>
          <t>TAG2400372</t>
        </is>
      </c>
      <c r="N501" t="inlineStr"/>
      <c r="O501">
        <f>M501=N501</f>
        <v/>
      </c>
      <c r="P501">
        <f>AND(MONTH(F501)=MONTH(S501), YEAR(F501)=YEAR(S501))</f>
        <v/>
      </c>
      <c r="Q501">
        <f>"L001-902303751"=U501</f>
        <v/>
      </c>
      <c r="R501">
        <f>G501-W501</f>
        <v/>
      </c>
      <c r="S501" s="36" t="n">
        <v>45294</v>
      </c>
      <c r="T501" t="inlineStr"/>
      <c r="U501" t="inlineStr">
        <is>
          <t>L001-103007369</t>
        </is>
      </c>
      <c r="V501" t="inlineStr">
        <is>
          <t>អូរៀនថល ឡូជីស្ទីក &amp; ឌីស្ទ្រីប៊្យូសិន (ខេមបូឌា)</t>
        </is>
      </c>
      <c r="W501" t="n">
        <v>0</v>
      </c>
      <c r="X501" t="n">
        <v>0</v>
      </c>
    </row>
    <row r="502">
      <c r="A502" t="n">
        <v>501</v>
      </c>
      <c r="B502" t="inlineStr">
        <is>
          <t>Cargo Terminal</t>
        </is>
      </c>
      <c r="C502" t="inlineStr">
        <is>
          <t>សូស៊ីយេតេ កុងសេស្យូនែរ ដឺ ឡាអេរ៉ូព័រ</t>
        </is>
      </c>
      <c r="D502" t="inlineStr">
        <is>
          <t>L001-100047300</t>
        </is>
      </c>
      <c r="E502" t="inlineStr">
        <is>
          <t>2400-038611</t>
        </is>
      </c>
      <c r="F502" t="inlineStr">
        <is>
          <t>25-05-2024</t>
        </is>
      </c>
      <c r="G502" t="n">
        <v>849</v>
      </c>
      <c r="I502">
        <f>G502</f>
        <v/>
      </c>
      <c r="K502">
        <f>I502-G502</f>
        <v/>
      </c>
      <c r="M502" t="inlineStr">
        <is>
          <t>2400038611</t>
        </is>
      </c>
      <c r="N502" t="inlineStr">
        <is>
          <t>8164000</t>
        </is>
      </c>
      <c r="O502">
        <f>M502=N502</f>
        <v/>
      </c>
      <c r="P502">
        <f>AND(MONTH(F502)=MONTH(S502), YEAR(F502)=YEAR(S502))</f>
        <v/>
      </c>
      <c r="Q502">
        <f>"L001-902303751"=U502</f>
        <v/>
      </c>
      <c r="R502">
        <f>G502-W502</f>
        <v/>
      </c>
      <c r="S502" s="36" t="n">
        <v>45294</v>
      </c>
      <c r="T502" t="n">
        <v>81640</v>
      </c>
      <c r="U502" t="inlineStr">
        <is>
          <t>L001-103007369</t>
        </is>
      </c>
      <c r="V502" t="inlineStr">
        <is>
          <t>អូរៀនថល ឡូជីស្ទីក &amp; ឌីស្ទ្រីប៊្យូសិន (ខេមបូឌា)</t>
        </is>
      </c>
      <c r="W502" t="n">
        <v>81640</v>
      </c>
      <c r="X502" t="n">
        <v>0</v>
      </c>
    </row>
    <row r="503">
      <c r="A503" t="n">
        <v>502</v>
      </c>
      <c r="B503" t="inlineStr">
        <is>
          <t>Customs Clearance Fee</t>
        </is>
      </c>
      <c r="C503" t="inlineStr">
        <is>
          <t>ត្រាយអ៊ែងហ្គល ឡូជីស្ទីក (ខេមបូឌា) ឯ.ក</t>
        </is>
      </c>
      <c r="D503" t="inlineStr">
        <is>
          <t>K010-902101743</t>
        </is>
      </c>
      <c r="E503" t="inlineStr">
        <is>
          <t>TAG-24-00371</t>
        </is>
      </c>
      <c r="F503" t="inlineStr">
        <is>
          <t>31-05-2024</t>
        </is>
      </c>
      <c r="G503" t="n">
        <v>8186</v>
      </c>
      <c r="I503">
        <f>G503</f>
        <v/>
      </c>
      <c r="K503">
        <f>I503-G503</f>
        <v/>
      </c>
      <c r="M503" t="inlineStr">
        <is>
          <t>TAG2400371</t>
        </is>
      </c>
      <c r="N503" t="inlineStr">
        <is>
          <t>11021400</t>
        </is>
      </c>
      <c r="O503">
        <f>M503=N503</f>
        <v/>
      </c>
      <c r="P503">
        <f>AND(MONTH(F503)=MONTH(S503), YEAR(F503)=YEAR(S503))</f>
        <v/>
      </c>
      <c r="Q503">
        <f>"L001-902303751"=U503</f>
        <v/>
      </c>
      <c r="R503">
        <f>G503-W503</f>
        <v/>
      </c>
      <c r="S503" s="36" t="n">
        <v>45294</v>
      </c>
      <c r="T503" t="n">
        <v>110214</v>
      </c>
      <c r="U503" t="inlineStr">
        <is>
          <t>K002-901800477</t>
        </is>
      </c>
      <c r="V503" t="inlineStr">
        <is>
          <t>អាយធីអាយ អ៊ិនធើណេសិនណល ត្រេនស័្ពរថេសិន (ខេមបូឌា) ឯ.ក</t>
        </is>
      </c>
      <c r="W503" t="n">
        <v>110214</v>
      </c>
      <c r="X503" t="n">
        <v>0</v>
      </c>
    </row>
    <row r="504">
      <c r="A504" t="n">
        <v>503</v>
      </c>
      <c r="B504" t="inlineStr">
        <is>
          <t>Cargo Terminal</t>
        </is>
      </c>
      <c r="C504" t="inlineStr">
        <is>
          <t>សូស៊ីយេតេ កុងសេស្យូនែរ ដឺ ឡាអេរ៉ូព័រ</t>
        </is>
      </c>
      <c r="D504" t="inlineStr">
        <is>
          <t>L001-100047300</t>
        </is>
      </c>
      <c r="E504" t="inlineStr">
        <is>
          <t>2400-037703</t>
        </is>
      </c>
      <c r="F504" t="inlineStr">
        <is>
          <t>23-05-2024</t>
        </is>
      </c>
      <c r="G504" t="n">
        <v>1861</v>
      </c>
      <c r="I504">
        <f>G504</f>
        <v/>
      </c>
      <c r="K504">
        <f>I504-G504</f>
        <v/>
      </c>
      <c r="M504" t="inlineStr">
        <is>
          <t>2400037703</t>
        </is>
      </c>
      <c r="N504" t="inlineStr">
        <is>
          <t>11061900</t>
        </is>
      </c>
      <c r="O504">
        <f>M504=N504</f>
        <v/>
      </c>
      <c r="P504">
        <f>AND(MONTH(F504)=MONTH(S504), YEAR(F504)=YEAR(S504))</f>
        <v/>
      </c>
      <c r="Q504">
        <f>"L001-902303751"=U504</f>
        <v/>
      </c>
      <c r="R504">
        <f>G504-W504</f>
        <v/>
      </c>
      <c r="S504" s="36" t="n">
        <v>45300</v>
      </c>
      <c r="T504" t="n">
        <v>110619</v>
      </c>
      <c r="U504" t="inlineStr">
        <is>
          <t>L001-107032791</t>
        </is>
      </c>
      <c r="V504" t="inlineStr">
        <is>
          <t>នីបផន អិចប្រេស (ខេមបូឌា) ខូ អិលធីឌី</t>
        </is>
      </c>
      <c r="W504" t="n">
        <v>110619</v>
      </c>
      <c r="X504" t="n">
        <v>0</v>
      </c>
    </row>
    <row r="505">
      <c r="A505" t="n">
        <v>504</v>
      </c>
      <c r="B505" t="inlineStr">
        <is>
          <t>Customs Clearance Fee</t>
        </is>
      </c>
      <c r="C505" t="inlineStr">
        <is>
          <t>ត្រាយអ៊ែងហ្គល ឡូជីស្ទីក (ខេមបូឌា) ឯ.ក</t>
        </is>
      </c>
      <c r="D505" t="inlineStr">
        <is>
          <t>K010-902101743</t>
        </is>
      </c>
      <c r="E505" t="inlineStr">
        <is>
          <t>TAG-24-00360</t>
        </is>
      </c>
      <c r="F505" t="inlineStr">
        <is>
          <t>23-05-2024</t>
        </is>
      </c>
      <c r="G505" t="n">
        <v>8154</v>
      </c>
      <c r="I505">
        <f>G505</f>
        <v/>
      </c>
      <c r="K505">
        <f>I505-G505</f>
        <v/>
      </c>
      <c r="M505" t="inlineStr">
        <is>
          <t>TAG2400360</t>
        </is>
      </c>
      <c r="N505" t="inlineStr"/>
      <c r="O505">
        <f>M505=N505</f>
        <v/>
      </c>
      <c r="P505">
        <f>AND(MONTH(F505)=MONTH(S505), YEAR(F505)=YEAR(S505))</f>
        <v/>
      </c>
      <c r="Q505">
        <f>"L001-902303751"=U505</f>
        <v/>
      </c>
      <c r="R505">
        <f>G505-W505</f>
        <v/>
      </c>
      <c r="S505" s="36" t="n">
        <v>45294</v>
      </c>
      <c r="T505" t="inlineStr"/>
      <c r="U505" t="inlineStr">
        <is>
          <t>K002-901800477</t>
        </is>
      </c>
      <c r="V505" t="inlineStr">
        <is>
          <t>អាយធីអាយ អ៊ិនធើណេសិនណល ត្រេនស័្ពរថេសិន (ខេមបូឌា) ឯ.ក</t>
        </is>
      </c>
      <c r="W505" t="n">
        <v>0</v>
      </c>
      <c r="X505" t="n">
        <v>0</v>
      </c>
    </row>
    <row r="506">
      <c r="A506" t="n">
        <v>505</v>
      </c>
      <c r="B506" t="inlineStr">
        <is>
          <t>Cargo Terminal</t>
        </is>
      </c>
      <c r="C506" t="inlineStr">
        <is>
          <t>សូស៊ីយេតេ កុងសេស្យូនែរ ដឺ ឡាអេរ៉ូព័រ</t>
        </is>
      </c>
      <c r="D506" t="inlineStr">
        <is>
          <t>L001-100047300</t>
        </is>
      </c>
      <c r="E506" t="inlineStr">
        <is>
          <t>2400-036840</t>
        </is>
      </c>
      <c r="F506" t="inlineStr">
        <is>
          <t>20-05-2024</t>
        </is>
      </c>
      <c r="G506" t="n">
        <v>16015</v>
      </c>
      <c r="I506">
        <f>G506</f>
        <v/>
      </c>
      <c r="K506">
        <f>I506-G506</f>
        <v/>
      </c>
      <c r="M506" t="inlineStr">
        <is>
          <t>2400036840</t>
        </is>
      </c>
      <c r="N506" t="inlineStr">
        <is>
          <t>8164000</t>
        </is>
      </c>
      <c r="O506">
        <f>M506=N506</f>
        <v/>
      </c>
      <c r="P506">
        <f>AND(MONTH(F506)=MONTH(S506), YEAR(F506)=YEAR(S506))</f>
        <v/>
      </c>
      <c r="Q506">
        <f>"L001-902303751"=U506</f>
        <v/>
      </c>
      <c r="R506">
        <f>G506-W506</f>
        <v/>
      </c>
      <c r="S506" s="36" t="n">
        <v>45294</v>
      </c>
      <c r="T506" t="n">
        <v>81640</v>
      </c>
      <c r="U506" t="inlineStr">
        <is>
          <t>K005-901501155</t>
        </is>
      </c>
      <c r="V506" t="inlineStr">
        <is>
          <t>ផេនដា គ្លូប៊ល ឡូជីស្ទីក (ខេមបូឌា)</t>
        </is>
      </c>
      <c r="W506" t="n">
        <v>81640</v>
      </c>
      <c r="X506" t="n">
        <v>0</v>
      </c>
    </row>
    <row r="507">
      <c r="A507" t="n">
        <v>506</v>
      </c>
      <c r="B507" t="inlineStr">
        <is>
          <t>Customs Clearance Fee</t>
        </is>
      </c>
      <c r="C507" t="inlineStr">
        <is>
          <t>ត្រាយអ៊ែងហ្គល ឡូជីស្ទីក (ខេមបូឌា) ឯ.ក</t>
        </is>
      </c>
      <c r="D507" t="inlineStr">
        <is>
          <t>K010-902101743</t>
        </is>
      </c>
      <c r="E507" t="inlineStr">
        <is>
          <t>TAG-24-00354</t>
        </is>
      </c>
      <c r="F507" t="inlineStr">
        <is>
          <t>20-05-2024</t>
        </is>
      </c>
      <c r="G507" t="n">
        <v>8154</v>
      </c>
      <c r="I507">
        <f>G507</f>
        <v/>
      </c>
      <c r="K507">
        <f>I507-G507</f>
        <v/>
      </c>
      <c r="M507" t="inlineStr">
        <is>
          <t>TAG2400354</t>
        </is>
      </c>
      <c r="N507" t="inlineStr">
        <is>
          <t>17140200</t>
        </is>
      </c>
      <c r="O507">
        <f>M507=N507</f>
        <v/>
      </c>
      <c r="P507">
        <f>AND(MONTH(F507)=MONTH(S507), YEAR(F507)=YEAR(S507))</f>
        <v/>
      </c>
      <c r="Q507">
        <f>"L001-902303751"=U507</f>
        <v/>
      </c>
      <c r="R507">
        <f>G507-W507</f>
        <v/>
      </c>
      <c r="S507" s="36" t="n">
        <v>45320</v>
      </c>
      <c r="T507" t="n">
        <v>171402</v>
      </c>
      <c r="U507" t="inlineStr">
        <is>
          <t>K005-100150195</t>
        </is>
      </c>
      <c r="V507" t="inlineStr">
        <is>
          <t>អេស អ វី ស៊ី ហ្វ្រេត សឺវីស (ខេមបូឌា) ខូ អិលធីឌី</t>
        </is>
      </c>
      <c r="W507" t="n">
        <v>171402</v>
      </c>
      <c r="X507" t="n">
        <v>0</v>
      </c>
    </row>
    <row r="508">
      <c r="A508" t="n">
        <v>507</v>
      </c>
      <c r="B508" t="inlineStr">
        <is>
          <t>Customs Clearance Fee</t>
        </is>
      </c>
      <c r="C508" t="inlineStr">
        <is>
          <t>ត្រាយអ៊ែងហ្គល ឡូជីស្ទីក (ខេមបូឌា) ឯ.ក</t>
        </is>
      </c>
      <c r="D508" t="inlineStr">
        <is>
          <t>K010-902101743</t>
        </is>
      </c>
      <c r="E508" t="inlineStr">
        <is>
          <t>TAG-24-00351</t>
        </is>
      </c>
      <c r="F508" t="inlineStr">
        <is>
          <t>20-05-2024</t>
        </is>
      </c>
      <c r="G508" t="n">
        <v>8154</v>
      </c>
      <c r="I508">
        <f>G508</f>
        <v/>
      </c>
      <c r="K508">
        <f>I508-G508</f>
        <v/>
      </c>
      <c r="M508" t="inlineStr">
        <is>
          <t>TAG2400351</t>
        </is>
      </c>
      <c r="N508" t="inlineStr">
        <is>
          <t>29826200</t>
        </is>
      </c>
      <c r="O508">
        <f>M508=N508</f>
        <v/>
      </c>
      <c r="P508">
        <f>AND(MONTH(F508)=MONTH(S508), YEAR(F508)=YEAR(S508))</f>
        <v/>
      </c>
      <c r="Q508">
        <f>"L001-902303751"=U508</f>
        <v/>
      </c>
      <c r="R508">
        <f>G508-W508</f>
        <v/>
      </c>
      <c r="S508" s="36" t="n">
        <v>45300</v>
      </c>
      <c r="T508" t="n">
        <v>298262</v>
      </c>
      <c r="U508" t="inlineStr">
        <is>
          <t>L001-100045340</t>
        </is>
      </c>
      <c r="V508" t="inlineStr">
        <is>
          <t xml:space="preserve">ស៊ីវ៉ា អ៊ែរ អ៊ែន អូសៀន (ខេមបូឌា) ឯ.ក </t>
        </is>
      </c>
      <c r="W508" t="n">
        <v>298262</v>
      </c>
      <c r="X508" t="n">
        <v>0</v>
      </c>
    </row>
    <row r="509">
      <c r="A509" t="n">
        <v>508</v>
      </c>
      <c r="B509" t="inlineStr">
        <is>
          <t>Customs Clearance Fee</t>
        </is>
      </c>
      <c r="C509" t="inlineStr">
        <is>
          <t>ត្រាយអ៊ែងហ្គល ឡូជីស្ទីក (ខេមបូឌា) ឯ.ក</t>
        </is>
      </c>
      <c r="D509" t="inlineStr">
        <is>
          <t>K010-902101743</t>
        </is>
      </c>
      <c r="E509" t="inlineStr">
        <is>
          <t>TAG-24-00342</t>
        </is>
      </c>
      <c r="F509" t="inlineStr">
        <is>
          <t>17-05-2024</t>
        </is>
      </c>
      <c r="G509" t="n">
        <v>8156</v>
      </c>
      <c r="I509">
        <f>G509</f>
        <v/>
      </c>
      <c r="K509">
        <f>I509-G509</f>
        <v/>
      </c>
      <c r="M509" t="inlineStr">
        <is>
          <t>TAG2400342</t>
        </is>
      </c>
      <c r="N509" t="inlineStr">
        <is>
          <t>8152000</t>
        </is>
      </c>
      <c r="O509">
        <f>M509=N509</f>
        <v/>
      </c>
      <c r="P509">
        <f>AND(MONTH(F509)=MONTH(S509), YEAR(F509)=YEAR(S509))</f>
        <v/>
      </c>
      <c r="Q509">
        <f>"L001-902303751"=U509</f>
        <v/>
      </c>
      <c r="R509">
        <f>G509-W509</f>
        <v/>
      </c>
      <c r="S509" s="36" t="n">
        <v>45310</v>
      </c>
      <c r="T509" t="n">
        <v>81520</v>
      </c>
      <c r="U509" t="inlineStr">
        <is>
          <t>K009-902002784</t>
        </is>
      </c>
      <c r="V509" t="inlineStr">
        <is>
          <t>ខាហ្គោលីង អ៊ិនធើណេសិនណល ឯ.ក</t>
        </is>
      </c>
      <c r="W509" t="n">
        <v>81520</v>
      </c>
      <c r="X509" t="n">
        <v>0</v>
      </c>
    </row>
    <row r="510">
      <c r="A510" t="n">
        <v>509</v>
      </c>
      <c r="B510" t="inlineStr">
        <is>
          <t>Cargo Terminal</t>
        </is>
      </c>
      <c r="C510" t="inlineStr">
        <is>
          <t>សូស៊ីយេតេ កុងសេស្យូនែរ ដឺ ឡាអេរ៉ូព័រ</t>
        </is>
      </c>
      <c r="D510" t="inlineStr">
        <is>
          <t>L001-100047300</t>
        </is>
      </c>
      <c r="E510" t="inlineStr">
        <is>
          <t>2400-036121</t>
        </is>
      </c>
      <c r="F510" t="inlineStr">
        <is>
          <t>18-05-2024</t>
        </is>
      </c>
      <c r="G510" t="n">
        <v>5939</v>
      </c>
      <c r="I510">
        <f>G510</f>
        <v/>
      </c>
      <c r="K510">
        <f>I510-G510</f>
        <v/>
      </c>
      <c r="M510" t="inlineStr">
        <is>
          <t>2400036121</t>
        </is>
      </c>
      <c r="N510" t="inlineStr">
        <is>
          <t>11024100</t>
        </is>
      </c>
      <c r="O510">
        <f>M510=N510</f>
        <v/>
      </c>
      <c r="P510">
        <f>AND(MONTH(F510)=MONTH(S510), YEAR(F510)=YEAR(S510))</f>
        <v/>
      </c>
      <c r="Q510">
        <f>"L001-902303751"=U510</f>
        <v/>
      </c>
      <c r="R510">
        <f>G510-W510</f>
        <v/>
      </c>
      <c r="S510" s="36" t="n">
        <v>45307</v>
      </c>
      <c r="T510" t="n">
        <v>110241</v>
      </c>
      <c r="U510" t="inlineStr">
        <is>
          <t>L001-100045995</t>
        </is>
      </c>
      <c r="V510" t="inlineStr">
        <is>
          <t>ឌីអេចអិល ឡូជីស្ទីក (ខេមបូឌា)</t>
        </is>
      </c>
      <c r="W510" t="n">
        <v>110241</v>
      </c>
      <c r="X510" t="n">
        <v>0</v>
      </c>
    </row>
    <row r="511">
      <c r="A511" t="n">
        <v>510</v>
      </c>
      <c r="B511" t="inlineStr">
        <is>
          <t>Customs Clearance Fee</t>
        </is>
      </c>
      <c r="C511" t="inlineStr">
        <is>
          <t>ត្រាយអ៊ែងហ្គល ឡូជីស្ទីក (ខេមបូឌា) ឯ.ក</t>
        </is>
      </c>
      <c r="D511" t="inlineStr">
        <is>
          <t>K010-902101743</t>
        </is>
      </c>
      <c r="E511" t="inlineStr">
        <is>
          <t>TAG-24-00341</t>
        </is>
      </c>
      <c r="F511" t="inlineStr">
        <is>
          <t>17-05-2024</t>
        </is>
      </c>
      <c r="G511" t="n">
        <v>8156</v>
      </c>
      <c r="I511">
        <f>G511</f>
        <v/>
      </c>
      <c r="K511">
        <f>I511-G511</f>
        <v/>
      </c>
      <c r="M511" t="inlineStr">
        <is>
          <t>TAG2400341</t>
        </is>
      </c>
      <c r="N511" t="inlineStr"/>
      <c r="O511">
        <f>M511=N511</f>
        <v/>
      </c>
      <c r="P511">
        <f>AND(MONTH(F511)=MONTH(S511), YEAR(F511)=YEAR(S511))</f>
        <v/>
      </c>
      <c r="Q511">
        <f>"L001-902303751"=U511</f>
        <v/>
      </c>
      <c r="R511">
        <f>G511-W511</f>
        <v/>
      </c>
      <c r="S511" s="36" t="n">
        <v>45313</v>
      </c>
      <c r="T511" t="inlineStr"/>
      <c r="U511" t="inlineStr">
        <is>
          <t>L001-100074669</t>
        </is>
      </c>
      <c r="V511" t="inlineStr">
        <is>
          <t>ខេអិលអិន ហ្វ្រេត (ខេមបូឌា) ឯ.ក</t>
        </is>
      </c>
      <c r="W511" t="n">
        <v>0</v>
      </c>
      <c r="X511" t="n">
        <v>0</v>
      </c>
    </row>
    <row r="512">
      <c r="A512" t="n">
        <v>511</v>
      </c>
      <c r="B512" t="inlineStr">
        <is>
          <t>Customs Clearance Fee</t>
        </is>
      </c>
      <c r="C512" t="inlineStr">
        <is>
          <t>ត្រាយអ៊ែងហ្គល ឡូជីស្ទីក (ខេមបូឌា) ឯ.ក</t>
        </is>
      </c>
      <c r="D512" t="inlineStr">
        <is>
          <t>K010-902101743</t>
        </is>
      </c>
      <c r="E512" t="inlineStr">
        <is>
          <t>TAG-24-00340</t>
        </is>
      </c>
      <c r="F512" t="inlineStr">
        <is>
          <t>17-05-2024</t>
        </is>
      </c>
      <c r="G512" t="n">
        <v>8156</v>
      </c>
      <c r="I512">
        <f>G512</f>
        <v/>
      </c>
      <c r="K512">
        <f>I512-G512</f>
        <v/>
      </c>
      <c r="M512" t="inlineStr">
        <is>
          <t>TAG2400340</t>
        </is>
      </c>
      <c r="N512" t="inlineStr">
        <is>
          <t>20486600</t>
        </is>
      </c>
      <c r="O512">
        <f>M512=N512</f>
        <v/>
      </c>
      <c r="P512">
        <f>AND(MONTH(F512)=MONTH(S512), YEAR(F512)=YEAR(S512))</f>
        <v/>
      </c>
      <c r="Q512">
        <f>"L001-902303751"=U512</f>
        <v/>
      </c>
      <c r="R512">
        <f>G512-W512</f>
        <v/>
      </c>
      <c r="S512" s="36" t="n">
        <v>45320</v>
      </c>
      <c r="T512" t="n">
        <v>204866</v>
      </c>
      <c r="U512" t="inlineStr">
        <is>
          <t>L001-100074669</t>
        </is>
      </c>
      <c r="V512" t="inlineStr">
        <is>
          <t>ខេអិលអិន ហ្វ្រេត (ខេមបូឌា) ឯ.ក</t>
        </is>
      </c>
      <c r="W512" t="n">
        <v>204866</v>
      </c>
      <c r="X512" t="n">
        <v>0</v>
      </c>
    </row>
    <row r="513">
      <c r="A513" t="n">
        <v>512</v>
      </c>
      <c r="B513" t="inlineStr">
        <is>
          <t>Cargo Terminal</t>
        </is>
      </c>
      <c r="C513" t="inlineStr">
        <is>
          <t>សូស៊ីយេតេ កុងសេស្យូនែរ ដឺ ឡាអេរ៉ូព័រ</t>
        </is>
      </c>
      <c r="D513" t="inlineStr">
        <is>
          <t>L001-100047300</t>
        </is>
      </c>
      <c r="E513" t="inlineStr">
        <is>
          <t>2400-034272</t>
        </is>
      </c>
      <c r="F513" t="inlineStr">
        <is>
          <t>11-05-2024</t>
        </is>
      </c>
      <c r="G513" t="n">
        <v>20380</v>
      </c>
      <c r="I513">
        <f>G513</f>
        <v/>
      </c>
      <c r="K513">
        <f>I513-G513</f>
        <v/>
      </c>
      <c r="M513" t="inlineStr">
        <is>
          <t>2400034272</t>
        </is>
      </c>
      <c r="N513" t="inlineStr"/>
      <c r="O513">
        <f>M513=N513</f>
        <v/>
      </c>
      <c r="P513">
        <f>AND(MONTH(F513)=MONTH(S513), YEAR(F513)=YEAR(S513))</f>
        <v/>
      </c>
      <c r="Q513">
        <f>"L001-902303751"=U513</f>
        <v/>
      </c>
      <c r="R513">
        <f>G513-W513</f>
        <v/>
      </c>
      <c r="S513" s="36" t="n">
        <v>45320</v>
      </c>
      <c r="T513" t="inlineStr"/>
      <c r="U513" t="inlineStr">
        <is>
          <t>L001-100074669</t>
        </is>
      </c>
      <c r="V513" t="inlineStr">
        <is>
          <t>ខេអិលអិន ហ្វ្រេត (ខេមបូឌា) ឯ.ក</t>
        </is>
      </c>
      <c r="W513" t="n">
        <v>0</v>
      </c>
      <c r="X513" t="n">
        <v>0</v>
      </c>
    </row>
    <row r="514">
      <c r="A514" t="n">
        <v>513</v>
      </c>
      <c r="B514" t="inlineStr">
        <is>
          <t>Customs Clearance Fee</t>
        </is>
      </c>
      <c r="C514" t="inlineStr">
        <is>
          <t>ត្រាយអ៊ែងហ្គល ឡូជីស្ទីក (ខេមបូឌា) ឯ.ក</t>
        </is>
      </c>
      <c r="D514" t="inlineStr">
        <is>
          <t>K010-902101743</t>
        </is>
      </c>
      <c r="E514" t="inlineStr">
        <is>
          <t>TAG-24-00326</t>
        </is>
      </c>
      <c r="F514" t="inlineStr">
        <is>
          <t>13-05-2024</t>
        </is>
      </c>
      <c r="G514" t="n">
        <v>8154</v>
      </c>
      <c r="I514">
        <f>G514</f>
        <v/>
      </c>
      <c r="K514">
        <f>I514-G514</f>
        <v/>
      </c>
      <c r="M514" t="inlineStr">
        <is>
          <t>TAG2400326</t>
        </is>
      </c>
      <c r="N514" t="inlineStr">
        <is>
          <t>8164000</t>
        </is>
      </c>
      <c r="O514">
        <f>M514=N514</f>
        <v/>
      </c>
      <c r="P514">
        <f>AND(MONTH(F514)=MONTH(S514), YEAR(F514)=YEAR(S514))</f>
        <v/>
      </c>
      <c r="Q514">
        <f>"L001-902303751"=U514</f>
        <v/>
      </c>
      <c r="R514">
        <f>G514-W514</f>
        <v/>
      </c>
      <c r="S514" s="36" t="n">
        <v>45294</v>
      </c>
      <c r="T514" t="n">
        <v>81640</v>
      </c>
      <c r="U514" t="inlineStr">
        <is>
          <t>K002-901800477</t>
        </is>
      </c>
      <c r="V514" t="inlineStr">
        <is>
          <t>អាយធីអាយ អ៊ិនធើណេសិនណល ត្រេនស័្ពរថេសិន (ខេមបូឌា) ឯ.ក</t>
        </is>
      </c>
      <c r="W514" t="n">
        <v>81640</v>
      </c>
      <c r="X514" t="n">
        <v>0</v>
      </c>
    </row>
    <row r="515">
      <c r="A515" t="n">
        <v>514</v>
      </c>
      <c r="B515" t="inlineStr">
        <is>
          <t>Customs Clearance Fee</t>
        </is>
      </c>
      <c r="C515" t="inlineStr">
        <is>
          <t>ត្រាយអ៊ែងហ្គល ឡូជីស្ទីក (ខេមបូឌា) ឯ.ក</t>
        </is>
      </c>
      <c r="D515" t="inlineStr">
        <is>
          <t>K010-902101743</t>
        </is>
      </c>
      <c r="E515" t="inlineStr">
        <is>
          <t>TAG-24-00324</t>
        </is>
      </c>
      <c r="F515" t="inlineStr">
        <is>
          <t>13-05-2024</t>
        </is>
      </c>
      <c r="G515" t="n">
        <v>8154</v>
      </c>
      <c r="I515">
        <f>G515</f>
        <v/>
      </c>
      <c r="K515">
        <f>I515-G515</f>
        <v/>
      </c>
      <c r="M515" t="inlineStr">
        <is>
          <t>TAG2400324</t>
        </is>
      </c>
      <c r="N515" t="inlineStr"/>
      <c r="O515">
        <f>M515=N515</f>
        <v/>
      </c>
      <c r="P515">
        <f>AND(MONTH(F515)=MONTH(S515), YEAR(F515)=YEAR(S515))</f>
        <v/>
      </c>
      <c r="Q515">
        <f>"L001-902303751"=U515</f>
        <v/>
      </c>
      <c r="R515">
        <f>G515-W515</f>
        <v/>
      </c>
      <c r="S515" s="36" t="n">
        <v>45300</v>
      </c>
      <c r="T515" t="inlineStr"/>
      <c r="U515" t="inlineStr">
        <is>
          <t>L001-100045340</t>
        </is>
      </c>
      <c r="V515" t="inlineStr">
        <is>
          <t xml:space="preserve">ស៊ីវ៉ា អ៊ែរ អ៊ែន អូសៀន (ខេមបូឌា) ឯ.ក </t>
        </is>
      </c>
      <c r="W515" t="n">
        <v>0</v>
      </c>
      <c r="X515" t="n">
        <v>0</v>
      </c>
    </row>
    <row r="516">
      <c r="A516" t="n">
        <v>515</v>
      </c>
      <c r="B516" t="inlineStr">
        <is>
          <t>Customs Clearance Fee</t>
        </is>
      </c>
      <c r="C516" t="inlineStr">
        <is>
          <t>ត្រាយអ៊ែងហ្គល ឡូជីស្ទីក (ខេមបូឌា) ឯ.ក</t>
        </is>
      </c>
      <c r="D516" t="inlineStr">
        <is>
          <t>K010-902101743</t>
        </is>
      </c>
      <c r="E516" t="inlineStr">
        <is>
          <t>TAG-24-00322</t>
        </is>
      </c>
      <c r="F516" t="inlineStr">
        <is>
          <t>10-05-2024</t>
        </is>
      </c>
      <c r="G516" t="n">
        <v>8152</v>
      </c>
      <c r="I516">
        <f>G516</f>
        <v/>
      </c>
      <c r="K516">
        <f>I516-G516</f>
        <v/>
      </c>
      <c r="M516" t="inlineStr">
        <is>
          <t>TAG2400322</t>
        </is>
      </c>
      <c r="N516" t="inlineStr"/>
      <c r="O516">
        <f>M516=N516</f>
        <v/>
      </c>
      <c r="P516">
        <f>AND(MONTH(F516)=MONTH(S516), YEAR(F516)=YEAR(S516))</f>
        <v/>
      </c>
      <c r="Q516">
        <f>"L001-902303751"=U516</f>
        <v/>
      </c>
      <c r="R516">
        <f>G516-W516</f>
        <v/>
      </c>
      <c r="S516" s="36" t="n">
        <v>45296</v>
      </c>
      <c r="T516" t="inlineStr"/>
      <c r="U516" t="inlineStr">
        <is>
          <t>K003-901635943</t>
        </is>
      </c>
      <c r="V516" t="inlineStr">
        <is>
          <t>អ៊ីឃ្យូឡាញ វើលវ៉ាយដ៍ ឡូជីស្ទីក</t>
        </is>
      </c>
      <c r="W516" t="n">
        <v>0</v>
      </c>
      <c r="X516" t="n">
        <v>0</v>
      </c>
    </row>
    <row r="517">
      <c r="A517" t="n">
        <v>516</v>
      </c>
      <c r="B517" t="inlineStr">
        <is>
          <t>Cargo Terminal</t>
        </is>
      </c>
      <c r="C517" t="inlineStr">
        <is>
          <t>សូស៊ីយេតេ កុងសេស្យូនែរ ដឺ ឡាអេរ៉ូព័រ</t>
        </is>
      </c>
      <c r="D517" t="inlineStr">
        <is>
          <t>L001-100047300</t>
        </is>
      </c>
      <c r="E517" t="inlineStr">
        <is>
          <t>2400-034069</t>
        </is>
      </c>
      <c r="F517" t="inlineStr">
        <is>
          <t>11-05-2024</t>
        </is>
      </c>
      <c r="G517" t="n">
        <v>1434</v>
      </c>
      <c r="I517">
        <f>G517</f>
        <v/>
      </c>
      <c r="K517">
        <f>I517-G517</f>
        <v/>
      </c>
      <c r="M517" t="inlineStr">
        <is>
          <t>2400034069</t>
        </is>
      </c>
      <c r="N517" t="inlineStr">
        <is>
          <t>8166000</t>
        </is>
      </c>
      <c r="O517">
        <f>M517=N517</f>
        <v/>
      </c>
      <c r="P517">
        <f>AND(MONTH(F517)=MONTH(S517), YEAR(F517)=YEAR(S517))</f>
        <v/>
      </c>
      <c r="Q517">
        <f>"L001-902303751"=U517</f>
        <v/>
      </c>
      <c r="R517">
        <f>G517-W517</f>
        <v/>
      </c>
      <c r="S517" s="36" t="n">
        <v>45307</v>
      </c>
      <c r="T517" t="n">
        <v>81660</v>
      </c>
      <c r="U517" t="inlineStr">
        <is>
          <t>L001-100182259</t>
        </is>
      </c>
      <c r="V517" t="inlineStr">
        <is>
          <t>សាខាក្រុមហ៊ុន ប៊ី ឡូជីស្ទីក ខបភើរេសិន (ខេមបូឌា)</t>
        </is>
      </c>
      <c r="W517" t="n">
        <v>81660</v>
      </c>
      <c r="X517" t="n">
        <v>0</v>
      </c>
    </row>
    <row r="518">
      <c r="A518" t="n">
        <v>517</v>
      </c>
      <c r="B518" t="inlineStr">
        <is>
          <t>Lift-Off</t>
        </is>
      </c>
      <c r="C518" t="inlineStr">
        <is>
          <t>កំពង់ផែស្វយ័តក្រុងព្រះសីហនុ</t>
        </is>
      </c>
      <c r="D518" t="inlineStr">
        <is>
          <t>L001-100044638</t>
        </is>
      </c>
      <c r="E518" t="inlineStr">
        <is>
          <t>097803</t>
        </is>
      </c>
      <c r="F518" t="inlineStr">
        <is>
          <t>24-05-2024</t>
        </is>
      </c>
      <c r="G518" t="n">
        <v>6934</v>
      </c>
      <c r="I518">
        <f>G518</f>
        <v/>
      </c>
      <c r="K518">
        <f>I518-G518</f>
        <v/>
      </c>
      <c r="M518" t="inlineStr">
        <is>
          <t>097803</t>
        </is>
      </c>
      <c r="N518" t="inlineStr"/>
      <c r="O518">
        <f>M518=N518</f>
        <v/>
      </c>
      <c r="P518">
        <f>AND(MONTH(F518)=MONTH(S518), YEAR(F518)=YEAR(S518))</f>
        <v/>
      </c>
      <c r="Q518">
        <f>"L001-902303751"=U518</f>
        <v/>
      </c>
      <c r="R518">
        <f>G518-W518</f>
        <v/>
      </c>
      <c r="S518" s="36" t="n">
        <v>45303</v>
      </c>
      <c r="T518" t="inlineStr"/>
      <c r="U518" t="inlineStr">
        <is>
          <t>L001-100074669</t>
        </is>
      </c>
      <c r="V518" t="inlineStr">
        <is>
          <t>ខេអិលអិន ហ្វ្រេត (ខេមបូឌា) ឯ.ក</t>
        </is>
      </c>
      <c r="W518" t="n">
        <v>0</v>
      </c>
      <c r="X518" t="n">
        <v>0</v>
      </c>
    </row>
    <row r="519">
      <c r="A519" t="n">
        <v>518</v>
      </c>
      <c r="B519" t="inlineStr">
        <is>
          <t>Trucking, Customs Clearance, Extra Trucking and Truck Fuel Surcharge</t>
        </is>
      </c>
      <c r="C519" t="inlineStr">
        <is>
          <t>អេស អ វី ស៊ី ហ្វ្រេត សឺវីស (ខេមបូឌា) ខូ អិលធីឌី</t>
        </is>
      </c>
      <c r="D519" t="inlineStr">
        <is>
          <t>K005-100150195</t>
        </is>
      </c>
      <c r="E519" t="inlineStr">
        <is>
          <t>SRVI2402760</t>
        </is>
      </c>
      <c r="F519" t="inlineStr">
        <is>
          <t>30-05-2024</t>
        </is>
      </c>
      <c r="G519" t="n">
        <v>171780</v>
      </c>
      <c r="I519">
        <f>G519</f>
        <v/>
      </c>
      <c r="K519">
        <f>I519-G519</f>
        <v/>
      </c>
      <c r="M519" t="inlineStr">
        <is>
          <t>SRVI2402760</t>
        </is>
      </c>
      <c r="N519" t="inlineStr">
        <is>
          <t>11005200</t>
        </is>
      </c>
      <c r="O519">
        <f>M519=N519</f>
        <v/>
      </c>
      <c r="P519">
        <f>AND(MONTH(F519)=MONTH(S519), YEAR(F519)=YEAR(S519))</f>
        <v/>
      </c>
      <c r="Q519">
        <f>"L001-902303751"=U519</f>
        <v/>
      </c>
      <c r="R519">
        <f>G519-W519</f>
        <v/>
      </c>
      <c r="S519" s="36" t="n">
        <v>45313</v>
      </c>
      <c r="T519" t="n">
        <v>110052</v>
      </c>
      <c r="U519" t="inlineStr">
        <is>
          <t>L001-107032791</t>
        </is>
      </c>
      <c r="V519" t="inlineStr">
        <is>
          <t>នីបផន អិចប្រេស (ខេមបូឌា) ខូ អិលធីឌី</t>
        </is>
      </c>
      <c r="W519" t="n">
        <v>110052</v>
      </c>
      <c r="X519" t="n">
        <v>0</v>
      </c>
    </row>
    <row r="520">
      <c r="A520" t="n">
        <v>519</v>
      </c>
      <c r="B520" t="inlineStr">
        <is>
          <t>Lift-Off</t>
        </is>
      </c>
      <c r="C520" t="inlineStr">
        <is>
          <t>កំពង់ផែស្វយ័តក្រុងព្រះសីហនុ</t>
        </is>
      </c>
      <c r="D520" t="inlineStr">
        <is>
          <t>L001-100044638</t>
        </is>
      </c>
      <c r="E520" t="inlineStr">
        <is>
          <t>097809</t>
        </is>
      </c>
      <c r="F520" t="inlineStr">
        <is>
          <t>24-05-2024</t>
        </is>
      </c>
      <c r="G520" t="n">
        <v>15500</v>
      </c>
      <c r="I520">
        <f>G520</f>
        <v/>
      </c>
      <c r="K520">
        <f>I520-G520</f>
        <v/>
      </c>
      <c r="M520" t="inlineStr">
        <is>
          <t>097809</t>
        </is>
      </c>
      <c r="N520" t="inlineStr">
        <is>
          <t>11024100</t>
        </is>
      </c>
      <c r="O520">
        <f>M520=N520</f>
        <v/>
      </c>
      <c r="P520">
        <f>AND(MONTH(F520)=MONTH(S520), YEAR(F520)=YEAR(S520))</f>
        <v/>
      </c>
      <c r="Q520">
        <f>"L001-902303751"=U520</f>
        <v/>
      </c>
      <c r="R520">
        <f>G520-W520</f>
        <v/>
      </c>
      <c r="S520" s="36" t="n">
        <v>45307</v>
      </c>
      <c r="T520" t="n">
        <v>110241</v>
      </c>
      <c r="U520" t="inlineStr">
        <is>
          <t>L001-100045995</t>
        </is>
      </c>
      <c r="V520" t="inlineStr">
        <is>
          <t>ឌីអេចអិល ឡូជីស្ទីក (ខេមបូឌា)</t>
        </is>
      </c>
      <c r="W520" t="n">
        <v>110241</v>
      </c>
      <c r="X520" t="n">
        <v>0</v>
      </c>
    </row>
    <row r="521">
      <c r="A521" t="n">
        <v>520</v>
      </c>
      <c r="B521" t="inlineStr">
        <is>
          <t>Trucking, Customs Clearance, Extra Trucking and Truck Fuel Surcharge</t>
        </is>
      </c>
      <c r="C521" t="inlineStr">
        <is>
          <t>អេស អ វី ស៊ី ហ្វ្រេត សឺវីស (ខេមបូឌា) ខូ អិលធីឌី</t>
        </is>
      </c>
      <c r="D521" t="inlineStr">
        <is>
          <t>K005-100150195</t>
        </is>
      </c>
      <c r="E521" t="inlineStr">
        <is>
          <t>SRVI2402759</t>
        </is>
      </c>
      <c r="F521" t="inlineStr">
        <is>
          <t>30-05-2024</t>
        </is>
      </c>
      <c r="G521" t="n">
        <v>163600</v>
      </c>
      <c r="I521">
        <f>G521</f>
        <v/>
      </c>
      <c r="K521">
        <f>I521-G521</f>
        <v/>
      </c>
      <c r="M521" t="inlineStr">
        <is>
          <t>SRVI2402759</t>
        </is>
      </c>
      <c r="N521" t="inlineStr"/>
      <c r="O521">
        <f>M521=N521</f>
        <v/>
      </c>
      <c r="P521">
        <f>AND(MONTH(F521)=MONTH(S521), YEAR(F521)=YEAR(S521))</f>
        <v/>
      </c>
      <c r="Q521">
        <f>"L001-902303751"=U521</f>
        <v/>
      </c>
      <c r="R521">
        <f>G521-W521</f>
        <v/>
      </c>
      <c r="S521" s="36" t="n">
        <v>45292</v>
      </c>
      <c r="T521" t="inlineStr"/>
      <c r="U521" t="inlineStr">
        <is>
          <t>L001-107000385</t>
        </is>
      </c>
      <c r="V521" t="inlineStr">
        <is>
          <t>អិចស្ពោលាំងកា ហ្រ្វេត (ខេមបូឌា) លីមីធីត</t>
        </is>
      </c>
      <c r="W521" t="n">
        <v>0</v>
      </c>
      <c r="X521" t="n">
        <v>0</v>
      </c>
    </row>
    <row r="522">
      <c r="A522" t="n">
        <v>521</v>
      </c>
      <c r="B522" t="inlineStr">
        <is>
          <t>Customs Clearance Fee and Trucking Fee</t>
        </is>
      </c>
      <c r="C522" t="inlineStr">
        <is>
          <t>ត្រាយអ៊ែងហ្គល ឡូជីស្ទីក (ខេមបូឌា) ឯ.ក</t>
        </is>
      </c>
      <c r="D522" t="inlineStr">
        <is>
          <t>K010-902101743</t>
        </is>
      </c>
      <c r="E522" t="inlineStr">
        <is>
          <t>TAG-24-00328</t>
        </is>
      </c>
      <c r="F522" t="inlineStr">
        <is>
          <t>15-05-2024</t>
        </is>
      </c>
      <c r="G522" t="n">
        <v>61463</v>
      </c>
      <c r="I522">
        <f>G522</f>
        <v/>
      </c>
      <c r="K522">
        <f>I522-G522</f>
        <v/>
      </c>
      <c r="M522" t="inlineStr">
        <is>
          <t>TAG2400328</t>
        </is>
      </c>
      <c r="N522" t="inlineStr">
        <is>
          <t>9619400</t>
        </is>
      </c>
      <c r="O522">
        <f>M522=N522</f>
        <v/>
      </c>
      <c r="P522">
        <f>AND(MONTH(F522)=MONTH(S522), YEAR(F522)=YEAR(S522))</f>
        <v/>
      </c>
      <c r="Q522">
        <f>"L001-902303751"=U522</f>
        <v/>
      </c>
      <c r="R522">
        <f>G522-W522</f>
        <v/>
      </c>
      <c r="S522" s="36" t="n">
        <v>45313</v>
      </c>
      <c r="T522" t="n">
        <v>96194</v>
      </c>
      <c r="U522" t="inlineStr">
        <is>
          <t>L001-100045340</t>
        </is>
      </c>
      <c r="V522" t="inlineStr">
        <is>
          <t xml:space="preserve">ស៊ីវ៉ា អ៊ែរ អ៊ែន អូសៀន (ខេមបូឌា) ឯ.ក </t>
        </is>
      </c>
      <c r="W522" t="n">
        <v>96194</v>
      </c>
      <c r="X522" t="n">
        <v>0</v>
      </c>
    </row>
    <row r="523">
      <c r="A523" t="n">
        <v>522</v>
      </c>
      <c r="B523" t="inlineStr">
        <is>
          <t>Charge from warehouse</t>
        </is>
      </c>
      <c r="C523" t="inlineStr">
        <is>
          <t>កំពង់ផែស្វយ័តក្រុងព្រះសីហនុ</t>
        </is>
      </c>
      <c r="D523" t="inlineStr">
        <is>
          <t>L001-100044638</t>
        </is>
      </c>
      <c r="E523" t="inlineStr">
        <is>
          <t>090982</t>
        </is>
      </c>
      <c r="F523" t="inlineStr">
        <is>
          <t>15-05-2024</t>
        </is>
      </c>
      <c r="G523" t="n">
        <v>1873</v>
      </c>
      <c r="I523">
        <f>G523</f>
        <v/>
      </c>
      <c r="K523">
        <f>I523-G523</f>
        <v/>
      </c>
      <c r="M523" t="inlineStr">
        <is>
          <t>090982</t>
        </is>
      </c>
      <c r="N523" t="inlineStr">
        <is>
          <t>11018700</t>
        </is>
      </c>
      <c r="O523">
        <f>M523=N523</f>
        <v/>
      </c>
      <c r="P523">
        <f>AND(MONTH(F523)=MONTH(S523), YEAR(F523)=YEAR(S523))</f>
        <v/>
      </c>
      <c r="Q523">
        <f>"L001-902303751"=U523</f>
        <v/>
      </c>
      <c r="R523">
        <f>G523-W523</f>
        <v/>
      </c>
      <c r="S523" s="36" t="n">
        <v>45320</v>
      </c>
      <c r="T523" t="n">
        <v>110187</v>
      </c>
      <c r="U523" t="inlineStr">
        <is>
          <t>L001-107032791</t>
        </is>
      </c>
      <c r="V523" t="inlineStr">
        <is>
          <t>នីបផន អិចប្រេស (ខេមបូឌា) ខូ អិលធីឌី</t>
        </is>
      </c>
      <c r="W523" t="n">
        <v>110187</v>
      </c>
      <c r="X523" t="n">
        <v>0</v>
      </c>
    </row>
    <row r="524">
      <c r="A524" t="n">
        <v>523</v>
      </c>
      <c r="B524" t="inlineStr">
        <is>
          <t>Import Shipment Expense</t>
        </is>
      </c>
      <c r="C524" t="inlineStr">
        <is>
          <t>ត្រាយអ៊ែងហ្គល ឡូជីស្ទីក (ខេមបូឌា) ឯ.ក</t>
        </is>
      </c>
      <c r="D524" t="inlineStr">
        <is>
          <t>K010-902101743</t>
        </is>
      </c>
      <c r="E524" t="inlineStr">
        <is>
          <t>TAG-24-00319</t>
        </is>
      </c>
      <c r="F524" t="inlineStr">
        <is>
          <t>09-05-2024</t>
        </is>
      </c>
      <c r="G524" t="n">
        <v>151953</v>
      </c>
      <c r="I524">
        <f>G524</f>
        <v/>
      </c>
      <c r="K524">
        <f>I524-G524</f>
        <v/>
      </c>
      <c r="M524" t="inlineStr">
        <is>
          <t>TAG2400319</t>
        </is>
      </c>
      <c r="N524" t="inlineStr"/>
      <c r="O524">
        <f>M524=N524</f>
        <v/>
      </c>
      <c r="P524">
        <f>AND(MONTH(F524)=MONTH(S524), YEAR(F524)=YEAR(S524))</f>
        <v/>
      </c>
      <c r="Q524">
        <f>"L001-902303751"=U524</f>
        <v/>
      </c>
      <c r="R524">
        <f>G524-W524</f>
        <v/>
      </c>
      <c r="S524" s="36" t="n">
        <v>45294</v>
      </c>
      <c r="T524" t="inlineStr"/>
      <c r="U524" t="inlineStr">
        <is>
          <t>K009-901605081</t>
        </is>
      </c>
      <c r="V524" t="inlineStr">
        <is>
          <t>ទ្រូ ខមភែនៀន ឡូជីស្ទីក (ខេមបូឌា)</t>
        </is>
      </c>
      <c r="W524" t="n">
        <v>0</v>
      </c>
      <c r="X524" t="n">
        <v>0</v>
      </c>
    </row>
    <row r="525">
      <c r="A525" t="n">
        <v>524</v>
      </c>
      <c r="B525" t="inlineStr">
        <is>
          <t>Customs Clearance Fee and Trucking Fee</t>
        </is>
      </c>
      <c r="C525" t="inlineStr">
        <is>
          <t>ត្រាយអ៊ែងហ្គល ឡូជីស្ទីក (ខេមបូឌា) ឯ.ក</t>
        </is>
      </c>
      <c r="D525" t="inlineStr">
        <is>
          <t>K010-902101743</t>
        </is>
      </c>
      <c r="E525" t="inlineStr">
        <is>
          <t>TAG-24-00348</t>
        </is>
      </c>
      <c r="F525" t="inlineStr">
        <is>
          <t>20-05-2024</t>
        </is>
      </c>
      <c r="G525" t="n">
        <v>32616</v>
      </c>
      <c r="I525">
        <f>G525</f>
        <v/>
      </c>
      <c r="K525">
        <f>I525-G525</f>
        <v/>
      </c>
      <c r="M525" t="inlineStr">
        <is>
          <t>TAG2400348</t>
        </is>
      </c>
      <c r="N525" t="inlineStr"/>
      <c r="O525">
        <f>M525=N525</f>
        <v/>
      </c>
      <c r="P525">
        <f>AND(MONTH(F525)=MONTH(S525), YEAR(F525)=YEAR(S525))</f>
        <v/>
      </c>
      <c r="Q525">
        <f>"L001-902303751"=U525</f>
        <v/>
      </c>
      <c r="R525">
        <f>G525-W525</f>
        <v/>
      </c>
      <c r="S525" s="36" t="n">
        <v>45307</v>
      </c>
      <c r="T525" t="inlineStr"/>
      <c r="U525" t="inlineStr">
        <is>
          <t>L001-100045995</t>
        </is>
      </c>
      <c r="V525" t="inlineStr">
        <is>
          <t>ឌីអេចអិល ឡូជីស្ទីក (ខេមបូឌា)</t>
        </is>
      </c>
      <c r="W525" t="n">
        <v>0</v>
      </c>
      <c r="X525" t="n">
        <v>0</v>
      </c>
    </row>
    <row r="526">
      <c r="A526" t="n">
        <v>525</v>
      </c>
      <c r="B526" t="inlineStr">
        <is>
          <t>Charge from warehouse</t>
        </is>
      </c>
      <c r="C526" t="inlineStr">
        <is>
          <t>កំពង់ផែស្វយ័តក្រុងព្រះសីហនុ</t>
        </is>
      </c>
      <c r="D526" t="inlineStr">
        <is>
          <t>L001-100044638</t>
        </is>
      </c>
      <c r="E526" t="inlineStr">
        <is>
          <t>092540</t>
        </is>
      </c>
      <c r="F526" t="inlineStr">
        <is>
          <t>17-05-2024</t>
        </is>
      </c>
      <c r="G526" t="n">
        <v>623</v>
      </c>
      <c r="I526">
        <f>G526</f>
        <v/>
      </c>
      <c r="K526">
        <f>I526-G526</f>
        <v/>
      </c>
      <c r="M526" t="inlineStr">
        <is>
          <t>092540</t>
        </is>
      </c>
      <c r="N526" t="inlineStr">
        <is>
          <t>11024100</t>
        </is>
      </c>
      <c r="O526">
        <f>M526=N526</f>
        <v/>
      </c>
      <c r="P526">
        <f>AND(MONTH(F526)=MONTH(S526), YEAR(F526)=YEAR(S526))</f>
        <v/>
      </c>
      <c r="Q526">
        <f>"L001-902303751"=U526</f>
        <v/>
      </c>
      <c r="R526">
        <f>G526-W526</f>
        <v/>
      </c>
      <c r="S526" s="36" t="n">
        <v>45307</v>
      </c>
      <c r="T526" t="n">
        <v>110241</v>
      </c>
      <c r="U526" t="inlineStr">
        <is>
          <t>L001-100045995</t>
        </is>
      </c>
      <c r="V526" t="inlineStr">
        <is>
          <t>ឌីអេចអិល ឡូជីស្ទីក (ខេមបូឌា)</t>
        </is>
      </c>
      <c r="W526" t="n">
        <v>110241</v>
      </c>
      <c r="X526" t="n">
        <v>0</v>
      </c>
    </row>
    <row r="527">
      <c r="A527" t="n">
        <v>526</v>
      </c>
      <c r="B527" t="inlineStr">
        <is>
          <t>Import Shipment Expense</t>
        </is>
      </c>
      <c r="C527" t="inlineStr">
        <is>
          <t>ខាហ្គោផត (ខេមបូឌា)</t>
        </is>
      </c>
      <c r="D527" t="inlineStr">
        <is>
          <t>K005-100099521</t>
        </is>
      </c>
      <c r="E527" t="inlineStr">
        <is>
          <t>24-1064</t>
        </is>
      </c>
      <c r="F527" t="inlineStr">
        <is>
          <t>07-05-2024</t>
        </is>
      </c>
      <c r="G527" t="n">
        <v>56561</v>
      </c>
      <c r="I527">
        <f>G527</f>
        <v/>
      </c>
      <c r="K527">
        <f>I527-G527</f>
        <v/>
      </c>
      <c r="M527" t="inlineStr">
        <is>
          <t>241064</t>
        </is>
      </c>
      <c r="N527" t="inlineStr">
        <is>
          <t>11005200</t>
        </is>
      </c>
      <c r="O527">
        <f>M527=N527</f>
        <v/>
      </c>
      <c r="P527">
        <f>AND(MONTH(F527)=MONTH(S527), YEAR(F527)=YEAR(S527))</f>
        <v/>
      </c>
      <c r="Q527">
        <f>"L001-902303751"=U527</f>
        <v/>
      </c>
      <c r="R527">
        <f>G527-W527</f>
        <v/>
      </c>
      <c r="S527" s="36" t="n">
        <v>45310</v>
      </c>
      <c r="T527" t="n">
        <v>110052</v>
      </c>
      <c r="U527" t="inlineStr">
        <is>
          <t>K005-100059945</t>
        </is>
      </c>
      <c r="V527" t="inlineStr">
        <is>
          <t>អ៊ែតវ៉ានស៍ គ្លរី ឡូជីស្ទីក (ខេមបូឌា) (អេ ជី អិល)</t>
        </is>
      </c>
      <c r="W527" t="n">
        <v>110052</v>
      </c>
      <c r="X527" t="n">
        <v>0</v>
      </c>
    </row>
    <row r="528">
      <c r="A528" t="n">
        <v>527</v>
      </c>
      <c r="B528" t="inlineStr">
        <is>
          <t>Customs Clearance Fee and Trucking Fee</t>
        </is>
      </c>
      <c r="C528" t="inlineStr">
        <is>
          <t>ត្រាយអ៊ែងហ្គល ឡូជីស្ទីក (ខេមបូឌា) ឯ.ក</t>
        </is>
      </c>
      <c r="D528" t="inlineStr">
        <is>
          <t>K010-902101743</t>
        </is>
      </c>
      <c r="E528" t="inlineStr">
        <is>
          <t>TAG-24-00316</t>
        </is>
      </c>
      <c r="F528" t="inlineStr">
        <is>
          <t>08-05-2024</t>
        </is>
      </c>
      <c r="G528" t="n">
        <v>28525</v>
      </c>
      <c r="I528">
        <f>G528</f>
        <v/>
      </c>
      <c r="K528">
        <f>I528-G528</f>
        <v/>
      </c>
      <c r="M528" t="inlineStr">
        <is>
          <t>TAG2400316</t>
        </is>
      </c>
      <c r="N528" t="inlineStr">
        <is>
          <t>1827500</t>
        </is>
      </c>
      <c r="O528">
        <f>M528=N528</f>
        <v/>
      </c>
      <c r="P528">
        <f>AND(MONTH(F528)=MONTH(S528), YEAR(F528)=YEAR(S528))</f>
        <v/>
      </c>
      <c r="Q528">
        <f>"L001-902303751"=U528</f>
        <v/>
      </c>
      <c r="R528">
        <f>G528-W528</f>
        <v/>
      </c>
      <c r="S528" s="36" t="n">
        <v>45309</v>
      </c>
      <c r="T528" t="n">
        <v>18275</v>
      </c>
      <c r="U528" t="inlineStr">
        <is>
          <t>K003-901635943</t>
        </is>
      </c>
      <c r="V528" t="inlineStr">
        <is>
          <t>អ៊ីឃ្យូឡាញ វើលវ៉ាយដ៍ ឡូជីស្ទីក</t>
        </is>
      </c>
      <c r="W528" t="n">
        <v>18275</v>
      </c>
      <c r="X528" t="n">
        <v>0</v>
      </c>
    </row>
    <row r="529">
      <c r="A529" t="n">
        <v>528</v>
      </c>
      <c r="B529" t="inlineStr">
        <is>
          <t>Cargo Terminal</t>
        </is>
      </c>
      <c r="C529" t="inlineStr">
        <is>
          <t>សូស៊ីយេតេ កុងសេស្យូនែរ ដឺ ឡាអេរ៉ូព័រ</t>
        </is>
      </c>
      <c r="D529" t="inlineStr">
        <is>
          <t>L001-100047300</t>
        </is>
      </c>
      <c r="E529" t="inlineStr">
        <is>
          <t>2400-032744</t>
        </is>
      </c>
      <c r="F529" t="inlineStr">
        <is>
          <t>07-05-2024</t>
        </is>
      </c>
      <c r="G529" t="n">
        <v>5964</v>
      </c>
      <c r="I529">
        <f>G529</f>
        <v/>
      </c>
      <c r="K529">
        <f>I529-G529</f>
        <v/>
      </c>
      <c r="M529" t="inlineStr">
        <is>
          <t>2400032744</t>
        </is>
      </c>
      <c r="N529" t="inlineStr">
        <is>
          <t>11018700</t>
        </is>
      </c>
      <c r="O529">
        <f>M529=N529</f>
        <v/>
      </c>
      <c r="P529">
        <f>AND(MONTH(F529)=MONTH(S529), YEAR(F529)=YEAR(S529))</f>
        <v/>
      </c>
      <c r="Q529">
        <f>"L001-902303751"=U529</f>
        <v/>
      </c>
      <c r="R529">
        <f>G529-W529</f>
        <v/>
      </c>
      <c r="S529" s="36" t="n">
        <v>45293</v>
      </c>
      <c r="T529" t="n">
        <v>110187</v>
      </c>
      <c r="U529" t="inlineStr">
        <is>
          <t>L001-107032791</t>
        </is>
      </c>
      <c r="V529" t="inlineStr">
        <is>
          <t>នីបផន អិចប្រេស (ខេមបូឌា) ខូ អិលធីឌី</t>
        </is>
      </c>
      <c r="W529" t="n">
        <v>110187</v>
      </c>
      <c r="X529" t="n">
        <v>0</v>
      </c>
    </row>
    <row r="530">
      <c r="A530" t="n">
        <v>529</v>
      </c>
      <c r="B530" t="inlineStr">
        <is>
          <t>Doc Fee and Agency Fee</t>
        </is>
      </c>
      <c r="C530" t="inlineStr">
        <is>
          <t>អ៊ែតវ៉ានស៍ គ្លរី ឡូជីស្ទីក (ខេមបូឌា) (អេ ជី អិល)</t>
        </is>
      </c>
      <c r="D530" t="inlineStr">
        <is>
          <t>K005-100059945</t>
        </is>
      </c>
      <c r="E530" t="inlineStr">
        <is>
          <t>AGL2400668</t>
        </is>
      </c>
      <c r="F530" t="inlineStr">
        <is>
          <t>06-05-2024</t>
        </is>
      </c>
      <c r="G530" t="n">
        <v>44814</v>
      </c>
      <c r="I530">
        <f>G530</f>
        <v/>
      </c>
      <c r="K530">
        <f>I530-G530</f>
        <v/>
      </c>
      <c r="M530" t="inlineStr">
        <is>
          <t>AGL2400668</t>
        </is>
      </c>
      <c r="N530" t="inlineStr">
        <is>
          <t>8162000</t>
        </is>
      </c>
      <c r="O530">
        <f>M530=N530</f>
        <v/>
      </c>
      <c r="P530">
        <f>AND(MONTH(F530)=MONTH(S530), YEAR(F530)=YEAR(S530))</f>
        <v/>
      </c>
      <c r="Q530">
        <f>"L001-902303751"=U530</f>
        <v/>
      </c>
      <c r="R530">
        <f>G530-W530</f>
        <v/>
      </c>
      <c r="S530" s="36" t="n">
        <v>45320</v>
      </c>
      <c r="T530" t="n">
        <v>81620</v>
      </c>
      <c r="U530" t="inlineStr">
        <is>
          <t>L001-107032791</t>
        </is>
      </c>
      <c r="V530" t="inlineStr">
        <is>
          <t>នីបផន អិចប្រេស (ខេមបូឌា) ខូ អិលធីឌី</t>
        </is>
      </c>
      <c r="W530" t="n">
        <v>81620</v>
      </c>
      <c r="X530" t="n">
        <v>0</v>
      </c>
    </row>
    <row r="531">
      <c r="A531" t="n">
        <v>530</v>
      </c>
      <c r="B531" t="inlineStr">
        <is>
          <t>Customs Clearance Fee</t>
        </is>
      </c>
      <c r="C531" t="inlineStr">
        <is>
          <t>ត្រាយអ៊ែងហ្គល ឡូជីស្ទីក (ខេមបូឌា) ឯ.ក</t>
        </is>
      </c>
      <c r="D531" t="inlineStr">
        <is>
          <t>K010-902101743</t>
        </is>
      </c>
      <c r="E531" t="inlineStr">
        <is>
          <t>TAG-24-00317</t>
        </is>
      </c>
      <c r="F531" t="inlineStr">
        <is>
          <t>08-05-2024</t>
        </is>
      </c>
      <c r="G531" t="n">
        <v>8150</v>
      </c>
      <c r="I531">
        <f>G531</f>
        <v/>
      </c>
      <c r="K531">
        <f>I531-G531</f>
        <v/>
      </c>
      <c r="M531" t="inlineStr">
        <is>
          <t>TAG2400317</t>
        </is>
      </c>
      <c r="N531" t="inlineStr"/>
      <c r="O531">
        <f>M531=N531</f>
        <v/>
      </c>
      <c r="P531">
        <f>AND(MONTH(F531)=MONTH(S531), YEAR(F531)=YEAR(S531))</f>
        <v/>
      </c>
      <c r="Q531">
        <f>"L001-902303751"=U531</f>
        <v/>
      </c>
      <c r="R531">
        <f>G531-W531</f>
        <v/>
      </c>
      <c r="S531" s="36" t="n">
        <v>45320</v>
      </c>
      <c r="T531" t="inlineStr"/>
      <c r="U531" t="inlineStr">
        <is>
          <t>L001-901500191</t>
        </is>
      </c>
      <c r="V531" t="inlineStr">
        <is>
          <t>អ.អិន.វ៉ាយ ត្រេនស្ព័ត</t>
        </is>
      </c>
      <c r="W531" t="n">
        <v>0</v>
      </c>
      <c r="X531" t="n">
        <v>0</v>
      </c>
    </row>
    <row r="532">
      <c r="A532" t="n">
        <v>531</v>
      </c>
      <c r="B532" t="inlineStr">
        <is>
          <t>Customs Clearance Fee and Trucking Fee</t>
        </is>
      </c>
      <c r="C532" t="inlineStr">
        <is>
          <t>ត្រាយអ៊ែងហ្គល ឡូជីស្ទីក (ខេមបូឌា) ឯ.ក</t>
        </is>
      </c>
      <c r="D532" t="inlineStr">
        <is>
          <t>K010-902101743</t>
        </is>
      </c>
      <c r="E532" t="inlineStr">
        <is>
          <t>TAG-24-00327</t>
        </is>
      </c>
      <c r="F532" t="inlineStr">
        <is>
          <t>15-05-2024</t>
        </is>
      </c>
      <c r="G532" t="n">
        <v>28553</v>
      </c>
      <c r="I532">
        <f>G532</f>
        <v/>
      </c>
      <c r="K532">
        <f>I532-G532</f>
        <v/>
      </c>
      <c r="M532" t="inlineStr">
        <is>
          <t>TAG2400327</t>
        </is>
      </c>
      <c r="N532" t="inlineStr">
        <is>
          <t>11263600</t>
        </is>
      </c>
      <c r="O532">
        <f>M532=N532</f>
        <v/>
      </c>
      <c r="P532">
        <f>AND(MONTH(F532)=MONTH(S532), YEAR(F532)=YEAR(S532))</f>
        <v/>
      </c>
      <c r="Q532">
        <f>"L001-902303751"=U532</f>
        <v/>
      </c>
      <c r="R532">
        <f>G532-W532</f>
        <v/>
      </c>
      <c r="S532" s="36" t="n">
        <v>45320</v>
      </c>
      <c r="T532" t="n">
        <v>112636</v>
      </c>
      <c r="U532" t="inlineStr">
        <is>
          <t>K003-901635943</t>
        </is>
      </c>
      <c r="V532" t="inlineStr">
        <is>
          <t>អ៊ីឃ្យូឡាញ វើលវ៉ាយដ៍ ឡូជីស្ទីក</t>
        </is>
      </c>
      <c r="W532" t="n">
        <v>112636</v>
      </c>
      <c r="X532" t="n">
        <v>0</v>
      </c>
    </row>
    <row r="533">
      <c r="A533" t="n">
        <v>532</v>
      </c>
      <c r="B533" t="inlineStr">
        <is>
          <t>Warehouse Fee</t>
        </is>
      </c>
      <c r="C533" t="inlineStr">
        <is>
          <t>ហាន​ &amp; ជុន ត្រេនស្ព័ត ខូ អិលធីឌី</t>
        </is>
      </c>
      <c r="D533" t="inlineStr">
        <is>
          <t>L001-104016647</t>
        </is>
      </c>
      <c r="E533" t="inlineStr">
        <is>
          <t>HJ24-1341</t>
        </is>
      </c>
      <c r="F533" t="inlineStr">
        <is>
          <t>10-05-2024</t>
        </is>
      </c>
      <c r="G533" t="n">
        <v>6685</v>
      </c>
      <c r="I533">
        <f>G533</f>
        <v/>
      </c>
      <c r="K533">
        <f>I533-G533</f>
        <v/>
      </c>
      <c r="M533" t="inlineStr">
        <is>
          <t>HJ241341</t>
        </is>
      </c>
      <c r="N533" t="inlineStr"/>
      <c r="O533">
        <f>M533=N533</f>
        <v/>
      </c>
      <c r="P533">
        <f>AND(MONTH(F533)=MONTH(S533), YEAR(F533)=YEAR(S533))</f>
        <v/>
      </c>
      <c r="Q533">
        <f>"L001-902303751"=U533</f>
        <v/>
      </c>
      <c r="R533">
        <f>G533-W533</f>
        <v/>
      </c>
      <c r="S533" s="36" t="n">
        <v>45294</v>
      </c>
      <c r="T533" t="inlineStr"/>
      <c r="U533" t="inlineStr">
        <is>
          <t>K002-901800477</t>
        </is>
      </c>
      <c r="V533" t="inlineStr">
        <is>
          <t>អាយធីអាយ អ៊ិនធើណេសិនណល ត្រេនស័្ពរថេសិន (ខេមបូឌា) ឯ.ក</t>
        </is>
      </c>
      <c r="W533" t="n">
        <v>0</v>
      </c>
      <c r="X533" t="n">
        <v>0</v>
      </c>
    </row>
    <row r="534">
      <c r="A534" t="n">
        <v>533</v>
      </c>
      <c r="B534" t="inlineStr">
        <is>
          <t>Storage Charge</t>
        </is>
      </c>
      <c r="C534" t="inlineStr">
        <is>
          <t>ហាន​ &amp; ជុន ត្រេនស្ព័ត ខូ អិលធីឌី</t>
        </is>
      </c>
      <c r="D534" t="inlineStr">
        <is>
          <t>L001-104016647</t>
        </is>
      </c>
      <c r="E534" t="inlineStr">
        <is>
          <t>HJ24-1472</t>
        </is>
      </c>
      <c r="F534" t="inlineStr">
        <is>
          <t>10-05-2024</t>
        </is>
      </c>
      <c r="G534" t="n">
        <v>2509</v>
      </c>
      <c r="I534">
        <f>G534</f>
        <v/>
      </c>
      <c r="K534">
        <f>I534-G534</f>
        <v/>
      </c>
      <c r="M534" t="inlineStr">
        <is>
          <t>HJ241472</t>
        </is>
      </c>
      <c r="N534" t="inlineStr"/>
      <c r="O534">
        <f>M534=N534</f>
        <v/>
      </c>
      <c r="P534">
        <f>AND(MONTH(F534)=MONTH(S534), YEAR(F534)=YEAR(S534))</f>
        <v/>
      </c>
      <c r="Q534">
        <f>"L001-902303751"=U534</f>
        <v/>
      </c>
      <c r="R534">
        <f>G534-W534</f>
        <v/>
      </c>
      <c r="S534" s="36" t="n">
        <v>45294</v>
      </c>
      <c r="T534" t="inlineStr"/>
      <c r="U534" t="inlineStr">
        <is>
          <t>L001-107032791</t>
        </is>
      </c>
      <c r="V534" t="inlineStr">
        <is>
          <t>នីបផន អិចប្រេស (ខេមបូឌា) ខូ អិលធីឌី</t>
        </is>
      </c>
      <c r="W534" t="n">
        <v>0</v>
      </c>
      <c r="X534" t="n">
        <v>0</v>
      </c>
    </row>
    <row r="535">
      <c r="A535" t="n">
        <v>534</v>
      </c>
      <c r="B535" t="inlineStr">
        <is>
          <t>Import Shipment Expense</t>
        </is>
      </c>
      <c r="C535" t="inlineStr">
        <is>
          <t>អូរៀនថល ឡូជីស្ទីក &amp; ឌីស្ទ្រីប៊្យូសិន (ខេមបូឌា)</t>
        </is>
      </c>
      <c r="D535" t="inlineStr">
        <is>
          <t>L001-103007369</t>
        </is>
      </c>
      <c r="E535" t="inlineStr">
        <is>
          <t>24-4351</t>
        </is>
      </c>
      <c r="F535" t="inlineStr">
        <is>
          <t>07-05-2024</t>
        </is>
      </c>
      <c r="G535" t="n">
        <v>74069</v>
      </c>
      <c r="I535">
        <f>G535</f>
        <v/>
      </c>
      <c r="K535">
        <f>I535-G535</f>
        <v/>
      </c>
      <c r="M535" t="inlineStr">
        <is>
          <t>244351</t>
        </is>
      </c>
      <c r="N535" t="inlineStr"/>
      <c r="O535">
        <f>M535=N535</f>
        <v/>
      </c>
      <c r="P535">
        <f>AND(MONTH(F535)=MONTH(S535), YEAR(F535)=YEAR(S535))</f>
        <v/>
      </c>
      <c r="Q535">
        <f>"L001-902303751"=U535</f>
        <v/>
      </c>
      <c r="R535">
        <f>G535-W535</f>
        <v/>
      </c>
      <c r="S535" s="36" t="n">
        <v>45303</v>
      </c>
      <c r="T535" t="inlineStr"/>
      <c r="U535" t="inlineStr">
        <is>
          <t>L001-107032791</t>
        </is>
      </c>
      <c r="V535" t="inlineStr">
        <is>
          <t>នីបផន អិចប្រេស (ខេមបូឌា) ខូ អិលធីឌី</t>
        </is>
      </c>
      <c r="W535" t="n">
        <v>0</v>
      </c>
      <c r="X535" t="n">
        <v>0</v>
      </c>
    </row>
    <row r="536">
      <c r="A536" t="n">
        <v>535</v>
      </c>
      <c r="B536" t="inlineStr">
        <is>
          <t>Customs Clearance Fee and Trucking Fee</t>
        </is>
      </c>
      <c r="C536" t="inlineStr">
        <is>
          <t>ត្រាយអ៊ែងហ្គល ឡូជីស្ទីក (ខេមបូឌា) ឯ.ក</t>
        </is>
      </c>
      <c r="D536" t="inlineStr">
        <is>
          <t>K010-902101743</t>
        </is>
      </c>
      <c r="E536" t="inlineStr">
        <is>
          <t>TAG-24-00335</t>
        </is>
      </c>
      <c r="F536" t="inlineStr">
        <is>
          <t>15-05-2024</t>
        </is>
      </c>
      <c r="G536" t="n">
        <v>69343</v>
      </c>
      <c r="I536">
        <f>G536</f>
        <v/>
      </c>
      <c r="K536">
        <f>I536-G536</f>
        <v/>
      </c>
      <c r="M536" t="inlineStr">
        <is>
          <t>TAG2400335</t>
        </is>
      </c>
      <c r="N536" t="inlineStr"/>
      <c r="O536">
        <f>M536=N536</f>
        <v/>
      </c>
      <c r="P536">
        <f>AND(MONTH(F536)=MONTH(S536), YEAR(F536)=YEAR(S536))</f>
        <v/>
      </c>
      <c r="Q536">
        <f>"L001-902303751"=U536</f>
        <v/>
      </c>
      <c r="R536">
        <f>G536-W536</f>
        <v/>
      </c>
      <c r="S536" s="36" t="n">
        <v>45307</v>
      </c>
      <c r="T536" t="inlineStr"/>
      <c r="U536" t="inlineStr">
        <is>
          <t>L001-100045995</t>
        </is>
      </c>
      <c r="V536" t="inlineStr">
        <is>
          <t>ឌីអេចអិល ឡូជីស្ទីក (ខេមបូឌា)</t>
        </is>
      </c>
      <c r="W536" t="n">
        <v>0</v>
      </c>
      <c r="X536" t="n">
        <v>0</v>
      </c>
    </row>
    <row r="537">
      <c r="A537" t="n">
        <v>536</v>
      </c>
      <c r="B537" t="inlineStr">
        <is>
          <t>Lift-On &amp; Lift-Off</t>
        </is>
      </c>
      <c r="C537" t="inlineStr">
        <is>
          <t>កំពង់ផែស្វយ័តក្រុងព្រះសីហនុ</t>
        </is>
      </c>
      <c r="D537" t="inlineStr">
        <is>
          <t>L001-100044638</t>
        </is>
      </c>
      <c r="E537" t="inlineStr">
        <is>
          <t>090820</t>
        </is>
      </c>
      <c r="F537" t="inlineStr">
        <is>
          <t>15-05-2024</t>
        </is>
      </c>
      <c r="G537" t="n">
        <v>23250</v>
      </c>
      <c r="I537">
        <f>G537</f>
        <v/>
      </c>
      <c r="K537">
        <f>I537-G537</f>
        <v/>
      </c>
      <c r="M537" t="inlineStr">
        <is>
          <t>090820</t>
        </is>
      </c>
      <c r="N537" t="inlineStr">
        <is>
          <t>29724200</t>
        </is>
      </c>
      <c r="O537">
        <f>M537=N537</f>
        <v/>
      </c>
      <c r="P537">
        <f>AND(MONTH(F537)=MONTH(S537), YEAR(F537)=YEAR(S537))</f>
        <v/>
      </c>
      <c r="Q537">
        <f>"L001-902303751"=U537</f>
        <v/>
      </c>
      <c r="R537">
        <f>G537-W537</f>
        <v/>
      </c>
      <c r="S537" s="36" t="n">
        <v>45307</v>
      </c>
      <c r="T537" t="n">
        <v>297242</v>
      </c>
      <c r="U537" t="inlineStr">
        <is>
          <t>L001-100074669</t>
        </is>
      </c>
      <c r="V537" t="inlineStr">
        <is>
          <t>ខេអិលអិន ហ្វ្រេត (ខេមបូឌា) ឯ.ក</t>
        </is>
      </c>
      <c r="W537" t="n">
        <v>297242</v>
      </c>
      <c r="X537" t="n">
        <v>0</v>
      </c>
    </row>
    <row r="538">
      <c r="A538" t="n">
        <v>537</v>
      </c>
      <c r="B538" t="inlineStr">
        <is>
          <t>Import Shipment Expense</t>
        </is>
      </c>
      <c r="C538" t="inlineStr">
        <is>
          <t>ខេអិលអិន ហ្វ្រេត (ខេមបូឌា) ឯ.ក</t>
        </is>
      </c>
      <c r="D538" t="inlineStr">
        <is>
          <t>L001-100074669</t>
        </is>
      </c>
      <c r="E538" t="inlineStr">
        <is>
          <t>IVO07569</t>
        </is>
      </c>
      <c r="F538" t="inlineStr">
        <is>
          <t>23-05-2024</t>
        </is>
      </c>
      <c r="G538" t="n">
        <v>84401</v>
      </c>
      <c r="I538">
        <f>G538</f>
        <v/>
      </c>
      <c r="K538">
        <f>I538-G538</f>
        <v/>
      </c>
      <c r="M538" t="inlineStr">
        <is>
          <t>IVO07569</t>
        </is>
      </c>
      <c r="N538" t="inlineStr"/>
      <c r="O538">
        <f>M538=N538</f>
        <v/>
      </c>
      <c r="P538">
        <f>AND(MONTH(F538)=MONTH(S538), YEAR(F538)=YEAR(S538))</f>
        <v/>
      </c>
      <c r="Q538">
        <f>"L001-902303751"=U538</f>
        <v/>
      </c>
      <c r="R538">
        <f>G538-W538</f>
        <v/>
      </c>
      <c r="S538" s="36" t="n">
        <v>45292</v>
      </c>
      <c r="T538" t="inlineStr"/>
      <c r="U538" t="inlineStr">
        <is>
          <t>L001-901500191</t>
        </is>
      </c>
      <c r="V538" t="inlineStr">
        <is>
          <t>អ.អិន.វ៉ាយ ត្រេនស្ព័ត</t>
        </is>
      </c>
      <c r="W538" t="n">
        <v>0</v>
      </c>
      <c r="X538" t="n">
        <v>0</v>
      </c>
    </row>
    <row r="539">
      <c r="A539" t="n">
        <v>538</v>
      </c>
      <c r="B539" t="inlineStr">
        <is>
          <t>Customs Clearance Fee and Trucking Fee</t>
        </is>
      </c>
      <c r="C539" t="inlineStr">
        <is>
          <t>ត្រាយអ៊ែងហ្គល ឡូជីស្ទីក (ខេមបូឌា) ឯ.ក</t>
        </is>
      </c>
      <c r="D539" t="inlineStr">
        <is>
          <t>K010-902101743</t>
        </is>
      </c>
      <c r="E539" t="inlineStr">
        <is>
          <t>TAG-24-00320</t>
        </is>
      </c>
      <c r="F539" t="inlineStr">
        <is>
          <t>10-05-2024</t>
        </is>
      </c>
      <c r="G539" t="n">
        <v>28532</v>
      </c>
      <c r="I539">
        <f>G539</f>
        <v/>
      </c>
      <c r="K539">
        <f>I539-G539</f>
        <v/>
      </c>
      <c r="M539" t="inlineStr">
        <is>
          <t>TAG2400320</t>
        </is>
      </c>
      <c r="N539" t="inlineStr">
        <is>
          <t>11029500</t>
        </is>
      </c>
      <c r="O539">
        <f>M539=N539</f>
        <v/>
      </c>
      <c r="P539">
        <f>AND(MONTH(F539)=MONTH(S539), YEAR(F539)=YEAR(S539))</f>
        <v/>
      </c>
      <c r="Q539">
        <f>"L001-902303751"=U539</f>
        <v/>
      </c>
      <c r="R539">
        <f>G539-W539</f>
        <v/>
      </c>
      <c r="S539" s="36" t="n">
        <v>45292</v>
      </c>
      <c r="T539" t="n">
        <v>110295</v>
      </c>
      <c r="U539" t="inlineStr">
        <is>
          <t>L001-901500191</t>
        </is>
      </c>
      <c r="V539" t="inlineStr">
        <is>
          <t>អ.អិន.វ៉ាយ ត្រេនស្ព័ត</t>
        </is>
      </c>
      <c r="W539" t="n">
        <v>110295</v>
      </c>
      <c r="X539" t="n">
        <v>0</v>
      </c>
    </row>
    <row r="540">
      <c r="A540" t="n">
        <v>539</v>
      </c>
      <c r="B540" t="inlineStr">
        <is>
          <t>Cargo Terminal</t>
        </is>
      </c>
      <c r="C540" t="inlineStr">
        <is>
          <t>សូស៊ីយេតេ កុងសេស្យូនែរ ដឺ ឡាអេរ៉ូព័រ</t>
        </is>
      </c>
      <c r="D540" t="inlineStr">
        <is>
          <t>L001-100047300</t>
        </is>
      </c>
      <c r="E540" t="inlineStr">
        <is>
          <t>2400-033682</t>
        </is>
      </c>
      <c r="F540" t="inlineStr">
        <is>
          <t>10-05-2024</t>
        </is>
      </c>
      <c r="G540" t="n">
        <v>13466</v>
      </c>
      <c r="I540">
        <f>G540</f>
        <v/>
      </c>
      <c r="K540">
        <f>I540-G540</f>
        <v/>
      </c>
      <c r="M540" t="inlineStr">
        <is>
          <t>2400033682</t>
        </is>
      </c>
      <c r="N540" t="inlineStr">
        <is>
          <t>20001800</t>
        </is>
      </c>
      <c r="O540">
        <f>M540=N540</f>
        <v/>
      </c>
      <c r="P540">
        <f>AND(MONTH(F540)=MONTH(S540), YEAR(F540)=YEAR(S540))</f>
        <v/>
      </c>
      <c r="Q540">
        <f>"L001-902303751"=U540</f>
        <v/>
      </c>
      <c r="R540">
        <f>G540-W540</f>
        <v/>
      </c>
      <c r="S540" s="36" t="n">
        <v>45294</v>
      </c>
      <c r="T540" t="n">
        <v>200018</v>
      </c>
      <c r="U540" t="inlineStr">
        <is>
          <t>L001-103007369</t>
        </is>
      </c>
      <c r="V540" t="inlineStr">
        <is>
          <t>អូរៀនថល ឡូជីស្ទីក &amp; ឌីស្ទ្រីប៊្យូសិន (ខេមបូឌា)</t>
        </is>
      </c>
      <c r="W540" t="n">
        <v>200018</v>
      </c>
      <c r="X540" t="n">
        <v>0</v>
      </c>
    </row>
    <row r="541">
      <c r="A541" t="n">
        <v>540</v>
      </c>
      <c r="B541" t="inlineStr">
        <is>
          <t>Document Fee and Agency Fee</t>
        </is>
      </c>
      <c r="C541" t="inlineStr">
        <is>
          <t>អ៊ីហ្វាវ ឡូជីស</t>
        </is>
      </c>
      <c r="D541" t="inlineStr">
        <is>
          <t>K009-100186262</t>
        </is>
      </c>
      <c r="E541" t="inlineStr">
        <is>
          <t>EFAW2024-071</t>
        </is>
      </c>
      <c r="F541" t="inlineStr">
        <is>
          <t>08-05-2024</t>
        </is>
      </c>
      <c r="G541" t="n">
        <v>24450</v>
      </c>
      <c r="I541">
        <f>G541</f>
        <v/>
      </c>
      <c r="K541">
        <f>I541-G541</f>
        <v/>
      </c>
      <c r="M541" t="inlineStr">
        <is>
          <t>EFAW2024071</t>
        </is>
      </c>
      <c r="N541" t="inlineStr"/>
      <c r="O541">
        <f>M541=N541</f>
        <v/>
      </c>
      <c r="P541">
        <f>AND(MONTH(F541)=MONTH(S541), YEAR(F541)=YEAR(S541))</f>
        <v/>
      </c>
      <c r="Q541">
        <f>"L001-902303751"=U541</f>
        <v/>
      </c>
      <c r="R541">
        <f>G541-W541</f>
        <v/>
      </c>
      <c r="S541" s="36" t="n">
        <v>45293</v>
      </c>
      <c r="T541" t="inlineStr"/>
      <c r="U541" t="inlineStr">
        <is>
          <t>K005-901902888</t>
        </is>
      </c>
      <c r="V541" t="inlineStr">
        <is>
          <t>អឹឡាយអិន ហ្វ័រវើឌីង (ខេមបូឌា) ឯ.ក</t>
        </is>
      </c>
      <c r="W541" t="n">
        <v>0</v>
      </c>
      <c r="X541" t="n">
        <v>0</v>
      </c>
    </row>
    <row r="542">
      <c r="A542" t="n">
        <v>541</v>
      </c>
      <c r="B542" t="inlineStr">
        <is>
          <t>Customs Clearance Fee and Trucking Fee</t>
        </is>
      </c>
      <c r="C542" t="inlineStr">
        <is>
          <t>ត្រាយអ៊ែងហ្គល ឡូជីស្ទីក (ខេមបូឌា) ឯ.ក</t>
        </is>
      </c>
      <c r="D542" t="inlineStr">
        <is>
          <t>K010-902101743</t>
        </is>
      </c>
      <c r="E542" t="inlineStr">
        <is>
          <t>TAG-24-00321</t>
        </is>
      </c>
      <c r="F542" t="inlineStr">
        <is>
          <t>10-05-2024</t>
        </is>
      </c>
      <c r="G542" t="n">
        <v>28532</v>
      </c>
      <c r="I542">
        <f>G542</f>
        <v/>
      </c>
      <c r="K542">
        <f>I542-G542</f>
        <v/>
      </c>
      <c r="M542" t="inlineStr">
        <is>
          <t>TAG2400321</t>
        </is>
      </c>
      <c r="N542" t="inlineStr">
        <is>
          <t>38932700</t>
        </is>
      </c>
      <c r="O542">
        <f>M542=N542</f>
        <v/>
      </c>
      <c r="P542">
        <f>AND(MONTH(F542)=MONTH(S542), YEAR(F542)=YEAR(S542))</f>
        <v/>
      </c>
      <c r="Q542">
        <f>"L001-902303751"=U542</f>
        <v/>
      </c>
      <c r="R542">
        <f>G542-W542</f>
        <v/>
      </c>
      <c r="S542" s="36" t="n">
        <v>45293</v>
      </c>
      <c r="T542" t="n">
        <v>389327</v>
      </c>
      <c r="U542" t="inlineStr">
        <is>
          <t>L001-100074669</t>
        </is>
      </c>
      <c r="V542" t="inlineStr">
        <is>
          <t>ខេអិលអិន ហ្វ្រេត (ខេមបូឌា) ឯ.ក</t>
        </is>
      </c>
      <c r="W542" t="n">
        <v>389327</v>
      </c>
      <c r="X542" t="n">
        <v>0</v>
      </c>
    </row>
    <row r="543">
      <c r="A543" t="n">
        <v>542</v>
      </c>
      <c r="B543" t="inlineStr">
        <is>
          <t>Cargo Terminal</t>
        </is>
      </c>
      <c r="C543" t="inlineStr">
        <is>
          <t>សូស៊ីយេតេ កុងសេស្យូនែរ ដឺ ឡាអេរ៉ូព័រ</t>
        </is>
      </c>
      <c r="D543" t="inlineStr">
        <is>
          <t>L001-100047300</t>
        </is>
      </c>
      <c r="E543" t="inlineStr">
        <is>
          <t>2400-033683</t>
        </is>
      </c>
      <c r="F543" t="inlineStr">
        <is>
          <t>10-05-2024</t>
        </is>
      </c>
      <c r="G543" t="n">
        <v>10990</v>
      </c>
      <c r="I543">
        <f>G543</f>
        <v/>
      </c>
      <c r="K543">
        <f>I543-G543</f>
        <v/>
      </c>
      <c r="M543" t="inlineStr">
        <is>
          <t>2400033683</t>
        </is>
      </c>
      <c r="N543" t="inlineStr"/>
      <c r="O543">
        <f>M543=N543</f>
        <v/>
      </c>
      <c r="P543">
        <f>AND(MONTH(F543)=MONTH(S543), YEAR(F543)=YEAR(S543))</f>
        <v/>
      </c>
      <c r="Q543">
        <f>"L001-902303751"=U543</f>
        <v/>
      </c>
      <c r="R543">
        <f>G543-W543</f>
        <v/>
      </c>
      <c r="S543" s="36" t="n">
        <v>45316</v>
      </c>
      <c r="T543" t="inlineStr"/>
      <c r="U543" t="inlineStr">
        <is>
          <t>K003-901635943</t>
        </is>
      </c>
      <c r="V543" t="inlineStr">
        <is>
          <t>អ៊ីឃ្យូឡាញ វើលវ៉ាយដ៍ ឡូជីស្ទីក</t>
        </is>
      </c>
      <c r="W543" t="n">
        <v>0</v>
      </c>
      <c r="X543" t="n">
        <v>0</v>
      </c>
    </row>
    <row r="544">
      <c r="A544" t="n">
        <v>543</v>
      </c>
      <c r="B544" t="inlineStr">
        <is>
          <t>Cargo Terminal</t>
        </is>
      </c>
      <c r="C544" t="inlineStr">
        <is>
          <t>សូស៊ីយេតេ កុងសេស្យូនែរ ដឺ ឡាអេរ៉ូព័រ</t>
        </is>
      </c>
      <c r="D544" t="inlineStr">
        <is>
          <t>L001-100047300</t>
        </is>
      </c>
      <c r="E544" t="inlineStr">
        <is>
          <t>2400-031228</t>
        </is>
      </c>
      <c r="F544" t="inlineStr">
        <is>
          <t>02-05-2024</t>
        </is>
      </c>
      <c r="G544" t="n">
        <v>6439</v>
      </c>
      <c r="I544">
        <f>G544</f>
        <v/>
      </c>
      <c r="K544">
        <f>I544-G544</f>
        <v/>
      </c>
      <c r="M544" t="inlineStr">
        <is>
          <t>2400031228</t>
        </is>
      </c>
      <c r="N544" t="inlineStr"/>
      <c r="O544">
        <f>M544=N544</f>
        <v/>
      </c>
      <c r="P544">
        <f>AND(MONTH(F544)=MONTH(S544), YEAR(F544)=YEAR(S544))</f>
        <v/>
      </c>
      <c r="Q544">
        <f>"L001-902303751"=U544</f>
        <v/>
      </c>
      <c r="R544">
        <f>G544-W544</f>
        <v/>
      </c>
      <c r="S544" s="36" t="n">
        <v>45294</v>
      </c>
      <c r="T544" t="inlineStr"/>
      <c r="U544" t="inlineStr">
        <is>
          <t>K002-901800477</t>
        </is>
      </c>
      <c r="V544" t="inlineStr">
        <is>
          <t>អាយធីអាយ អ៊ិនធើណេសិនណល ត្រេនស័្ពរថេសិន (ខេមបូឌា) ឯ.ក</t>
        </is>
      </c>
      <c r="W544" t="n">
        <v>0</v>
      </c>
      <c r="X544" t="n">
        <v>0</v>
      </c>
    </row>
    <row r="545">
      <c r="A545" t="n">
        <v>544</v>
      </c>
      <c r="B545" t="inlineStr">
        <is>
          <t>Customs Clearance Fee and Trucking Fee</t>
        </is>
      </c>
      <c r="C545" t="inlineStr">
        <is>
          <t>ត្រាយអ៊ែងហ្គល ឡូជីស្ទីក (ខេមបូឌា) ឯ.ក</t>
        </is>
      </c>
      <c r="D545" t="inlineStr">
        <is>
          <t>K010-902101743</t>
        </is>
      </c>
      <c r="E545" t="inlineStr">
        <is>
          <t>TAG-24-00303</t>
        </is>
      </c>
      <c r="F545" t="inlineStr">
        <is>
          <t>02-05-2024</t>
        </is>
      </c>
      <c r="G545" t="n">
        <v>28462</v>
      </c>
      <c r="I545">
        <f>G545</f>
        <v/>
      </c>
      <c r="K545">
        <f>I545-G545</f>
        <v/>
      </c>
      <c r="M545" t="inlineStr">
        <is>
          <t>TAG2400303</t>
        </is>
      </c>
      <c r="N545" t="inlineStr">
        <is>
          <t>8439800</t>
        </is>
      </c>
      <c r="O545">
        <f>M545=N545</f>
        <v/>
      </c>
      <c r="P545">
        <f>AND(MONTH(F545)=MONTH(S545), YEAR(F545)=YEAR(S545))</f>
        <v/>
      </c>
      <c r="Q545">
        <f>"L001-902303751"=U545</f>
        <v/>
      </c>
      <c r="R545">
        <f>G545-W545</f>
        <v/>
      </c>
      <c r="S545" s="36" t="n">
        <v>45300</v>
      </c>
      <c r="T545" t="n">
        <v>84398</v>
      </c>
      <c r="U545" t="inlineStr">
        <is>
          <t>K003-901635943</t>
        </is>
      </c>
      <c r="V545" t="inlineStr">
        <is>
          <t>អ៊ីឃ្យូឡាញ វើលវ៉ាយដ៍ ឡូជីស្ទីក</t>
        </is>
      </c>
      <c r="W545" t="n">
        <v>84398</v>
      </c>
      <c r="X545" t="n">
        <v>0</v>
      </c>
    </row>
    <row r="546">
      <c r="A546" t="n">
        <v>545</v>
      </c>
      <c r="B546" t="inlineStr">
        <is>
          <t>Import Shipment Expense</t>
        </is>
      </c>
      <c r="C546" t="inlineStr">
        <is>
          <t>ខេអិលអិន ហ្វ្រេត (ខេមបូឌា) ឯ.ក</t>
        </is>
      </c>
      <c r="D546" t="inlineStr">
        <is>
          <t>L001-100074669</t>
        </is>
      </c>
      <c r="E546" t="inlineStr">
        <is>
          <t>IVO07565</t>
        </is>
      </c>
      <c r="F546" t="inlineStr">
        <is>
          <t>21-05-2024</t>
        </is>
      </c>
      <c r="G546" t="n">
        <v>113800</v>
      </c>
      <c r="I546">
        <f>G546</f>
        <v/>
      </c>
      <c r="K546">
        <f>I546-G546</f>
        <v/>
      </c>
      <c r="M546" t="inlineStr">
        <is>
          <t>IVO07565</t>
        </is>
      </c>
      <c r="N546" t="inlineStr"/>
      <c r="O546">
        <f>M546=N546</f>
        <v/>
      </c>
      <c r="P546">
        <f>AND(MONTH(F546)=MONTH(S546), YEAR(F546)=YEAR(S546))</f>
        <v/>
      </c>
      <c r="Q546">
        <f>"L001-902303751"=U546</f>
        <v/>
      </c>
      <c r="R546">
        <f>G546-W546</f>
        <v/>
      </c>
      <c r="S546" s="36" t="n">
        <v>45300</v>
      </c>
      <c r="T546" t="inlineStr"/>
      <c r="U546" t="inlineStr">
        <is>
          <t>L001-107032791</t>
        </is>
      </c>
      <c r="V546" t="inlineStr">
        <is>
          <t>នីបផន អិចប្រេស (ខេមបូឌា) ខូ អិលធីឌី</t>
        </is>
      </c>
      <c r="W546" t="n">
        <v>0</v>
      </c>
      <c r="X546" t="n">
        <v>0</v>
      </c>
    </row>
    <row r="547">
      <c r="A547" t="n">
        <v>546</v>
      </c>
      <c r="B547" t="inlineStr">
        <is>
          <t>Customs Clearance Fee and Trucking Fee</t>
        </is>
      </c>
      <c r="C547" t="inlineStr">
        <is>
          <t>ត្រាយអ៊ែងហ្គល ឡូជីស្ទីក (ខេមបូឌា) ឯ.ក</t>
        </is>
      </c>
      <c r="D547" t="inlineStr">
        <is>
          <t>K010-902101743</t>
        </is>
      </c>
      <c r="E547" t="inlineStr">
        <is>
          <t>TAG-24-00312</t>
        </is>
      </c>
      <c r="F547" t="inlineStr">
        <is>
          <t>08-05-2024</t>
        </is>
      </c>
      <c r="G547" t="n">
        <v>28525</v>
      </c>
      <c r="I547">
        <f>G547</f>
        <v/>
      </c>
      <c r="K547">
        <f>I547-G547</f>
        <v/>
      </c>
      <c r="M547" t="inlineStr">
        <is>
          <t>TAG2400312</t>
        </is>
      </c>
      <c r="N547" t="inlineStr">
        <is>
          <t>8411000</t>
        </is>
      </c>
      <c r="O547">
        <f>M547=N547</f>
        <v/>
      </c>
      <c r="P547">
        <f>AND(MONTH(F547)=MONTH(S547), YEAR(F547)=YEAR(S547))</f>
        <v/>
      </c>
      <c r="Q547">
        <f>"L001-902303751"=U547</f>
        <v/>
      </c>
      <c r="R547">
        <f>G547-W547</f>
        <v/>
      </c>
      <c r="S547" s="36" t="n">
        <v>45307</v>
      </c>
      <c r="T547" t="n">
        <v>84110</v>
      </c>
      <c r="U547" t="inlineStr">
        <is>
          <t>K003-901635943</t>
        </is>
      </c>
      <c r="V547" t="inlineStr">
        <is>
          <t>អ៊ីឃ្យូឡាញ វើលវ៉ាយដ៍ ឡូជីស្ទីក</t>
        </is>
      </c>
      <c r="W547" t="n">
        <v>84110</v>
      </c>
      <c r="X547" t="n">
        <v>0</v>
      </c>
    </row>
    <row r="548">
      <c r="A548" t="n">
        <v>547</v>
      </c>
      <c r="B548" t="inlineStr">
        <is>
          <t>Warehouse Fee, Transit Fee and Storage Fee</t>
        </is>
      </c>
      <c r="C548" t="inlineStr">
        <is>
          <t>អាយធីអាយ អ៊ិនធើណេសិនណល ត្រេនស័្ពរថេសិន (ខេមបូឌា) ឯ.ក</t>
        </is>
      </c>
      <c r="D548" t="inlineStr">
        <is>
          <t>K002-901800477</t>
        </is>
      </c>
      <c r="E548" t="inlineStr">
        <is>
          <t>CAM242085</t>
        </is>
      </c>
      <c r="F548" t="inlineStr">
        <is>
          <t>09-05-2024</t>
        </is>
      </c>
      <c r="G548" t="n">
        <v>20306</v>
      </c>
      <c r="I548">
        <f>G548</f>
        <v/>
      </c>
      <c r="K548">
        <f>I548-G548</f>
        <v/>
      </c>
      <c r="M548" t="inlineStr">
        <is>
          <t>CAM242085</t>
        </is>
      </c>
      <c r="N548" t="inlineStr">
        <is>
          <t>11263600</t>
        </is>
      </c>
      <c r="O548">
        <f>M548=N548</f>
        <v/>
      </c>
      <c r="P548">
        <f>AND(MONTH(F548)=MONTH(S548), YEAR(F548)=YEAR(S548))</f>
        <v/>
      </c>
      <c r="Q548">
        <f>"L001-902303751"=U548</f>
        <v/>
      </c>
      <c r="R548">
        <f>G548-W548</f>
        <v/>
      </c>
      <c r="S548" s="36" t="n">
        <v>45320</v>
      </c>
      <c r="T548" t="n">
        <v>112636</v>
      </c>
      <c r="U548" t="inlineStr">
        <is>
          <t>K005-901805913</t>
        </is>
      </c>
      <c r="V548" t="inlineStr">
        <is>
          <t>ស្តារ ខង់ខដ (ខេមបូឌា) ឯ.ក</t>
        </is>
      </c>
      <c r="W548" t="n">
        <v>112636</v>
      </c>
      <c r="X548" t="n">
        <v>0</v>
      </c>
    </row>
    <row r="549">
      <c r="A549" t="n">
        <v>548</v>
      </c>
      <c r="B549" t="inlineStr">
        <is>
          <t>Customs Clearance Fee and Trucking Fee</t>
        </is>
      </c>
      <c r="C549" t="inlineStr">
        <is>
          <t>ត្រាយអ៊ែងហ្គល ឡូជីស្ទីក (ខេមបូឌា) ឯ.ក</t>
        </is>
      </c>
      <c r="D549" t="inlineStr">
        <is>
          <t>K010-902101743</t>
        </is>
      </c>
      <c r="E549" t="inlineStr">
        <is>
          <t>TAG-24-00311</t>
        </is>
      </c>
      <c r="F549" t="inlineStr">
        <is>
          <t>08-05-2024</t>
        </is>
      </c>
      <c r="G549" t="n">
        <v>28525</v>
      </c>
      <c r="I549">
        <f>G549</f>
        <v/>
      </c>
      <c r="K549">
        <f>I549-G549</f>
        <v/>
      </c>
      <c r="M549" t="inlineStr">
        <is>
          <t>TAG2400311</t>
        </is>
      </c>
      <c r="N549" t="inlineStr">
        <is>
          <t>11018700</t>
        </is>
      </c>
      <c r="O549">
        <f>M549=N549</f>
        <v/>
      </c>
      <c r="P549">
        <f>AND(MONTH(F549)=MONTH(S549), YEAR(F549)=YEAR(S549))</f>
        <v/>
      </c>
      <c r="Q549">
        <f>"L001-902303751"=U549</f>
        <v/>
      </c>
      <c r="R549">
        <f>G549-W549</f>
        <v/>
      </c>
      <c r="S549" s="36" t="n">
        <v>45320</v>
      </c>
      <c r="T549" t="n">
        <v>110187</v>
      </c>
      <c r="U549" t="inlineStr">
        <is>
          <t>L001-107041723</t>
        </is>
      </c>
      <c r="V549" t="inlineStr">
        <is>
          <t>ឌីប៊ី សេនឃើរ (ខេមបូឌា) លីមីធីត</t>
        </is>
      </c>
      <c r="W549" t="n">
        <v>110187</v>
      </c>
      <c r="X549" t="n">
        <v>0</v>
      </c>
    </row>
    <row r="550">
      <c r="A550" t="n">
        <v>549</v>
      </c>
      <c r="B550" t="inlineStr">
        <is>
          <t>Customs Clearance Fee</t>
        </is>
      </c>
      <c r="C550" t="inlineStr">
        <is>
          <t>ត្រាយអ៊ែងហ្គល ឡូជីស្ទីក (ខេមបូឌា) ឯ.ក</t>
        </is>
      </c>
      <c r="D550" t="inlineStr">
        <is>
          <t>K010-902101743</t>
        </is>
      </c>
      <c r="E550" t="inlineStr">
        <is>
          <t>TAG-24-00315</t>
        </is>
      </c>
      <c r="F550" t="inlineStr">
        <is>
          <t>08-05-2024</t>
        </is>
      </c>
      <c r="G550" t="n">
        <v>8150</v>
      </c>
      <c r="I550">
        <f>G550</f>
        <v/>
      </c>
      <c r="K550">
        <f>I550-G550</f>
        <v/>
      </c>
      <c r="M550" t="inlineStr">
        <is>
          <t>TAG2400315</t>
        </is>
      </c>
      <c r="N550" t="inlineStr"/>
      <c r="O550">
        <f>M550=N550</f>
        <v/>
      </c>
      <c r="P550">
        <f>AND(MONTH(F550)=MONTH(S550), YEAR(F550)=YEAR(S550))</f>
        <v/>
      </c>
      <c r="Q550">
        <f>"L001-902303751"=U550</f>
        <v/>
      </c>
      <c r="R550">
        <f>G550-W550</f>
        <v/>
      </c>
      <c r="S550" s="36" t="n">
        <v>45293</v>
      </c>
      <c r="T550" t="inlineStr"/>
      <c r="U550" t="inlineStr">
        <is>
          <t>K003-901635943</t>
        </is>
      </c>
      <c r="V550" t="inlineStr">
        <is>
          <t>អ៊ីឃ្យូឡាញ វើលវ៉ាយដ៍ ឡូជីស្ទីក</t>
        </is>
      </c>
      <c r="W550" t="n">
        <v>0</v>
      </c>
      <c r="X550" t="n">
        <v>0</v>
      </c>
    </row>
    <row r="551">
      <c r="A551" t="n">
        <v>550</v>
      </c>
      <c r="B551" t="inlineStr">
        <is>
          <t>Warehouse Fee, Transit Fee and Storage Fee</t>
        </is>
      </c>
      <c r="C551" t="inlineStr">
        <is>
          <t>អាយធីអាយ អ៊ិនធើណេសិនណល ត្រេនស័្ពរថេសិន (ខេមបូឌា) ឯ.ក</t>
        </is>
      </c>
      <c r="D551" t="inlineStr">
        <is>
          <t>K002-901800477</t>
        </is>
      </c>
      <c r="E551" t="inlineStr">
        <is>
          <t>CAM242063</t>
        </is>
      </c>
      <c r="F551" t="inlineStr">
        <is>
          <t>07-05-2024</t>
        </is>
      </c>
      <c r="G551" t="n">
        <v>10310</v>
      </c>
      <c r="I551">
        <f>G551</f>
        <v/>
      </c>
      <c r="K551">
        <f>I551-G551</f>
        <v/>
      </c>
      <c r="M551" t="inlineStr">
        <is>
          <t>CAM242063</t>
        </is>
      </c>
      <c r="N551" t="inlineStr">
        <is>
          <t>75517000</t>
        </is>
      </c>
      <c r="O551">
        <f>M551=N551</f>
        <v/>
      </c>
      <c r="P551">
        <f>AND(MONTH(F551)=MONTH(S551), YEAR(F551)=YEAR(S551))</f>
        <v/>
      </c>
      <c r="Q551">
        <f>"L001-902303751"=U551</f>
        <v/>
      </c>
      <c r="R551">
        <f>G551-W551</f>
        <v/>
      </c>
      <c r="S551" s="36" t="n">
        <v>45294</v>
      </c>
      <c r="T551" t="n">
        <v>755170</v>
      </c>
      <c r="U551" t="inlineStr">
        <is>
          <t>K009-901605081</t>
        </is>
      </c>
      <c r="V551" t="inlineStr">
        <is>
          <t>ទ្រូ ខមភែនៀន ឡូជីស្ទីក (ខេមបូឌា)</t>
        </is>
      </c>
      <c r="W551" t="n">
        <v>755170</v>
      </c>
      <c r="X551" t="n">
        <v>0</v>
      </c>
    </row>
    <row r="552">
      <c r="A552" t="n">
        <v>551</v>
      </c>
      <c r="B552" t="inlineStr">
        <is>
          <t>Customs Clearance Fee and Trucking Fee</t>
        </is>
      </c>
      <c r="C552" t="inlineStr">
        <is>
          <t>ត្រាយអ៊ែងហ្គល ឡូជីស្ទីក (ខេមបូឌា) ឯ.ក</t>
        </is>
      </c>
      <c r="D552" t="inlineStr">
        <is>
          <t>K010-902101743</t>
        </is>
      </c>
      <c r="E552" t="inlineStr">
        <is>
          <t>TAG-24-00304</t>
        </is>
      </c>
      <c r="F552" t="inlineStr">
        <is>
          <t>02-05-2024</t>
        </is>
      </c>
      <c r="G552" t="n">
        <v>32528</v>
      </c>
      <c r="I552">
        <f>G552</f>
        <v/>
      </c>
      <c r="K552">
        <f>I552-G552</f>
        <v/>
      </c>
      <c r="M552" t="inlineStr">
        <is>
          <t>TAG2400304</t>
        </is>
      </c>
      <c r="N552" t="inlineStr">
        <is>
          <t>10232500</t>
        </is>
      </c>
      <c r="O552">
        <f>M552=N552</f>
        <v/>
      </c>
      <c r="P552">
        <f>AND(MONTH(F552)=MONTH(S552), YEAR(F552)=YEAR(S552))</f>
        <v/>
      </c>
      <c r="Q552">
        <f>"L001-902303751"=U552</f>
        <v/>
      </c>
      <c r="R552">
        <f>G552-W552</f>
        <v/>
      </c>
      <c r="S552" s="36" t="n">
        <v>45296</v>
      </c>
      <c r="T552" t="n">
        <v>102325</v>
      </c>
      <c r="U552" t="inlineStr">
        <is>
          <t>K003-901635943</t>
        </is>
      </c>
      <c r="V552" t="inlineStr">
        <is>
          <t>អ៊ីឃ្យូឡាញ វើលវ៉ាយដ៍ ឡូជីស្ទីក</t>
        </is>
      </c>
      <c r="W552" t="n">
        <v>102325</v>
      </c>
      <c r="X552" t="n">
        <v>0</v>
      </c>
    </row>
    <row r="553">
      <c r="A553" t="n">
        <v>552</v>
      </c>
      <c r="B553" t="inlineStr">
        <is>
          <t>Storage Charge</t>
        </is>
      </c>
      <c r="C553" t="inlineStr">
        <is>
          <t>ហាន​ &amp; ជុន ត្រេនស្ព័ត ខូ អិលធីឌី</t>
        </is>
      </c>
      <c r="D553" t="inlineStr">
        <is>
          <t>L001-104016647</t>
        </is>
      </c>
      <c r="E553" t="inlineStr">
        <is>
          <t>HJ24-1312</t>
        </is>
      </c>
      <c r="F553" t="inlineStr">
        <is>
          <t>02-05-2024</t>
        </is>
      </c>
      <c r="G553" t="n">
        <v>4051</v>
      </c>
      <c r="I553">
        <f>G553</f>
        <v/>
      </c>
      <c r="K553">
        <f>I553-G553</f>
        <v/>
      </c>
      <c r="M553" t="inlineStr">
        <is>
          <t>HJ241312</t>
        </is>
      </c>
      <c r="N553" t="inlineStr"/>
      <c r="O553">
        <f>M553=N553</f>
        <v/>
      </c>
      <c r="P553">
        <f>AND(MONTH(F553)=MONTH(S553), YEAR(F553)=YEAR(S553))</f>
        <v/>
      </c>
      <c r="Q553">
        <f>"L001-902303751"=U553</f>
        <v/>
      </c>
      <c r="R553">
        <f>G553-W553</f>
        <v/>
      </c>
      <c r="S553" s="36" t="n">
        <v>45307</v>
      </c>
      <c r="T553" t="inlineStr"/>
      <c r="U553" t="inlineStr">
        <is>
          <t>L001-100045995</t>
        </is>
      </c>
      <c r="V553" t="inlineStr">
        <is>
          <t>ឌីអេចអិល ឡូជីស្ទីក (ខេមបូឌា)</t>
        </is>
      </c>
      <c r="W553" t="n">
        <v>0</v>
      </c>
      <c r="X553" t="n">
        <v>0</v>
      </c>
    </row>
    <row r="554">
      <c r="A554" t="n">
        <v>553</v>
      </c>
      <c r="B554" t="inlineStr">
        <is>
          <t>Warehouse Fee</t>
        </is>
      </c>
      <c r="C554" t="inlineStr">
        <is>
          <t>ហាន​ &amp; ជុន ត្រេនស្ព័ត ខូ អិលធីឌី</t>
        </is>
      </c>
      <c r="D554" t="inlineStr">
        <is>
          <t>L001-104016647</t>
        </is>
      </c>
      <c r="E554" t="inlineStr">
        <is>
          <t>HJ24-1309</t>
        </is>
      </c>
      <c r="F554" t="inlineStr">
        <is>
          <t>02-05-2024</t>
        </is>
      </c>
      <c r="G554" t="n">
        <v>13499</v>
      </c>
      <c r="I554">
        <f>G554</f>
        <v/>
      </c>
      <c r="K554">
        <f>I554-G554</f>
        <v/>
      </c>
      <c r="M554" t="inlineStr">
        <is>
          <t>HJ241309</t>
        </is>
      </c>
      <c r="N554" t="inlineStr"/>
      <c r="O554">
        <f>M554=N554</f>
        <v/>
      </c>
      <c r="P554">
        <f>AND(MONTH(F554)=MONTH(S554), YEAR(F554)=YEAR(S554))</f>
        <v/>
      </c>
      <c r="Q554">
        <f>"L001-902303751"=U554</f>
        <v/>
      </c>
      <c r="R554">
        <f>G554-W554</f>
        <v/>
      </c>
      <c r="S554" s="36" t="n">
        <v>45294</v>
      </c>
      <c r="T554" t="inlineStr"/>
      <c r="U554" t="inlineStr">
        <is>
          <t>L001-901500191</t>
        </is>
      </c>
      <c r="V554" t="inlineStr">
        <is>
          <t>អ.អិន.វ៉ាយ ត្រេនស្ព័ត</t>
        </is>
      </c>
      <c r="W554" t="n">
        <v>0</v>
      </c>
      <c r="X554" t="n">
        <v>0</v>
      </c>
    </row>
    <row r="555">
      <c r="A555" t="n">
        <v>554</v>
      </c>
      <c r="B555" t="inlineStr">
        <is>
          <t>Customs Clearance Fee and Trucking Fee</t>
        </is>
      </c>
      <c r="C555" t="inlineStr">
        <is>
          <t>ត្រាយអ៊ែងហ្គល ឡូជីស្ទីក (ខេមបូឌា) ឯ.ក</t>
        </is>
      </c>
      <c r="D555" t="inlineStr">
        <is>
          <t>K010-902101743</t>
        </is>
      </c>
      <c r="E555" t="inlineStr">
        <is>
          <t>TAG-24-00352</t>
        </is>
      </c>
      <c r="F555" t="inlineStr">
        <is>
          <t>20-05-2024</t>
        </is>
      </c>
      <c r="G555" t="n">
        <v>35525</v>
      </c>
      <c r="I555">
        <f>G555</f>
        <v/>
      </c>
      <c r="K555">
        <f>I555-G555</f>
        <v/>
      </c>
      <c r="M555" t="inlineStr">
        <is>
          <t>TAG2400352</t>
        </is>
      </c>
      <c r="N555" t="inlineStr"/>
      <c r="O555">
        <f>M555=N555</f>
        <v/>
      </c>
      <c r="P555">
        <f>AND(MONTH(F555)=MONTH(S555), YEAR(F555)=YEAR(S555))</f>
        <v/>
      </c>
      <c r="Q555">
        <f>"L001-902303751"=U555</f>
        <v/>
      </c>
      <c r="R555">
        <f>G555-W555</f>
        <v/>
      </c>
      <c r="S555" s="36" t="n">
        <v>45294</v>
      </c>
      <c r="T555" t="inlineStr"/>
      <c r="U555" t="inlineStr">
        <is>
          <t>K005-901501155</t>
        </is>
      </c>
      <c r="V555" t="inlineStr">
        <is>
          <t>ផេនដា គ្លូប៊ល ឡូជីស្ទីក (ខេមបូឌា)</t>
        </is>
      </c>
      <c r="W555" t="n">
        <v>0</v>
      </c>
      <c r="X555" t="n">
        <v>0</v>
      </c>
    </row>
    <row r="556">
      <c r="A556" t="n">
        <v>555</v>
      </c>
      <c r="B556" t="inlineStr">
        <is>
          <t>Charge from warehouse and Storage Charges</t>
        </is>
      </c>
      <c r="C556" t="inlineStr">
        <is>
          <t>កំពង់ផែស្វយ័តក្រុងព្រះសីហនុ</t>
        </is>
      </c>
      <c r="D556" t="inlineStr">
        <is>
          <t>L001-100044638</t>
        </is>
      </c>
      <c r="E556" t="inlineStr">
        <is>
          <t>09578</t>
        </is>
      </c>
      <c r="F556" t="inlineStr">
        <is>
          <t>20-05-2024</t>
        </is>
      </c>
      <c r="G556" t="n">
        <v>2483</v>
      </c>
      <c r="I556">
        <f>G556</f>
        <v/>
      </c>
      <c r="K556">
        <f>I556-G556</f>
        <v/>
      </c>
      <c r="M556" t="inlineStr">
        <is>
          <t>09578</t>
        </is>
      </c>
      <c r="N556" t="inlineStr"/>
      <c r="O556">
        <f>M556=N556</f>
        <v/>
      </c>
      <c r="P556">
        <f>AND(MONTH(F556)=MONTH(S556), YEAR(F556)=YEAR(S556))</f>
        <v/>
      </c>
      <c r="Q556">
        <f>"L001-902303751"=U556</f>
        <v/>
      </c>
      <c r="R556">
        <f>G556-W556</f>
        <v/>
      </c>
      <c r="S556" s="36" t="n">
        <v>45294</v>
      </c>
      <c r="T556" t="inlineStr"/>
      <c r="U556" t="inlineStr">
        <is>
          <t>L001-103007369</t>
        </is>
      </c>
      <c r="V556" t="inlineStr">
        <is>
          <t>អូរៀនថល ឡូជីស្ទីក &amp; ឌីស្ទ្រីប៊្យូសិន (ខេមបូឌា)</t>
        </is>
      </c>
      <c r="W556" t="n">
        <v>0</v>
      </c>
      <c r="X556" t="n">
        <v>0</v>
      </c>
    </row>
    <row r="557">
      <c r="A557" t="n">
        <v>556</v>
      </c>
      <c r="B557" t="inlineStr">
        <is>
          <t>Import Shipment Expense</t>
        </is>
      </c>
      <c r="C557" t="inlineStr">
        <is>
          <t>ខាហ្គោផត (ខេមបូឌា)</t>
        </is>
      </c>
      <c r="D557" t="inlineStr">
        <is>
          <t>K005-100099521</t>
        </is>
      </c>
      <c r="E557" t="inlineStr">
        <is>
          <t>24-1014</t>
        </is>
      </c>
      <c r="F557" t="inlineStr">
        <is>
          <t>02-05-2024</t>
        </is>
      </c>
      <c r="G557" t="n">
        <v>84126</v>
      </c>
      <c r="I557">
        <f>G557</f>
        <v/>
      </c>
      <c r="K557">
        <f>I557-G557</f>
        <v/>
      </c>
      <c r="M557" t="inlineStr">
        <is>
          <t>241014</t>
        </is>
      </c>
      <c r="N557" t="inlineStr"/>
      <c r="O557">
        <f>M557=N557</f>
        <v/>
      </c>
      <c r="P557">
        <f>AND(MONTH(F557)=MONTH(S557), YEAR(F557)=YEAR(S557))</f>
        <v/>
      </c>
      <c r="Q557">
        <f>"L001-902303751"=U557</f>
        <v/>
      </c>
      <c r="R557">
        <f>G557-W557</f>
        <v/>
      </c>
      <c r="S557" s="36" t="n">
        <v>45293</v>
      </c>
      <c r="T557" t="inlineStr"/>
      <c r="U557" t="inlineStr">
        <is>
          <t>L001-107032791</t>
        </is>
      </c>
      <c r="V557" t="inlineStr">
        <is>
          <t>នីបផន អិចប្រេស (ខេមបូឌា) ខូ អិលធីឌី</t>
        </is>
      </c>
      <c r="W557" t="n">
        <v>0</v>
      </c>
      <c r="X557" t="n">
        <v>0</v>
      </c>
    </row>
    <row r="558">
      <c r="A558" t="n">
        <v>557</v>
      </c>
      <c r="B558" t="inlineStr">
        <is>
          <t>Customs Clearance Fee</t>
        </is>
      </c>
      <c r="C558" t="inlineStr">
        <is>
          <t>ត្រាយអ៊ែងហ្គល ឡូជីស្ទីក (ខេមបូឌា) ឯ.ក</t>
        </is>
      </c>
      <c r="D558" t="inlineStr">
        <is>
          <t>K010-902101743</t>
        </is>
      </c>
      <c r="E558" t="inlineStr">
        <is>
          <t>TAG-24-00301</t>
        </is>
      </c>
      <c r="F558" t="inlineStr">
        <is>
          <t>02-05-2024</t>
        </is>
      </c>
      <c r="G558" t="n">
        <v>8132</v>
      </c>
      <c r="I558">
        <f>G558</f>
        <v/>
      </c>
      <c r="K558">
        <f>I558-G558</f>
        <v/>
      </c>
      <c r="M558" t="inlineStr">
        <is>
          <t>TAG2400301</t>
        </is>
      </c>
      <c r="N558" t="inlineStr">
        <is>
          <t>8396600</t>
        </is>
      </c>
      <c r="O558">
        <f>M558=N558</f>
        <v/>
      </c>
      <c r="P558">
        <f>AND(MONTH(F558)=MONTH(S558), YEAR(F558)=YEAR(S558))</f>
        <v/>
      </c>
      <c r="Q558">
        <f>"L001-902303751"=U558</f>
        <v/>
      </c>
      <c r="R558">
        <f>G558-W558</f>
        <v/>
      </c>
      <c r="S558" s="36" t="n">
        <v>45313</v>
      </c>
      <c r="T558" t="n">
        <v>83966</v>
      </c>
      <c r="U558" t="inlineStr">
        <is>
          <t>L001-100074669</t>
        </is>
      </c>
      <c r="V558" t="inlineStr">
        <is>
          <t>ខេអិលអិន ហ្វ្រេត (ខេមបូឌា) ឯ.ក</t>
        </is>
      </c>
      <c r="W558" t="n">
        <v>83966</v>
      </c>
      <c r="X558" t="n">
        <v>0</v>
      </c>
    </row>
    <row r="559">
      <c r="A559" t="n">
        <v>558</v>
      </c>
      <c r="B559" t="inlineStr">
        <is>
          <t>Cargo Terminal</t>
        </is>
      </c>
      <c r="C559" t="inlineStr">
        <is>
          <t>សូស៊ីយេតេ កុងសេស្យូនែរ ដឺ ឡាអេរ៉ូព័រ</t>
        </is>
      </c>
      <c r="D559" t="inlineStr">
        <is>
          <t>L001-100047300</t>
        </is>
      </c>
      <c r="E559" t="inlineStr">
        <is>
          <t>2400-034196</t>
        </is>
      </c>
      <c r="F559" t="inlineStr">
        <is>
          <t>11-05-2024</t>
        </is>
      </c>
      <c r="G559" t="n">
        <v>3327</v>
      </c>
      <c r="I559">
        <f>G559</f>
        <v/>
      </c>
      <c r="K559">
        <f>I559-G559</f>
        <v/>
      </c>
      <c r="M559" t="inlineStr">
        <is>
          <t>2400034196</t>
        </is>
      </c>
      <c r="N559" t="inlineStr"/>
      <c r="O559">
        <f>M559=N559</f>
        <v/>
      </c>
      <c r="P559">
        <f>AND(MONTH(F559)=MONTH(S559), YEAR(F559)=YEAR(S559))</f>
        <v/>
      </c>
      <c r="Q559">
        <f>"L001-902303751"=U559</f>
        <v/>
      </c>
      <c r="R559">
        <f>G559-W559</f>
        <v/>
      </c>
      <c r="S559" s="36" t="n">
        <v>45320</v>
      </c>
      <c r="T559" t="inlineStr"/>
      <c r="U559" t="inlineStr">
        <is>
          <t>K005-901805913</t>
        </is>
      </c>
      <c r="V559" t="inlineStr">
        <is>
          <t>ស្តារ ខង់ខដ (ខេមបូឌា) ឯ.ក</t>
        </is>
      </c>
      <c r="W559" t="n">
        <v>0</v>
      </c>
      <c r="X559" t="n">
        <v>0</v>
      </c>
    </row>
    <row r="560">
      <c r="A560" t="n">
        <v>559</v>
      </c>
      <c r="B560" t="inlineStr">
        <is>
          <t>Laco QC Inspection Fee in April 2024</t>
        </is>
      </c>
      <c r="C560" t="inlineStr">
        <is>
          <t>តេនតាក់ (ខេមបូឌា) អ៊ិនស្ពេកសិន</t>
        </is>
      </c>
      <c r="D560" t="inlineStr">
        <is>
          <t>K009-901638542</t>
        </is>
      </c>
      <c r="E560" t="inlineStr">
        <is>
          <t>TI2024-0061</t>
        </is>
      </c>
      <c r="F560" t="inlineStr">
        <is>
          <t>06-05-2024</t>
        </is>
      </c>
      <c r="G560" t="n">
        <v>1074990</v>
      </c>
      <c r="I560">
        <f>G560</f>
        <v/>
      </c>
      <c r="K560">
        <f>I560-G560</f>
        <v/>
      </c>
      <c r="M560" t="inlineStr">
        <is>
          <t>TI20240061</t>
        </is>
      </c>
      <c r="N560" t="inlineStr"/>
      <c r="O560">
        <f>M560=N560</f>
        <v/>
      </c>
      <c r="P560">
        <f>AND(MONTH(F560)=MONTH(S560), YEAR(F560)=YEAR(S560))</f>
        <v/>
      </c>
      <c r="Q560">
        <f>"L001-902303751"=U560</f>
        <v/>
      </c>
      <c r="R560">
        <f>G560-W560</f>
        <v/>
      </c>
      <c r="S560" s="36" t="n">
        <v>45320</v>
      </c>
      <c r="T560" t="inlineStr"/>
      <c r="U560" t="inlineStr">
        <is>
          <t>L001-107041723</t>
        </is>
      </c>
      <c r="V560" t="inlineStr">
        <is>
          <t>ឌីប៊ី សេនឃើរ (ខេមបូឌា) លីមីធីត</t>
        </is>
      </c>
      <c r="W560" t="n">
        <v>0</v>
      </c>
      <c r="X560" t="n">
        <v>0</v>
      </c>
    </row>
    <row r="561">
      <c r="A561" t="n">
        <v>560</v>
      </c>
      <c r="B561" t="inlineStr">
        <is>
          <t>Internet Expense</t>
        </is>
      </c>
      <c r="C561" t="inlineStr">
        <is>
          <t>អេស.អាយ គ្រុប</t>
        </is>
      </c>
      <c r="D561" t="inlineStr">
        <is>
          <t>L001-100129250</t>
        </is>
      </c>
      <c r="E561" t="inlineStr">
        <is>
          <t>2405-1007-00011</t>
        </is>
      </c>
      <c r="F561" t="inlineStr">
        <is>
          <t>08-05-2024</t>
        </is>
      </c>
      <c r="G561" t="n">
        <v>1140262</v>
      </c>
      <c r="I561">
        <f>G561</f>
        <v/>
      </c>
      <c r="K561">
        <f>I561-G561</f>
        <v/>
      </c>
      <c r="M561" t="inlineStr">
        <is>
          <t>2405100700011</t>
        </is>
      </c>
      <c r="N561" t="inlineStr"/>
      <c r="O561">
        <f>M561=N561</f>
        <v/>
      </c>
      <c r="P561">
        <f>AND(MONTH(F561)=MONTH(S561), YEAR(F561)=YEAR(S561))</f>
        <v/>
      </c>
      <c r="Q561">
        <f>"L001-902303751"=U561</f>
        <v/>
      </c>
      <c r="R561">
        <f>G561-W561</f>
        <v/>
      </c>
      <c r="S561" s="36" t="n">
        <v>45300</v>
      </c>
      <c r="T561" t="inlineStr"/>
      <c r="U561" t="inlineStr">
        <is>
          <t>L001-107032791</t>
        </is>
      </c>
      <c r="V561" t="inlineStr">
        <is>
          <t>នីបផន អិចប្រេស (ខេមបូឌា) ខូ អិលធីឌី</t>
        </is>
      </c>
      <c r="W561" t="n">
        <v>0</v>
      </c>
      <c r="X561" t="n">
        <v>0</v>
      </c>
    </row>
    <row r="562">
      <c r="A562" t="n">
        <v>561</v>
      </c>
      <c r="B562" t="inlineStr">
        <is>
          <t>Customs Clearance Fee and Trucking Fee</t>
        </is>
      </c>
      <c r="C562" t="inlineStr">
        <is>
          <t>ត្រាយអ៊ែងហ្គល ឡូជីស្ទីក (ខេមបូឌា) ឯ.ក</t>
        </is>
      </c>
      <c r="D562" t="inlineStr">
        <is>
          <t>K010-902101743</t>
        </is>
      </c>
      <c r="E562" t="inlineStr">
        <is>
          <t>TAG-24-00323</t>
        </is>
      </c>
      <c r="F562" t="inlineStr">
        <is>
          <t>13-05-2024</t>
        </is>
      </c>
      <c r="G562" t="n">
        <v>28539</v>
      </c>
      <c r="I562">
        <f>G562</f>
        <v/>
      </c>
      <c r="K562">
        <f>I562-G562</f>
        <v/>
      </c>
      <c r="M562" t="inlineStr">
        <is>
          <t>TAG2400323</t>
        </is>
      </c>
      <c r="N562" t="inlineStr">
        <is>
          <t>20075300</t>
        </is>
      </c>
      <c r="O562">
        <f>M562=N562</f>
        <v/>
      </c>
      <c r="P562">
        <f>AND(MONTH(F562)=MONTH(S562), YEAR(F562)=YEAR(S562))</f>
        <v/>
      </c>
      <c r="Q562">
        <f>"L001-902303751"=U562</f>
        <v/>
      </c>
      <c r="R562">
        <f>G562-W562</f>
        <v/>
      </c>
      <c r="S562" s="36" t="n">
        <v>45300</v>
      </c>
      <c r="T562" t="n">
        <v>200753</v>
      </c>
      <c r="U562" t="inlineStr">
        <is>
          <t>L001-107032791</t>
        </is>
      </c>
      <c r="V562" t="inlineStr">
        <is>
          <t>នីបផន អិចប្រេស (ខេមបូឌា) ខូ អិលធីឌី</t>
        </is>
      </c>
      <c r="W562" t="n">
        <v>200753</v>
      </c>
      <c r="X562" t="n">
        <v>0</v>
      </c>
    </row>
    <row r="563">
      <c r="A563" t="n">
        <v>562</v>
      </c>
      <c r="B563" t="inlineStr">
        <is>
          <t>Doc Fee and Agency Fee</t>
        </is>
      </c>
      <c r="C563" t="inlineStr">
        <is>
          <t>អ៊ែតវ៉ានស៍ គ្លរី ឡូជីស្ទីក (ខេមបូឌា) (អេ ជី អិល)</t>
        </is>
      </c>
      <c r="D563" t="inlineStr">
        <is>
          <t>K005-100059945</t>
        </is>
      </c>
      <c r="E563" t="inlineStr">
        <is>
          <t>AGL2400687</t>
        </is>
      </c>
      <c r="F563" t="inlineStr">
        <is>
          <t>09-05-2024</t>
        </is>
      </c>
      <c r="G563" t="n">
        <v>44836</v>
      </c>
      <c r="I563">
        <f>G563</f>
        <v/>
      </c>
      <c r="K563">
        <f>I563-G563</f>
        <v/>
      </c>
      <c r="M563" t="inlineStr">
        <is>
          <t>AGL2400687</t>
        </is>
      </c>
      <c r="N563" t="inlineStr"/>
      <c r="O563">
        <f>M563=N563</f>
        <v/>
      </c>
      <c r="P563">
        <f>AND(MONTH(F563)=MONTH(S563), YEAR(F563)=YEAR(S563))</f>
        <v/>
      </c>
      <c r="Q563">
        <f>"L001-902303751"=U563</f>
        <v/>
      </c>
      <c r="R563">
        <f>G563-W563</f>
        <v/>
      </c>
      <c r="S563" s="36" t="n">
        <v>45313</v>
      </c>
      <c r="T563" t="inlineStr"/>
      <c r="U563" t="inlineStr">
        <is>
          <t>L001-107032791</t>
        </is>
      </c>
      <c r="V563" t="inlineStr">
        <is>
          <t>នីបផន អិចប្រេស (ខេមបូឌា) ខូ អិលធីឌី</t>
        </is>
      </c>
      <c r="W563" t="n">
        <v>0</v>
      </c>
      <c r="X563" t="n">
        <v>0</v>
      </c>
    </row>
    <row r="564">
      <c r="A564" t="n">
        <v>563</v>
      </c>
      <c r="B564" t="inlineStr">
        <is>
          <t>Shipment Expense</t>
        </is>
      </c>
      <c r="C564" t="inlineStr">
        <is>
          <t>អ៊ិចស្ពែឌីធ័រ ខេមបូឌា អិលធីឌី</t>
        </is>
      </c>
      <c r="D564" t="inlineStr">
        <is>
          <t>L001-100045898</t>
        </is>
      </c>
      <c r="E564" t="inlineStr">
        <is>
          <t>TI-0274064</t>
        </is>
      </c>
      <c r="F564" t="inlineStr">
        <is>
          <t>15-05-2024</t>
        </is>
      </c>
      <c r="G564" t="n">
        <v>223121</v>
      </c>
      <c r="I564">
        <f>G564</f>
        <v/>
      </c>
      <c r="K564">
        <f>I564-G564</f>
        <v/>
      </c>
      <c r="M564" t="inlineStr">
        <is>
          <t>TI0274064</t>
        </is>
      </c>
      <c r="N564" t="inlineStr"/>
      <c r="O564">
        <f>M564=N564</f>
        <v/>
      </c>
      <c r="P564">
        <f>AND(MONTH(F564)=MONTH(S564), YEAR(F564)=YEAR(S564))</f>
        <v/>
      </c>
      <c r="Q564">
        <f>"L001-902303751"=U564</f>
        <v/>
      </c>
      <c r="R564">
        <f>G564-W564</f>
        <v/>
      </c>
      <c r="S564" s="36" t="n">
        <v>45307</v>
      </c>
      <c r="T564" t="inlineStr"/>
      <c r="U564" t="inlineStr">
        <is>
          <t>L001-100045995</t>
        </is>
      </c>
      <c r="V564" t="inlineStr">
        <is>
          <t>ឌីអេចអិល ឡូជីស្ទីក (ខេមបូឌា)</t>
        </is>
      </c>
      <c r="W564" t="n">
        <v>0</v>
      </c>
      <c r="X564" t="n">
        <v>0</v>
      </c>
    </row>
    <row r="565">
      <c r="A565" t="n">
        <v>564</v>
      </c>
      <c r="B565" t="inlineStr">
        <is>
          <t>Monthly Charge of Photo Copies Rental from 06/04/2024-06/05/2024</t>
        </is>
      </c>
      <c r="C565" t="inlineStr">
        <is>
          <t>វី.អាយ.អេស ខភៀ ឯ.ក</t>
        </is>
      </c>
      <c r="D565" t="inlineStr">
        <is>
          <t>K007-901705195</t>
        </is>
      </c>
      <c r="E565" t="inlineStr">
        <is>
          <t>RNT240526</t>
        </is>
      </c>
      <c r="F565" t="inlineStr">
        <is>
          <t>06-05-2024</t>
        </is>
      </c>
      <c r="G565" t="n">
        <v>57036</v>
      </c>
      <c r="I565">
        <f>G565</f>
        <v/>
      </c>
      <c r="K565">
        <f>I565-G565</f>
        <v/>
      </c>
      <c r="M565" t="inlineStr">
        <is>
          <t>RNT240526</t>
        </is>
      </c>
      <c r="N565" t="inlineStr"/>
      <c r="O565">
        <f>M565=N565</f>
        <v/>
      </c>
      <c r="P565">
        <f>AND(MONTH(F565)=MONTH(S565), YEAR(F565)=YEAR(S565))</f>
        <v/>
      </c>
      <c r="Q565">
        <f>"L001-902303751"=U565</f>
        <v/>
      </c>
      <c r="R565">
        <f>G565-W565</f>
        <v/>
      </c>
      <c r="S565" s="36" t="n">
        <v>45307</v>
      </c>
      <c r="T565" t="inlineStr"/>
      <c r="U565" t="inlineStr">
        <is>
          <t>L001-100074669</t>
        </is>
      </c>
      <c r="V565" t="inlineStr">
        <is>
          <t>ខេអិលអិន ហ្វ្រេត (ខេមបូឌា) ឯ.ក</t>
        </is>
      </c>
      <c r="W565" t="n">
        <v>0</v>
      </c>
      <c r="X565" t="n">
        <v>0</v>
      </c>
    </row>
    <row r="566">
      <c r="A566" t="n">
        <v>565</v>
      </c>
      <c r="B566" t="inlineStr">
        <is>
          <t>Thread</t>
        </is>
      </c>
      <c r="C566" t="inlineStr">
        <is>
          <t>គ្លូប៊ល សុីលីន ហ្គាមុិន អេកសេសឺរី ឯ.ក</t>
        </is>
      </c>
      <c r="D566" t="inlineStr">
        <is>
          <t>L001-902200857</t>
        </is>
      </c>
      <c r="E566" t="inlineStr">
        <is>
          <t>000342</t>
        </is>
      </c>
      <c r="F566" t="inlineStr">
        <is>
          <t>28-05-2024</t>
        </is>
      </c>
      <c r="G566" t="n">
        <v>107616</v>
      </c>
      <c r="I566">
        <f>G566</f>
        <v/>
      </c>
      <c r="K566">
        <f>I566-G566</f>
        <v/>
      </c>
      <c r="M566" t="inlineStr">
        <is>
          <t>000342</t>
        </is>
      </c>
      <c r="N566" t="inlineStr"/>
      <c r="O566">
        <f>M566=N566</f>
        <v/>
      </c>
      <c r="P566">
        <f>AND(MONTH(F566)=MONTH(S566), YEAR(F566)=YEAR(S566))</f>
        <v/>
      </c>
      <c r="Q566">
        <f>"L001-902303751"=U566</f>
        <v/>
      </c>
      <c r="R566">
        <f>G566-W566</f>
        <v/>
      </c>
      <c r="S566" s="36" t="n">
        <v>45320</v>
      </c>
      <c r="T566" t="inlineStr"/>
      <c r="U566" t="inlineStr">
        <is>
          <t>L001-107032791</t>
        </is>
      </c>
      <c r="V566" t="inlineStr">
        <is>
          <t>នីបផន អិចប្រេស (ខេមបូឌា) ខូ អិលធីឌី</t>
        </is>
      </c>
      <c r="W566" t="n">
        <v>0</v>
      </c>
      <c r="X566" t="n">
        <v>0</v>
      </c>
    </row>
    <row r="567">
      <c r="A567" t="n">
        <v>566</v>
      </c>
      <c r="B567" t="inlineStr">
        <is>
          <t>Printing Fee</t>
        </is>
      </c>
      <c r="C567" t="inlineStr">
        <is>
          <t>ហ្វ៊ុលម៉ី អេកសេសីរី ឯ.ក</t>
        </is>
      </c>
      <c r="D567" t="inlineStr">
        <is>
          <t>K010-901902807</t>
        </is>
      </c>
      <c r="E567" t="inlineStr">
        <is>
          <t>24/0037</t>
        </is>
      </c>
      <c r="F567" t="inlineStr">
        <is>
          <t>10-05-2024</t>
        </is>
      </c>
      <c r="G567" t="n">
        <v>193232</v>
      </c>
      <c r="I567">
        <f>G567</f>
        <v/>
      </c>
      <c r="K567">
        <f>I567-G567</f>
        <v/>
      </c>
      <c r="M567" t="inlineStr">
        <is>
          <t>240037</t>
        </is>
      </c>
      <c r="N567" t="inlineStr">
        <is>
          <t>11024100</t>
        </is>
      </c>
      <c r="O567">
        <f>M567=N567</f>
        <v/>
      </c>
      <c r="P567">
        <f>AND(MONTH(F567)=MONTH(S567), YEAR(F567)=YEAR(S567))</f>
        <v/>
      </c>
      <c r="Q567">
        <f>"L001-902303751"=U567</f>
        <v/>
      </c>
      <c r="R567">
        <f>G567-W567</f>
        <v/>
      </c>
      <c r="S567" s="36" t="n">
        <v>45307</v>
      </c>
      <c r="T567" t="n">
        <v>110241</v>
      </c>
      <c r="U567" t="inlineStr">
        <is>
          <t>L001-100045995</t>
        </is>
      </c>
      <c r="V567" t="inlineStr">
        <is>
          <t>ឌីអេចអិល ឡូជីស្ទីក (ខេមបូឌា)</t>
        </is>
      </c>
      <c r="W567" t="n">
        <v>110241</v>
      </c>
      <c r="X567" t="n">
        <v>0</v>
      </c>
    </row>
    <row r="568">
      <c r="A568" t="n">
        <v>567</v>
      </c>
      <c r="B568" t="inlineStr">
        <is>
          <t>Printing Fee</t>
        </is>
      </c>
      <c r="C568" t="inlineStr">
        <is>
          <t>ហ្វ៊ុលម៉ី អេកសេសីរី ឯ.ក</t>
        </is>
      </c>
      <c r="D568" t="inlineStr">
        <is>
          <t>K010-901902807</t>
        </is>
      </c>
      <c r="E568" t="inlineStr">
        <is>
          <t>24/0039</t>
        </is>
      </c>
      <c r="F568" t="inlineStr">
        <is>
          <t>16-05-2024</t>
        </is>
      </c>
      <c r="G568" t="n">
        <v>256862</v>
      </c>
      <c r="I568">
        <f>G568</f>
        <v/>
      </c>
      <c r="K568">
        <f>I568-G568</f>
        <v/>
      </c>
      <c r="M568" t="inlineStr">
        <is>
          <t>240039</t>
        </is>
      </c>
      <c r="N568" t="inlineStr">
        <is>
          <t>11026800</t>
        </is>
      </c>
      <c r="O568">
        <f>M568=N568</f>
        <v/>
      </c>
      <c r="P568">
        <f>AND(MONTH(F568)=MONTH(S568), YEAR(F568)=YEAR(S568))</f>
        <v/>
      </c>
      <c r="Q568">
        <f>"L001-902303751"=U568</f>
        <v/>
      </c>
      <c r="R568">
        <f>G568-W568</f>
        <v/>
      </c>
      <c r="S568" s="36" t="n">
        <v>45303</v>
      </c>
      <c r="T568" t="n">
        <v>110268</v>
      </c>
      <c r="U568" t="inlineStr">
        <is>
          <t>L001-100074669</t>
        </is>
      </c>
      <c r="V568" t="inlineStr">
        <is>
          <t>ខេអិលអិន ហ្វ្រេត (ខេមបូឌា) ឯ.ក</t>
        </is>
      </c>
      <c r="W568" t="n">
        <v>110268</v>
      </c>
      <c r="X568" t="n">
        <v>0</v>
      </c>
    </row>
    <row r="569">
      <c r="A569" t="n">
        <v>568</v>
      </c>
      <c r="B569" t="inlineStr">
        <is>
          <t>Printing Fee</t>
        </is>
      </c>
      <c r="C569" t="inlineStr">
        <is>
          <t>ហ្វ៊ុលម៉ី អេកសេសីរី ឯ.ក</t>
        </is>
      </c>
      <c r="D569" t="inlineStr">
        <is>
          <t>K010-901902807</t>
        </is>
      </c>
      <c r="E569" t="inlineStr">
        <is>
          <t>24/0042</t>
        </is>
      </c>
      <c r="F569" t="inlineStr">
        <is>
          <t>30-05-2024</t>
        </is>
      </c>
      <c r="G569" t="n">
        <v>19353</v>
      </c>
      <c r="I569">
        <f>G569</f>
        <v/>
      </c>
      <c r="K569">
        <f>I569-G569</f>
        <v/>
      </c>
      <c r="M569" t="inlineStr">
        <is>
          <t>240042</t>
        </is>
      </c>
      <c r="N569" t="inlineStr"/>
      <c r="O569">
        <f>M569=N569</f>
        <v/>
      </c>
      <c r="P569">
        <f>AND(MONTH(F569)=MONTH(S569), YEAR(F569)=YEAR(S569))</f>
        <v/>
      </c>
      <c r="Q569">
        <f>"L001-902303751"=U569</f>
        <v/>
      </c>
      <c r="R569">
        <f>G569-W569</f>
        <v/>
      </c>
      <c r="S569" s="36" t="n">
        <v>45310</v>
      </c>
      <c r="T569" t="inlineStr"/>
      <c r="U569" t="inlineStr">
        <is>
          <t>K009-902002784</t>
        </is>
      </c>
      <c r="V569" t="inlineStr">
        <is>
          <t>ខាហ្គោលីង អ៊ិនធើណេសិនណល ឯ.ក</t>
        </is>
      </c>
      <c r="W569" t="n">
        <v>0</v>
      </c>
      <c r="X569" t="n">
        <v>0</v>
      </c>
    </row>
    <row r="570">
      <c r="A570" t="n">
        <v>569</v>
      </c>
      <c r="B570" t="inlineStr">
        <is>
          <t>Printing Fee</t>
        </is>
      </c>
      <c r="C570" t="inlineStr">
        <is>
          <t>ហ្វ៊ុលម៉ី អេកសេសីរី ឯ.ក</t>
        </is>
      </c>
      <c r="D570" t="inlineStr">
        <is>
          <t>K010-901902807</t>
        </is>
      </c>
      <c r="E570" t="inlineStr">
        <is>
          <t>24/0043</t>
        </is>
      </c>
      <c r="F570" t="inlineStr">
        <is>
          <t>30-05-2024</t>
        </is>
      </c>
      <c r="G570" t="n">
        <v>38959</v>
      </c>
      <c r="I570">
        <f>G570</f>
        <v/>
      </c>
      <c r="K570">
        <f>I570-G570</f>
        <v/>
      </c>
      <c r="M570" t="inlineStr">
        <is>
          <t>240043</t>
        </is>
      </c>
      <c r="N570" t="inlineStr"/>
      <c r="O570">
        <f>M570=N570</f>
        <v/>
      </c>
      <c r="P570">
        <f>AND(MONTH(F570)=MONTH(S570), YEAR(F570)=YEAR(S570))</f>
        <v/>
      </c>
      <c r="Q570">
        <f>"L001-902303751"=U570</f>
        <v/>
      </c>
      <c r="R570">
        <f>G570-W570</f>
        <v/>
      </c>
      <c r="S570" s="36" t="n">
        <v>45294</v>
      </c>
      <c r="T570" t="inlineStr"/>
      <c r="U570" t="inlineStr">
        <is>
          <t>L001-103007369</t>
        </is>
      </c>
      <c r="V570" t="inlineStr">
        <is>
          <t>អូរៀនថល ឡូជីស្ទីក &amp; ឌីស្ទ្រីប៊្យូសិន (ខេមបូឌា)</t>
        </is>
      </c>
      <c r="W570" t="n">
        <v>0</v>
      </c>
      <c r="X570" t="n">
        <v>0</v>
      </c>
    </row>
    <row r="571">
      <c r="A571" t="n">
        <v>570</v>
      </c>
      <c r="B571" t="inlineStr">
        <is>
          <t>Shipment Expense</t>
        </is>
      </c>
      <c r="C571" t="inlineStr">
        <is>
          <t>ឆាយ ដា ឡូយីស្ទីក</t>
        </is>
      </c>
      <c r="D571" t="inlineStr">
        <is>
          <t>L001-100063098</t>
        </is>
      </c>
      <c r="E571" t="inlineStr">
        <is>
          <t>2405007094</t>
        </is>
      </c>
      <c r="F571" t="inlineStr">
        <is>
          <t>28-05-2024</t>
        </is>
      </c>
      <c r="G571" t="n">
        <v>181285</v>
      </c>
      <c r="I571">
        <f>G571</f>
        <v/>
      </c>
      <c r="K571">
        <f>I571-G571</f>
        <v/>
      </c>
      <c r="M571" t="inlineStr">
        <is>
          <t>2405007094</t>
        </is>
      </c>
      <c r="N571" t="inlineStr">
        <is>
          <t>11263600</t>
        </is>
      </c>
      <c r="O571">
        <f>M571=N571</f>
        <v/>
      </c>
      <c r="P571">
        <f>AND(MONTH(F571)=MONTH(S571), YEAR(F571)=YEAR(S571))</f>
        <v/>
      </c>
      <c r="Q571">
        <f>"L001-902303751"=U571</f>
        <v/>
      </c>
      <c r="R571">
        <f>G571-W571</f>
        <v/>
      </c>
      <c r="S571" s="36" t="n">
        <v>45293</v>
      </c>
      <c r="T571" t="n">
        <v>112636</v>
      </c>
      <c r="U571" t="inlineStr">
        <is>
          <t>K003-901635943</t>
        </is>
      </c>
      <c r="V571" t="inlineStr">
        <is>
          <t>អ៊ីឃ្យូឡាញ វើលវ៉ាយដ៍ ឡូជីស្ទីក</t>
        </is>
      </c>
      <c r="W571" t="n">
        <v>112636</v>
      </c>
      <c r="X571" t="n">
        <v>0</v>
      </c>
    </row>
    <row r="572">
      <c r="A572" t="n">
        <v>571</v>
      </c>
      <c r="B572" t="inlineStr">
        <is>
          <t>Documentation Origin, Handling Charges Origin, PLACI Fee and HAWB Transmission Fee</t>
        </is>
      </c>
      <c r="C572" t="inlineStr">
        <is>
          <t>ឌីប៊ី សេនឃើរ (ខេមបូឌា) លីមីធីត</t>
        </is>
      </c>
      <c r="D572" t="inlineStr">
        <is>
          <t>L001-107041723</t>
        </is>
      </c>
      <c r="E572" t="inlineStr">
        <is>
          <t>2400004250</t>
        </is>
      </c>
      <c r="F572" t="inlineStr">
        <is>
          <t>27-05-2024</t>
        </is>
      </c>
      <c r="G572" t="n">
        <v>60399</v>
      </c>
      <c r="I572">
        <f>G572</f>
        <v/>
      </c>
      <c r="K572">
        <f>I572-G572</f>
        <v/>
      </c>
      <c r="M572" t="inlineStr">
        <is>
          <t>2400004250</t>
        </is>
      </c>
      <c r="N572" t="inlineStr">
        <is>
          <t>22988600</t>
        </is>
      </c>
      <c r="O572">
        <f>M572=N572</f>
        <v/>
      </c>
      <c r="P572">
        <f>AND(MONTH(F572)=MONTH(S572), YEAR(F572)=YEAR(S572))</f>
        <v/>
      </c>
      <c r="Q572">
        <f>"L001-902303751"=U572</f>
        <v/>
      </c>
      <c r="R572">
        <f>G572-W572</f>
        <v/>
      </c>
      <c r="S572" s="36" t="n">
        <v>45339</v>
      </c>
      <c r="T572" t="n">
        <v>229886</v>
      </c>
      <c r="U572" t="inlineStr">
        <is>
          <t>K004-105012505</t>
        </is>
      </c>
      <c r="V572" t="inlineStr">
        <is>
          <t>អេស៊ាន ហ្វ្រេត (ខេមបូឌា)</t>
        </is>
      </c>
      <c r="W572" t="n">
        <v>229886</v>
      </c>
      <c r="X572" t="n">
        <v>0</v>
      </c>
    </row>
    <row r="573">
      <c r="A573" t="n">
        <v>572</v>
      </c>
      <c r="B573" t="inlineStr">
        <is>
          <t>Shipment Expense</t>
        </is>
      </c>
      <c r="C573" t="inlineStr">
        <is>
          <t>អ៊ិចស្ពែឌីធ័រ ខេមបូឌា អិលធីឌី</t>
        </is>
      </c>
      <c r="D573" t="inlineStr">
        <is>
          <t>L001-100045898</t>
        </is>
      </c>
      <c r="E573" t="inlineStr">
        <is>
          <t>TI-0274063</t>
        </is>
      </c>
      <c r="F573" t="inlineStr">
        <is>
          <t>15-05-2024</t>
        </is>
      </c>
      <c r="G573" t="n">
        <v>92185</v>
      </c>
      <c r="I573">
        <f>G573</f>
        <v/>
      </c>
      <c r="K573">
        <f>I573-G573</f>
        <v/>
      </c>
      <c r="M573" t="inlineStr">
        <is>
          <t>TI0274063</t>
        </is>
      </c>
      <c r="N573" t="inlineStr"/>
      <c r="O573">
        <f>M573=N573</f>
        <v/>
      </c>
      <c r="P573">
        <f>AND(MONTH(F573)=MONTH(S573), YEAR(F573)=YEAR(S573))</f>
        <v/>
      </c>
      <c r="Q573">
        <f>"L001-902303751"=U573</f>
        <v/>
      </c>
      <c r="R573">
        <f>G573-W573</f>
        <v/>
      </c>
      <c r="S573" s="36" t="n">
        <v>45342</v>
      </c>
      <c r="T573" t="inlineStr"/>
      <c r="U573" t="inlineStr">
        <is>
          <t>L001-107032791</t>
        </is>
      </c>
      <c r="V573" t="inlineStr">
        <is>
          <t>នីបផន អិចប្រេស (ខេមបូឌា) ខូ អិលធីឌី</t>
        </is>
      </c>
      <c r="W573" t="n">
        <v>0</v>
      </c>
      <c r="X573" t="n">
        <v>0</v>
      </c>
    </row>
    <row r="574">
      <c r="A574" t="n">
        <v>573</v>
      </c>
      <c r="B574" t="inlineStr">
        <is>
          <t>Documentation Origin, Handling Charges Origin, PLACI Fee and HAWB Transmission Fee</t>
        </is>
      </c>
      <c r="C574" t="inlineStr">
        <is>
          <t>ឌីប៊ី សេនឃើរ (ខេមបូឌា) លីមីធីត</t>
        </is>
      </c>
      <c r="D574" t="inlineStr">
        <is>
          <t>L001-107041723</t>
        </is>
      </c>
      <c r="E574" t="inlineStr">
        <is>
          <t>2400004041</t>
        </is>
      </c>
      <c r="F574" t="inlineStr">
        <is>
          <t>20-05-2024</t>
        </is>
      </c>
      <c r="G574" t="n">
        <v>50147</v>
      </c>
      <c r="I574">
        <f>G574</f>
        <v/>
      </c>
      <c r="K574">
        <f>I574-G574</f>
        <v/>
      </c>
      <c r="M574" t="inlineStr">
        <is>
          <t>2400004041</t>
        </is>
      </c>
      <c r="N574" t="inlineStr"/>
      <c r="O574">
        <f>M574=N574</f>
        <v/>
      </c>
      <c r="P574">
        <f>AND(MONTH(F574)=MONTH(S574), YEAR(F574)=YEAR(S574))</f>
        <v/>
      </c>
      <c r="Q574">
        <f>"L001-902303751"=U574</f>
        <v/>
      </c>
      <c r="R574">
        <f>G574-W574</f>
        <v/>
      </c>
      <c r="S574" s="36" t="n">
        <v>45348</v>
      </c>
      <c r="T574" t="inlineStr"/>
      <c r="U574" t="inlineStr">
        <is>
          <t>L001-107032791</t>
        </is>
      </c>
      <c r="V574" t="inlineStr">
        <is>
          <t>នីបផន អិចប្រេស (ខេមបូឌា) ខូ អិលធីឌី</t>
        </is>
      </c>
      <c r="W574" t="n">
        <v>0</v>
      </c>
      <c r="X574" t="n">
        <v>0</v>
      </c>
    </row>
    <row r="575">
      <c r="A575" t="n">
        <v>574</v>
      </c>
      <c r="B575" t="inlineStr">
        <is>
          <t>Export Custom Clearance</t>
        </is>
      </c>
      <c r="C575" t="inlineStr">
        <is>
          <t>អ៊ីឃ្យូឡាញ វើលវ៉ាយដ៍ ឡូជីស្ទីក</t>
        </is>
      </c>
      <c r="D575" t="inlineStr">
        <is>
          <t>K003-901635943</t>
        </is>
      </c>
      <c r="E575" t="inlineStr">
        <is>
          <t>PPTI24/002496</t>
        </is>
      </c>
      <c r="F575" t="inlineStr">
        <is>
          <t>20-05-2024</t>
        </is>
      </c>
      <c r="G575" t="n">
        <v>65232</v>
      </c>
      <c r="I575">
        <f>G575</f>
        <v/>
      </c>
      <c r="K575">
        <f>I575-G575</f>
        <v/>
      </c>
      <c r="M575" t="inlineStr">
        <is>
          <t>PPTI24002496</t>
        </is>
      </c>
      <c r="N575" t="inlineStr">
        <is>
          <t>8398600</t>
        </is>
      </c>
      <c r="O575">
        <f>M575=N575</f>
        <v/>
      </c>
      <c r="P575">
        <f>AND(MONTH(F575)=MONTH(S575), YEAR(F575)=YEAR(S575))</f>
        <v/>
      </c>
      <c r="Q575">
        <f>"L001-902303751"=U575</f>
        <v/>
      </c>
      <c r="R575">
        <f>G575-W575</f>
        <v/>
      </c>
      <c r="S575" s="36" t="n">
        <v>45342</v>
      </c>
      <c r="T575" t="n">
        <v>83986</v>
      </c>
      <c r="U575" t="inlineStr">
        <is>
          <t>K005-901805913</t>
        </is>
      </c>
      <c r="V575" t="inlineStr">
        <is>
          <t>ស្តារ ខង់ខដ (ខេមបូឌា) ឯ.ក</t>
        </is>
      </c>
      <c r="W575" t="n">
        <v>83986</v>
      </c>
      <c r="X575" t="n">
        <v>0</v>
      </c>
    </row>
    <row r="576">
      <c r="A576" t="n">
        <v>575</v>
      </c>
      <c r="B576" t="inlineStr">
        <is>
          <t>Non Woven Interlining</t>
        </is>
      </c>
      <c r="C576" t="inlineStr">
        <is>
          <t>ដេលី ហ្គាមេន អេកសេសឺរី</t>
        </is>
      </c>
      <c r="D576" t="inlineStr">
        <is>
          <t>L001-108012794</t>
        </is>
      </c>
      <c r="E576" t="inlineStr">
        <is>
          <t>00208</t>
        </is>
      </c>
      <c r="F576" t="inlineStr">
        <is>
          <t>31-05-2024</t>
        </is>
      </c>
      <c r="G576" t="n">
        <v>985594</v>
      </c>
      <c r="I576">
        <f>G576</f>
        <v/>
      </c>
      <c r="K576">
        <f>I576-G576</f>
        <v/>
      </c>
      <c r="M576" t="inlineStr">
        <is>
          <t>00208</t>
        </is>
      </c>
      <c r="N576" t="inlineStr"/>
      <c r="O576">
        <f>M576=N576</f>
        <v/>
      </c>
      <c r="P576">
        <f>AND(MONTH(F576)=MONTH(S576), YEAR(F576)=YEAR(S576))</f>
        <v/>
      </c>
      <c r="Q576">
        <f>"L001-902303751"=U576</f>
        <v/>
      </c>
      <c r="R576">
        <f>G576-W576</f>
        <v/>
      </c>
      <c r="S576" s="36" t="n">
        <v>45332</v>
      </c>
      <c r="T576" t="inlineStr"/>
      <c r="U576" t="inlineStr">
        <is>
          <t>K005-100059945</t>
        </is>
      </c>
      <c r="V576" t="inlineStr">
        <is>
          <t>អ៊ែតវ៉ានស៍ គ្លរី ឡូជីស្ទីក (ខេមបូឌា) (អេ ជី អិល)</t>
        </is>
      </c>
      <c r="W576" t="n">
        <v>0</v>
      </c>
      <c r="X576" t="n">
        <v>0</v>
      </c>
    </row>
    <row r="577">
      <c r="A577" t="n">
        <v>576</v>
      </c>
      <c r="B577" t="inlineStr">
        <is>
          <t>Monthly Tax Service for April 2024</t>
        </is>
      </c>
      <c r="C577" t="inlineStr">
        <is>
          <t>ខេឌី ខនសាល់ធេន ឯ.ក</t>
        </is>
      </c>
      <c r="D577" t="inlineStr">
        <is>
          <t>K005-901704277</t>
        </is>
      </c>
      <c r="E577" t="inlineStr">
        <is>
          <t>20240000601</t>
        </is>
      </c>
      <c r="F577" t="inlineStr">
        <is>
          <t>09-05-2024</t>
        </is>
      </c>
      <c r="G577" t="n">
        <v>101900</v>
      </c>
      <c r="I577">
        <f>G577</f>
        <v/>
      </c>
      <c r="K577">
        <f>I577-G577</f>
        <v/>
      </c>
      <c r="M577" t="inlineStr">
        <is>
          <t>20240000601</t>
        </is>
      </c>
      <c r="N577" t="inlineStr"/>
      <c r="O577">
        <f>M577=N577</f>
        <v/>
      </c>
      <c r="P577">
        <f>AND(MONTH(F577)=MONTH(S577), YEAR(F577)=YEAR(S577))</f>
        <v/>
      </c>
      <c r="Q577">
        <f>"L001-902303751"=U577</f>
        <v/>
      </c>
      <c r="R577">
        <f>G577-W577</f>
        <v/>
      </c>
      <c r="S577" s="36" t="n">
        <v>45327</v>
      </c>
      <c r="T577" t="inlineStr"/>
      <c r="U577" t="inlineStr">
        <is>
          <t>L001-107041723</t>
        </is>
      </c>
      <c r="V577" t="inlineStr">
        <is>
          <t>ឌីប៊ី សេនឃើរ (ខេមបូឌា) លីមីធីត</t>
        </is>
      </c>
      <c r="W577" t="n">
        <v>0</v>
      </c>
      <c r="X577" t="n">
        <v>0</v>
      </c>
    </row>
    <row r="578">
      <c r="A578" t="n">
        <v>577</v>
      </c>
      <c r="B578" t="inlineStr">
        <is>
          <t>Service Fee</t>
        </is>
      </c>
      <c r="C578" t="inlineStr">
        <is>
          <t>ប្យួរ៉ូ វេរីតាស (ខេមបូឌា) លីមីធីត</t>
        </is>
      </c>
      <c r="D578" t="inlineStr">
        <is>
          <t>L001-107024462</t>
        </is>
      </c>
      <c r="E578" t="inlineStr">
        <is>
          <t>59017464</t>
        </is>
      </c>
      <c r="F578" t="inlineStr">
        <is>
          <t>03-05-2024</t>
        </is>
      </c>
      <c r="G578" t="n">
        <v>132851</v>
      </c>
      <c r="I578">
        <f>G578</f>
        <v/>
      </c>
      <c r="K578">
        <f>I578-G578</f>
        <v/>
      </c>
      <c r="M578" t="inlineStr">
        <is>
          <t>59017464</t>
        </is>
      </c>
      <c r="N578" t="inlineStr"/>
      <c r="O578">
        <f>M578=N578</f>
        <v/>
      </c>
      <c r="P578">
        <f>AND(MONTH(F578)=MONTH(S578), YEAR(F578)=YEAR(S578))</f>
        <v/>
      </c>
      <c r="Q578">
        <f>"L001-902303751"=U578</f>
        <v/>
      </c>
      <c r="R578">
        <f>G578-W578</f>
        <v/>
      </c>
      <c r="S578" s="36" t="n">
        <v>45348</v>
      </c>
      <c r="T578" t="inlineStr"/>
      <c r="U578" t="inlineStr">
        <is>
          <t>K002-901800477</t>
        </is>
      </c>
      <c r="V578" t="inlineStr">
        <is>
          <t>អាយធីអាយ អ៊ិនធើណេសិនណល ត្រេនស័្ពរថេសិន (ខេមបូឌា) ឯ.ក</t>
        </is>
      </c>
      <c r="W578" t="n">
        <v>0</v>
      </c>
      <c r="X578" t="n">
        <v>0</v>
      </c>
    </row>
    <row r="579">
      <c r="A579" t="n">
        <v>578</v>
      </c>
      <c r="B579" t="inlineStr">
        <is>
          <t>Monthly Charge of Photo Copies Rental from 06/04/2024-06/05/2024</t>
        </is>
      </c>
      <c r="C579" t="inlineStr">
        <is>
          <t>វី.អាយ.អេស ខភៀ ឯ.ក</t>
        </is>
      </c>
      <c r="D579" t="inlineStr">
        <is>
          <t>K007-901705195</t>
        </is>
      </c>
      <c r="E579" t="inlineStr">
        <is>
          <t>RNT240524</t>
        </is>
      </c>
      <c r="F579" t="inlineStr">
        <is>
          <t>06-05-2024</t>
        </is>
      </c>
      <c r="G579" t="n">
        <v>26481</v>
      </c>
      <c r="I579">
        <f>G579</f>
        <v/>
      </c>
      <c r="K579">
        <f>I579-G579</f>
        <v/>
      </c>
      <c r="M579" t="inlineStr">
        <is>
          <t>RNT240524</t>
        </is>
      </c>
      <c r="N579" t="inlineStr">
        <is>
          <t>8150000</t>
        </is>
      </c>
      <c r="O579">
        <f>M579=N579</f>
        <v/>
      </c>
      <c r="P579">
        <f>AND(MONTH(F579)=MONTH(S579), YEAR(F579)=YEAR(S579))</f>
        <v/>
      </c>
      <c r="Q579">
        <f>"L001-902303751"=U579</f>
        <v/>
      </c>
      <c r="R579">
        <f>G579-W579</f>
        <v/>
      </c>
      <c r="S579" s="36" t="n">
        <v>45348</v>
      </c>
      <c r="T579" t="n">
        <v>81500</v>
      </c>
      <c r="U579" t="inlineStr">
        <is>
          <t>K002-901800477</t>
        </is>
      </c>
      <c r="V579" t="inlineStr">
        <is>
          <t>អាយធីអាយ អ៊ិនធើណេសិនណល ត្រេនស័្ពរថេសិន (ខេមបូឌា) ឯ.ក</t>
        </is>
      </c>
      <c r="W579" t="n">
        <v>81500</v>
      </c>
      <c r="X579" t="n">
        <v>0</v>
      </c>
    </row>
    <row r="580">
      <c r="A580" t="n">
        <v>579</v>
      </c>
      <c r="B580" t="inlineStr">
        <is>
          <t>Monthly Charge of Photo Copies Rental from 06/04/2024-06/05/2024</t>
        </is>
      </c>
      <c r="C580" t="inlineStr">
        <is>
          <t>វី.អាយ.អេស ខភៀ ឯ.ក</t>
        </is>
      </c>
      <c r="D580" t="inlineStr">
        <is>
          <t>K007-901705195</t>
        </is>
      </c>
      <c r="E580" t="inlineStr">
        <is>
          <t>RNT240525</t>
        </is>
      </c>
      <c r="F580" t="inlineStr">
        <is>
          <t>06-05-2024</t>
        </is>
      </c>
      <c r="G580" t="n">
        <v>28518</v>
      </c>
      <c r="I580">
        <f>G580</f>
        <v/>
      </c>
      <c r="K580">
        <f>I580-G580</f>
        <v/>
      </c>
      <c r="M580" t="inlineStr">
        <is>
          <t>RNT240525</t>
        </is>
      </c>
      <c r="N580" t="inlineStr"/>
      <c r="O580">
        <f>M580=N580</f>
        <v/>
      </c>
      <c r="P580">
        <f>AND(MONTH(F580)=MONTH(S580), YEAR(F580)=YEAR(S580))</f>
        <v/>
      </c>
      <c r="Q580">
        <f>"L001-902303751"=U580</f>
        <v/>
      </c>
      <c r="R580">
        <f>G580-W580</f>
        <v/>
      </c>
      <c r="S580" s="36" t="n">
        <v>45342</v>
      </c>
      <c r="T580" t="inlineStr"/>
      <c r="U580" t="inlineStr">
        <is>
          <t>L001-100045995</t>
        </is>
      </c>
      <c r="V580" t="inlineStr">
        <is>
          <t>ឌីអេចអិល ឡូជីស្ទីក (ខេមបូឌា)</t>
        </is>
      </c>
      <c r="W580" t="n">
        <v>0</v>
      </c>
      <c r="X580" t="n">
        <v>0</v>
      </c>
    </row>
    <row r="581">
      <c r="A581" t="n">
        <v>580</v>
      </c>
      <c r="B581" t="inlineStr">
        <is>
          <t>Monthly Charge of Photo Copies Rental from 06/04/2024-06/05/2024</t>
        </is>
      </c>
      <c r="C581" t="inlineStr">
        <is>
          <t>វី.អាយ.អេស ខភៀ ឯ.ក</t>
        </is>
      </c>
      <c r="D581" t="inlineStr">
        <is>
          <t>K007-901705195</t>
        </is>
      </c>
      <c r="E581" t="inlineStr">
        <is>
          <t>RNT240527</t>
        </is>
      </c>
      <c r="F581" t="inlineStr">
        <is>
          <t>06-05-2024</t>
        </is>
      </c>
      <c r="G581" t="n">
        <v>28518</v>
      </c>
      <c r="I581">
        <f>G581</f>
        <v/>
      </c>
      <c r="K581">
        <f>I581-G581</f>
        <v/>
      </c>
      <c r="M581" t="inlineStr">
        <is>
          <t>RNT240527</t>
        </is>
      </c>
      <c r="N581" t="inlineStr"/>
      <c r="O581">
        <f>M581=N581</f>
        <v/>
      </c>
      <c r="P581">
        <f>AND(MONTH(F581)=MONTH(S581), YEAR(F581)=YEAR(S581))</f>
        <v/>
      </c>
      <c r="Q581">
        <f>"L001-902303751"=U581</f>
        <v/>
      </c>
      <c r="R581">
        <f>G581-W581</f>
        <v/>
      </c>
      <c r="S581" s="36" t="n">
        <v>45332</v>
      </c>
      <c r="T581" t="inlineStr"/>
      <c r="U581" t="inlineStr">
        <is>
          <t>K005-100059945</t>
        </is>
      </c>
      <c r="V581" t="inlineStr">
        <is>
          <t>អ៊ែតវ៉ានស៍ គ្លរី ឡូជីស្ទីក (ខេមបូឌា) (អេ ជី អិល)</t>
        </is>
      </c>
      <c r="W581" t="n">
        <v>0</v>
      </c>
      <c r="X581" t="n">
        <v>0</v>
      </c>
    </row>
    <row r="582">
      <c r="A582" t="n">
        <v>581</v>
      </c>
      <c r="B582" t="inlineStr">
        <is>
          <t>Customs Clearance Fee and Trucking Fee</t>
        </is>
      </c>
      <c r="C582" t="inlineStr">
        <is>
          <t>ត្រាយអ៊ែងហ្គល ឡូជីស្ទីក (ខេមបូឌា) ឯ.ក</t>
        </is>
      </c>
      <c r="D582" t="inlineStr">
        <is>
          <t>K010-902101743</t>
        </is>
      </c>
      <c r="E582" t="inlineStr">
        <is>
          <t>TAG-24-00332</t>
        </is>
      </c>
      <c r="F582" t="inlineStr">
        <is>
          <t>15-05-2024</t>
        </is>
      </c>
      <c r="G582" t="n">
        <v>28553</v>
      </c>
      <c r="I582">
        <f>G582</f>
        <v/>
      </c>
      <c r="K582">
        <f>I582-G582</f>
        <v/>
      </c>
      <c r="M582" t="inlineStr">
        <is>
          <t>TAG2400332</t>
        </is>
      </c>
      <c r="N582" t="inlineStr"/>
      <c r="O582">
        <f>M582=N582</f>
        <v/>
      </c>
      <c r="P582">
        <f>AND(MONTH(F582)=MONTH(S582), YEAR(F582)=YEAR(S582))</f>
        <v/>
      </c>
      <c r="Q582">
        <f>"L001-902303751"=U582</f>
        <v/>
      </c>
      <c r="R582">
        <f>G582-W582</f>
        <v/>
      </c>
      <c r="S582" s="36" t="n">
        <v>45337</v>
      </c>
      <c r="T582" t="inlineStr"/>
      <c r="U582" t="inlineStr">
        <is>
          <t>L001-100011888</t>
        </is>
      </c>
      <c r="V582" t="inlineStr">
        <is>
          <t>ត្រេន ស្តារ ហ្រេ្វត</t>
        </is>
      </c>
      <c r="W582" t="n">
        <v>0</v>
      </c>
      <c r="X582" t="n">
        <v>0</v>
      </c>
    </row>
    <row r="583">
      <c r="A583" t="n">
        <v>582</v>
      </c>
      <c r="B583" t="inlineStr">
        <is>
          <t>Customs Clearance Fee and Trucking Fee</t>
        </is>
      </c>
      <c r="C583" t="inlineStr">
        <is>
          <t>ត្រាយអ៊ែងហ្គល ឡូជីស្ទីក (ខេមបូឌា) ឯ.ក</t>
        </is>
      </c>
      <c r="D583" t="inlineStr">
        <is>
          <t>K010-902101743</t>
        </is>
      </c>
      <c r="E583" t="inlineStr">
        <is>
          <t>TAG-24-00375</t>
        </is>
      </c>
      <c r="F583" t="inlineStr">
        <is>
          <t>31-05-2024</t>
        </is>
      </c>
      <c r="G583" t="n">
        <v>28651</v>
      </c>
      <c r="I583">
        <f>G583</f>
        <v/>
      </c>
      <c r="K583">
        <f>I583-G583</f>
        <v/>
      </c>
      <c r="M583" t="inlineStr">
        <is>
          <t>TAG2400375</t>
        </is>
      </c>
      <c r="N583" t="inlineStr"/>
      <c r="O583">
        <f>M583=N583</f>
        <v/>
      </c>
      <c r="P583">
        <f>AND(MONTH(F583)=MONTH(S583), YEAR(F583)=YEAR(S583))</f>
        <v/>
      </c>
      <c r="Q583">
        <f>"L001-902303751"=U583</f>
        <v/>
      </c>
      <c r="R583">
        <f>G583-W583</f>
        <v/>
      </c>
      <c r="S583" s="36" t="n">
        <v>45327</v>
      </c>
      <c r="T583" t="inlineStr"/>
      <c r="U583" t="inlineStr">
        <is>
          <t>L001-107032791</t>
        </is>
      </c>
      <c r="V583" t="inlineStr">
        <is>
          <t>នីបផន អិចប្រេស (ខេមបូឌា) ខូ អិលធីឌី</t>
        </is>
      </c>
      <c r="W583" t="n">
        <v>0</v>
      </c>
      <c r="X583" t="n">
        <v>0</v>
      </c>
    </row>
    <row r="584">
      <c r="A584" t="n">
        <v>583</v>
      </c>
      <c r="B584" t="inlineStr">
        <is>
          <t>Customs Clearance Fee and Trucking Fee</t>
        </is>
      </c>
      <c r="C584" t="inlineStr">
        <is>
          <t>ត្រាយអ៊ែងហ្គល ឡូជីស្ទីក (ខេមបូឌា) ឯ.ក</t>
        </is>
      </c>
      <c r="D584" t="inlineStr">
        <is>
          <t>K010-902101743</t>
        </is>
      </c>
      <c r="E584" t="inlineStr">
        <is>
          <t>TAG-24-00339</t>
        </is>
      </c>
      <c r="F584" t="inlineStr">
        <is>
          <t>17-05-2024</t>
        </is>
      </c>
      <c r="G584" t="n">
        <v>28546</v>
      </c>
      <c r="I584">
        <f>G584</f>
        <v/>
      </c>
      <c r="K584">
        <f>I584-G584</f>
        <v/>
      </c>
      <c r="M584" t="inlineStr">
        <is>
          <t>TAG2400339</t>
        </is>
      </c>
      <c r="N584" t="inlineStr">
        <is>
          <t>17604000</t>
        </is>
      </c>
      <c r="O584">
        <f>M584=N584</f>
        <v/>
      </c>
      <c r="P584">
        <f>AND(MONTH(F584)=MONTH(S584), YEAR(F584)=YEAR(S584))</f>
        <v/>
      </c>
      <c r="Q584">
        <f>"L001-902303751"=U584</f>
        <v/>
      </c>
      <c r="R584">
        <f>G584-W584</f>
        <v/>
      </c>
      <c r="S584" s="36" t="n">
        <v>45348</v>
      </c>
      <c r="T584" t="n">
        <v>176040</v>
      </c>
      <c r="U584" t="inlineStr">
        <is>
          <t>K005-901805913</t>
        </is>
      </c>
      <c r="V584" t="inlineStr">
        <is>
          <t>ស្តារ ខង់ខដ (ខេមបូឌា) ឯ.ក</t>
        </is>
      </c>
      <c r="W584" t="n">
        <v>176040</v>
      </c>
      <c r="X584" t="n">
        <v>0</v>
      </c>
    </row>
    <row r="585">
      <c r="A585" t="n">
        <v>584</v>
      </c>
      <c r="B585" t="inlineStr">
        <is>
          <t>Warehouse Fee</t>
        </is>
      </c>
      <c r="C585" t="inlineStr">
        <is>
          <t>ហាន​ &amp; ជុន ត្រេនស្ព័ត ខូ អិលធីឌី</t>
        </is>
      </c>
      <c r="D585" t="inlineStr">
        <is>
          <t>L001-104016647</t>
        </is>
      </c>
      <c r="E585" t="inlineStr">
        <is>
          <t>HJ24-1454</t>
        </is>
      </c>
      <c r="F585" t="inlineStr">
        <is>
          <t>16-05-2024</t>
        </is>
      </c>
      <c r="G585" t="n">
        <v>4077</v>
      </c>
      <c r="I585">
        <f>G585</f>
        <v/>
      </c>
      <c r="K585">
        <f>I585-G585</f>
        <v/>
      </c>
      <c r="M585" t="inlineStr">
        <is>
          <t>HJ241454</t>
        </is>
      </c>
      <c r="N585" t="inlineStr">
        <is>
          <t>11247000</t>
        </is>
      </c>
      <c r="O585">
        <f>M585=N585</f>
        <v/>
      </c>
      <c r="P585">
        <f>AND(MONTH(F585)=MONTH(S585), YEAR(F585)=YEAR(S585))</f>
        <v/>
      </c>
      <c r="Q585">
        <f>"L001-902303751"=U585</f>
        <v/>
      </c>
      <c r="R585">
        <f>G585-W585</f>
        <v/>
      </c>
      <c r="S585" s="36" t="n">
        <v>45348</v>
      </c>
      <c r="T585" t="n">
        <v>112470</v>
      </c>
      <c r="U585" t="inlineStr">
        <is>
          <t>L001-100044956</t>
        </is>
      </c>
      <c r="V585" t="inlineStr">
        <is>
          <t>ជី លីង អិចប្រេស ឡូជីស្ទីក (ខេមបូឌា) លីមីធីត</t>
        </is>
      </c>
      <c r="W585" t="n">
        <v>112470</v>
      </c>
      <c r="X585" t="n">
        <v>0</v>
      </c>
    </row>
    <row r="586">
      <c r="A586" t="n">
        <v>585</v>
      </c>
      <c r="B586" t="inlineStr">
        <is>
          <t>Import Shipment Expense</t>
        </is>
      </c>
      <c r="C586" t="inlineStr">
        <is>
          <t>អូរៀនថល ឡូជីស្ទីក &amp; ឌីស្ទ្រីប៊្យូសិន (ខេមបូឌា)</t>
        </is>
      </c>
      <c r="D586" t="inlineStr">
        <is>
          <t>L001-103007369</t>
        </is>
      </c>
      <c r="E586" t="inlineStr">
        <is>
          <t>24-4504</t>
        </is>
      </c>
      <c r="F586" t="inlineStr">
        <is>
          <t>13-05-2024</t>
        </is>
      </c>
      <c r="G586" t="n">
        <v>53001</v>
      </c>
      <c r="I586">
        <f>G586</f>
        <v/>
      </c>
      <c r="K586">
        <f>I586-G586</f>
        <v/>
      </c>
      <c r="M586" t="inlineStr">
        <is>
          <t>244504</t>
        </is>
      </c>
      <c r="N586" t="inlineStr">
        <is>
          <t>20466500</t>
        </is>
      </c>
      <c r="O586">
        <f>M586=N586</f>
        <v/>
      </c>
      <c r="P586">
        <f>AND(MONTH(F586)=MONTH(S586), YEAR(F586)=YEAR(S586))</f>
        <v/>
      </c>
      <c r="Q586">
        <f>"L001-902303751"=U586</f>
        <v/>
      </c>
      <c r="R586">
        <f>G586-W586</f>
        <v/>
      </c>
      <c r="S586" s="36" t="n">
        <v>45342</v>
      </c>
      <c r="T586" t="n">
        <v>204665</v>
      </c>
      <c r="U586" t="inlineStr">
        <is>
          <t>L001-100044956</t>
        </is>
      </c>
      <c r="V586" t="inlineStr">
        <is>
          <t>ជី លីង អិចប្រេស ឡូជីស្ទីក (ខេមបូឌា) លីមីធីត</t>
        </is>
      </c>
      <c r="W586" t="n">
        <v>204665</v>
      </c>
      <c r="X586" t="n">
        <v>0</v>
      </c>
    </row>
    <row r="587">
      <c r="A587" t="n">
        <v>586</v>
      </c>
      <c r="B587" t="inlineStr">
        <is>
          <t>Customs Clearance Fee</t>
        </is>
      </c>
      <c r="C587" t="inlineStr">
        <is>
          <t>ត្រាយអ៊ែងហ្គល ឡូជីស្ទីក (ខេមបូឌា) ឯ.ក</t>
        </is>
      </c>
      <c r="D587" t="inlineStr">
        <is>
          <t>K010-902101743</t>
        </is>
      </c>
      <c r="E587" t="inlineStr">
        <is>
          <t>TAG-24-00350</t>
        </is>
      </c>
      <c r="F587" t="inlineStr">
        <is>
          <t>20-05-2024</t>
        </is>
      </c>
      <c r="G587" t="n">
        <v>8154</v>
      </c>
      <c r="I587">
        <f>G587</f>
        <v/>
      </c>
      <c r="K587">
        <f>I587-G587</f>
        <v/>
      </c>
      <c r="M587" t="inlineStr">
        <is>
          <t>TAG2400350</t>
        </is>
      </c>
      <c r="N587" t="inlineStr">
        <is>
          <t>11002500</t>
        </is>
      </c>
      <c r="O587">
        <f>M587=N587</f>
        <v/>
      </c>
      <c r="P587">
        <f>AND(MONTH(F587)=MONTH(S587), YEAR(F587)=YEAR(S587))</f>
        <v/>
      </c>
      <c r="Q587">
        <f>"L001-902303751"=U587</f>
        <v/>
      </c>
      <c r="R587">
        <f>G587-W587</f>
        <v/>
      </c>
      <c r="S587" s="36" t="n">
        <v>45345</v>
      </c>
      <c r="T587" t="n">
        <v>110025</v>
      </c>
      <c r="U587" t="inlineStr">
        <is>
          <t>K005-100059945</t>
        </is>
      </c>
      <c r="V587" t="inlineStr">
        <is>
          <t>អ៊ែតវ៉ានស៍ គ្លរី ឡូជីស្ទីក (ខេមបូឌា) (អេ ជី អិល)</t>
        </is>
      </c>
      <c r="W587" t="n">
        <v>110025</v>
      </c>
      <c r="X587" t="n">
        <v>0</v>
      </c>
    </row>
    <row r="588">
      <c r="A588" t="n">
        <v>587</v>
      </c>
      <c r="B588" t="inlineStr">
        <is>
          <t>Lift-On &amp; Lift-Off</t>
        </is>
      </c>
      <c r="C588" t="inlineStr">
        <is>
          <t>កំពង់ផែស្វយ័តក្រុងព្រះសីហនុ</t>
        </is>
      </c>
      <c r="D588" t="inlineStr">
        <is>
          <t>L001-100044638</t>
        </is>
      </c>
      <c r="E588" t="inlineStr">
        <is>
          <t>093474</t>
        </is>
      </c>
      <c r="F588" t="inlineStr">
        <is>
          <t>18-05-2024</t>
        </is>
      </c>
      <c r="G588" t="n">
        <v>23245</v>
      </c>
      <c r="I588">
        <f>G588</f>
        <v/>
      </c>
      <c r="K588">
        <f>I588-G588</f>
        <v/>
      </c>
      <c r="M588" t="inlineStr">
        <is>
          <t>093474</t>
        </is>
      </c>
      <c r="N588" t="inlineStr">
        <is>
          <t>9624100</t>
        </is>
      </c>
      <c r="O588">
        <f>M588=N588</f>
        <v/>
      </c>
      <c r="P588">
        <f>AND(MONTH(F588)=MONTH(S588), YEAR(F588)=YEAR(S588))</f>
        <v/>
      </c>
      <c r="Q588">
        <f>"L001-902303751"=U588</f>
        <v/>
      </c>
      <c r="R588">
        <f>G588-W588</f>
        <v/>
      </c>
      <c r="S588" s="36" t="n">
        <v>45334</v>
      </c>
      <c r="T588" t="n">
        <v>96241</v>
      </c>
      <c r="U588" t="inlineStr">
        <is>
          <t>L001-100045340</t>
        </is>
      </c>
      <c r="V588" t="inlineStr">
        <is>
          <t xml:space="preserve">ស៊ីវ៉ា អ៊ែរ អ៊ែន អូសៀន (ខេមបូឌា) ឯ.ក </t>
        </is>
      </c>
      <c r="W588" t="n">
        <v>96241</v>
      </c>
      <c r="X588" t="n">
        <v>0</v>
      </c>
    </row>
    <row r="589">
      <c r="A589" t="n">
        <v>588</v>
      </c>
      <c r="B589" t="inlineStr">
        <is>
          <t>Import Shipment Expense</t>
        </is>
      </c>
      <c r="C589" t="inlineStr">
        <is>
          <t>ខេអិលអិន ហ្វ្រេត (ខេមបូឌា) ឯ.ក</t>
        </is>
      </c>
      <c r="D589" t="inlineStr">
        <is>
          <t>L001-100074669</t>
        </is>
      </c>
      <c r="E589" t="inlineStr">
        <is>
          <t>IVO07572</t>
        </is>
      </c>
      <c r="F589" t="inlineStr">
        <is>
          <t>23-05-2024</t>
        </is>
      </c>
      <c r="G589" t="n">
        <v>104434</v>
      </c>
      <c r="I589">
        <f>G589</f>
        <v/>
      </c>
      <c r="K589">
        <f>I589-G589</f>
        <v/>
      </c>
      <c r="M589" t="inlineStr">
        <is>
          <t>IVO07572</t>
        </is>
      </c>
      <c r="N589" t="inlineStr">
        <is>
          <t>8394500</t>
        </is>
      </c>
      <c r="O589">
        <f>M589=N589</f>
        <v/>
      </c>
      <c r="P589">
        <f>AND(MONTH(F589)=MONTH(S589), YEAR(F589)=YEAR(S589))</f>
        <v/>
      </c>
      <c r="Q589">
        <f>"L001-902303751"=U589</f>
        <v/>
      </c>
      <c r="R589">
        <f>G589-W589</f>
        <v/>
      </c>
      <c r="S589" s="36" t="n">
        <v>45348</v>
      </c>
      <c r="T589" t="n">
        <v>83945</v>
      </c>
      <c r="U589" t="inlineStr">
        <is>
          <t>K003-901635943</t>
        </is>
      </c>
      <c r="V589" t="inlineStr">
        <is>
          <t>អ៊ីឃ្យូឡាញ វើលវ៉ាយដ៍ ឡូជីស្ទីក</t>
        </is>
      </c>
      <c r="W589" t="n">
        <v>83945</v>
      </c>
      <c r="X589" t="n">
        <v>0</v>
      </c>
    </row>
    <row r="590">
      <c r="A590" t="n">
        <v>589</v>
      </c>
      <c r="B590" t="inlineStr">
        <is>
          <t>Customs Clearance Fee and Trucking Fee</t>
        </is>
      </c>
      <c r="C590" t="inlineStr">
        <is>
          <t>ត្រាយអ៊ែងហ្គល ឡូជីស្ទីក (ខេមបូឌា) ឯ.ក</t>
        </is>
      </c>
      <c r="D590" t="inlineStr">
        <is>
          <t>K010-902101743</t>
        </is>
      </c>
      <c r="E590" t="inlineStr">
        <is>
          <t>TAG-24-00356</t>
        </is>
      </c>
      <c r="F590" t="inlineStr">
        <is>
          <t>21-05-2024</t>
        </is>
      </c>
      <c r="G590" t="n">
        <v>69309</v>
      </c>
      <c r="I590">
        <f>G590</f>
        <v/>
      </c>
      <c r="K590">
        <f>I590-G590</f>
        <v/>
      </c>
      <c r="M590" t="inlineStr">
        <is>
          <t>TAG2400356</t>
        </is>
      </c>
      <c r="N590" t="inlineStr">
        <is>
          <t>274396300</t>
        </is>
      </c>
      <c r="O590">
        <f>M590=N590</f>
        <v/>
      </c>
      <c r="P590">
        <f>AND(MONTH(F590)=MONTH(S590), YEAR(F590)=YEAR(S590))</f>
        <v/>
      </c>
      <c r="Q590">
        <f>"L001-902303751"=U590</f>
        <v/>
      </c>
      <c r="R590">
        <f>G590-W590</f>
        <v/>
      </c>
      <c r="S590" s="36" t="n">
        <v>45339</v>
      </c>
      <c r="T590" t="n">
        <v>2743963</v>
      </c>
      <c r="U590" t="inlineStr">
        <is>
          <t>K004-105012505</t>
        </is>
      </c>
      <c r="V590" t="inlineStr">
        <is>
          <t>អេស៊ាន ហ្វ្រេត (ខេមបូឌា)</t>
        </is>
      </c>
      <c r="W590" t="n">
        <v>2743963</v>
      </c>
      <c r="X590" t="n">
        <v>0</v>
      </c>
    </row>
    <row r="591">
      <c r="A591" t="n">
        <v>590</v>
      </c>
      <c r="B591" t="inlineStr">
        <is>
          <t>Lift-On &amp; Gate Fee Charge</t>
        </is>
      </c>
      <c r="C591" t="inlineStr">
        <is>
          <t>កំពង់ផែស្វយ័តភ្នំពេញ "ក.ស.ភ"</t>
        </is>
      </c>
      <c r="D591" t="inlineStr">
        <is>
          <t>L001-100044999</t>
        </is>
      </c>
      <c r="E591" t="inlineStr">
        <is>
          <t>INV20240528878</t>
        </is>
      </c>
      <c r="F591" t="inlineStr">
        <is>
          <t>21-05-2024</t>
        </is>
      </c>
      <c r="G591" t="n">
        <v>28539</v>
      </c>
      <c r="I591">
        <f>G591</f>
        <v/>
      </c>
      <c r="K591">
        <f>I591-G591</f>
        <v/>
      </c>
      <c r="M591" t="inlineStr">
        <is>
          <t>INV20240528878</t>
        </is>
      </c>
      <c r="N591" t="inlineStr">
        <is>
          <t>8154000</t>
        </is>
      </c>
      <c r="O591">
        <f>M591=N591</f>
        <v/>
      </c>
      <c r="P591">
        <f>AND(MONTH(F591)=MONTH(S591), YEAR(F591)=YEAR(S591))</f>
        <v/>
      </c>
      <c r="Q591">
        <f>"L001-902303751"=U591</f>
        <v/>
      </c>
      <c r="R591">
        <f>G591-W591</f>
        <v/>
      </c>
      <c r="S591" s="36" t="n">
        <v>45342</v>
      </c>
      <c r="T591" t="n">
        <v>81540</v>
      </c>
      <c r="U591" t="inlineStr">
        <is>
          <t>L001-100045995</t>
        </is>
      </c>
      <c r="V591" t="inlineStr">
        <is>
          <t>ឌីអេចអិល ឡូជីស្ទីក (ខេមបូឌា)</t>
        </is>
      </c>
      <c r="W591" t="n">
        <v>81540</v>
      </c>
      <c r="X591" t="n">
        <v>0</v>
      </c>
    </row>
    <row r="592">
      <c r="A592" t="n">
        <v>591</v>
      </c>
      <c r="B592" t="inlineStr">
        <is>
          <t>THC, CIC, EMF and Document Charge</t>
        </is>
      </c>
      <c r="C592" t="inlineStr">
        <is>
          <t>ហេកធ័រ ត្រេនស្ព័រថេសិន (ខេមបូឌា) ឯ.ក</t>
        </is>
      </c>
      <c r="D592" t="inlineStr">
        <is>
          <t>K002-901900264</t>
        </is>
      </c>
      <c r="E592" t="inlineStr">
        <is>
          <t>24001510</t>
        </is>
      </c>
      <c r="F592" t="inlineStr">
        <is>
          <t>17-05-2024</t>
        </is>
      </c>
      <c r="G592" t="n">
        <v>144769</v>
      </c>
      <c r="I592">
        <f>G592</f>
        <v/>
      </c>
      <c r="K592">
        <f>I592-G592</f>
        <v/>
      </c>
      <c r="M592" t="inlineStr">
        <is>
          <t>24001510</t>
        </is>
      </c>
      <c r="N592" t="inlineStr"/>
      <c r="O592">
        <f>M592=N592</f>
        <v/>
      </c>
      <c r="P592">
        <f>AND(MONTH(F592)=MONTH(S592), YEAR(F592)=YEAR(S592))</f>
        <v/>
      </c>
      <c r="Q592">
        <f>"L001-902303751"=U592</f>
        <v/>
      </c>
      <c r="R592">
        <f>G592-W592</f>
        <v/>
      </c>
      <c r="S592" s="36" t="n">
        <v>45327</v>
      </c>
      <c r="T592" t="inlineStr"/>
      <c r="U592" t="inlineStr">
        <is>
          <t>K003-901635943</t>
        </is>
      </c>
      <c r="V592" t="inlineStr">
        <is>
          <t>អ៊ីឃ្យូឡាញ វើលវ៉ាយដ៍ ឡូជីស្ទីក</t>
        </is>
      </c>
      <c r="W592" t="n">
        <v>0</v>
      </c>
      <c r="X592" t="n">
        <v>0</v>
      </c>
    </row>
    <row r="593">
      <c r="A593" t="n">
        <v>592</v>
      </c>
      <c r="B593" t="inlineStr">
        <is>
          <t>Customs Clearance Fee and Trucking Fee</t>
        </is>
      </c>
      <c r="C593" t="inlineStr">
        <is>
          <t>ត្រាយអ៊ែងហ្គល ឡូជីស្ទីក (ខេមបូឌា) ឯ.ក</t>
        </is>
      </c>
      <c r="D593" t="inlineStr">
        <is>
          <t>K010-902101743</t>
        </is>
      </c>
      <c r="E593" t="inlineStr">
        <is>
          <t>TAG-24-00358</t>
        </is>
      </c>
      <c r="F593" t="inlineStr">
        <is>
          <t>23-05-2024</t>
        </is>
      </c>
      <c r="G593" t="n">
        <v>28539</v>
      </c>
      <c r="I593">
        <f>G593</f>
        <v/>
      </c>
      <c r="K593">
        <f>I593-G593</f>
        <v/>
      </c>
      <c r="M593" t="inlineStr">
        <is>
          <t>TAG2400358</t>
        </is>
      </c>
      <c r="N593" t="inlineStr">
        <is>
          <t>12406200</t>
        </is>
      </c>
      <c r="O593">
        <f>M593=N593</f>
        <v/>
      </c>
      <c r="P593">
        <f>AND(MONTH(F593)=MONTH(S593), YEAR(F593)=YEAR(S593))</f>
        <v/>
      </c>
      <c r="Q593">
        <f>"L001-902303751"=U593</f>
        <v/>
      </c>
      <c r="R593">
        <f>G593-W593</f>
        <v/>
      </c>
      <c r="S593" s="36" t="n">
        <v>45328</v>
      </c>
      <c r="T593" t="n">
        <v>124062</v>
      </c>
      <c r="U593" t="inlineStr">
        <is>
          <t>L001-103007369</t>
        </is>
      </c>
      <c r="V593" t="inlineStr">
        <is>
          <t>អូរៀនថល ឡូជីស្ទីក &amp; ឌីស្ទ្រីប៊្យូសិន (ខេមបូឌា)</t>
        </is>
      </c>
      <c r="W593" t="n">
        <v>124062</v>
      </c>
      <c r="X593" t="n">
        <v>0</v>
      </c>
    </row>
    <row r="594">
      <c r="A594" t="n">
        <v>593</v>
      </c>
      <c r="B594" t="inlineStr">
        <is>
          <t>Import Shipment Expense</t>
        </is>
      </c>
      <c r="C594" t="inlineStr">
        <is>
          <t>ភី.ដាប់បែលយូ. ស្កេនវែល ឡូជីស្ទីក (ខេមបូឌា)</t>
        </is>
      </c>
      <c r="D594" t="inlineStr">
        <is>
          <t>K002-107011379</t>
        </is>
      </c>
      <c r="E594" t="inlineStr">
        <is>
          <t>240500101</t>
        </is>
      </c>
      <c r="F594" t="inlineStr">
        <is>
          <t>20-05-2024</t>
        </is>
      </c>
      <c r="G594" t="n">
        <v>235504</v>
      </c>
      <c r="I594">
        <f>G594</f>
        <v/>
      </c>
      <c r="K594">
        <f>I594-G594</f>
        <v/>
      </c>
      <c r="M594" t="inlineStr">
        <is>
          <t>240500101</t>
        </is>
      </c>
      <c r="N594" t="inlineStr">
        <is>
          <t>11026800</t>
        </is>
      </c>
      <c r="O594">
        <f>M594=N594</f>
        <v/>
      </c>
      <c r="P594">
        <f>AND(MONTH(F594)=MONTH(S594), YEAR(F594)=YEAR(S594))</f>
        <v/>
      </c>
      <c r="Q594">
        <f>"L001-902303751"=U594</f>
        <v/>
      </c>
      <c r="R594">
        <f>G594-W594</f>
        <v/>
      </c>
      <c r="S594" s="36" t="n">
        <v>45327</v>
      </c>
      <c r="T594" t="n">
        <v>110268</v>
      </c>
      <c r="U594" t="inlineStr">
        <is>
          <t>K005-100150195</t>
        </is>
      </c>
      <c r="V594" t="inlineStr">
        <is>
          <t>អេស អ វី ស៊ី ហ្វ្រេត សឺវីស (ខេមបូឌា) ខូ អិលធីឌី</t>
        </is>
      </c>
      <c r="W594" t="n">
        <v>110268</v>
      </c>
      <c r="X594" t="n">
        <v>0</v>
      </c>
    </row>
    <row r="595">
      <c r="A595" t="n">
        <v>594</v>
      </c>
      <c r="B595" t="inlineStr">
        <is>
          <t>Customs Clearance Fee and Trucking Fee</t>
        </is>
      </c>
      <c r="C595" t="inlineStr">
        <is>
          <t>ត្រាយអ៊ែងហ្គល ឡូជីស្ទីក (ខេមបូឌា) ឯ.ក</t>
        </is>
      </c>
      <c r="D595" t="inlineStr">
        <is>
          <t>K010-902101743</t>
        </is>
      </c>
      <c r="E595" t="inlineStr">
        <is>
          <t>TAG-24-00355</t>
        </is>
      </c>
      <c r="F595" t="inlineStr">
        <is>
          <t>21-05-2024</t>
        </is>
      </c>
      <c r="G595" t="n">
        <v>28539</v>
      </c>
      <c r="I595">
        <f>G595</f>
        <v/>
      </c>
      <c r="K595">
        <f>I595-G595</f>
        <v/>
      </c>
      <c r="M595" t="inlineStr">
        <is>
          <t>TAG2400355</t>
        </is>
      </c>
      <c r="N595" t="inlineStr">
        <is>
          <t>11026800</t>
        </is>
      </c>
      <c r="O595">
        <f>M595=N595</f>
        <v/>
      </c>
      <c r="P595">
        <f>AND(MONTH(F595)=MONTH(S595), YEAR(F595)=YEAR(S595))</f>
        <v/>
      </c>
      <c r="Q595">
        <f>"L001-902303751"=U595</f>
        <v/>
      </c>
      <c r="R595">
        <f>G595-W595</f>
        <v/>
      </c>
      <c r="S595" s="36" t="n">
        <v>45327</v>
      </c>
      <c r="T595" t="n">
        <v>110268</v>
      </c>
      <c r="U595" t="inlineStr">
        <is>
          <t>L001-107032791</t>
        </is>
      </c>
      <c r="V595" t="inlineStr">
        <is>
          <t>នីបផន អិចប្រេស (ខេមបូឌា) ខូ អិលធីឌី</t>
        </is>
      </c>
      <c r="W595" t="n">
        <v>110268</v>
      </c>
      <c r="X595" t="n">
        <v>0</v>
      </c>
    </row>
    <row r="596">
      <c r="A596" t="n">
        <v>595</v>
      </c>
      <c r="B596" t="inlineStr">
        <is>
          <t>Cargo Terminal</t>
        </is>
      </c>
      <c r="C596" t="inlineStr">
        <is>
          <t>សូស៊ីយេតេ កុងសេស្យូនែរ ដឺ ឡាអេរ៉ូព័រ</t>
        </is>
      </c>
      <c r="D596" t="inlineStr">
        <is>
          <t>L001-100047300</t>
        </is>
      </c>
      <c r="E596" t="inlineStr">
        <is>
          <t>2400-036946</t>
        </is>
      </c>
      <c r="F596" t="inlineStr">
        <is>
          <t>21-05-2024</t>
        </is>
      </c>
      <c r="G596" t="n">
        <v>1631</v>
      </c>
      <c r="I596">
        <f>G596</f>
        <v/>
      </c>
      <c r="K596">
        <f>I596-G596</f>
        <v/>
      </c>
      <c r="M596" t="inlineStr">
        <is>
          <t>2400036946</t>
        </is>
      </c>
      <c r="N596" t="inlineStr"/>
      <c r="O596">
        <f>M596=N596</f>
        <v/>
      </c>
      <c r="P596">
        <f>AND(MONTH(F596)=MONTH(S596), YEAR(F596)=YEAR(S596))</f>
        <v/>
      </c>
      <c r="Q596">
        <f>"L001-902303751"=U596</f>
        <v/>
      </c>
      <c r="R596">
        <f>G596-W596</f>
        <v/>
      </c>
      <c r="S596" s="36" t="n">
        <v>45348</v>
      </c>
      <c r="T596" t="inlineStr"/>
      <c r="U596" t="inlineStr">
        <is>
          <t>K005-901805913</t>
        </is>
      </c>
      <c r="V596" t="inlineStr">
        <is>
          <t>ស្តារ ខង់ខដ (ខេមបូឌា) ឯ.ក</t>
        </is>
      </c>
      <c r="W596" t="n">
        <v>0</v>
      </c>
      <c r="X596" t="n">
        <v>0</v>
      </c>
    </row>
    <row r="597">
      <c r="A597" t="n">
        <v>596</v>
      </c>
      <c r="B597" t="inlineStr">
        <is>
          <t>Document Fee and Agency Fee</t>
        </is>
      </c>
      <c r="C597" t="inlineStr">
        <is>
          <t>ត្រាយអ៊ែងហ្គល ឡូជីស្ទីក (ខេមបូឌា) ឯ.ក</t>
        </is>
      </c>
      <c r="D597" t="inlineStr">
        <is>
          <t>K010-902101743</t>
        </is>
      </c>
      <c r="E597" t="inlineStr">
        <is>
          <t>TAG-24-00344</t>
        </is>
      </c>
      <c r="F597" t="inlineStr">
        <is>
          <t>20-05-2024</t>
        </is>
      </c>
      <c r="G597" t="n">
        <v>32616</v>
      </c>
      <c r="I597">
        <f>G597</f>
        <v/>
      </c>
      <c r="K597">
        <f>I597-G597</f>
        <v/>
      </c>
      <c r="M597" t="inlineStr">
        <is>
          <t>TAG2400344</t>
        </is>
      </c>
      <c r="N597" t="inlineStr"/>
      <c r="O597">
        <f>M597=N597</f>
        <v/>
      </c>
      <c r="P597">
        <f>AND(MONTH(F597)=MONTH(S597), YEAR(F597)=YEAR(S597))</f>
        <v/>
      </c>
      <c r="Q597">
        <f>"L001-902303751"=U597</f>
        <v/>
      </c>
      <c r="R597">
        <f>G597-W597</f>
        <v/>
      </c>
      <c r="S597" s="36" t="n">
        <v>45348</v>
      </c>
      <c r="T597" t="inlineStr"/>
      <c r="U597" t="inlineStr">
        <is>
          <t>L001-100074669</t>
        </is>
      </c>
      <c r="V597" t="inlineStr">
        <is>
          <t>ខេអិលអិន ហ្វ្រេត (ខេមបូឌា) ឯ.ក</t>
        </is>
      </c>
      <c r="W597" t="n">
        <v>0</v>
      </c>
      <c r="X597" t="n">
        <v>0</v>
      </c>
    </row>
    <row r="598">
      <c r="A598" t="n">
        <v>597</v>
      </c>
      <c r="B598" t="inlineStr">
        <is>
          <t>Customs Clearance Fee and Trucking Fee</t>
        </is>
      </c>
      <c r="C598" t="inlineStr">
        <is>
          <t>ត្រាយអ៊ែងហ្គល ឡូជីស្ទីក (ខេមបូឌា) ឯ.ក</t>
        </is>
      </c>
      <c r="D598" t="inlineStr">
        <is>
          <t>K010-902101743</t>
        </is>
      </c>
      <c r="E598" t="inlineStr">
        <is>
          <t>TAG-24-00369</t>
        </is>
      </c>
      <c r="F598" t="inlineStr">
        <is>
          <t>27-05-2024</t>
        </is>
      </c>
      <c r="G598" t="n">
        <v>69377</v>
      </c>
      <c r="I598">
        <f>G598</f>
        <v/>
      </c>
      <c r="K598">
        <f>I598-G598</f>
        <v/>
      </c>
      <c r="M598" t="inlineStr">
        <is>
          <t>TAG2400369</t>
        </is>
      </c>
      <c r="N598" t="inlineStr"/>
      <c r="O598">
        <f>M598=N598</f>
        <v/>
      </c>
      <c r="P598">
        <f>AND(MONTH(F598)=MONTH(S598), YEAR(F598)=YEAR(S598))</f>
        <v/>
      </c>
      <c r="Q598">
        <f>"L001-902303751"=U598</f>
        <v/>
      </c>
      <c r="R598">
        <f>G598-W598</f>
        <v/>
      </c>
      <c r="S598" s="36" t="n">
        <v>45345</v>
      </c>
      <c r="T598" t="inlineStr"/>
      <c r="U598" t="inlineStr">
        <is>
          <t>K005-100059945</t>
        </is>
      </c>
      <c r="V598" t="inlineStr">
        <is>
          <t>អ៊ែតវ៉ានស៍ គ្លរី ឡូជីស្ទីក (ខេមបូឌា) (អេ ជី អិល)</t>
        </is>
      </c>
      <c r="W598" t="n">
        <v>0</v>
      </c>
      <c r="X598" t="n">
        <v>0</v>
      </c>
    </row>
    <row r="599">
      <c r="A599" t="n">
        <v>598</v>
      </c>
      <c r="B599" t="inlineStr">
        <is>
          <t>Lift-On &amp; Lift-Off</t>
        </is>
      </c>
      <c r="C599" t="inlineStr">
        <is>
          <t>កំពង់ផែស្វយ័តក្រុងព្រះសីហនុ</t>
        </is>
      </c>
      <c r="D599" t="inlineStr">
        <is>
          <t>L001-100044638</t>
        </is>
      </c>
      <c r="E599" t="inlineStr">
        <is>
          <t>098591</t>
        </is>
      </c>
      <c r="F599" t="inlineStr">
        <is>
          <t>25-05-2024</t>
        </is>
      </c>
      <c r="G599" t="n">
        <v>23250</v>
      </c>
      <c r="I599">
        <f>G599</f>
        <v/>
      </c>
      <c r="K599">
        <f>I599-G599</f>
        <v/>
      </c>
      <c r="M599" t="inlineStr">
        <is>
          <t>098591</t>
        </is>
      </c>
      <c r="N599" t="inlineStr">
        <is>
          <t>11002500</t>
        </is>
      </c>
      <c r="O599">
        <f>M599=N599</f>
        <v/>
      </c>
      <c r="P599">
        <f>AND(MONTH(F599)=MONTH(S599), YEAR(F599)=YEAR(S599))</f>
        <v/>
      </c>
      <c r="Q599">
        <f>"L001-902303751"=U599</f>
        <v/>
      </c>
      <c r="R599">
        <f>G599-W599</f>
        <v/>
      </c>
      <c r="S599" s="36" t="n">
        <v>45345</v>
      </c>
      <c r="T599" t="n">
        <v>110025</v>
      </c>
      <c r="U599" t="inlineStr">
        <is>
          <t>K005-100059945</t>
        </is>
      </c>
      <c r="V599" t="inlineStr">
        <is>
          <t>អ៊ែតវ៉ានស៍ គ្លរី ឡូជីស្ទីក (ខេមបូឌា) (អេ ជី អិល)</t>
        </is>
      </c>
      <c r="W599" t="n">
        <v>110025</v>
      </c>
      <c r="X599" t="n">
        <v>0</v>
      </c>
    </row>
    <row r="600">
      <c r="A600" t="n">
        <v>599</v>
      </c>
      <c r="B600" t="inlineStr">
        <is>
          <t>Import Shipment Expense</t>
        </is>
      </c>
      <c r="C600" t="inlineStr">
        <is>
          <t>ហ្វ្រេត ខនសិប (ខេមបូឌា)</t>
        </is>
      </c>
      <c r="D600" t="inlineStr">
        <is>
          <t>K009-901502482</t>
        </is>
      </c>
      <c r="E600" t="inlineStr">
        <is>
          <t>240503</t>
        </is>
      </c>
      <c r="F600" t="inlineStr">
        <is>
          <t>23-05-2024</t>
        </is>
      </c>
      <c r="G600" t="n">
        <v>212004</v>
      </c>
      <c r="I600">
        <f>G600</f>
        <v/>
      </c>
      <c r="K600">
        <f>I600-G600</f>
        <v/>
      </c>
      <c r="M600" t="inlineStr">
        <is>
          <t>240503</t>
        </is>
      </c>
      <c r="N600" t="inlineStr"/>
      <c r="O600">
        <f>M600=N600</f>
        <v/>
      </c>
      <c r="P600">
        <f>AND(MONTH(F600)=MONTH(S600), YEAR(F600)=YEAR(S600))</f>
        <v/>
      </c>
      <c r="Q600">
        <f>"L001-902303751"=U600</f>
        <v/>
      </c>
      <c r="R600">
        <f>G600-W600</f>
        <v/>
      </c>
      <c r="S600" s="36" t="n">
        <v>45334</v>
      </c>
      <c r="T600" t="inlineStr"/>
      <c r="U600" t="inlineStr">
        <is>
          <t>L001-100045340</t>
        </is>
      </c>
      <c r="V600" t="inlineStr">
        <is>
          <t xml:space="preserve">ស៊ីវ៉ា អ៊ែរ អ៊ែន អូសៀន (ខេមបូឌា) ឯ.ក </t>
        </is>
      </c>
      <c r="W600" t="n">
        <v>0</v>
      </c>
      <c r="X600" t="n">
        <v>0</v>
      </c>
    </row>
    <row r="601">
      <c r="A601" t="n">
        <v>600</v>
      </c>
      <c r="B601" t="inlineStr">
        <is>
          <t>Customs Clearance Fee</t>
        </is>
      </c>
      <c r="C601" t="inlineStr">
        <is>
          <t>ត្រាយអ៊ែងហ្គល ឡូជីស្ទីក (ខេមបូឌា) ឯ.ក</t>
        </is>
      </c>
      <c r="D601" t="inlineStr">
        <is>
          <t>K010-902101743</t>
        </is>
      </c>
      <c r="E601" t="inlineStr">
        <is>
          <t>TAG-24-00362</t>
        </is>
      </c>
      <c r="F601" t="inlineStr">
        <is>
          <t>23-05-2024</t>
        </is>
      </c>
      <c r="G601" t="n">
        <v>8154</v>
      </c>
      <c r="I601">
        <f>G601</f>
        <v/>
      </c>
      <c r="K601">
        <f>I601-G601</f>
        <v/>
      </c>
      <c r="M601" t="inlineStr">
        <is>
          <t>TAG2400362</t>
        </is>
      </c>
      <c r="N601" t="inlineStr">
        <is>
          <t>23045000</t>
        </is>
      </c>
      <c r="O601">
        <f>M601=N601</f>
        <v/>
      </c>
      <c r="P601">
        <f>AND(MONTH(F601)=MONTH(S601), YEAR(F601)=YEAR(S601))</f>
        <v/>
      </c>
      <c r="Q601">
        <f>"L001-902303751"=U601</f>
        <v/>
      </c>
      <c r="R601">
        <f>G601-W601</f>
        <v/>
      </c>
      <c r="S601" s="36" t="n">
        <v>45324</v>
      </c>
      <c r="T601" t="n">
        <v>230450</v>
      </c>
      <c r="U601" t="inlineStr">
        <is>
          <t>K004-105012505</t>
        </is>
      </c>
      <c r="V601" t="inlineStr">
        <is>
          <t>អេស៊ាន ហ្វ្រេត (ខេមបូឌា)</t>
        </is>
      </c>
      <c r="W601" t="n">
        <v>230450</v>
      </c>
      <c r="X601" t="n">
        <v>0</v>
      </c>
    </row>
    <row r="602">
      <c r="A602" t="n">
        <v>601</v>
      </c>
      <c r="B602" t="inlineStr">
        <is>
          <t>Customs Clearance Fee and Trucking Fee</t>
        </is>
      </c>
      <c r="C602" t="inlineStr">
        <is>
          <t>ត្រាយអ៊ែងហ្គល ឡូជីស្ទីក (ខេមបូឌា) ឯ.ក</t>
        </is>
      </c>
      <c r="D602" t="inlineStr">
        <is>
          <t>K010-902101743</t>
        </is>
      </c>
      <c r="E602" t="inlineStr">
        <is>
          <t>TAG-24-00370</t>
        </is>
      </c>
      <c r="F602" t="inlineStr">
        <is>
          <t>28-05-2024</t>
        </is>
      </c>
      <c r="G602" t="n">
        <v>65328</v>
      </c>
      <c r="I602">
        <f>G602</f>
        <v/>
      </c>
      <c r="K602">
        <f>I602-G602</f>
        <v/>
      </c>
      <c r="M602" t="inlineStr">
        <is>
          <t>TAG2400370</t>
        </is>
      </c>
      <c r="N602" t="inlineStr">
        <is>
          <t>11002500</t>
        </is>
      </c>
      <c r="O602">
        <f>M602=N602</f>
        <v/>
      </c>
      <c r="P602">
        <f>AND(MONTH(F602)=MONTH(S602), YEAR(F602)=YEAR(S602))</f>
        <v/>
      </c>
      <c r="Q602">
        <f>"L001-902303751"=U602</f>
        <v/>
      </c>
      <c r="R602">
        <f>G602-W602</f>
        <v/>
      </c>
      <c r="S602" s="36" t="n">
        <v>45348</v>
      </c>
      <c r="T602" t="n">
        <v>110025</v>
      </c>
      <c r="U602" t="inlineStr">
        <is>
          <t>L001-107032791</t>
        </is>
      </c>
      <c r="V602" t="inlineStr">
        <is>
          <t>នីបផន អិចប្រេស (ខេមបូឌា) ខូ អិលធីឌី</t>
        </is>
      </c>
      <c r="W602" t="n">
        <v>110025</v>
      </c>
      <c r="X602" t="n">
        <v>0</v>
      </c>
    </row>
    <row r="603">
      <c r="A603" t="n">
        <v>602</v>
      </c>
      <c r="B603" t="inlineStr">
        <is>
          <t>Lift-On &amp; Gate Fee Charge</t>
        </is>
      </c>
      <c r="C603" t="inlineStr">
        <is>
          <t>កំពង់ផែស្វយ័តភ្នំពេញ "ក.ស.ភ"</t>
        </is>
      </c>
      <c r="D603" t="inlineStr">
        <is>
          <t>L001-100044999</t>
        </is>
      </c>
      <c r="E603" t="inlineStr">
        <is>
          <t>INV20240530958</t>
        </is>
      </c>
      <c r="F603" t="inlineStr">
        <is>
          <t>29-05-2024</t>
        </is>
      </c>
      <c r="G603" t="n">
        <v>18791</v>
      </c>
      <c r="I603">
        <f>G603</f>
        <v/>
      </c>
      <c r="K603">
        <f>I603-G603</f>
        <v/>
      </c>
      <c r="M603" t="inlineStr">
        <is>
          <t>INV20240530958</t>
        </is>
      </c>
      <c r="N603" t="inlineStr">
        <is>
          <t>8152000</t>
        </is>
      </c>
      <c r="O603">
        <f>M603=N603</f>
        <v/>
      </c>
      <c r="P603">
        <f>AND(MONTH(F603)=MONTH(S603), YEAR(F603)=YEAR(S603))</f>
        <v/>
      </c>
      <c r="Q603">
        <f>"L001-902303751"=U603</f>
        <v/>
      </c>
      <c r="R603">
        <f>G603-W603</f>
        <v/>
      </c>
      <c r="S603" s="36" t="n">
        <v>45338</v>
      </c>
      <c r="T603" t="n">
        <v>81520</v>
      </c>
      <c r="U603" t="inlineStr">
        <is>
          <t>K003-901635943</t>
        </is>
      </c>
      <c r="V603" t="inlineStr">
        <is>
          <t>អ៊ីឃ្យូឡាញ វើលវ៉ាយដ៍ ឡូជីស្ទីក</t>
        </is>
      </c>
      <c r="W603" t="n">
        <v>81520</v>
      </c>
      <c r="X603" t="n">
        <v>0</v>
      </c>
    </row>
    <row r="604">
      <c r="A604" t="n">
        <v>603</v>
      </c>
      <c r="B604" t="inlineStr">
        <is>
          <t>THC, Doc Fee and Container Imbalance</t>
        </is>
      </c>
      <c r="C604" t="inlineStr">
        <is>
          <t>សាខាក្រុមហ៊ុន ជីម៉ាឌីប ស៊ីបភីង ខមភេនី លីមីធីត</t>
        </is>
      </c>
      <c r="D604" t="inlineStr">
        <is>
          <t>L001-901704777</t>
        </is>
      </c>
      <c r="E604" t="inlineStr">
        <is>
          <t>24-01689</t>
        </is>
      </c>
      <c r="F604" t="inlineStr">
        <is>
          <t>23-05-2024</t>
        </is>
      </c>
      <c r="G604" t="n">
        <v>95810</v>
      </c>
      <c r="I604">
        <f>G604</f>
        <v/>
      </c>
      <c r="K604">
        <f>I604-G604</f>
        <v/>
      </c>
      <c r="M604" t="inlineStr">
        <is>
          <t>2401689</t>
        </is>
      </c>
      <c r="N604" t="inlineStr">
        <is>
          <t>11013300</t>
        </is>
      </c>
      <c r="O604">
        <f>M604=N604</f>
        <v/>
      </c>
      <c r="P604">
        <f>AND(MONTH(F604)=MONTH(S604), YEAR(F604)=YEAR(S604))</f>
        <v/>
      </c>
      <c r="Q604">
        <f>"L001-902303751"=U604</f>
        <v/>
      </c>
      <c r="R604">
        <f>G604-W604</f>
        <v/>
      </c>
      <c r="S604" s="36" t="n">
        <v>45332</v>
      </c>
      <c r="T604" t="n">
        <v>110133</v>
      </c>
      <c r="U604" t="inlineStr">
        <is>
          <t>K005-100059945</t>
        </is>
      </c>
      <c r="V604" t="inlineStr">
        <is>
          <t>អ៊ែតវ៉ានស៍ គ្លរី ឡូជីស្ទីក (ខេមបូឌា) (អេ ជី អិល)</t>
        </is>
      </c>
      <c r="W604" t="n">
        <v>110133</v>
      </c>
      <c r="X604" t="n">
        <v>0</v>
      </c>
    </row>
    <row r="605">
      <c r="A605" t="n">
        <v>604</v>
      </c>
      <c r="B605" t="inlineStr">
        <is>
          <t>Customs Clearance Fee and Trucking Fee</t>
        </is>
      </c>
      <c r="C605" t="inlineStr">
        <is>
          <t>ត្រាយអ៊ែងហ្គល ឡូជីស្ទីក (ខេមបូឌា) ឯ.ក</t>
        </is>
      </c>
      <c r="D605" t="inlineStr">
        <is>
          <t>K010-902101743</t>
        </is>
      </c>
      <c r="E605" t="inlineStr">
        <is>
          <t>TAG-24-00376</t>
        </is>
      </c>
      <c r="F605" t="inlineStr">
        <is>
          <t>31-05-2024</t>
        </is>
      </c>
      <c r="G605" t="n">
        <v>69581</v>
      </c>
      <c r="I605">
        <f>G605</f>
        <v/>
      </c>
      <c r="K605">
        <f>I605-G605</f>
        <v/>
      </c>
      <c r="M605" t="inlineStr">
        <is>
          <t>TAG2400376</t>
        </is>
      </c>
      <c r="N605" t="inlineStr">
        <is>
          <t>31319000</t>
        </is>
      </c>
      <c r="O605">
        <f>M605=N605</f>
        <v/>
      </c>
      <c r="P605">
        <f>AND(MONTH(F605)=MONTH(S605), YEAR(F605)=YEAR(S605))</f>
        <v/>
      </c>
      <c r="Q605">
        <f>"L001-902303751"=U605</f>
        <v/>
      </c>
      <c r="R605">
        <f>G605-W605</f>
        <v/>
      </c>
      <c r="S605" s="36" t="n">
        <v>45334</v>
      </c>
      <c r="T605" t="n">
        <v>313190</v>
      </c>
      <c r="U605" t="inlineStr">
        <is>
          <t>L001-100044956</t>
        </is>
      </c>
      <c r="V605" t="inlineStr">
        <is>
          <t>ជី លីង អិចប្រេស ឡូជីស្ទីក (ខេមបូឌា) លីមីធីត</t>
        </is>
      </c>
      <c r="W605" t="n">
        <v>313190</v>
      </c>
      <c r="X605" t="n">
        <v>0</v>
      </c>
    </row>
    <row r="606">
      <c r="A606" t="n">
        <v>605</v>
      </c>
      <c r="B606" t="inlineStr">
        <is>
          <t>Lift-On &amp; Gate Fee Charge</t>
        </is>
      </c>
      <c r="C606" t="inlineStr">
        <is>
          <t>កំពង់ផែស្វយ័តភ្នំពេញ "ក.ស.ភ"</t>
        </is>
      </c>
      <c r="D606" t="inlineStr">
        <is>
          <t>L001-100044999</t>
        </is>
      </c>
      <c r="E606" t="inlineStr">
        <is>
          <t>INV20240530959</t>
        </is>
      </c>
      <c r="F606" t="inlineStr">
        <is>
          <t>29-05-2024</t>
        </is>
      </c>
      <c r="G606" t="n">
        <v>28595</v>
      </c>
      <c r="I606">
        <f>G606</f>
        <v/>
      </c>
      <c r="K606">
        <f>I606-G606</f>
        <v/>
      </c>
      <c r="M606" t="inlineStr">
        <is>
          <t>INV20240530959</t>
        </is>
      </c>
      <c r="N606" t="inlineStr">
        <is>
          <t>19437800</t>
        </is>
      </c>
      <c r="O606">
        <f>M606=N606</f>
        <v/>
      </c>
      <c r="P606">
        <f>AND(MONTH(F606)=MONTH(S606), YEAR(F606)=YEAR(S606))</f>
        <v/>
      </c>
      <c r="Q606">
        <f>"L001-902303751"=U606</f>
        <v/>
      </c>
      <c r="R606">
        <f>G606-W606</f>
        <v/>
      </c>
      <c r="S606" s="36" t="n">
        <v>45337</v>
      </c>
      <c r="T606" t="n">
        <v>194378</v>
      </c>
      <c r="U606" t="inlineStr">
        <is>
          <t>L001-100011888</t>
        </is>
      </c>
      <c r="V606" t="inlineStr">
        <is>
          <t>ត្រេន ស្តារ ហ្រេ្វត</t>
        </is>
      </c>
      <c r="W606" t="n">
        <v>194378</v>
      </c>
      <c r="X606" t="n">
        <v>0</v>
      </c>
    </row>
    <row r="607">
      <c r="A607" t="n">
        <v>606</v>
      </c>
      <c r="B607" t="inlineStr">
        <is>
          <t>Import Shipment Expense</t>
        </is>
      </c>
      <c r="C607" t="inlineStr">
        <is>
          <t>ត្រាយអ៊ែងហ្គល ឡូជីស្ទីក (ខេមបូឌា) ឯ.ក</t>
        </is>
      </c>
      <c r="D607" t="inlineStr">
        <is>
          <t>K010-902101743</t>
        </is>
      </c>
      <c r="E607" t="inlineStr">
        <is>
          <t>TAG-24-00345</t>
        </is>
      </c>
      <c r="F607" t="inlineStr">
        <is>
          <t>20-05-2024</t>
        </is>
      </c>
      <c r="G607" t="n">
        <v>84720</v>
      </c>
      <c r="I607">
        <f>G607</f>
        <v/>
      </c>
      <c r="K607">
        <f>I607-G607</f>
        <v/>
      </c>
      <c r="M607" t="inlineStr">
        <is>
          <t>TAG2400345</t>
        </is>
      </c>
      <c r="N607" t="inlineStr"/>
      <c r="O607">
        <f>M607=N607</f>
        <v/>
      </c>
      <c r="P607">
        <f>AND(MONTH(F607)=MONTH(S607), YEAR(F607)=YEAR(S607))</f>
        <v/>
      </c>
      <c r="Q607">
        <f>"L001-902303751"=U607</f>
        <v/>
      </c>
      <c r="R607">
        <f>G607-W607</f>
        <v/>
      </c>
      <c r="S607" s="36" t="n">
        <v>45338</v>
      </c>
      <c r="T607" t="inlineStr"/>
      <c r="U607" t="inlineStr">
        <is>
          <t>K003-901635943</t>
        </is>
      </c>
      <c r="V607" t="inlineStr">
        <is>
          <t>អ៊ីឃ្យូឡាញ វើលវ៉ាយដ៍ ឡូជីស្ទីក</t>
        </is>
      </c>
      <c r="W607" t="n">
        <v>0</v>
      </c>
      <c r="X607" t="n">
        <v>0</v>
      </c>
    </row>
    <row r="608">
      <c r="A608" t="n">
        <v>607</v>
      </c>
      <c r="B608" t="inlineStr">
        <is>
          <t>Charge from warehouse and Storage Charges</t>
        </is>
      </c>
      <c r="C608" t="inlineStr">
        <is>
          <t>កំពង់ផែស្វយ័តក្រុងព្រះសីហនុ</t>
        </is>
      </c>
      <c r="D608" t="inlineStr">
        <is>
          <t>L001-100044638</t>
        </is>
      </c>
      <c r="E608" t="inlineStr">
        <is>
          <t>099487</t>
        </is>
      </c>
      <c r="F608" t="inlineStr">
        <is>
          <t>27-05-2024</t>
        </is>
      </c>
      <c r="G608" t="n">
        <v>1332</v>
      </c>
      <c r="I608">
        <f>G608</f>
        <v/>
      </c>
      <c r="K608">
        <f>I608-G608</f>
        <v/>
      </c>
      <c r="M608" t="inlineStr">
        <is>
          <t>099487</t>
        </is>
      </c>
      <c r="N608" t="inlineStr">
        <is>
          <t>9624100</t>
        </is>
      </c>
      <c r="O608">
        <f>M608=N608</f>
        <v/>
      </c>
      <c r="P608">
        <f>AND(MONTH(F608)=MONTH(S608), YEAR(F608)=YEAR(S608))</f>
        <v/>
      </c>
      <c r="Q608">
        <f>"L001-902303751"=U608</f>
        <v/>
      </c>
      <c r="R608">
        <f>G608-W608</f>
        <v/>
      </c>
      <c r="S608" s="36" t="n">
        <v>45334</v>
      </c>
      <c r="T608" t="n">
        <v>96241</v>
      </c>
      <c r="U608" t="inlineStr">
        <is>
          <t>L001-100045340</t>
        </is>
      </c>
      <c r="V608" t="inlineStr">
        <is>
          <t xml:space="preserve">ស៊ីវ៉ា អ៊ែរ អ៊ែន អូសៀន (ខេមបូឌា) ឯ.ក </t>
        </is>
      </c>
      <c r="W608" t="n">
        <v>96241</v>
      </c>
      <c r="X608" t="n">
        <v>0</v>
      </c>
    </row>
    <row r="609">
      <c r="A609" t="n">
        <v>608</v>
      </c>
      <c r="B609" t="inlineStr">
        <is>
          <t>Customs Clearance Fee and Trucking Fee</t>
        </is>
      </c>
      <c r="C609" t="inlineStr">
        <is>
          <t>ត្រាយអ៊ែងហ្គល ឡូជីស្ទីក (ខេមបូឌា) ឯ.ក</t>
        </is>
      </c>
      <c r="D609" t="inlineStr">
        <is>
          <t>K010-902101743</t>
        </is>
      </c>
      <c r="E609" t="inlineStr">
        <is>
          <t>TAG-24-00368</t>
        </is>
      </c>
      <c r="F609" t="inlineStr">
        <is>
          <t>27-05-2024</t>
        </is>
      </c>
      <c r="G609" t="n">
        <v>32648</v>
      </c>
      <c r="I609">
        <f>G609</f>
        <v/>
      </c>
      <c r="K609">
        <f>I609-G609</f>
        <v/>
      </c>
      <c r="M609" t="inlineStr">
        <is>
          <t>TAG2400368</t>
        </is>
      </c>
      <c r="N609" t="inlineStr">
        <is>
          <t>10187500</t>
        </is>
      </c>
      <c r="O609">
        <f>M609=N609</f>
        <v/>
      </c>
      <c r="P609">
        <f>AND(MONTH(F609)=MONTH(S609), YEAR(F609)=YEAR(S609))</f>
        <v/>
      </c>
      <c r="Q609">
        <f>"L001-902303751"=U609</f>
        <v/>
      </c>
      <c r="R609">
        <f>G609-W609</f>
        <v/>
      </c>
      <c r="S609" s="36" t="n">
        <v>45348</v>
      </c>
      <c r="T609" t="n">
        <v>101875</v>
      </c>
      <c r="U609" t="inlineStr">
        <is>
          <t>K003-901635943</t>
        </is>
      </c>
      <c r="V609" t="inlineStr">
        <is>
          <t>អ៊ីឃ្យូឡាញ វើលវ៉ាយដ៍ ឡូជីស្ទីក</t>
        </is>
      </c>
      <c r="W609" t="n">
        <v>101875</v>
      </c>
      <c r="X609" t="n">
        <v>0</v>
      </c>
    </row>
    <row r="610">
      <c r="A610" t="n">
        <v>609</v>
      </c>
      <c r="B610" t="inlineStr">
        <is>
          <t>Import Shipment Expense</t>
        </is>
      </c>
      <c r="C610" t="inlineStr">
        <is>
          <t>ផេនដា គ្លូប៊ល ឡូជីស្ទីក (ខេមបូឌា)</t>
        </is>
      </c>
      <c r="D610" t="inlineStr">
        <is>
          <t>K005-901501155</t>
        </is>
      </c>
      <c r="E610" t="inlineStr">
        <is>
          <t>PD240184</t>
        </is>
      </c>
      <c r="F610" t="inlineStr">
        <is>
          <t>20-05-2024</t>
        </is>
      </c>
      <c r="G610" t="n">
        <v>146513</v>
      </c>
      <c r="I610">
        <f>G610</f>
        <v/>
      </c>
      <c r="K610">
        <f>I610-G610</f>
        <v/>
      </c>
      <c r="M610" t="inlineStr">
        <is>
          <t>PD240184</t>
        </is>
      </c>
      <c r="N610" t="inlineStr"/>
      <c r="O610">
        <f>M610=N610</f>
        <v/>
      </c>
      <c r="P610">
        <f>AND(MONTH(F610)=MONTH(S610), YEAR(F610)=YEAR(S610))</f>
        <v/>
      </c>
      <c r="Q610">
        <f>"L001-902303751"=U610</f>
        <v/>
      </c>
      <c r="R610">
        <f>G610-W610</f>
        <v/>
      </c>
      <c r="S610" s="36" t="n">
        <v>45348</v>
      </c>
      <c r="T610" t="inlineStr"/>
      <c r="U610" t="inlineStr">
        <is>
          <t>K003-901635943</t>
        </is>
      </c>
      <c r="V610" t="inlineStr">
        <is>
          <t>អ៊ីឃ្យូឡាញ វើលវ៉ាយដ៍ ឡូជីស្ទីក</t>
        </is>
      </c>
      <c r="W610" t="n">
        <v>0</v>
      </c>
      <c r="X610" t="n">
        <v>0</v>
      </c>
    </row>
    <row r="611">
      <c r="A611" t="n">
        <v>610</v>
      </c>
      <c r="B611" t="inlineStr">
        <is>
          <t>Cargo Terminal</t>
        </is>
      </c>
      <c r="C611" t="inlineStr">
        <is>
          <t>សូស៊ីយេតេ កុងសេស្យូនែរ ដឺ ឡាអេរ៉ូព័រ</t>
        </is>
      </c>
      <c r="D611" t="inlineStr">
        <is>
          <t>L001-100047300</t>
        </is>
      </c>
      <c r="E611" t="inlineStr">
        <is>
          <t>2400-035239</t>
        </is>
      </c>
      <c r="F611" t="inlineStr">
        <is>
          <t>15-05-2024</t>
        </is>
      </c>
      <c r="G611" t="n">
        <v>2707</v>
      </c>
      <c r="I611">
        <f>G611</f>
        <v/>
      </c>
      <c r="K611">
        <f>I611-G611</f>
        <v/>
      </c>
      <c r="M611" t="inlineStr">
        <is>
          <t>2400035239</t>
        </is>
      </c>
      <c r="N611" t="inlineStr">
        <is>
          <t>64808400</t>
        </is>
      </c>
      <c r="O611">
        <f>M611=N611</f>
        <v/>
      </c>
      <c r="P611">
        <f>AND(MONTH(F611)=MONTH(S611), YEAR(F611)=YEAR(S611))</f>
        <v/>
      </c>
      <c r="Q611">
        <f>"L001-902303751"=U611</f>
        <v/>
      </c>
      <c r="R611">
        <f>G611-W611</f>
        <v/>
      </c>
      <c r="S611" s="36" t="n">
        <v>45339</v>
      </c>
      <c r="T611" t="n">
        <v>648084</v>
      </c>
      <c r="U611" t="inlineStr">
        <is>
          <t>K005-901501155</t>
        </is>
      </c>
      <c r="V611" t="inlineStr">
        <is>
          <t>ផេនដា គ្លូប៊ល ឡូជីស្ទីក (ខេមបូឌា)</t>
        </is>
      </c>
      <c r="W611" t="n">
        <v>648084</v>
      </c>
      <c r="X611" t="n">
        <v>0</v>
      </c>
    </row>
    <row r="612">
      <c r="A612" t="n">
        <v>611</v>
      </c>
      <c r="B612" t="inlineStr">
        <is>
          <t>Airway bill fee and Handling Agency fee</t>
        </is>
      </c>
      <c r="C612" t="inlineStr">
        <is>
          <t>ត្រេន ស្តារ ហ្រេ្វត</t>
        </is>
      </c>
      <c r="D612" t="inlineStr">
        <is>
          <t>L001-100011888</t>
        </is>
      </c>
      <c r="E612" t="inlineStr">
        <is>
          <t>PPTI24-05270</t>
        </is>
      </c>
      <c r="F612" t="inlineStr">
        <is>
          <t>13-05-2024</t>
        </is>
      </c>
      <c r="G612" t="n">
        <v>34655</v>
      </c>
      <c r="I612">
        <f>G612</f>
        <v/>
      </c>
      <c r="K612">
        <f>I612-G612</f>
        <v/>
      </c>
      <c r="M612" t="inlineStr">
        <is>
          <t>PPTI2405270</t>
        </is>
      </c>
      <c r="N612" t="inlineStr">
        <is>
          <t>19982200</t>
        </is>
      </c>
      <c r="O612">
        <f>M612=N612</f>
        <v/>
      </c>
      <c r="P612">
        <f>AND(MONTH(F612)=MONTH(S612), YEAR(F612)=YEAR(S612))</f>
        <v/>
      </c>
      <c r="Q612">
        <f>"L001-902303751"=U612</f>
        <v/>
      </c>
      <c r="R612">
        <f>G612-W612</f>
        <v/>
      </c>
      <c r="S612" s="36" t="n">
        <v>45334</v>
      </c>
      <c r="T612" t="n">
        <v>199822</v>
      </c>
      <c r="U612" t="inlineStr">
        <is>
          <t>K005-901501155</t>
        </is>
      </c>
      <c r="V612" t="inlineStr">
        <is>
          <t>ផេនដា គ្លូប៊ល ឡូជីស្ទីក (ខេមបូឌា)</t>
        </is>
      </c>
      <c r="W612" t="n">
        <v>199822</v>
      </c>
      <c r="X612" t="n">
        <v>0</v>
      </c>
    </row>
    <row r="613">
      <c r="A613" t="n">
        <v>612</v>
      </c>
      <c r="B613" t="inlineStr">
        <is>
          <t>Customs Clearance Fee and Trucking Fee</t>
        </is>
      </c>
      <c r="C613" t="inlineStr">
        <is>
          <t>ត្រាយអ៊ែងហ្គល ឡូជីស្ទីក (ខេមបូឌា) ឯ.ក</t>
        </is>
      </c>
      <c r="D613" t="inlineStr">
        <is>
          <t>K010-902101743</t>
        </is>
      </c>
      <c r="E613" t="inlineStr">
        <is>
          <t>TAG-24-00330</t>
        </is>
      </c>
      <c r="F613" t="inlineStr">
        <is>
          <t>15-05-2024</t>
        </is>
      </c>
      <c r="G613" t="n">
        <v>28553</v>
      </c>
      <c r="I613">
        <f>G613</f>
        <v/>
      </c>
      <c r="K613">
        <f>I613-G613</f>
        <v/>
      </c>
      <c r="M613" t="inlineStr">
        <is>
          <t>TAG2400330</t>
        </is>
      </c>
      <c r="N613" t="inlineStr">
        <is>
          <t>11013300</t>
        </is>
      </c>
      <c r="O613">
        <f>M613=N613</f>
        <v/>
      </c>
      <c r="P613">
        <f>AND(MONTH(F613)=MONTH(S613), YEAR(F613)=YEAR(S613))</f>
        <v/>
      </c>
      <c r="Q613">
        <f>"L001-902303751"=U613</f>
        <v/>
      </c>
      <c r="R613">
        <f>G613-W613</f>
        <v/>
      </c>
      <c r="S613" s="36" t="n">
        <v>45332</v>
      </c>
      <c r="T613" t="n">
        <v>110133</v>
      </c>
      <c r="U613" t="inlineStr">
        <is>
          <t>K005-100059945</t>
        </is>
      </c>
      <c r="V613" t="inlineStr">
        <is>
          <t>អ៊ែតវ៉ានស៍ គ្លរី ឡូជីស្ទីក (ខេមបូឌា) (អេ ជី អិល)</t>
        </is>
      </c>
      <c r="W613" t="n">
        <v>110133</v>
      </c>
      <c r="X613" t="n">
        <v>0</v>
      </c>
    </row>
    <row r="614">
      <c r="A614" t="n">
        <v>613</v>
      </c>
      <c r="B614" t="inlineStr">
        <is>
          <t>Cargo Terminal</t>
        </is>
      </c>
      <c r="C614" t="inlineStr">
        <is>
          <t>សូស៊ីយេតេ កុងសេស្យូនែរ ដឺ ឡាអេរ៉ូព័រ</t>
        </is>
      </c>
      <c r="D614" t="inlineStr">
        <is>
          <t>L001-100047300</t>
        </is>
      </c>
      <c r="E614" t="inlineStr">
        <is>
          <t>2400-035325</t>
        </is>
      </c>
      <c r="F614" t="inlineStr">
        <is>
          <t>16-05-2024</t>
        </is>
      </c>
      <c r="G614" t="n">
        <v>8365</v>
      </c>
      <c r="I614">
        <f>G614</f>
        <v/>
      </c>
      <c r="K614">
        <f>I614-G614</f>
        <v/>
      </c>
      <c r="M614" t="inlineStr">
        <is>
          <t>2400035325</t>
        </is>
      </c>
      <c r="N614" t="inlineStr"/>
      <c r="O614">
        <f>M614=N614</f>
        <v/>
      </c>
      <c r="P614">
        <f>AND(MONTH(F614)=MONTH(S614), YEAR(F614)=YEAR(S614))</f>
        <v/>
      </c>
      <c r="Q614">
        <f>"L001-902303751"=U614</f>
        <v/>
      </c>
      <c r="R614">
        <f>G614-W614</f>
        <v/>
      </c>
      <c r="S614" s="36" t="n">
        <v>45327</v>
      </c>
      <c r="T614" t="inlineStr"/>
      <c r="U614" t="inlineStr">
        <is>
          <t>K005-100150195</t>
        </is>
      </c>
      <c r="V614" t="inlineStr">
        <is>
          <t>អេស អ វី ស៊ី ហ្វ្រេត សឺវីស (ខេមបូឌា) ខូ អិលធីឌី</t>
        </is>
      </c>
      <c r="W614" t="n">
        <v>0</v>
      </c>
      <c r="X614" t="n">
        <v>0</v>
      </c>
    </row>
    <row r="615">
      <c r="A615" t="n">
        <v>614</v>
      </c>
      <c r="B615" t="inlineStr">
        <is>
          <t>Doc Fee and Agency Fee</t>
        </is>
      </c>
      <c r="C615" t="inlineStr">
        <is>
          <t>អ៊ែតវ៉ានស៍ គ្លរី ឡូជីស្ទីក (ខេមបូឌា) (អេ ជី អិល)</t>
        </is>
      </c>
      <c r="D615" t="inlineStr">
        <is>
          <t>K005-100059945</t>
        </is>
      </c>
      <c r="E615" t="inlineStr">
        <is>
          <t>AGL2400693</t>
        </is>
      </c>
      <c r="F615" t="inlineStr">
        <is>
          <t>10-05-2024</t>
        </is>
      </c>
      <c r="G615" t="n">
        <v>44836</v>
      </c>
      <c r="I615">
        <f>G615</f>
        <v/>
      </c>
      <c r="K615">
        <f>I615-G615</f>
        <v/>
      </c>
      <c r="M615" t="inlineStr">
        <is>
          <t>AGL2400693</t>
        </is>
      </c>
      <c r="N615" t="inlineStr"/>
      <c r="O615">
        <f>M615=N615</f>
        <v/>
      </c>
      <c r="P615">
        <f>AND(MONTH(F615)=MONTH(S615), YEAR(F615)=YEAR(S615))</f>
        <v/>
      </c>
      <c r="Q615">
        <f>"L001-902303751"=U615</f>
        <v/>
      </c>
      <c r="R615">
        <f>G615-W615</f>
        <v/>
      </c>
      <c r="S615" s="36" t="n">
        <v>45348</v>
      </c>
      <c r="T615" t="inlineStr"/>
      <c r="U615" t="inlineStr">
        <is>
          <t>K003-901635943</t>
        </is>
      </c>
      <c r="V615" t="inlineStr">
        <is>
          <t>អ៊ីឃ្យូឡាញ វើលវ៉ាយដ៍ ឡូជីស្ទីក</t>
        </is>
      </c>
      <c r="W615" t="n">
        <v>0</v>
      </c>
      <c r="X615" t="n">
        <v>0</v>
      </c>
    </row>
    <row r="616">
      <c r="A616" t="n">
        <v>615</v>
      </c>
      <c r="B616" t="inlineStr">
        <is>
          <t>Customs Clearance Fee and Trucking Fee</t>
        </is>
      </c>
      <c r="C616" t="inlineStr">
        <is>
          <t>ត្រាយអ៊ែងហ្គល ឡូជីស្ទីក (ខេមបូឌា) ឯ.ក</t>
        </is>
      </c>
      <c r="D616" t="inlineStr">
        <is>
          <t>K010-902101743</t>
        </is>
      </c>
      <c r="E616" t="inlineStr">
        <is>
          <t>TAG-24-00334</t>
        </is>
      </c>
      <c r="F616" t="inlineStr">
        <is>
          <t>15-05-2024</t>
        </is>
      </c>
      <c r="G616" t="n">
        <v>65264</v>
      </c>
      <c r="I616">
        <f>G616</f>
        <v/>
      </c>
      <c r="K616">
        <f>I616-G616</f>
        <v/>
      </c>
      <c r="M616" t="inlineStr">
        <is>
          <t>TAG2400334</t>
        </is>
      </c>
      <c r="N616" t="inlineStr">
        <is>
          <t>11007900</t>
        </is>
      </c>
      <c r="O616">
        <f>M616=N616</f>
        <v/>
      </c>
      <c r="P616">
        <f>AND(MONTH(F616)=MONTH(S616), YEAR(F616)=YEAR(S616))</f>
        <v/>
      </c>
      <c r="Q616">
        <f>"L001-902303751"=U616</f>
        <v/>
      </c>
      <c r="R616">
        <f>G616-W616</f>
        <v/>
      </c>
      <c r="S616" s="36" t="n">
        <v>45342</v>
      </c>
      <c r="T616" t="n">
        <v>110079</v>
      </c>
      <c r="U616" t="inlineStr">
        <is>
          <t>L001-107032791</t>
        </is>
      </c>
      <c r="V616" t="inlineStr">
        <is>
          <t>នីបផន អិចប្រេស (ខេមបូឌា) ខូ អិលធីឌី</t>
        </is>
      </c>
      <c r="W616" t="n">
        <v>110079</v>
      </c>
      <c r="X616" t="n">
        <v>0</v>
      </c>
    </row>
    <row r="617">
      <c r="A617" t="n">
        <v>616</v>
      </c>
      <c r="B617" t="inlineStr">
        <is>
          <t>Lift-On &amp; Gate Fee Charge</t>
        </is>
      </c>
      <c r="C617" t="inlineStr">
        <is>
          <t>កំពង់ផែស្វយ័តភ្នំពេញ "ក.ស.ភ"</t>
        </is>
      </c>
      <c r="D617" t="inlineStr">
        <is>
          <t>L001-100044999</t>
        </is>
      </c>
      <c r="E617" t="inlineStr">
        <is>
          <t>INV20240527192</t>
        </is>
      </c>
      <c r="F617" t="inlineStr">
        <is>
          <t>15-05-2024</t>
        </is>
      </c>
      <c r="G617" t="n">
        <v>18763</v>
      </c>
      <c r="I617">
        <f>G617</f>
        <v/>
      </c>
      <c r="K617">
        <f>I617-G617</f>
        <v/>
      </c>
      <c r="M617" t="inlineStr">
        <is>
          <t>INV20240527192</t>
        </is>
      </c>
      <c r="N617" t="inlineStr"/>
      <c r="O617">
        <f>M617=N617</f>
        <v/>
      </c>
      <c r="P617">
        <f>AND(MONTH(F617)=MONTH(S617), YEAR(F617)=YEAR(S617))</f>
        <v/>
      </c>
      <c r="Q617">
        <f>"L001-902303751"=U617</f>
        <v/>
      </c>
      <c r="R617">
        <f>G617-W617</f>
        <v/>
      </c>
      <c r="S617" s="36" t="n">
        <v>45339</v>
      </c>
      <c r="T617" t="inlineStr"/>
      <c r="U617" t="inlineStr">
        <is>
          <t>K005-901501155</t>
        </is>
      </c>
      <c r="V617" t="inlineStr">
        <is>
          <t>ផេនដា គ្លូប៊ល ឡូជីស្ទីក (ខេមបូឌា)</t>
        </is>
      </c>
      <c r="W617" t="n">
        <v>0</v>
      </c>
      <c r="X617" t="n">
        <v>0</v>
      </c>
    </row>
    <row r="618">
      <c r="A618" t="n">
        <v>617</v>
      </c>
      <c r="B618" t="inlineStr">
        <is>
          <t>THC, CIC, EMF and Document Charge</t>
        </is>
      </c>
      <c r="C618" t="inlineStr">
        <is>
          <t>ហេកធ័រ ត្រេនស្ព័រថេសិន (ខេមបូឌា) ឯ.ក</t>
        </is>
      </c>
      <c r="D618" t="inlineStr">
        <is>
          <t>K002-901900264</t>
        </is>
      </c>
      <c r="E618" t="inlineStr">
        <is>
          <t>24001447</t>
        </is>
      </c>
      <c r="F618" t="inlineStr">
        <is>
          <t>10-05-2024</t>
        </is>
      </c>
      <c r="G618" t="n">
        <v>103938</v>
      </c>
      <c r="I618">
        <f>G618</f>
        <v/>
      </c>
      <c r="K618">
        <f>I618-G618</f>
        <v/>
      </c>
      <c r="M618" t="inlineStr">
        <is>
          <t>24001447</t>
        </is>
      </c>
      <c r="N618" t="inlineStr"/>
      <c r="O618">
        <f>M618=N618</f>
        <v/>
      </c>
      <c r="P618">
        <f>AND(MONTH(F618)=MONTH(S618), YEAR(F618)=YEAR(S618))</f>
        <v/>
      </c>
      <c r="Q618">
        <f>"L001-902303751"=U618</f>
        <v/>
      </c>
      <c r="R618">
        <f>G618-W618</f>
        <v/>
      </c>
      <c r="S618" s="36" t="n">
        <v>45342</v>
      </c>
      <c r="T618" t="inlineStr"/>
      <c r="U618" t="inlineStr">
        <is>
          <t>K005-901805913</t>
        </is>
      </c>
      <c r="V618" t="inlineStr">
        <is>
          <t>ស្តារ ខង់ខដ (ខេមបូឌា) ឯ.ក</t>
        </is>
      </c>
      <c r="W618" t="n">
        <v>0</v>
      </c>
      <c r="X618" t="n">
        <v>0</v>
      </c>
    </row>
    <row r="619">
      <c r="A619" t="n">
        <v>618</v>
      </c>
      <c r="B619" t="inlineStr">
        <is>
          <t>Customs Clearance Fee and Trucking Fee</t>
        </is>
      </c>
      <c r="C619" t="inlineStr">
        <is>
          <t>ត្រាយអ៊ែងហ្គល ឡូជីស្ទីក (ខេមបូឌា) ឯ.ក</t>
        </is>
      </c>
      <c r="D619" t="inlineStr">
        <is>
          <t>K010-902101743</t>
        </is>
      </c>
      <c r="E619" t="inlineStr">
        <is>
          <t>TAG-24-00363</t>
        </is>
      </c>
      <c r="F619" t="inlineStr">
        <is>
          <t>24-05-2024</t>
        </is>
      </c>
      <c r="G619" t="n">
        <v>28553</v>
      </c>
      <c r="I619">
        <f>G619</f>
        <v/>
      </c>
      <c r="K619">
        <f>I619-G619</f>
        <v/>
      </c>
      <c r="M619" t="inlineStr">
        <is>
          <t>TAG2400363</t>
        </is>
      </c>
      <c r="N619" t="inlineStr">
        <is>
          <t>211803900</t>
        </is>
      </c>
      <c r="O619">
        <f>M619=N619</f>
        <v/>
      </c>
      <c r="P619">
        <f>AND(MONTH(F619)=MONTH(S619), YEAR(F619)=YEAR(S619))</f>
        <v/>
      </c>
      <c r="Q619">
        <f>"L001-902303751"=U619</f>
        <v/>
      </c>
      <c r="R619">
        <f>G619-W619</f>
        <v/>
      </c>
      <c r="S619" s="36" t="n">
        <v>45328</v>
      </c>
      <c r="T619" t="n">
        <v>2118039</v>
      </c>
      <c r="U619" t="inlineStr">
        <is>
          <t>K004-105012505</t>
        </is>
      </c>
      <c r="V619" t="inlineStr">
        <is>
          <t>អេស៊ាន ហ្វ្រេត (ខេមបូឌា)</t>
        </is>
      </c>
      <c r="W619" t="n">
        <v>2118039</v>
      </c>
      <c r="X619" t="n">
        <v>0</v>
      </c>
    </row>
    <row r="620">
      <c r="A620" t="n">
        <v>619</v>
      </c>
      <c r="B620" t="inlineStr">
        <is>
          <t>Warehouse Fee and Transit Fee</t>
        </is>
      </c>
      <c r="C620" t="inlineStr">
        <is>
          <t>អាយធីអាយ អ៊ិនធើណេសិនណល ត្រេនស័្ពរថេសិន (ខេមបូឌា) ឯ.ក</t>
        </is>
      </c>
      <c r="D620" t="inlineStr">
        <is>
          <t>K002-901800477</t>
        </is>
      </c>
      <c r="E620" t="inlineStr">
        <is>
          <t>CAM242357</t>
        </is>
      </c>
      <c r="F620" t="inlineStr">
        <is>
          <t>25-05-2024</t>
        </is>
      </c>
      <c r="G620" t="n">
        <v>28586</v>
      </c>
      <c r="I620">
        <f>G620</f>
        <v/>
      </c>
      <c r="K620">
        <f>I620-G620</f>
        <v/>
      </c>
      <c r="M620" t="inlineStr">
        <is>
          <t>CAM242357</t>
        </is>
      </c>
      <c r="N620" t="inlineStr"/>
      <c r="O620">
        <f>M620=N620</f>
        <v/>
      </c>
      <c r="P620">
        <f>AND(MONTH(F620)=MONTH(S620), YEAR(F620)=YEAR(S620))</f>
        <v/>
      </c>
      <c r="Q620">
        <f>"L001-902303751"=U620</f>
        <v/>
      </c>
      <c r="R620">
        <f>G620-W620</f>
        <v/>
      </c>
      <c r="S620" s="36" t="n">
        <v>45334</v>
      </c>
      <c r="T620" t="inlineStr"/>
      <c r="U620" t="inlineStr">
        <is>
          <t>K005-901501155</t>
        </is>
      </c>
      <c r="V620" t="inlineStr">
        <is>
          <t>ផេនដា គ្លូប៊ល ឡូជីស្ទីក (ខេមបូឌា)</t>
        </is>
      </c>
      <c r="W620" t="n">
        <v>0</v>
      </c>
      <c r="X620" t="n">
        <v>0</v>
      </c>
    </row>
    <row r="621">
      <c r="A621" t="n">
        <v>620</v>
      </c>
      <c r="B621" t="inlineStr">
        <is>
          <t>Customs Clearance Fee and Trucking Fee</t>
        </is>
      </c>
      <c r="C621" t="inlineStr">
        <is>
          <t>ត្រាយអ៊ែងហ្គល ឡូជីស្ទីក (ខេមបូឌា) ឯ.ក</t>
        </is>
      </c>
      <c r="D621" t="inlineStr">
        <is>
          <t>K010-902101743</t>
        </is>
      </c>
      <c r="E621" t="inlineStr">
        <is>
          <t>TAG-24-00331</t>
        </is>
      </c>
      <c r="F621" t="inlineStr">
        <is>
          <t>15-05-2024</t>
        </is>
      </c>
      <c r="G621" t="n">
        <v>28553</v>
      </c>
      <c r="I621">
        <f>G621</f>
        <v/>
      </c>
      <c r="K621">
        <f>I621-G621</f>
        <v/>
      </c>
      <c r="M621" t="inlineStr">
        <is>
          <t>TAG2400331</t>
        </is>
      </c>
      <c r="N621" t="inlineStr">
        <is>
          <t>11271800</t>
        </is>
      </c>
      <c r="O621">
        <f>M621=N621</f>
        <v/>
      </c>
      <c r="P621">
        <f>AND(MONTH(F621)=MONTH(S621), YEAR(F621)=YEAR(S621))</f>
        <v/>
      </c>
      <c r="Q621">
        <f>"L001-902303751"=U621</f>
        <v/>
      </c>
      <c r="R621">
        <f>G621-W621</f>
        <v/>
      </c>
      <c r="S621" s="36" t="n">
        <v>45327</v>
      </c>
      <c r="T621" t="n">
        <v>112718</v>
      </c>
      <c r="U621" t="inlineStr">
        <is>
          <t>L001-100044956</t>
        </is>
      </c>
      <c r="V621" t="inlineStr">
        <is>
          <t>ជី លីង អិចប្រេស ឡូជីស្ទីក (ខេមបូឌា) លីមីធីត</t>
        </is>
      </c>
      <c r="W621" t="n">
        <v>112718</v>
      </c>
      <c r="X621" t="n">
        <v>0</v>
      </c>
    </row>
    <row r="622">
      <c r="A622" t="n">
        <v>621</v>
      </c>
      <c r="B622" t="inlineStr">
        <is>
          <t>Import Shipment Expense</t>
        </is>
      </c>
      <c r="C622" t="inlineStr">
        <is>
          <t>ត្រាយអ៊ែងហ្គល ឡូជីស្ទីក (ខេមបូឌា) ឯ.ក</t>
        </is>
      </c>
      <c r="D622" t="inlineStr">
        <is>
          <t>K010-902101743</t>
        </is>
      </c>
      <c r="E622" t="inlineStr">
        <is>
          <t>TAG-24-00346</t>
        </is>
      </c>
      <c r="F622" t="inlineStr">
        <is>
          <t>20-05-2024</t>
        </is>
      </c>
      <c r="G622" t="n">
        <v>205021</v>
      </c>
      <c r="I622">
        <f>G622</f>
        <v/>
      </c>
      <c r="K622">
        <f>I622-G622</f>
        <v/>
      </c>
      <c r="M622" t="inlineStr">
        <is>
          <t>TAG2400346</t>
        </is>
      </c>
      <c r="N622" t="inlineStr"/>
      <c r="O622">
        <f>M622=N622</f>
        <v/>
      </c>
      <c r="P622">
        <f>AND(MONTH(F622)=MONTH(S622), YEAR(F622)=YEAR(S622))</f>
        <v/>
      </c>
      <c r="Q622">
        <f>"L001-902303751"=U622</f>
        <v/>
      </c>
      <c r="R622">
        <f>G622-W622</f>
        <v/>
      </c>
      <c r="S622" s="36" t="n">
        <v>45345</v>
      </c>
      <c r="T622" t="inlineStr"/>
      <c r="U622" t="inlineStr">
        <is>
          <t>K005-100059945</t>
        </is>
      </c>
      <c r="V622" t="inlineStr">
        <is>
          <t>អ៊ែតវ៉ានស៍ គ្លរី ឡូជីស្ទីក (ខេមបូឌា) (អេ ជី អិល)</t>
        </is>
      </c>
      <c r="W622" t="n">
        <v>0</v>
      </c>
      <c r="X622" t="n">
        <v>0</v>
      </c>
    </row>
    <row r="623">
      <c r="A623" t="n">
        <v>622</v>
      </c>
      <c r="B623" t="inlineStr">
        <is>
          <t>Cargo Terminal</t>
        </is>
      </c>
      <c r="C623" t="inlineStr">
        <is>
          <t>សូស៊ីយេតេ កុងសេស្យូនែរ ដឺ ឡាអេរ៉ូព័រ</t>
        </is>
      </c>
      <c r="D623" t="inlineStr">
        <is>
          <t>L001-100047300</t>
        </is>
      </c>
      <c r="E623" t="inlineStr">
        <is>
          <t>2400-035238</t>
        </is>
      </c>
      <c r="F623" t="inlineStr">
        <is>
          <t>15-05-2024</t>
        </is>
      </c>
      <c r="G623" t="n">
        <v>10279</v>
      </c>
      <c r="I623">
        <f>G623</f>
        <v/>
      </c>
      <c r="K623">
        <f>I623-G623</f>
        <v/>
      </c>
      <c r="M623" t="inlineStr">
        <is>
          <t>2400035238</t>
        </is>
      </c>
      <c r="N623" t="inlineStr">
        <is>
          <t>1630400</t>
        </is>
      </c>
      <c r="O623">
        <f>M623=N623</f>
        <v/>
      </c>
      <c r="P623">
        <f>AND(MONTH(F623)=MONTH(S623), YEAR(F623)=YEAR(S623))</f>
        <v/>
      </c>
      <c r="Q623">
        <f>"L001-902303751"=U623</f>
        <v/>
      </c>
      <c r="R623">
        <f>G623-W623</f>
        <v/>
      </c>
      <c r="S623" s="36" t="n">
        <v>45338</v>
      </c>
      <c r="T623" t="n">
        <v>16304</v>
      </c>
      <c r="U623" t="inlineStr">
        <is>
          <t>L001-100045340</t>
        </is>
      </c>
      <c r="V623" t="inlineStr">
        <is>
          <t xml:space="preserve">ស៊ីវ៉ា អ៊ែរ អ៊ែន អូសៀន (ខេមបូឌា) ឯ.ក </t>
        </is>
      </c>
      <c r="W623" t="n">
        <v>16304</v>
      </c>
      <c r="X623" t="n">
        <v>0</v>
      </c>
    </row>
    <row r="624">
      <c r="A624" t="n">
        <v>623</v>
      </c>
      <c r="B624" t="inlineStr">
        <is>
          <t>Doc Fee and Agency Fee</t>
        </is>
      </c>
      <c r="C624" t="inlineStr">
        <is>
          <t>អ៊ែតវ៉ានស៍ គ្លរី ឡូជីស្ទីក (ខេមបូឌា) (អេ ជី អិល)</t>
        </is>
      </c>
      <c r="D624" t="inlineStr">
        <is>
          <t>K005-100059945</t>
        </is>
      </c>
      <c r="E624" t="inlineStr">
        <is>
          <t>AGL2400694</t>
        </is>
      </c>
      <c r="F624" t="inlineStr">
        <is>
          <t>13-05-2024</t>
        </is>
      </c>
      <c r="G624" t="n">
        <v>44847</v>
      </c>
      <c r="I624">
        <f>G624</f>
        <v/>
      </c>
      <c r="K624">
        <f>I624-G624</f>
        <v/>
      </c>
      <c r="M624" t="inlineStr">
        <is>
          <t>AGL2400694</t>
        </is>
      </c>
      <c r="N624" t="inlineStr">
        <is>
          <t>11271800</t>
        </is>
      </c>
      <c r="O624">
        <f>M624=N624</f>
        <v/>
      </c>
      <c r="P624">
        <f>AND(MONTH(F624)=MONTH(S624), YEAR(F624)=YEAR(S624))</f>
        <v/>
      </c>
      <c r="Q624">
        <f>"L001-902303751"=U624</f>
        <v/>
      </c>
      <c r="R624">
        <f>G624-W624</f>
        <v/>
      </c>
      <c r="S624" s="36" t="n">
        <v>45327</v>
      </c>
      <c r="T624" t="n">
        <v>112718</v>
      </c>
      <c r="U624" t="inlineStr">
        <is>
          <t>K005-901805913</t>
        </is>
      </c>
      <c r="V624" t="inlineStr">
        <is>
          <t>ស្តារ ខង់ខដ (ខេមបូឌា) ឯ.ក</t>
        </is>
      </c>
      <c r="W624" t="n">
        <v>112718</v>
      </c>
      <c r="X624" t="n">
        <v>0</v>
      </c>
    </row>
    <row r="625">
      <c r="A625" t="n">
        <v>624</v>
      </c>
      <c r="B625" t="inlineStr">
        <is>
          <t>Customs Clearance Fee and Trucking Fee</t>
        </is>
      </c>
      <c r="C625" t="inlineStr">
        <is>
          <t>ត្រាយអ៊ែងហ្គល ឡូជីស្ទីក (ខេមបូឌា) ឯ.ក</t>
        </is>
      </c>
      <c r="D625" t="inlineStr">
        <is>
          <t>K010-902101743</t>
        </is>
      </c>
      <c r="E625" t="inlineStr">
        <is>
          <t>TAG-24-00366</t>
        </is>
      </c>
      <c r="F625" t="inlineStr">
        <is>
          <t>27-05-2024</t>
        </is>
      </c>
      <c r="G625" t="n">
        <v>32648</v>
      </c>
      <c r="I625">
        <f>G625</f>
        <v/>
      </c>
      <c r="K625">
        <f>I625-G625</f>
        <v/>
      </c>
      <c r="M625" t="inlineStr">
        <is>
          <t>TAG2400366</t>
        </is>
      </c>
      <c r="N625" t="inlineStr">
        <is>
          <t>11026800</t>
        </is>
      </c>
      <c r="O625">
        <f>M625=N625</f>
        <v/>
      </c>
      <c r="P625">
        <f>AND(MONTH(F625)=MONTH(S625), YEAR(F625)=YEAR(S625))</f>
        <v/>
      </c>
      <c r="Q625">
        <f>"L001-902303751"=U625</f>
        <v/>
      </c>
      <c r="R625">
        <f>G625-W625</f>
        <v/>
      </c>
      <c r="S625" s="36" t="n">
        <v>45327</v>
      </c>
      <c r="T625" t="n">
        <v>110268</v>
      </c>
      <c r="U625" t="inlineStr">
        <is>
          <t>L001-107041723</t>
        </is>
      </c>
      <c r="V625" t="inlineStr">
        <is>
          <t>ឌីប៊ី សេនឃើរ (ខេមបូឌា) លីមីធីត</t>
        </is>
      </c>
      <c r="W625" t="n">
        <v>110268</v>
      </c>
      <c r="X625" t="n">
        <v>0</v>
      </c>
    </row>
    <row r="626">
      <c r="A626" t="n">
        <v>625</v>
      </c>
      <c r="B626" t="inlineStr">
        <is>
          <t>Charge from warehouse and Storage Charges</t>
        </is>
      </c>
      <c r="C626" t="inlineStr">
        <is>
          <t>កំពង់ផែស្វយ័តក្រុងព្រះសីហនុ</t>
        </is>
      </c>
      <c r="D626" t="inlineStr">
        <is>
          <t>L001-100044638</t>
        </is>
      </c>
      <c r="E626" t="inlineStr">
        <is>
          <t>099489</t>
        </is>
      </c>
      <c r="F626" t="inlineStr">
        <is>
          <t>27-05-2024</t>
        </is>
      </c>
      <c r="G626" t="n">
        <v>664</v>
      </c>
      <c r="I626">
        <f>G626</f>
        <v/>
      </c>
      <c r="K626">
        <f>I626-G626</f>
        <v/>
      </c>
      <c r="M626" t="inlineStr">
        <is>
          <t>099489</t>
        </is>
      </c>
      <c r="N626" t="inlineStr">
        <is>
          <t>8154000</t>
        </is>
      </c>
      <c r="O626">
        <f>M626=N626</f>
        <v/>
      </c>
      <c r="P626">
        <f>AND(MONTH(F626)=MONTH(S626), YEAR(F626)=YEAR(S626))</f>
        <v/>
      </c>
      <c r="Q626">
        <f>"L001-902303751"=U626</f>
        <v/>
      </c>
      <c r="R626">
        <f>G626-W626</f>
        <v/>
      </c>
      <c r="S626" s="36" t="n">
        <v>45342</v>
      </c>
      <c r="T626" t="n">
        <v>81540</v>
      </c>
      <c r="U626" t="inlineStr">
        <is>
          <t>L001-100045995</t>
        </is>
      </c>
      <c r="V626" t="inlineStr">
        <is>
          <t>ឌីអេចអិល ឡូជីស្ទីក (ខេមបូឌា)</t>
        </is>
      </c>
      <c r="W626" t="n">
        <v>81540</v>
      </c>
      <c r="X626" t="n">
        <v>0</v>
      </c>
    </row>
    <row r="627">
      <c r="A627" t="n">
        <v>626</v>
      </c>
      <c r="B627" t="inlineStr">
        <is>
          <t>Import Shipment Expense</t>
        </is>
      </c>
      <c r="C627" t="inlineStr">
        <is>
          <t>អូរៀនថល ឡូជីស្ទីក &amp; ឌីស្ទ្រីប៊្យូសិន (ខេមបូឌា)</t>
        </is>
      </c>
      <c r="D627" t="inlineStr">
        <is>
          <t>L001-103007369</t>
        </is>
      </c>
      <c r="E627" t="inlineStr">
        <is>
          <t>24-4787</t>
        </is>
      </c>
      <c r="F627" t="inlineStr">
        <is>
          <t>20-05-2024</t>
        </is>
      </c>
      <c r="G627" t="n">
        <v>68086</v>
      </c>
      <c r="I627">
        <f>G627</f>
        <v/>
      </c>
      <c r="K627">
        <f>I627-G627</f>
        <v/>
      </c>
      <c r="M627" t="inlineStr">
        <is>
          <t>244787</t>
        </is>
      </c>
      <c r="N627" t="inlineStr"/>
      <c r="O627">
        <f>M627=N627</f>
        <v/>
      </c>
      <c r="P627">
        <f>AND(MONTH(F627)=MONTH(S627), YEAR(F627)=YEAR(S627))</f>
        <v/>
      </c>
      <c r="Q627">
        <f>"L001-902303751"=U627</f>
        <v/>
      </c>
      <c r="R627">
        <f>G627-W627</f>
        <v/>
      </c>
      <c r="S627" s="36" t="n">
        <v>45334</v>
      </c>
      <c r="T627" t="inlineStr"/>
      <c r="U627" t="inlineStr">
        <is>
          <t>L001-100045340</t>
        </is>
      </c>
      <c r="V627" t="inlineStr">
        <is>
          <t xml:space="preserve">ស៊ីវ៉ា អ៊ែរ អ៊ែន អូសៀន (ខេមបូឌា) ឯ.ក </t>
        </is>
      </c>
      <c r="W627" t="n">
        <v>0</v>
      </c>
      <c r="X627" t="n">
        <v>0</v>
      </c>
    </row>
    <row r="628">
      <c r="A628" t="n">
        <v>627</v>
      </c>
      <c r="B628" t="inlineStr">
        <is>
          <t>Customs Clearance Fee and Trucking Fee</t>
        </is>
      </c>
      <c r="C628" t="inlineStr">
        <is>
          <t>ត្រាយអ៊ែងហ្គល ឡូជីស្ទីក (ខេមបូឌា) ឯ.ក</t>
        </is>
      </c>
      <c r="D628" t="inlineStr">
        <is>
          <t>K010-902101743</t>
        </is>
      </c>
      <c r="E628" t="inlineStr">
        <is>
          <t>TAG-24-00367</t>
        </is>
      </c>
      <c r="F628" t="inlineStr">
        <is>
          <t>27-05-2024</t>
        </is>
      </c>
      <c r="G628" t="n">
        <v>32648</v>
      </c>
      <c r="I628">
        <f>G628</f>
        <v/>
      </c>
      <c r="K628">
        <f>I628-G628</f>
        <v/>
      </c>
      <c r="M628" t="inlineStr">
        <is>
          <t>TAG2400367</t>
        </is>
      </c>
      <c r="N628" t="inlineStr">
        <is>
          <t>11271800</t>
        </is>
      </c>
      <c r="O628">
        <f>M628=N628</f>
        <v/>
      </c>
      <c r="P628">
        <f>AND(MONTH(F628)=MONTH(S628), YEAR(F628)=YEAR(S628))</f>
        <v/>
      </c>
      <c r="Q628">
        <f>"L001-902303751"=U628</f>
        <v/>
      </c>
      <c r="R628">
        <f>G628-W628</f>
        <v/>
      </c>
      <c r="S628" s="36" t="n">
        <v>45327</v>
      </c>
      <c r="T628" t="n">
        <v>112718</v>
      </c>
      <c r="U628" t="inlineStr">
        <is>
          <t>K003-901635943</t>
        </is>
      </c>
      <c r="V628" t="inlineStr">
        <is>
          <t>អ៊ីឃ្យូឡាញ វើលវ៉ាយដ៍ ឡូជីស្ទីក</t>
        </is>
      </c>
      <c r="W628" t="n">
        <v>112718</v>
      </c>
      <c r="X628" t="n">
        <v>0</v>
      </c>
    </row>
    <row r="629">
      <c r="A629" t="n">
        <v>628</v>
      </c>
      <c r="B629" t="inlineStr">
        <is>
          <t>Charge from warehouse and Storage Charges</t>
        </is>
      </c>
      <c r="C629" t="inlineStr">
        <is>
          <t>កំពង់ផែស្វយ័តក្រុងព្រះសីហនុ</t>
        </is>
      </c>
      <c r="D629" t="inlineStr">
        <is>
          <t>L001-100044638</t>
        </is>
      </c>
      <c r="E629" t="inlineStr">
        <is>
          <t>099479</t>
        </is>
      </c>
      <c r="F629" t="inlineStr">
        <is>
          <t>27-05-2024</t>
        </is>
      </c>
      <c r="G629" t="n">
        <v>664</v>
      </c>
      <c r="I629">
        <f>G629</f>
        <v/>
      </c>
      <c r="K629">
        <f>I629-G629</f>
        <v/>
      </c>
      <c r="M629" t="inlineStr">
        <is>
          <t>099479</t>
        </is>
      </c>
      <c r="N629" t="inlineStr"/>
      <c r="O629">
        <f>M629=N629</f>
        <v/>
      </c>
      <c r="P629">
        <f>AND(MONTH(F629)=MONTH(S629), YEAR(F629)=YEAR(S629))</f>
        <v/>
      </c>
      <c r="Q629">
        <f>"L001-902303751"=U629</f>
        <v/>
      </c>
      <c r="R629">
        <f>G629-W629</f>
        <v/>
      </c>
      <c r="S629" s="36" t="n">
        <v>45328</v>
      </c>
      <c r="T629" t="inlineStr"/>
      <c r="U629" t="inlineStr">
        <is>
          <t>L001-103007369</t>
        </is>
      </c>
      <c r="V629" t="inlineStr">
        <is>
          <t>អូរៀនថល ឡូជីស្ទីក &amp; ឌីស្ទ្រីប៊្យូសិន (ខេមបូឌា)</t>
        </is>
      </c>
      <c r="W629" t="n">
        <v>0</v>
      </c>
      <c r="X629" t="n">
        <v>0</v>
      </c>
    </row>
    <row r="630">
      <c r="A630" t="n">
        <v>629</v>
      </c>
      <c r="B630" t="inlineStr">
        <is>
          <t>Import Shipment Expense</t>
        </is>
      </c>
      <c r="C630" t="inlineStr">
        <is>
          <t>ត្រាយអ៊ែងហ្គល ឡូជីស្ទីក (ខេមបូឌា) ឯ.ក</t>
        </is>
      </c>
      <c r="D630" t="inlineStr">
        <is>
          <t>K010-902101743</t>
        </is>
      </c>
      <c r="E630" t="inlineStr">
        <is>
          <t>TAG-24-00347</t>
        </is>
      </c>
      <c r="F630" t="inlineStr">
        <is>
          <t>20-05-2024</t>
        </is>
      </c>
      <c r="G630" t="n">
        <v>78686</v>
      </c>
      <c r="I630">
        <f>G630</f>
        <v/>
      </c>
      <c r="K630">
        <f>I630-G630</f>
        <v/>
      </c>
      <c r="M630" t="inlineStr">
        <is>
          <t>TAG2400347</t>
        </is>
      </c>
      <c r="N630" t="inlineStr"/>
      <c r="O630">
        <f>M630=N630</f>
        <v/>
      </c>
      <c r="P630">
        <f>AND(MONTH(F630)=MONTH(S630), YEAR(F630)=YEAR(S630))</f>
        <v/>
      </c>
      <c r="Q630">
        <f>"L001-902303751"=U630</f>
        <v/>
      </c>
      <c r="R630">
        <f>G630-W630</f>
        <v/>
      </c>
      <c r="S630" s="36" t="n">
        <v>45327</v>
      </c>
      <c r="T630" t="inlineStr"/>
      <c r="U630" t="inlineStr">
        <is>
          <t>K005-901805913</t>
        </is>
      </c>
      <c r="V630" t="inlineStr">
        <is>
          <t>ស្តារ ខង់ខដ (ខេមបូឌា) ឯ.ក</t>
        </is>
      </c>
      <c r="W630" t="n">
        <v>0</v>
      </c>
      <c r="X630" t="n">
        <v>0</v>
      </c>
    </row>
    <row r="631">
      <c r="A631" t="n">
        <v>630</v>
      </c>
      <c r="B631" t="inlineStr">
        <is>
          <t>Customs Clearance Fee and Trucking Fee</t>
        </is>
      </c>
      <c r="C631" t="inlineStr">
        <is>
          <t>ត្រាយអ៊ែងហ្គល ឡូជីស្ទីក (ខេមបូឌា) ឯ.ក</t>
        </is>
      </c>
      <c r="D631" t="inlineStr">
        <is>
          <t>K010-902101743</t>
        </is>
      </c>
      <c r="E631" t="inlineStr">
        <is>
          <t>TAG-24-00365</t>
        </is>
      </c>
      <c r="F631" t="inlineStr">
        <is>
          <t>27-05-2024</t>
        </is>
      </c>
      <c r="G631" t="n">
        <v>84484</v>
      </c>
      <c r="I631">
        <f>G631</f>
        <v/>
      </c>
      <c r="K631">
        <f>I631-G631</f>
        <v/>
      </c>
      <c r="M631" t="inlineStr">
        <is>
          <t>TAG2400365</t>
        </is>
      </c>
      <c r="N631" t="inlineStr">
        <is>
          <t>20456500</t>
        </is>
      </c>
      <c r="O631">
        <f>M631=N631</f>
        <v/>
      </c>
      <c r="P631">
        <f>AND(MONTH(F631)=MONTH(S631), YEAR(F631)=YEAR(S631))</f>
        <v/>
      </c>
      <c r="Q631">
        <f>"L001-902303751"=U631</f>
        <v/>
      </c>
      <c r="R631">
        <f>G631-W631</f>
        <v/>
      </c>
      <c r="S631" s="36" t="n">
        <v>45348</v>
      </c>
      <c r="T631" t="n">
        <v>204565</v>
      </c>
      <c r="U631" t="inlineStr">
        <is>
          <t>L001-100074669</t>
        </is>
      </c>
      <c r="V631" t="inlineStr">
        <is>
          <t>ខេអិលអិន ហ្វ្រេត (ខេមបូឌា) ឯ.ក</t>
        </is>
      </c>
      <c r="W631" t="n">
        <v>204565</v>
      </c>
      <c r="X631" t="n">
        <v>0</v>
      </c>
    </row>
    <row r="632">
      <c r="A632" t="n">
        <v>631</v>
      </c>
      <c r="B632" t="inlineStr">
        <is>
          <t>Charge from warehouse and Storage Charges</t>
        </is>
      </c>
      <c r="C632" t="inlineStr">
        <is>
          <t>កំពង់ផែស្វយ័តក្រុងព្រះសីហនុ</t>
        </is>
      </c>
      <c r="D632" t="inlineStr">
        <is>
          <t>L001-100044638</t>
        </is>
      </c>
      <c r="E632" t="inlineStr">
        <is>
          <t>099484</t>
        </is>
      </c>
      <c r="F632" t="inlineStr">
        <is>
          <t>27-05-2024</t>
        </is>
      </c>
      <c r="G632" t="n">
        <v>3328</v>
      </c>
      <c r="I632">
        <f>G632</f>
        <v/>
      </c>
      <c r="K632">
        <f>I632-G632</f>
        <v/>
      </c>
      <c r="M632" t="inlineStr">
        <is>
          <t>099484</t>
        </is>
      </c>
      <c r="N632" t="inlineStr"/>
      <c r="O632">
        <f>M632=N632</f>
        <v/>
      </c>
      <c r="P632">
        <f>AND(MONTH(F632)=MONTH(S632), YEAR(F632)=YEAR(S632))</f>
        <v/>
      </c>
      <c r="Q632">
        <f>"L001-902303751"=U632</f>
        <v/>
      </c>
      <c r="R632">
        <f>G632-W632</f>
        <v/>
      </c>
      <c r="S632" s="36" t="n">
        <v>45342</v>
      </c>
      <c r="T632" t="inlineStr"/>
      <c r="U632" t="inlineStr">
        <is>
          <t>L001-100045995</t>
        </is>
      </c>
      <c r="V632" t="inlineStr">
        <is>
          <t>ឌីអេចអិល ឡូជីស្ទីក (ខេមបូឌា)</t>
        </is>
      </c>
      <c r="W632" t="n">
        <v>0</v>
      </c>
      <c r="X632" t="n">
        <v>0</v>
      </c>
    </row>
    <row r="633">
      <c r="A633" t="n">
        <v>632</v>
      </c>
      <c r="B633" t="inlineStr">
        <is>
          <t>THC, Doc Fee and Container Imbalance</t>
        </is>
      </c>
      <c r="C633" t="inlineStr">
        <is>
          <t>សាខាក្រុមហ៊ុន ជីម៉ាឌីប ស៊ីបភីង ខមភេនី លីមីធីត</t>
        </is>
      </c>
      <c r="D633" t="inlineStr">
        <is>
          <t>L001-901704777</t>
        </is>
      </c>
      <c r="E633" t="inlineStr">
        <is>
          <t>24-01756</t>
        </is>
      </c>
      <c r="F633" t="inlineStr">
        <is>
          <t>28-05-2024</t>
        </is>
      </c>
      <c r="G633" t="n">
        <v>136781</v>
      </c>
      <c r="I633">
        <f>G633</f>
        <v/>
      </c>
      <c r="K633">
        <f>I633-G633</f>
        <v/>
      </c>
      <c r="M633" t="inlineStr">
        <is>
          <t>2401756</t>
        </is>
      </c>
      <c r="N633" t="inlineStr"/>
      <c r="O633">
        <f>M633=N633</f>
        <v/>
      </c>
      <c r="P633">
        <f>AND(MONTH(F633)=MONTH(S633), YEAR(F633)=YEAR(S633))</f>
        <v/>
      </c>
      <c r="Q633">
        <f>"L001-902303751"=U633</f>
        <v/>
      </c>
      <c r="R633">
        <f>G633-W633</f>
        <v/>
      </c>
      <c r="S633" s="36" t="n">
        <v>45369</v>
      </c>
      <c r="T633" t="inlineStr"/>
      <c r="U633" t="inlineStr">
        <is>
          <t>L001-100182259</t>
        </is>
      </c>
      <c r="V633" t="inlineStr">
        <is>
          <t>សាខាក្រុមហ៊ុន ប៊ី ឡូជីស្ទីក ខបភើរេសិន (ខេមបូឌា)</t>
        </is>
      </c>
      <c r="W633" t="n">
        <v>0</v>
      </c>
      <c r="X633" t="n">
        <v>0</v>
      </c>
    </row>
    <row r="634">
      <c r="A634" t="n">
        <v>633</v>
      </c>
      <c r="B634" t="inlineStr">
        <is>
          <t>Cargo Terminal</t>
        </is>
      </c>
      <c r="C634" t="inlineStr">
        <is>
          <t>សូស៊ីយេតេ កុងសេស្យូនែរ ដឺ ឡាអេរ៉ូព័រ</t>
        </is>
      </c>
      <c r="D634" t="inlineStr">
        <is>
          <t>L001-100047300</t>
        </is>
      </c>
      <c r="E634" t="inlineStr">
        <is>
          <t>2400-040113</t>
        </is>
      </c>
      <c r="F634" t="inlineStr">
        <is>
          <t>30-05-2024</t>
        </is>
      </c>
      <c r="G634" t="n">
        <v>2290</v>
      </c>
      <c r="I634">
        <f>G634</f>
        <v/>
      </c>
      <c r="K634">
        <f>I634-G634</f>
        <v/>
      </c>
      <c r="M634" t="inlineStr">
        <is>
          <t>2400040113</t>
        </is>
      </c>
      <c r="N634" t="inlineStr">
        <is>
          <t>11156800</t>
        </is>
      </c>
      <c r="O634">
        <f>M634=N634</f>
        <v/>
      </c>
      <c r="P634">
        <f>AND(MONTH(F634)=MONTH(S634), YEAR(F634)=YEAR(S634))</f>
        <v/>
      </c>
      <c r="Q634">
        <f>"L001-902303751"=U634</f>
        <v/>
      </c>
      <c r="R634">
        <f>G634-W634</f>
        <v/>
      </c>
      <c r="S634" s="36" t="n">
        <v>45369</v>
      </c>
      <c r="T634" t="n">
        <v>111568</v>
      </c>
      <c r="U634" t="inlineStr">
        <is>
          <t>L001-107032791</t>
        </is>
      </c>
      <c r="V634" t="inlineStr">
        <is>
          <t>នីបផន អិចប្រេស (ខេមបូឌា) ខូ អិលធីឌី</t>
        </is>
      </c>
      <c r="W634" t="n">
        <v>111568</v>
      </c>
      <c r="X634" t="n">
        <v>0</v>
      </c>
    </row>
    <row r="635">
      <c r="A635" t="n">
        <v>634</v>
      </c>
      <c r="B635" t="inlineStr">
        <is>
          <t>Cable</t>
        </is>
      </c>
      <c r="C635" t="inlineStr">
        <is>
          <t>អ៊ីភី អ៊ីធើណល ប្រូហ្វីត</t>
        </is>
      </c>
      <c r="D635" t="inlineStr">
        <is>
          <t>K010-902202514</t>
        </is>
      </c>
      <c r="E635" t="inlineStr">
        <is>
          <t>000014</t>
        </is>
      </c>
      <c r="F635" t="inlineStr">
        <is>
          <t>27-05-2024</t>
        </is>
      </c>
      <c r="G635" t="n">
        <v>22261</v>
      </c>
      <c r="I635">
        <f>G635</f>
        <v/>
      </c>
      <c r="K635">
        <f>I635-G635</f>
        <v/>
      </c>
      <c r="M635" t="inlineStr">
        <is>
          <t>000014</t>
        </is>
      </c>
      <c r="N635" t="inlineStr"/>
      <c r="O635">
        <f>M635=N635</f>
        <v/>
      </c>
      <c r="P635">
        <f>AND(MONTH(F635)=MONTH(S635), YEAR(F635)=YEAR(S635))</f>
        <v/>
      </c>
      <c r="Q635">
        <f>"L001-902303751"=U635</f>
        <v/>
      </c>
      <c r="R635">
        <f>G635-W635</f>
        <v/>
      </c>
      <c r="S635" s="36" t="n">
        <v>45355</v>
      </c>
      <c r="T635" t="inlineStr"/>
      <c r="U635" t="inlineStr">
        <is>
          <t>K005-100059945</t>
        </is>
      </c>
      <c r="V635" t="inlineStr">
        <is>
          <t>អ៊ែតវ៉ានស៍ គ្លរី ឡូជីស្ទីក (ខេមបូឌា) (អេ ជី អិល)</t>
        </is>
      </c>
      <c r="W635" t="n">
        <v>0</v>
      </c>
      <c r="X635" t="n">
        <v>0</v>
      </c>
    </row>
    <row r="636">
      <c r="A636" t="n">
        <v>635</v>
      </c>
      <c r="B636" t="inlineStr">
        <is>
          <t>Doc Fee and Agency Fee</t>
        </is>
      </c>
      <c r="C636" t="inlineStr">
        <is>
          <t>អ៊ែតវ៉ានស៍ គ្លរី ឡូជីស្ទីក (ខេមបូឌា) (អេ ជី អិល)</t>
        </is>
      </c>
      <c r="D636" t="inlineStr">
        <is>
          <t>K005-100059945</t>
        </is>
      </c>
      <c r="E636" t="inlineStr">
        <is>
          <t>AGL2400776</t>
        </is>
      </c>
      <c r="F636" t="inlineStr">
        <is>
          <t>28-05-2024</t>
        </is>
      </c>
      <c r="G636" t="n">
        <v>44913</v>
      </c>
      <c r="I636">
        <f>G636</f>
        <v/>
      </c>
      <c r="K636">
        <f>I636-G636</f>
        <v/>
      </c>
      <c r="M636" t="inlineStr">
        <is>
          <t>AGL2400776</t>
        </is>
      </c>
      <c r="N636" t="inlineStr"/>
      <c r="O636">
        <f>M636=N636</f>
        <v/>
      </c>
      <c r="P636">
        <f>AND(MONTH(F636)=MONTH(S636), YEAR(F636)=YEAR(S636))</f>
        <v/>
      </c>
      <c r="Q636">
        <f>"L001-902303751"=U636</f>
        <v/>
      </c>
      <c r="R636">
        <f>G636-W636</f>
        <v/>
      </c>
      <c r="S636" s="36" t="n">
        <v>45362</v>
      </c>
      <c r="T636" t="inlineStr"/>
      <c r="U636" t="inlineStr">
        <is>
          <t>L001-107000385</t>
        </is>
      </c>
      <c r="V636" t="inlineStr">
        <is>
          <t>អិចស្ពោលាំងកា ហ្រ្វេត (ខេមបូឌា) លីមីធីត</t>
        </is>
      </c>
      <c r="W636" t="n">
        <v>0</v>
      </c>
      <c r="X636" t="n">
        <v>0</v>
      </c>
    </row>
    <row r="637">
      <c r="A637" t="n">
        <v>636</v>
      </c>
      <c r="B637" t="inlineStr">
        <is>
          <t>Hardware</t>
        </is>
      </c>
      <c r="C637" t="inlineStr">
        <is>
          <t>ភ្នំពេញ ថប វើលដ៍ ខនស្ត្រាក់សិន &amp; អេនជីនារីង ឯ.ក</t>
        </is>
      </c>
      <c r="D637" t="inlineStr">
        <is>
          <t>K005-901638261</t>
        </is>
      </c>
      <c r="E637" t="inlineStr">
        <is>
          <t>000014</t>
        </is>
      </c>
      <c r="F637" t="inlineStr">
        <is>
          <t>30-05-2024</t>
        </is>
      </c>
      <c r="G637" t="n">
        <v>308197</v>
      </c>
      <c r="I637">
        <f>G637</f>
        <v/>
      </c>
      <c r="K637">
        <f>I637-G637</f>
        <v/>
      </c>
      <c r="M637" t="inlineStr">
        <is>
          <t>000014</t>
        </is>
      </c>
      <c r="N637" t="inlineStr">
        <is>
          <t>12984500</t>
        </is>
      </c>
      <c r="O637">
        <f>M637=N637</f>
        <v/>
      </c>
      <c r="P637">
        <f>AND(MONTH(F637)=MONTH(S637), YEAR(F637)=YEAR(S637))</f>
        <v/>
      </c>
      <c r="Q637">
        <f>"L001-902303751"=U637</f>
        <v/>
      </c>
      <c r="R637">
        <f>G637-W637</f>
        <v/>
      </c>
      <c r="S637" s="36" t="n">
        <v>45376</v>
      </c>
      <c r="T637" t="n">
        <v>129845</v>
      </c>
      <c r="U637" t="inlineStr">
        <is>
          <t>K003-901635943</t>
        </is>
      </c>
      <c r="V637" t="inlineStr">
        <is>
          <t>អ៊ីឃ្យូឡាញ វើលវ៉ាយដ៍ ឡូជីស្ទីក</t>
        </is>
      </c>
      <c r="W637" t="n">
        <v>129845</v>
      </c>
      <c r="X637" t="n">
        <v>0</v>
      </c>
    </row>
    <row r="638">
      <c r="A638" t="n">
        <v>637</v>
      </c>
      <c r="B638" t="inlineStr">
        <is>
          <t>Raw Material</t>
        </is>
      </c>
      <c r="C638" t="inlineStr">
        <is>
          <t>យីស៊ូ ធេមផ្លេត ក្រាហ្វ ឯ.ក</t>
        </is>
      </c>
      <c r="D638" t="inlineStr">
        <is>
          <t>K010-902200360</t>
        </is>
      </c>
      <c r="E638" t="inlineStr">
        <is>
          <t>24-0096</t>
        </is>
      </c>
      <c r="F638" t="inlineStr">
        <is>
          <t>30-05-2024</t>
        </is>
      </c>
      <c r="G638" t="n">
        <v>582007</v>
      </c>
      <c r="I638">
        <f>G638</f>
        <v/>
      </c>
      <c r="K638">
        <f>I638-G638</f>
        <v/>
      </c>
      <c r="M638" t="inlineStr">
        <is>
          <t>240096</t>
        </is>
      </c>
      <c r="N638" t="inlineStr"/>
      <c r="O638">
        <f>M638=N638</f>
        <v/>
      </c>
      <c r="P638">
        <f>AND(MONTH(F638)=MONTH(S638), YEAR(F638)=YEAR(S638))</f>
        <v/>
      </c>
      <c r="Q638">
        <f>"L001-902303751"=U638</f>
        <v/>
      </c>
      <c r="R638">
        <f>G638-W638</f>
        <v/>
      </c>
      <c r="S638" s="36" t="n">
        <v>45373</v>
      </c>
      <c r="T638" t="inlineStr"/>
      <c r="U638" t="inlineStr">
        <is>
          <t>L001-103007369</t>
        </is>
      </c>
      <c r="V638" t="inlineStr">
        <is>
          <t>អូរៀនថល ឡូជីស្ទីក &amp; ឌីស្ទ្រីប៊្យូសិន (ខេមបូឌា)</t>
        </is>
      </c>
      <c r="W638" t="n">
        <v>0</v>
      </c>
      <c r="X638" t="n">
        <v>0</v>
      </c>
    </row>
    <row r="639">
      <c r="A639" t="n">
        <v>638</v>
      </c>
      <c r="B639" t="inlineStr">
        <is>
          <t>Sending Sample</t>
        </is>
      </c>
      <c r="C639" t="inlineStr">
        <is>
          <t>ឌី អេច អិល អិចប្រេស (ខេមបូឌា)</t>
        </is>
      </c>
      <c r="D639" t="inlineStr">
        <is>
          <t>L001-100045197</t>
        </is>
      </c>
      <c r="E639" t="inlineStr">
        <is>
          <t>PNHIR00216813</t>
        </is>
      </c>
      <c r="F639" t="inlineStr">
        <is>
          <t>08-05-2024</t>
        </is>
      </c>
      <c r="G639" t="n">
        <v>16300</v>
      </c>
      <c r="I639">
        <f>G639</f>
        <v/>
      </c>
      <c r="K639">
        <f>I639-G639</f>
        <v/>
      </c>
      <c r="M639" t="inlineStr">
        <is>
          <t>PNHIR00216813</t>
        </is>
      </c>
      <c r="N639" t="inlineStr">
        <is>
          <t>8292300</t>
        </is>
      </c>
      <c r="O639">
        <f>M639=N639</f>
        <v/>
      </c>
      <c r="P639">
        <f>AND(MONTH(F639)=MONTH(S639), YEAR(F639)=YEAR(S639))</f>
        <v/>
      </c>
      <c r="Q639">
        <f>"L001-902303751"=U639</f>
        <v/>
      </c>
      <c r="R639">
        <f>G639-W639</f>
        <v/>
      </c>
      <c r="S639" s="36" t="n">
        <v>45376</v>
      </c>
      <c r="T639" t="n">
        <v>82923</v>
      </c>
      <c r="U639" t="inlineStr">
        <is>
          <t>L001-100045995</t>
        </is>
      </c>
      <c r="V639" t="inlineStr">
        <is>
          <t>ឌីអេចអិល ឡូជីស្ទីក (ខេមបូឌា)</t>
        </is>
      </c>
      <c r="W639" t="n">
        <v>82923</v>
      </c>
      <c r="X639" t="n">
        <v>0</v>
      </c>
    </row>
    <row r="640">
      <c r="A640" t="n">
        <v>639</v>
      </c>
      <c r="B640" t="inlineStr">
        <is>
          <t>Sending Sample</t>
        </is>
      </c>
      <c r="C640" t="inlineStr">
        <is>
          <t>ឌី អេច អិល អិចប្រេស (ខេមបូឌា)</t>
        </is>
      </c>
      <c r="D640" t="inlineStr">
        <is>
          <t>L001-100045197</t>
        </is>
      </c>
      <c r="E640" t="inlineStr">
        <is>
          <t>PNHIR00219286</t>
        </is>
      </c>
      <c r="F640" t="inlineStr">
        <is>
          <t>20-05-2024</t>
        </is>
      </c>
      <c r="G640" t="n">
        <v>12231</v>
      </c>
      <c r="I640">
        <f>G640</f>
        <v/>
      </c>
      <c r="K640">
        <f>I640-G640</f>
        <v/>
      </c>
      <c r="M640" t="inlineStr">
        <is>
          <t>PNHIR00219286</t>
        </is>
      </c>
      <c r="N640" t="inlineStr"/>
      <c r="O640">
        <f>M640=N640</f>
        <v/>
      </c>
      <c r="P640">
        <f>AND(MONTH(F640)=MONTH(S640), YEAR(F640)=YEAR(S640))</f>
        <v/>
      </c>
      <c r="Q640">
        <f>"L001-902303751"=U640</f>
        <v/>
      </c>
      <c r="R640">
        <f>G640-W640</f>
        <v/>
      </c>
      <c r="S640" s="36" t="n">
        <v>45376</v>
      </c>
      <c r="T640" t="inlineStr"/>
      <c r="U640" t="inlineStr">
        <is>
          <t>L001-100045340</t>
        </is>
      </c>
      <c r="V640" t="inlineStr">
        <is>
          <t xml:space="preserve">ស៊ីវ៉ា អ៊ែរ អ៊ែន អូសៀន (ខេមបូឌា) ឯ.ក </t>
        </is>
      </c>
      <c r="W640" t="n">
        <v>0</v>
      </c>
      <c r="X640" t="n">
        <v>0</v>
      </c>
    </row>
    <row r="641">
      <c r="A641" t="n">
        <v>640</v>
      </c>
      <c r="B641" t="inlineStr">
        <is>
          <t>Sodium Metabisulfite</t>
        </is>
      </c>
      <c r="C641" t="inlineStr">
        <is>
          <t>គី ស៊ីង អ៊ីមផត អិចផត ឯ.ក</t>
        </is>
      </c>
      <c r="D641" t="inlineStr">
        <is>
          <t>B108-901805414</t>
        </is>
      </c>
      <c r="E641" t="inlineStr">
        <is>
          <t>QX0173</t>
        </is>
      </c>
      <c r="F641" t="inlineStr">
        <is>
          <t>31-05-2024</t>
        </is>
      </c>
      <c r="G641" t="n">
        <v>130976</v>
      </c>
      <c r="I641">
        <f>G641</f>
        <v/>
      </c>
      <c r="K641">
        <f>I641-G641</f>
        <v/>
      </c>
      <c r="M641" t="inlineStr">
        <is>
          <t>QX0173</t>
        </is>
      </c>
      <c r="N641" t="inlineStr"/>
      <c r="O641">
        <f>M641=N641</f>
        <v/>
      </c>
      <c r="P641">
        <f>AND(MONTH(F641)=MONTH(S641), YEAR(F641)=YEAR(S641))</f>
        <v/>
      </c>
      <c r="Q641">
        <f>"L001-902303751"=U641</f>
        <v/>
      </c>
      <c r="R641">
        <f>G641-W641</f>
        <v/>
      </c>
      <c r="S641" s="36" t="n">
        <v>45355</v>
      </c>
      <c r="T641" t="inlineStr"/>
      <c r="U641" t="inlineStr">
        <is>
          <t>L001-107032791</t>
        </is>
      </c>
      <c r="V641" t="inlineStr">
        <is>
          <t>នីបផន អិចប្រេស (ខេមបូឌា) ខូ អិលធីឌី</t>
        </is>
      </c>
      <c r="W641" t="n">
        <v>0</v>
      </c>
      <c r="X641" t="n">
        <v>0</v>
      </c>
    </row>
    <row r="642">
      <c r="A642" t="n">
        <v>641</v>
      </c>
      <c r="B642" t="inlineStr">
        <is>
          <t>Over time Fee, Documentation Origin, Late SI Fee, Export Customs Clearance Fee, Entry Summary Declaration Fee, Entry Summary Declaration, ISPS/CSF/IFS Security Charge and CFS Charges</t>
        </is>
      </c>
      <c r="C642" t="inlineStr">
        <is>
          <t>ឌីប៊ី សេនឃើរ (ខេមបូឌា) លីមីធីត</t>
        </is>
      </c>
      <c r="D642" t="inlineStr">
        <is>
          <t>L001-107041723</t>
        </is>
      </c>
      <c r="E642" t="inlineStr">
        <is>
          <t>2400004169</t>
        </is>
      </c>
      <c r="F642" t="inlineStr">
        <is>
          <t>22-05-2024</t>
        </is>
      </c>
      <c r="G642" t="n">
        <v>858386</v>
      </c>
      <c r="I642">
        <f>G642</f>
        <v/>
      </c>
      <c r="K642">
        <f>I642-G642</f>
        <v/>
      </c>
      <c r="M642" t="inlineStr">
        <is>
          <t>2400004169</t>
        </is>
      </c>
      <c r="N642" t="inlineStr"/>
      <c r="O642">
        <f>M642=N642</f>
        <v/>
      </c>
      <c r="P642">
        <f>AND(MONTH(F642)=MONTH(S642), YEAR(F642)=YEAR(S642))</f>
        <v/>
      </c>
      <c r="Q642">
        <f>"L001-902303751"=U642</f>
        <v/>
      </c>
      <c r="R642">
        <f>G642-W642</f>
        <v/>
      </c>
      <c r="S642" s="36" t="n">
        <v>45363</v>
      </c>
      <c r="T642" t="inlineStr"/>
      <c r="U642" t="inlineStr">
        <is>
          <t>L001-100045995</t>
        </is>
      </c>
      <c r="V642" t="inlineStr">
        <is>
          <t>ឌីអេចអិល ឡូជីស្ទីក (ខេមបូឌា)</t>
        </is>
      </c>
      <c r="W642" t="n">
        <v>0</v>
      </c>
      <c r="X642" t="n">
        <v>0</v>
      </c>
    </row>
    <row r="643">
      <c r="A643" t="n">
        <v>642</v>
      </c>
      <c r="B643" t="inlineStr">
        <is>
          <t>Documentation Origin, Handling Charges Origin, PLACI Fee and HAWB Transmission Fee</t>
        </is>
      </c>
      <c r="C643" t="inlineStr">
        <is>
          <t>ឌីប៊ី សេនឃើរ (ខេមបូឌា) លីមីធីត</t>
        </is>
      </c>
      <c r="D643" t="inlineStr">
        <is>
          <t>L001-107041723</t>
        </is>
      </c>
      <c r="E643" t="inlineStr">
        <is>
          <t>2400004227</t>
        </is>
      </c>
      <c r="F643" t="inlineStr">
        <is>
          <t>24-05-2024</t>
        </is>
      </c>
      <c r="G643" t="n">
        <v>50172</v>
      </c>
      <c r="I643">
        <f>G643</f>
        <v/>
      </c>
      <c r="K643">
        <f>I643-G643</f>
        <v/>
      </c>
      <c r="M643" t="inlineStr">
        <is>
          <t>2400004227</t>
        </is>
      </c>
      <c r="N643" t="inlineStr"/>
      <c r="O643">
        <f>M643=N643</f>
        <v/>
      </c>
      <c r="P643">
        <f>AND(MONTH(F643)=MONTH(S643), YEAR(F643)=YEAR(S643))</f>
        <v/>
      </c>
      <c r="Q643">
        <f>"L001-902303751"=U643</f>
        <v/>
      </c>
      <c r="R643">
        <f>G643-W643</f>
        <v/>
      </c>
      <c r="S643" s="36" t="n">
        <v>45369</v>
      </c>
      <c r="T643" t="inlineStr"/>
      <c r="U643" t="inlineStr">
        <is>
          <t>K009-902002784</t>
        </is>
      </c>
      <c r="V643" t="inlineStr">
        <is>
          <t>ខាហ្គោលីង អ៊ិនធើណេសិនណល ឯ.ក</t>
        </is>
      </c>
      <c r="W643" t="n">
        <v>0</v>
      </c>
      <c r="X643" t="n">
        <v>0</v>
      </c>
    </row>
    <row r="644">
      <c r="A644" t="n">
        <v>643</v>
      </c>
      <c r="B644" t="inlineStr">
        <is>
          <t>Documentation Origin, Handling Charges Origin, PLACI Fee and HAWB Transmission Fee</t>
        </is>
      </c>
      <c r="C644" t="inlineStr">
        <is>
          <t>ឌីប៊ី សេនឃើរ (ខេមបូឌា) លីមីធីត</t>
        </is>
      </c>
      <c r="D644" t="inlineStr">
        <is>
          <t>L001-107041723</t>
        </is>
      </c>
      <c r="E644" t="inlineStr">
        <is>
          <t>2400004379</t>
        </is>
      </c>
      <c r="F644" t="inlineStr">
        <is>
          <t>29-05-2024</t>
        </is>
      </c>
      <c r="G644" t="n">
        <v>50246</v>
      </c>
      <c r="I644">
        <f>G644</f>
        <v/>
      </c>
      <c r="K644">
        <f>I644-G644</f>
        <v/>
      </c>
      <c r="M644" t="inlineStr">
        <is>
          <t>2400004379</t>
        </is>
      </c>
      <c r="N644" t="inlineStr"/>
      <c r="O644">
        <f>M644=N644</f>
        <v/>
      </c>
      <c r="P644">
        <f>AND(MONTH(F644)=MONTH(S644), YEAR(F644)=YEAR(S644))</f>
        <v/>
      </c>
      <c r="Q644">
        <f>"L001-902303751"=U644</f>
        <v/>
      </c>
      <c r="R644">
        <f>G644-W644</f>
        <v/>
      </c>
      <c r="S644" s="36" t="n">
        <v>45370</v>
      </c>
      <c r="T644" t="inlineStr"/>
      <c r="U644" t="inlineStr">
        <is>
          <t>K003-901635943</t>
        </is>
      </c>
      <c r="V644" t="inlineStr">
        <is>
          <t>អ៊ីឃ្យូឡាញ វើលវ៉ាយដ៍ ឡូជីស្ទីក</t>
        </is>
      </c>
      <c r="W644" t="n">
        <v>0</v>
      </c>
      <c r="X644" t="n">
        <v>0</v>
      </c>
    </row>
    <row r="645">
      <c r="A645" t="n">
        <v>644</v>
      </c>
      <c r="B645" t="inlineStr">
        <is>
          <t>Shipment Expense</t>
        </is>
      </c>
      <c r="C645" t="inlineStr">
        <is>
          <t>អ៊ិចស្ពែឌីធ័រ ខេមបូឌា អិលធីឌី</t>
        </is>
      </c>
      <c r="D645" t="inlineStr">
        <is>
          <t>L001-100045898</t>
        </is>
      </c>
      <c r="E645" t="inlineStr">
        <is>
          <t>TI-0274056</t>
        </is>
      </c>
      <c r="F645" t="inlineStr">
        <is>
          <t>15-05-2024</t>
        </is>
      </c>
      <c r="G645" t="n">
        <v>103366</v>
      </c>
      <c r="I645">
        <f>G645</f>
        <v/>
      </c>
      <c r="K645">
        <f>I645-G645</f>
        <v/>
      </c>
      <c r="M645" t="inlineStr">
        <is>
          <t>TI0274056</t>
        </is>
      </c>
      <c r="N645" t="inlineStr">
        <is>
          <t>8298400</t>
        </is>
      </c>
      <c r="O645">
        <f>M645=N645</f>
        <v/>
      </c>
      <c r="P645">
        <f>AND(MONTH(F645)=MONTH(S645), YEAR(F645)=YEAR(S645))</f>
        <v/>
      </c>
      <c r="Q645">
        <f>"L001-902303751"=U645</f>
        <v/>
      </c>
      <c r="R645">
        <f>G645-W645</f>
        <v/>
      </c>
      <c r="S645" s="36" t="n">
        <v>45370</v>
      </c>
      <c r="T645" t="n">
        <v>82984</v>
      </c>
      <c r="U645" t="inlineStr">
        <is>
          <t>K003-901635943</t>
        </is>
      </c>
      <c r="V645" t="inlineStr">
        <is>
          <t>អ៊ីឃ្យូឡាញ វើលវ៉ាយដ៍ ឡូជីស្ទីក</t>
        </is>
      </c>
      <c r="W645" t="n">
        <v>82984</v>
      </c>
      <c r="X645" t="n">
        <v>0</v>
      </c>
    </row>
    <row r="646">
      <c r="A646" t="n">
        <v>645</v>
      </c>
      <c r="B646" t="inlineStr">
        <is>
          <t>Shipment Expense</t>
        </is>
      </c>
      <c r="C646" t="inlineStr">
        <is>
          <t>អ៊ិចស្ពែឌីធ័រ ខេមបូឌា អិលធីឌី</t>
        </is>
      </c>
      <c r="D646" t="inlineStr">
        <is>
          <t>L001-100045898</t>
        </is>
      </c>
      <c r="E646" t="inlineStr">
        <is>
          <t>TI-0274061</t>
        </is>
      </c>
      <c r="F646" t="inlineStr">
        <is>
          <t>15-05-2024</t>
        </is>
      </c>
      <c r="G646" t="n">
        <v>111275</v>
      </c>
      <c r="I646">
        <f>G646</f>
        <v/>
      </c>
      <c r="K646">
        <f>I646-G646</f>
        <v/>
      </c>
      <c r="M646" t="inlineStr">
        <is>
          <t>TI0274061</t>
        </is>
      </c>
      <c r="N646" t="inlineStr">
        <is>
          <t>11400200</t>
        </is>
      </c>
      <c r="O646">
        <f>M646=N646</f>
        <v/>
      </c>
      <c r="P646">
        <f>AND(MONTH(F646)=MONTH(S646), YEAR(F646)=YEAR(S646))</f>
        <v/>
      </c>
      <c r="Q646">
        <f>"L001-902303751"=U646</f>
        <v/>
      </c>
      <c r="R646">
        <f>G646-W646</f>
        <v/>
      </c>
      <c r="S646" s="36" t="n">
        <v>45369</v>
      </c>
      <c r="T646" t="n">
        <v>114002</v>
      </c>
      <c r="U646" t="inlineStr">
        <is>
          <t>K003-901635943</t>
        </is>
      </c>
      <c r="V646" t="inlineStr">
        <is>
          <t>អ៊ីឃ្យូឡាញ វើលវ៉ាយដ៍ ឡូជីស្ទីក</t>
        </is>
      </c>
      <c r="W646" t="n">
        <v>114002</v>
      </c>
      <c r="X646" t="n">
        <v>0</v>
      </c>
    </row>
    <row r="647">
      <c r="A647" t="n">
        <v>646</v>
      </c>
      <c r="B647" t="inlineStr">
        <is>
          <t>Shipment Expense</t>
        </is>
      </c>
      <c r="C647" t="inlineStr">
        <is>
          <t>អ៊ិចស្ពែឌីធ័រ ខេមបូឌា អិលធីឌី</t>
        </is>
      </c>
      <c r="D647" t="inlineStr">
        <is>
          <t>L001-100045898</t>
        </is>
      </c>
      <c r="E647" t="inlineStr">
        <is>
          <t>TI-0274062</t>
        </is>
      </c>
      <c r="F647" t="inlineStr">
        <is>
          <t>15-05-2024</t>
        </is>
      </c>
      <c r="G647" t="n">
        <v>94633</v>
      </c>
      <c r="I647">
        <f>G647</f>
        <v/>
      </c>
      <c r="K647">
        <f>I647-G647</f>
        <v/>
      </c>
      <c r="M647" t="inlineStr">
        <is>
          <t>TI0274062</t>
        </is>
      </c>
      <c r="N647" t="inlineStr"/>
      <c r="O647">
        <f>M647=N647</f>
        <v/>
      </c>
      <c r="P647">
        <f>AND(MONTH(F647)=MONTH(S647), YEAR(F647)=YEAR(S647))</f>
        <v/>
      </c>
      <c r="Q647">
        <f>"L001-902303751"=U647</f>
        <v/>
      </c>
      <c r="R647">
        <f>G647-W647</f>
        <v/>
      </c>
      <c r="S647" s="36" t="n">
        <v>45355</v>
      </c>
      <c r="T647" t="inlineStr"/>
      <c r="U647" t="inlineStr">
        <is>
          <t>K005-100059945</t>
        </is>
      </c>
      <c r="V647" t="inlineStr">
        <is>
          <t>អ៊ែតវ៉ានស៍ គ្លរី ឡូជីស្ទីក (ខេមបូឌា) (អេ ជី អិល)</t>
        </is>
      </c>
      <c r="W647" t="n">
        <v>0</v>
      </c>
      <c r="X647" t="n">
        <v>0</v>
      </c>
    </row>
    <row r="648">
      <c r="A648" t="n">
        <v>647</v>
      </c>
      <c r="B648" t="inlineStr">
        <is>
          <t>Shipment Expense</t>
        </is>
      </c>
      <c r="C648" t="inlineStr">
        <is>
          <t>អ៊ិចស្ពែឌីធ័រ ខេមបូឌា អិលធីឌី</t>
        </is>
      </c>
      <c r="D648" t="inlineStr">
        <is>
          <t>L001-100045898</t>
        </is>
      </c>
      <c r="E648" t="inlineStr">
        <is>
          <t>TI-0274659</t>
        </is>
      </c>
      <c r="F648" t="inlineStr">
        <is>
          <t>23-05-2024</t>
        </is>
      </c>
      <c r="G648" t="n">
        <v>47070</v>
      </c>
      <c r="I648">
        <f>G648</f>
        <v/>
      </c>
      <c r="K648">
        <f>I648-G648</f>
        <v/>
      </c>
      <c r="M648" t="inlineStr">
        <is>
          <t>TI0274659</t>
        </is>
      </c>
      <c r="N648" t="inlineStr"/>
      <c r="O648">
        <f>M648=N648</f>
        <v/>
      </c>
      <c r="P648">
        <f>AND(MONTH(F648)=MONTH(S648), YEAR(F648)=YEAR(S648))</f>
        <v/>
      </c>
      <c r="Q648">
        <f>"L001-902303751"=U648</f>
        <v/>
      </c>
      <c r="R648">
        <f>G648-W648</f>
        <v/>
      </c>
      <c r="S648" s="36" t="n">
        <v>45363</v>
      </c>
      <c r="T648" t="inlineStr"/>
      <c r="U648" t="inlineStr">
        <is>
          <t>K003-901635943</t>
        </is>
      </c>
      <c r="V648" t="inlineStr">
        <is>
          <t>អ៊ីឃ្យូឡាញ វើលវ៉ាយដ៍ ឡូជីស្ទីក</t>
        </is>
      </c>
      <c r="W648" t="n">
        <v>0</v>
      </c>
      <c r="X648" t="n">
        <v>0</v>
      </c>
    </row>
    <row r="649">
      <c r="A649" t="n">
        <v>648</v>
      </c>
      <c r="B649" t="inlineStr">
        <is>
          <t>Shipment Expense</t>
        </is>
      </c>
      <c r="C649" t="inlineStr">
        <is>
          <t>អ៊ិចស្ពែឌីធ័រ ខេមបូឌា អិលធីឌី</t>
        </is>
      </c>
      <c r="D649" t="inlineStr">
        <is>
          <t>L001-100045898</t>
        </is>
      </c>
      <c r="E649" t="inlineStr">
        <is>
          <t>TI-0274279</t>
        </is>
      </c>
      <c r="F649" t="inlineStr">
        <is>
          <t>20-05-2024</t>
        </is>
      </c>
      <c r="G649" t="n">
        <v>46886</v>
      </c>
      <c r="I649">
        <f>G649</f>
        <v/>
      </c>
      <c r="K649">
        <f>I649-G649</f>
        <v/>
      </c>
      <c r="M649" t="inlineStr">
        <is>
          <t>TI0274279</t>
        </is>
      </c>
      <c r="N649" t="inlineStr"/>
      <c r="O649">
        <f>M649=N649</f>
        <v/>
      </c>
      <c r="P649">
        <f>AND(MONTH(F649)=MONTH(S649), YEAR(F649)=YEAR(S649))</f>
        <v/>
      </c>
      <c r="Q649">
        <f>"L001-902303751"=U649</f>
        <v/>
      </c>
      <c r="R649">
        <f>G649-W649</f>
        <v/>
      </c>
      <c r="S649" s="36" t="n">
        <v>45363</v>
      </c>
      <c r="T649" t="inlineStr"/>
      <c r="U649" t="inlineStr">
        <is>
          <t>L001-107032791</t>
        </is>
      </c>
      <c r="V649" t="inlineStr">
        <is>
          <t>នីបផន អិចប្រេស (ខេមបូឌា) ខូ អិលធីឌី</t>
        </is>
      </c>
      <c r="W649" t="n">
        <v>0</v>
      </c>
      <c r="X649" t="n">
        <v>0</v>
      </c>
    </row>
    <row r="650">
      <c r="A650" t="n">
        <v>649</v>
      </c>
      <c r="B650" t="inlineStr">
        <is>
          <t>Shipment Expense</t>
        </is>
      </c>
      <c r="C650" t="inlineStr">
        <is>
          <t>អ៊ិចស្ពែឌីធ័រ ខេមបូឌា អិលធីឌី</t>
        </is>
      </c>
      <c r="D650" t="inlineStr">
        <is>
          <t>L001-100045898</t>
        </is>
      </c>
      <c r="E650" t="inlineStr">
        <is>
          <t>TI-0274756</t>
        </is>
      </c>
      <c r="F650" t="inlineStr">
        <is>
          <t>25-05-2024</t>
        </is>
      </c>
      <c r="G650" t="n">
        <v>46909</v>
      </c>
      <c r="I650">
        <f>G650</f>
        <v/>
      </c>
      <c r="K650">
        <f>I650-G650</f>
        <v/>
      </c>
      <c r="M650" t="inlineStr">
        <is>
          <t>TI0274756</t>
        </is>
      </c>
      <c r="N650" t="inlineStr">
        <is>
          <t>11123800</t>
        </is>
      </c>
      <c r="O650">
        <f>M650=N650</f>
        <v/>
      </c>
      <c r="P650">
        <f>AND(MONTH(F650)=MONTH(S650), YEAR(F650)=YEAR(S650))</f>
        <v/>
      </c>
      <c r="Q650">
        <f>"L001-902303751"=U650</f>
        <v/>
      </c>
      <c r="R650">
        <f>G650-W650</f>
        <v/>
      </c>
      <c r="S650" s="36" t="n">
        <v>45376</v>
      </c>
      <c r="T650" t="n">
        <v>111238</v>
      </c>
      <c r="U650" t="inlineStr">
        <is>
          <t>L001-107032791</t>
        </is>
      </c>
      <c r="V650" t="inlineStr">
        <is>
          <t>នីបផន អិចប្រេស (ខេមបូឌា) ខូ អិលធីឌី</t>
        </is>
      </c>
      <c r="W650" t="n">
        <v>111238</v>
      </c>
      <c r="X650" t="n">
        <v>0</v>
      </c>
    </row>
    <row r="651">
      <c r="A651" t="n">
        <v>650</v>
      </c>
      <c r="B651" t="inlineStr">
        <is>
          <t>Shipment Expense</t>
        </is>
      </c>
      <c r="C651" t="inlineStr">
        <is>
          <t>ឆាយ ដា ឡូយីស្ទីក</t>
        </is>
      </c>
      <c r="D651" t="inlineStr">
        <is>
          <t>L001-100063098</t>
        </is>
      </c>
      <c r="E651" t="inlineStr">
        <is>
          <t>2405006614</t>
        </is>
      </c>
      <c r="F651" t="inlineStr">
        <is>
          <t>20-05-2024</t>
        </is>
      </c>
      <c r="G651" t="n">
        <v>282944</v>
      </c>
      <c r="I651">
        <f>G651</f>
        <v/>
      </c>
      <c r="K651">
        <f>I651-G651</f>
        <v/>
      </c>
      <c r="M651" t="inlineStr">
        <is>
          <t>2405006614</t>
        </is>
      </c>
      <c r="N651" t="inlineStr"/>
      <c r="O651">
        <f>M651=N651</f>
        <v/>
      </c>
      <c r="P651">
        <f>AND(MONTH(F651)=MONTH(S651), YEAR(F651)=YEAR(S651))</f>
        <v/>
      </c>
      <c r="Q651">
        <f>"L001-902303751"=U651</f>
        <v/>
      </c>
      <c r="R651">
        <f>G651-W651</f>
        <v/>
      </c>
      <c r="S651" s="36" t="n">
        <v>45355</v>
      </c>
      <c r="T651" t="inlineStr"/>
      <c r="U651" t="inlineStr">
        <is>
          <t>L001-100011888</t>
        </is>
      </c>
      <c r="V651" t="inlineStr">
        <is>
          <t>ត្រេន ស្តារ ហ្រេ្វត</t>
        </is>
      </c>
      <c r="W651" t="n">
        <v>0</v>
      </c>
      <c r="X651" t="n">
        <v>0</v>
      </c>
    </row>
    <row r="652">
      <c r="A652" t="n">
        <v>651</v>
      </c>
      <c r="B652" t="inlineStr">
        <is>
          <t>Shipment Expense</t>
        </is>
      </c>
      <c r="C652" t="inlineStr">
        <is>
          <t>ឆាយ ដា ឡូយីស្ទីក</t>
        </is>
      </c>
      <c r="D652" t="inlineStr">
        <is>
          <t>L001-100063098</t>
        </is>
      </c>
      <c r="E652" t="inlineStr">
        <is>
          <t>2405006328</t>
        </is>
      </c>
      <c r="F652" t="inlineStr">
        <is>
          <t>16-05-2024</t>
        </is>
      </c>
      <c r="G652" t="n">
        <v>77055</v>
      </c>
      <c r="I652">
        <f>G652</f>
        <v/>
      </c>
      <c r="K652">
        <f>I652-G652</f>
        <v/>
      </c>
      <c r="M652" t="inlineStr">
        <is>
          <t>2405006328</t>
        </is>
      </c>
      <c r="N652" t="inlineStr"/>
      <c r="O652">
        <f>M652=N652</f>
        <v/>
      </c>
      <c r="P652">
        <f>AND(MONTH(F652)=MONTH(S652), YEAR(F652)=YEAR(S652))</f>
        <v/>
      </c>
      <c r="Q652">
        <f>"L001-902303751"=U652</f>
        <v/>
      </c>
      <c r="R652">
        <f>G652-W652</f>
        <v/>
      </c>
      <c r="S652" s="36" t="n">
        <v>45363</v>
      </c>
      <c r="T652" t="inlineStr"/>
      <c r="U652" t="inlineStr">
        <is>
          <t>K009-902002784</t>
        </is>
      </c>
      <c r="V652" t="inlineStr">
        <is>
          <t>ខាហ្គោលីង អ៊ិនធើណេសិនណល ឯ.ក</t>
        </is>
      </c>
      <c r="W652" t="n">
        <v>0</v>
      </c>
      <c r="X652" t="n">
        <v>0</v>
      </c>
    </row>
    <row r="653">
      <c r="A653" t="n">
        <v>652</v>
      </c>
      <c r="B653" t="inlineStr">
        <is>
          <t>Shipment Expense</t>
        </is>
      </c>
      <c r="C653" t="inlineStr">
        <is>
          <t>ឆាយ ដា ឡូយីស្ទីក</t>
        </is>
      </c>
      <c r="D653" t="inlineStr">
        <is>
          <t>L001-100063098</t>
        </is>
      </c>
      <c r="E653" t="inlineStr">
        <is>
          <t>2405006210</t>
        </is>
      </c>
      <c r="F653" t="inlineStr">
        <is>
          <t>13-05-2024</t>
        </is>
      </c>
      <c r="G653" t="n">
        <v>77055</v>
      </c>
      <c r="I653">
        <f>G653</f>
        <v/>
      </c>
      <c r="K653">
        <f>I653-G653</f>
        <v/>
      </c>
      <c r="M653" t="inlineStr">
        <is>
          <t>2405006210</t>
        </is>
      </c>
      <c r="N653" t="inlineStr">
        <is>
          <t>201453300</t>
        </is>
      </c>
      <c r="O653">
        <f>M653=N653</f>
        <v/>
      </c>
      <c r="P653">
        <f>AND(MONTH(F653)=MONTH(S653), YEAR(F653)=YEAR(S653))</f>
        <v/>
      </c>
      <c r="Q653">
        <f>"L001-902303751"=U653</f>
        <v/>
      </c>
      <c r="R653">
        <f>G653-W653</f>
        <v/>
      </c>
      <c r="S653" s="36" t="n">
        <v>45379</v>
      </c>
      <c r="T653" t="n">
        <v>2014533</v>
      </c>
      <c r="U653" t="inlineStr">
        <is>
          <t>K004-105012505</t>
        </is>
      </c>
      <c r="V653" t="inlineStr">
        <is>
          <t>អេស៊ាន ហ្វ្រេត (ខេមបូឌា)</t>
        </is>
      </c>
      <c r="W653" t="n">
        <v>2014533</v>
      </c>
      <c r="X653" t="n">
        <v>0</v>
      </c>
    </row>
    <row r="654">
      <c r="A654" t="n">
        <v>653</v>
      </c>
      <c r="B654" t="inlineStr">
        <is>
          <t>Export Custom Clearance, Overtime Charges and Standby Fee</t>
        </is>
      </c>
      <c r="C654" t="inlineStr">
        <is>
          <t>អ៊ីឃ្យូឡាញ វើលវ៉ាយដ៍ ឡូជីស្ទីក</t>
        </is>
      </c>
      <c r="D654" t="inlineStr">
        <is>
          <t>K003-901635943</t>
        </is>
      </c>
      <c r="E654" t="inlineStr">
        <is>
          <t>PPTI24/002630</t>
        </is>
      </c>
      <c r="F654" t="inlineStr">
        <is>
          <t>27-05-2024</t>
        </is>
      </c>
      <c r="G654" t="n">
        <v>195888</v>
      </c>
      <c r="I654">
        <f>G654</f>
        <v/>
      </c>
      <c r="K654">
        <f>I654-G654</f>
        <v/>
      </c>
      <c r="M654" t="inlineStr">
        <is>
          <t>PPTI24002630</t>
        </is>
      </c>
      <c r="N654" t="inlineStr"/>
      <c r="O654">
        <f>M654=N654</f>
        <v/>
      </c>
      <c r="P654">
        <f>AND(MONTH(F654)=MONTH(S654), YEAR(F654)=YEAR(S654))</f>
        <v/>
      </c>
      <c r="Q654">
        <f>"L001-902303751"=U654</f>
        <v/>
      </c>
      <c r="R654">
        <f>G654-W654</f>
        <v/>
      </c>
      <c r="S654" s="36" t="n">
        <v>45355</v>
      </c>
      <c r="T654" t="inlineStr"/>
      <c r="U654" t="inlineStr">
        <is>
          <t>K003-901635943</t>
        </is>
      </c>
      <c r="V654" t="inlineStr">
        <is>
          <t>អ៊ីឃ្យូឡាញ វើលវ៉ាយដ៍ ឡូជីស្ទីក</t>
        </is>
      </c>
      <c r="W654" t="n">
        <v>0</v>
      </c>
      <c r="X654" t="n">
        <v>0</v>
      </c>
    </row>
    <row r="655">
      <c r="A655" t="n">
        <v>654</v>
      </c>
      <c r="B655" t="inlineStr">
        <is>
          <t>Export Custom Clearance</t>
        </is>
      </c>
      <c r="C655" t="inlineStr">
        <is>
          <t>អ៊ីឃ្យូឡាញ វើលវ៉ាយដ៍ ឡូជីស្ទីក</t>
        </is>
      </c>
      <c r="D655" t="inlineStr">
        <is>
          <t>K003-901635943</t>
        </is>
      </c>
      <c r="E655" t="inlineStr">
        <is>
          <t>PPTI24/002234</t>
        </is>
      </c>
      <c r="F655" t="inlineStr">
        <is>
          <t>06-05-2024</t>
        </is>
      </c>
      <c r="G655" t="n">
        <v>65184</v>
      </c>
      <c r="I655">
        <f>G655</f>
        <v/>
      </c>
      <c r="K655">
        <f>I655-G655</f>
        <v/>
      </c>
      <c r="M655" t="inlineStr">
        <is>
          <t>PPTI24002234</t>
        </is>
      </c>
      <c r="N655" t="inlineStr"/>
      <c r="O655">
        <f>M655=N655</f>
        <v/>
      </c>
      <c r="P655">
        <f>AND(MONTH(F655)=MONTH(S655), YEAR(F655)=YEAR(S655))</f>
        <v/>
      </c>
      <c r="Q655">
        <f>"L001-902303751"=U655</f>
        <v/>
      </c>
      <c r="R655">
        <f>G655-W655</f>
        <v/>
      </c>
      <c r="S655" s="36" t="n">
        <v>45355</v>
      </c>
      <c r="T655" t="inlineStr"/>
      <c r="U655" t="inlineStr">
        <is>
          <t>L001-100182259</t>
        </is>
      </c>
      <c r="V655" t="inlineStr">
        <is>
          <t>សាខាក្រុមហ៊ុន ប៊ី ឡូជីស្ទីក ខបភើរេសិន (ខេមបូឌា)</t>
        </is>
      </c>
      <c r="W655" t="n">
        <v>0</v>
      </c>
      <c r="X655" t="n">
        <v>0</v>
      </c>
    </row>
    <row r="656">
      <c r="A656" t="n">
        <v>655</v>
      </c>
      <c r="B656" t="inlineStr">
        <is>
          <t>Documentation Origin, Handling Charges Origin, PLACI Fee and HAWB Transmission Fee</t>
        </is>
      </c>
      <c r="C656" t="inlineStr">
        <is>
          <t>ឌីប៊ី សេនឃើរ (ខេមបូឌា) លីមីធីត</t>
        </is>
      </c>
      <c r="D656" t="inlineStr">
        <is>
          <t>L001-107041723</t>
        </is>
      </c>
      <c r="E656" t="inlineStr">
        <is>
          <t>2400003944</t>
        </is>
      </c>
      <c r="F656" t="inlineStr">
        <is>
          <t>15-05-2024</t>
        </is>
      </c>
      <c r="G656" t="n">
        <v>60369</v>
      </c>
      <c r="I656">
        <f>G656</f>
        <v/>
      </c>
      <c r="K656">
        <f>I656-G656</f>
        <v/>
      </c>
      <c r="M656" t="inlineStr">
        <is>
          <t>2400003944</t>
        </is>
      </c>
      <c r="N656" t="inlineStr">
        <is>
          <t>2838500</t>
        </is>
      </c>
      <c r="O656">
        <f>M656=N656</f>
        <v/>
      </c>
      <c r="P656">
        <f>AND(MONTH(F656)=MONTH(S656), YEAR(F656)=YEAR(S656))</f>
        <v/>
      </c>
      <c r="Q656">
        <f>"L001-902303751"=U656</f>
        <v/>
      </c>
      <c r="R656">
        <f>G656-W656</f>
        <v/>
      </c>
      <c r="S656" s="36" t="n">
        <v>45362</v>
      </c>
      <c r="T656" t="n">
        <v>28385</v>
      </c>
      <c r="U656" t="inlineStr">
        <is>
          <t>K003-901635943</t>
        </is>
      </c>
      <c r="V656" t="inlineStr">
        <is>
          <t>អ៊ីឃ្យូឡាញ វើលវ៉ាយដ៍ ឡូជីស្ទីក</t>
        </is>
      </c>
      <c r="W656" t="n">
        <v>28385</v>
      </c>
      <c r="X656" t="n">
        <v>0</v>
      </c>
    </row>
    <row r="657">
      <c r="A657" t="n">
        <v>656</v>
      </c>
      <c r="B657" t="inlineStr">
        <is>
          <t>Documentation Origin, Handling Charges Origin, PLACI Fee and HAWB Transmission Fee</t>
        </is>
      </c>
      <c r="C657" t="inlineStr">
        <is>
          <t>ឌីប៊ី សេនឃើរ (ខេមបូឌា) លីមីធីត</t>
        </is>
      </c>
      <c r="D657" t="inlineStr">
        <is>
          <t>L001-107041723</t>
        </is>
      </c>
      <c r="E657" t="inlineStr">
        <is>
          <t>2400003942</t>
        </is>
      </c>
      <c r="F657" t="inlineStr">
        <is>
          <t>15-05-2024</t>
        </is>
      </c>
      <c r="G657" t="n">
        <v>60369</v>
      </c>
      <c r="I657">
        <f>G657</f>
        <v/>
      </c>
      <c r="K657">
        <f>I657-G657</f>
        <v/>
      </c>
      <c r="M657" t="inlineStr">
        <is>
          <t>2400003942</t>
        </is>
      </c>
      <c r="N657" t="inlineStr"/>
      <c r="O657">
        <f>M657=N657</f>
        <v/>
      </c>
      <c r="P657">
        <f>AND(MONTH(F657)=MONTH(S657), YEAR(F657)=YEAR(S657))</f>
        <v/>
      </c>
      <c r="Q657">
        <f>"L001-902303751"=U657</f>
        <v/>
      </c>
      <c r="R657">
        <f>G657-W657</f>
        <v/>
      </c>
      <c r="S657" s="36" t="n">
        <v>45362</v>
      </c>
      <c r="T657" t="inlineStr"/>
      <c r="U657" t="inlineStr">
        <is>
          <t>K005-100059945</t>
        </is>
      </c>
      <c r="V657" t="inlineStr">
        <is>
          <t>អ៊ែតវ៉ានស៍ គ្លរី ឡូជីស្ទីក (ខេមបូឌា) (អេ ជី អិល)</t>
        </is>
      </c>
      <c r="W657" t="n">
        <v>0</v>
      </c>
      <c r="X657" t="n">
        <v>0</v>
      </c>
    </row>
    <row r="658">
      <c r="A658" t="n">
        <v>657</v>
      </c>
      <c r="B658" t="inlineStr">
        <is>
          <t>Export Custom Clearance</t>
        </is>
      </c>
      <c r="C658" t="inlineStr">
        <is>
          <t>អ៊ីឃ្យូឡាញ វើលវ៉ាយដ៍ ឡូជីស្ទីក</t>
        </is>
      </c>
      <c r="D658" t="inlineStr">
        <is>
          <t>K003-901635943</t>
        </is>
      </c>
      <c r="E658" t="inlineStr">
        <is>
          <t>PPTI24/002401</t>
        </is>
      </c>
      <c r="F658" t="inlineStr">
        <is>
          <t>13-05-2024</t>
        </is>
      </c>
      <c r="G658" t="n">
        <v>65232</v>
      </c>
      <c r="I658">
        <f>G658</f>
        <v/>
      </c>
      <c r="K658">
        <f>I658-G658</f>
        <v/>
      </c>
      <c r="M658" t="inlineStr">
        <is>
          <t>PPTI24002401</t>
        </is>
      </c>
      <c r="N658" t="inlineStr"/>
      <c r="O658">
        <f>M658=N658</f>
        <v/>
      </c>
      <c r="P658">
        <f>AND(MONTH(F658)=MONTH(S658), YEAR(F658)=YEAR(S658))</f>
        <v/>
      </c>
      <c r="Q658">
        <f>"L001-902303751"=U658</f>
        <v/>
      </c>
      <c r="R658">
        <f>G658-W658</f>
        <v/>
      </c>
      <c r="S658" s="36" t="n">
        <v>45376</v>
      </c>
      <c r="T658" t="inlineStr"/>
      <c r="U658" t="inlineStr">
        <is>
          <t>K005-901501155</t>
        </is>
      </c>
      <c r="V658" t="inlineStr">
        <is>
          <t>ផេនដា គ្លូប៊ល ឡូជីស្ទីក (ខេមបូឌា)</t>
        </is>
      </c>
      <c r="W658" t="n">
        <v>0</v>
      </c>
      <c r="X658" t="n">
        <v>0</v>
      </c>
    </row>
    <row r="659">
      <c r="A659" t="n">
        <v>658</v>
      </c>
      <c r="B659" t="inlineStr">
        <is>
          <t>Export Administration Fee, Port Formality and Service Charge</t>
        </is>
      </c>
      <c r="C659" t="inlineStr">
        <is>
          <t>ឆាយ ដា ឡូយីស្ទីក</t>
        </is>
      </c>
      <c r="D659" t="inlineStr">
        <is>
          <t>L001-100063098</t>
        </is>
      </c>
      <c r="E659" t="inlineStr">
        <is>
          <t>2405005869</t>
        </is>
      </c>
      <c r="F659" t="inlineStr">
        <is>
          <t>06-05-2024</t>
        </is>
      </c>
      <c r="G659" t="n">
        <v>76999</v>
      </c>
      <c r="I659">
        <f>G659</f>
        <v/>
      </c>
      <c r="K659">
        <f>I659-G659</f>
        <v/>
      </c>
      <c r="M659" t="inlineStr">
        <is>
          <t>2405005869</t>
        </is>
      </c>
      <c r="N659" t="inlineStr"/>
      <c r="O659">
        <f>M659=N659</f>
        <v/>
      </c>
      <c r="P659">
        <f>AND(MONTH(F659)=MONTH(S659), YEAR(F659)=YEAR(S659))</f>
        <v/>
      </c>
      <c r="Q659">
        <f>"L001-902303751"=U659</f>
        <v/>
      </c>
      <c r="R659">
        <f>G659-W659</f>
        <v/>
      </c>
      <c r="S659" s="36" t="n">
        <v>45369</v>
      </c>
      <c r="T659" t="inlineStr"/>
      <c r="U659" t="inlineStr">
        <is>
          <t>K005-100059945</t>
        </is>
      </c>
      <c r="V659" t="inlineStr">
        <is>
          <t>អ៊ែតវ៉ានស៍ គ្លរី ឡូជីស្ទីក (ខេមបូឌា) (អេ ជី អិល)</t>
        </is>
      </c>
      <c r="W659" t="n">
        <v>0</v>
      </c>
      <c r="X659" t="n">
        <v>0</v>
      </c>
    </row>
    <row r="660">
      <c r="A660" t="n">
        <v>659</v>
      </c>
      <c r="B660" t="inlineStr">
        <is>
          <t>Motor</t>
        </is>
      </c>
      <c r="C660" t="inlineStr">
        <is>
          <t>ហ៊ីង អាង ស៊ូ ម៉ាស៊ីន</t>
        </is>
      </c>
      <c r="D660" t="inlineStr">
        <is>
          <t>K010-108009556</t>
        </is>
      </c>
      <c r="E660" t="inlineStr">
        <is>
          <t>XA20240031</t>
        </is>
      </c>
      <c r="F660" t="inlineStr">
        <is>
          <t>14-06-2024</t>
        </is>
      </c>
      <c r="G660" t="n">
        <v>387186</v>
      </c>
      <c r="I660">
        <f>G660</f>
        <v/>
      </c>
      <c r="K660">
        <f>I660-G660</f>
        <v/>
      </c>
      <c r="M660" t="inlineStr">
        <is>
          <t>XA20240031</t>
        </is>
      </c>
      <c r="N660" t="inlineStr">
        <is>
          <t>8535000</t>
        </is>
      </c>
      <c r="O660">
        <f>M660=N660</f>
        <v/>
      </c>
      <c r="P660">
        <f>AND(MONTH(F660)=MONTH(S660), YEAR(F660)=YEAR(S660))</f>
        <v/>
      </c>
      <c r="Q660">
        <f>"L001-902303751"=U660</f>
        <v/>
      </c>
      <c r="R660">
        <f>G660-W660</f>
        <v/>
      </c>
      <c r="S660" s="36" t="n">
        <v>45376</v>
      </c>
      <c r="T660" t="n">
        <v>85350</v>
      </c>
      <c r="U660" t="inlineStr">
        <is>
          <t>L001-100045340</t>
        </is>
      </c>
      <c r="V660" t="inlineStr">
        <is>
          <t xml:space="preserve">ស៊ីវ៉ា អ៊ែរ អ៊ែន អូសៀន (ខេមបូឌា) ឯ.ក </t>
        </is>
      </c>
      <c r="W660" t="n">
        <v>85350</v>
      </c>
      <c r="X660" t="n">
        <v>0</v>
      </c>
    </row>
    <row r="661">
      <c r="A661" t="n">
        <v>660</v>
      </c>
      <c r="B661" t="inlineStr">
        <is>
          <t>Sending Sample</t>
        </is>
      </c>
      <c r="C661" t="inlineStr">
        <is>
          <t>ឌី អេច អិល អិចប្រេស (ខេមបូឌា)</t>
        </is>
      </c>
      <c r="D661" t="inlineStr">
        <is>
          <t>L001-100045197</t>
        </is>
      </c>
      <c r="E661" t="inlineStr">
        <is>
          <t>PNHR000497497</t>
        </is>
      </c>
      <c r="F661" t="inlineStr">
        <is>
          <t>30-06-2024</t>
        </is>
      </c>
      <c r="G661" t="n">
        <v>31733</v>
      </c>
      <c r="I661">
        <f>G661</f>
        <v/>
      </c>
      <c r="K661">
        <f>I661-G661</f>
        <v/>
      </c>
      <c r="M661" t="inlineStr">
        <is>
          <t>PNHR000497497</t>
        </is>
      </c>
      <c r="N661" t="inlineStr">
        <is>
          <t>8134000</t>
        </is>
      </c>
      <c r="O661">
        <f>M661=N661</f>
        <v/>
      </c>
      <c r="P661">
        <f>AND(MONTH(F661)=MONTH(S661), YEAR(F661)=YEAR(S661))</f>
        <v/>
      </c>
      <c r="Q661">
        <f>"L001-902303751"=U661</f>
        <v/>
      </c>
      <c r="R661">
        <f>G661-W661</f>
        <v/>
      </c>
      <c r="S661" s="36" t="n">
        <v>45355</v>
      </c>
      <c r="T661" t="n">
        <v>81340</v>
      </c>
      <c r="U661" t="inlineStr">
        <is>
          <t>K003-901635943</t>
        </is>
      </c>
      <c r="V661" t="inlineStr">
        <is>
          <t>អ៊ីឃ្យូឡាញ វើលវ៉ាយដ៍ ឡូជីស្ទីក</t>
        </is>
      </c>
      <c r="W661" t="n">
        <v>81340</v>
      </c>
      <c r="X661" t="n">
        <v>0</v>
      </c>
    </row>
    <row r="662">
      <c r="A662" t="n">
        <v>661</v>
      </c>
      <c r="B662" t="inlineStr">
        <is>
          <t>Sending Sample</t>
        </is>
      </c>
      <c r="C662" t="inlineStr">
        <is>
          <t>ឌី អេច អិល អិចប្រេស (ខេមបូឌា)</t>
        </is>
      </c>
      <c r="D662" t="inlineStr">
        <is>
          <t>L001-100045197</t>
        </is>
      </c>
      <c r="E662" t="inlineStr">
        <is>
          <t>PNHR000497054</t>
        </is>
      </c>
      <c r="F662" t="inlineStr">
        <is>
          <t>27-06-2024</t>
        </is>
      </c>
      <c r="G662" t="n">
        <v>36241</v>
      </c>
      <c r="I662">
        <f>G662</f>
        <v/>
      </c>
      <c r="K662">
        <f>I662-G662</f>
        <v/>
      </c>
      <c r="M662" t="inlineStr">
        <is>
          <t>PNHR000497054</t>
        </is>
      </c>
      <c r="N662" t="inlineStr">
        <is>
          <t>10980900</t>
        </is>
      </c>
      <c r="O662">
        <f>M662=N662</f>
        <v/>
      </c>
      <c r="P662">
        <f>AND(MONTH(F662)=MONTH(S662), YEAR(F662)=YEAR(S662))</f>
        <v/>
      </c>
      <c r="Q662">
        <f>"L001-902303751"=U662</f>
        <v/>
      </c>
      <c r="R662">
        <f>G662-W662</f>
        <v/>
      </c>
      <c r="S662" s="36" t="n">
        <v>45355</v>
      </c>
      <c r="T662" t="n">
        <v>109809</v>
      </c>
      <c r="U662" t="inlineStr">
        <is>
          <t>K005-100059945</t>
        </is>
      </c>
      <c r="V662" t="inlineStr">
        <is>
          <t>អ៊ែតវ៉ានស៍ គ្លរី ឡូជីស្ទីក (ខេមបូឌា) (អេ ជី អិល)</t>
        </is>
      </c>
      <c r="W662" t="n">
        <v>109809</v>
      </c>
      <c r="X662" t="n">
        <v>0</v>
      </c>
    </row>
    <row r="663">
      <c r="A663" t="n">
        <v>662</v>
      </c>
      <c r="B663" t="inlineStr">
        <is>
          <t>Sending Sample</t>
        </is>
      </c>
      <c r="C663" t="inlineStr">
        <is>
          <t>ឌី អេច អិល អិចប្រេស (ខេមបូឌា)</t>
        </is>
      </c>
      <c r="D663" t="inlineStr">
        <is>
          <t>L001-100045197</t>
        </is>
      </c>
      <c r="E663" t="inlineStr">
        <is>
          <t>PNHR000496461</t>
        </is>
      </c>
      <c r="F663" t="inlineStr">
        <is>
          <t>20-06-2024</t>
        </is>
      </c>
      <c r="G663" t="n">
        <v>79360</v>
      </c>
      <c r="I663">
        <f>G663</f>
        <v/>
      </c>
      <c r="K663">
        <f>I663-G663</f>
        <v/>
      </c>
      <c r="M663" t="inlineStr">
        <is>
          <t>PNHR000496461</t>
        </is>
      </c>
      <c r="N663" t="inlineStr">
        <is>
          <t>11224900</t>
        </is>
      </c>
      <c r="O663">
        <f>M663=N663</f>
        <v/>
      </c>
      <c r="P663">
        <f>AND(MONTH(F663)=MONTH(S663), YEAR(F663)=YEAR(S663))</f>
        <v/>
      </c>
      <c r="Q663">
        <f>"L001-902303751"=U663</f>
        <v/>
      </c>
      <c r="R663">
        <f>G663-W663</f>
        <v/>
      </c>
      <c r="S663" s="36" t="n">
        <v>45355</v>
      </c>
      <c r="T663" t="n">
        <v>112249</v>
      </c>
      <c r="U663" t="inlineStr">
        <is>
          <t>K005-901805913</t>
        </is>
      </c>
      <c r="V663" t="inlineStr">
        <is>
          <t>ស្តារ ខង់ខដ (ខេមបូឌា) ឯ.ក</t>
        </is>
      </c>
      <c r="W663" t="n">
        <v>112249</v>
      </c>
      <c r="X663" t="n">
        <v>0</v>
      </c>
    </row>
    <row r="664">
      <c r="A664" t="n">
        <v>663</v>
      </c>
      <c r="B664" t="inlineStr">
        <is>
          <t>Sending Sample</t>
        </is>
      </c>
      <c r="C664" t="inlineStr">
        <is>
          <t>ឌី អេច អិល អិចប្រេស (ខេមបូឌា)</t>
        </is>
      </c>
      <c r="D664" t="inlineStr">
        <is>
          <t>L001-100045197</t>
        </is>
      </c>
      <c r="E664" t="inlineStr">
        <is>
          <t>PNHR000495854</t>
        </is>
      </c>
      <c r="F664" t="inlineStr">
        <is>
          <t>13-06-2024</t>
        </is>
      </c>
      <c r="G664" t="n">
        <v>24014</v>
      </c>
      <c r="I664">
        <f>G664</f>
        <v/>
      </c>
      <c r="K664">
        <f>I664-G664</f>
        <v/>
      </c>
      <c r="M664" t="inlineStr">
        <is>
          <t>PNHR000495854</t>
        </is>
      </c>
      <c r="N664" t="inlineStr"/>
      <c r="O664">
        <f>M664=N664</f>
        <v/>
      </c>
      <c r="P664">
        <f>AND(MONTH(F664)=MONTH(S664), YEAR(F664)=YEAR(S664))</f>
        <v/>
      </c>
      <c r="Q664">
        <f>"L001-902303751"=U664</f>
        <v/>
      </c>
      <c r="R664">
        <f>G664-W664</f>
        <v/>
      </c>
      <c r="S664" s="36" t="n">
        <v>45355</v>
      </c>
      <c r="T664" t="inlineStr"/>
      <c r="U664" t="inlineStr">
        <is>
          <t>K005-100150195</t>
        </is>
      </c>
      <c r="V664" t="inlineStr">
        <is>
          <t>អេស អ វី ស៊ី ហ្វ្រេត សឺវីស (ខេមបូឌា) ខូ អិលធីឌី</t>
        </is>
      </c>
      <c r="W664" t="n">
        <v>0</v>
      </c>
      <c r="X664" t="n">
        <v>0</v>
      </c>
    </row>
    <row r="665">
      <c r="A665" t="n">
        <v>664</v>
      </c>
      <c r="B665" t="inlineStr">
        <is>
          <t>Sending Sample</t>
        </is>
      </c>
      <c r="C665" t="inlineStr">
        <is>
          <t>ឌី អេច អិល អិចប្រេស (ខេមបូឌា)</t>
        </is>
      </c>
      <c r="D665" t="inlineStr">
        <is>
          <t>L001-100045197</t>
        </is>
      </c>
      <c r="E665" t="inlineStr">
        <is>
          <t>PNHR000495249</t>
        </is>
      </c>
      <c r="F665" t="inlineStr">
        <is>
          <t>06-06-2024</t>
        </is>
      </c>
      <c r="G665" t="n">
        <v>29624</v>
      </c>
      <c r="I665">
        <f>G665</f>
        <v/>
      </c>
      <c r="K665">
        <f>I665-G665</f>
        <v/>
      </c>
      <c r="M665" t="inlineStr">
        <is>
          <t>PNHR000495249</t>
        </is>
      </c>
      <c r="N665" t="inlineStr">
        <is>
          <t>11158700</t>
        </is>
      </c>
      <c r="O665">
        <f>M665=N665</f>
        <v/>
      </c>
      <c r="P665">
        <f>AND(MONTH(F665)=MONTH(S665), YEAR(F665)=YEAR(S665))</f>
        <v/>
      </c>
      <c r="Q665">
        <f>"L001-902303751"=U665</f>
        <v/>
      </c>
      <c r="R665">
        <f>G665-W665</f>
        <v/>
      </c>
      <c r="S665" s="36" t="n">
        <v>45363</v>
      </c>
      <c r="T665" t="n">
        <v>111587</v>
      </c>
      <c r="U665" t="inlineStr">
        <is>
          <t>K003-901635943</t>
        </is>
      </c>
      <c r="V665" t="inlineStr">
        <is>
          <t>អ៊ីឃ្យូឡាញ វើលវ៉ាយដ៍ ឡូជីស្ទីក</t>
        </is>
      </c>
      <c r="W665" t="n">
        <v>111587</v>
      </c>
      <c r="X665" t="n">
        <v>0</v>
      </c>
    </row>
    <row r="666">
      <c r="A666" t="n">
        <v>665</v>
      </c>
      <c r="B666" t="inlineStr">
        <is>
          <t>Sending Doc</t>
        </is>
      </c>
      <c r="C666" t="inlineStr">
        <is>
          <t>ឌី អេច អិល អិចប្រេស (ខេមបូឌា)</t>
        </is>
      </c>
      <c r="D666" t="inlineStr">
        <is>
          <t>L001-100045197</t>
        </is>
      </c>
      <c r="E666" t="inlineStr">
        <is>
          <t>PNHIR00227534</t>
        </is>
      </c>
      <c r="F666" t="inlineStr">
        <is>
          <t>28-06-2024</t>
        </is>
      </c>
      <c r="G666" t="n">
        <v>8220</v>
      </c>
      <c r="I666">
        <f>G666</f>
        <v/>
      </c>
      <c r="K666">
        <f>I666-G666</f>
        <v/>
      </c>
      <c r="M666" t="inlineStr">
        <is>
          <t>PNHIR00227534</t>
        </is>
      </c>
      <c r="N666" t="inlineStr"/>
      <c r="O666">
        <f>M666=N666</f>
        <v/>
      </c>
      <c r="P666">
        <f>AND(MONTH(F666)=MONTH(S666), YEAR(F666)=YEAR(S666))</f>
        <v/>
      </c>
      <c r="Q666">
        <f>"L001-902303751"=U666</f>
        <v/>
      </c>
      <c r="R666">
        <f>G666-W666</f>
        <v/>
      </c>
      <c r="S666" s="36" t="n">
        <v>45376</v>
      </c>
      <c r="T666" t="inlineStr"/>
      <c r="U666" t="inlineStr">
        <is>
          <t>K005-901805913</t>
        </is>
      </c>
      <c r="V666" t="inlineStr">
        <is>
          <t>ស្តារ ខង់ខដ (ខេមបូឌា) ឯ.ក</t>
        </is>
      </c>
      <c r="W666" t="n">
        <v>0</v>
      </c>
      <c r="X666" t="n">
        <v>0</v>
      </c>
    </row>
    <row r="667">
      <c r="A667" t="n">
        <v>666</v>
      </c>
      <c r="B667" t="inlineStr">
        <is>
          <t>Sending Doc</t>
        </is>
      </c>
      <c r="C667" t="inlineStr">
        <is>
          <t>ឌី អេច អិល អិចប្រេស (ខេមបូឌា)</t>
        </is>
      </c>
      <c r="D667" t="inlineStr">
        <is>
          <t>L001-100045197</t>
        </is>
      </c>
      <c r="E667" t="inlineStr">
        <is>
          <t>PNHIR00226864</t>
        </is>
      </c>
      <c r="F667" t="inlineStr">
        <is>
          <t>26-06-2024</t>
        </is>
      </c>
      <c r="G667" t="n">
        <v>6165</v>
      </c>
      <c r="I667">
        <f>G667</f>
        <v/>
      </c>
      <c r="K667">
        <f>I667-G667</f>
        <v/>
      </c>
      <c r="M667" t="inlineStr">
        <is>
          <t>PNHIR00226864</t>
        </is>
      </c>
      <c r="N667" t="inlineStr">
        <is>
          <t>10980900</t>
        </is>
      </c>
      <c r="O667">
        <f>M667=N667</f>
        <v/>
      </c>
      <c r="P667">
        <f>AND(MONTH(F667)=MONTH(S667), YEAR(F667)=YEAR(S667))</f>
        <v/>
      </c>
      <c r="Q667">
        <f>"L001-902303751"=U667</f>
        <v/>
      </c>
      <c r="R667">
        <f>G667-W667</f>
        <v/>
      </c>
      <c r="S667" s="36" t="n">
        <v>45355</v>
      </c>
      <c r="T667" t="n">
        <v>109809</v>
      </c>
      <c r="U667" t="inlineStr">
        <is>
          <t>L001-107032791</t>
        </is>
      </c>
      <c r="V667" t="inlineStr">
        <is>
          <t>នីបផន អិចប្រេស (ខេមបូឌា) ខូ អិលធីឌី</t>
        </is>
      </c>
      <c r="W667" t="n">
        <v>109809</v>
      </c>
      <c r="X667" t="n">
        <v>0</v>
      </c>
    </row>
    <row r="668">
      <c r="A668" t="n">
        <v>667</v>
      </c>
      <c r="B668" t="inlineStr">
        <is>
          <t>Sending Sample</t>
        </is>
      </c>
      <c r="C668" t="inlineStr">
        <is>
          <t>ឌី អេច អិល អិចប្រេស (ខេមបូឌា)</t>
        </is>
      </c>
      <c r="D668" t="inlineStr">
        <is>
          <t>L001-100045197</t>
        </is>
      </c>
      <c r="E668" t="inlineStr">
        <is>
          <t>PNHIR00226270</t>
        </is>
      </c>
      <c r="F668" t="inlineStr">
        <is>
          <t>24-06-2024</t>
        </is>
      </c>
      <c r="G668" t="n">
        <v>16484</v>
      </c>
      <c r="I668">
        <f>G668</f>
        <v/>
      </c>
      <c r="K668">
        <f>I668-G668</f>
        <v/>
      </c>
      <c r="M668" t="inlineStr">
        <is>
          <t>PNHIR00226270</t>
        </is>
      </c>
      <c r="N668" t="inlineStr"/>
      <c r="O668">
        <f>M668=N668</f>
        <v/>
      </c>
      <c r="P668">
        <f>AND(MONTH(F668)=MONTH(S668), YEAR(F668)=YEAR(S668))</f>
        <v/>
      </c>
      <c r="Q668">
        <f>"L001-902303751"=U668</f>
        <v/>
      </c>
      <c r="R668">
        <f>G668-W668</f>
        <v/>
      </c>
      <c r="S668" s="36" t="n">
        <v>45376</v>
      </c>
      <c r="T668" t="inlineStr"/>
      <c r="U668" t="inlineStr">
        <is>
          <t>L001-107032791</t>
        </is>
      </c>
      <c r="V668" t="inlineStr">
        <is>
          <t>នីបផន អិចប្រេស (ខេមបូឌា) ខូ អិលធីឌី</t>
        </is>
      </c>
      <c r="W668" t="n">
        <v>0</v>
      </c>
      <c r="X668" t="n">
        <v>0</v>
      </c>
    </row>
    <row r="669">
      <c r="A669" t="n">
        <v>668</v>
      </c>
      <c r="B669" t="inlineStr">
        <is>
          <t>Sending Doc</t>
        </is>
      </c>
      <c r="C669" t="inlineStr">
        <is>
          <t>ឌី អេច អិល អិចប្រេស (ខេមបូឌា)</t>
        </is>
      </c>
      <c r="D669" t="inlineStr">
        <is>
          <t>L001-100045197</t>
        </is>
      </c>
      <c r="E669" t="inlineStr">
        <is>
          <t>PNHIR00226269</t>
        </is>
      </c>
      <c r="F669" t="inlineStr">
        <is>
          <t>24-06-2024</t>
        </is>
      </c>
      <c r="G669" t="n">
        <v>6181</v>
      </c>
      <c r="I669">
        <f>G669</f>
        <v/>
      </c>
      <c r="K669">
        <f>I669-G669</f>
        <v/>
      </c>
      <c r="M669" t="inlineStr">
        <is>
          <t>PNHIR00226269</t>
        </is>
      </c>
      <c r="N669" t="inlineStr"/>
      <c r="O669">
        <f>M669=N669</f>
        <v/>
      </c>
      <c r="P669">
        <f>AND(MONTH(F669)=MONTH(S669), YEAR(F669)=YEAR(S669))</f>
        <v/>
      </c>
      <c r="Q669">
        <f>"L001-902303751"=U669</f>
        <v/>
      </c>
      <c r="R669">
        <f>G669-W669</f>
        <v/>
      </c>
      <c r="S669" s="36" t="n">
        <v>45369</v>
      </c>
      <c r="T669" t="inlineStr"/>
      <c r="U669" t="inlineStr">
        <is>
          <t>L001-107041723</t>
        </is>
      </c>
      <c r="V669" t="inlineStr">
        <is>
          <t>ឌីប៊ី សេនឃើរ (ខេមបូឌា) លីមីធីត</t>
        </is>
      </c>
      <c r="W669" t="n">
        <v>0</v>
      </c>
      <c r="X669" t="n">
        <v>0</v>
      </c>
    </row>
    <row r="670">
      <c r="A670" t="n">
        <v>669</v>
      </c>
      <c r="B670" t="inlineStr">
        <is>
          <t>Sending Material</t>
        </is>
      </c>
      <c r="C670" t="inlineStr">
        <is>
          <t>ឌី អេច អិល អិចប្រេស (ខេមបូឌា)</t>
        </is>
      </c>
      <c r="D670" t="inlineStr">
        <is>
          <t>L001-100045197</t>
        </is>
      </c>
      <c r="E670" t="inlineStr">
        <is>
          <t>PNHIR00226230</t>
        </is>
      </c>
      <c r="F670" t="inlineStr">
        <is>
          <t>21-06-2024</t>
        </is>
      </c>
      <c r="G670" t="n">
        <v>8244</v>
      </c>
      <c r="I670">
        <f>G670</f>
        <v/>
      </c>
      <c r="K670">
        <f>I670-G670</f>
        <v/>
      </c>
      <c r="M670" t="inlineStr">
        <is>
          <t>PNHIR00226230</t>
        </is>
      </c>
      <c r="N670" t="inlineStr"/>
      <c r="O670">
        <f>M670=N670</f>
        <v/>
      </c>
      <c r="P670">
        <f>AND(MONTH(F670)=MONTH(S670), YEAR(F670)=YEAR(S670))</f>
        <v/>
      </c>
      <c r="Q670">
        <f>"L001-902303751"=U670</f>
        <v/>
      </c>
      <c r="R670">
        <f>G670-W670</f>
        <v/>
      </c>
      <c r="S670" s="36" t="n">
        <v>45369</v>
      </c>
      <c r="T670" t="inlineStr"/>
      <c r="U670" t="inlineStr">
        <is>
          <t>L001-107032791</t>
        </is>
      </c>
      <c r="V670" t="inlineStr">
        <is>
          <t>នីបផន អិចប្រេស (ខេមបូឌា) ខូ អិលធីឌី</t>
        </is>
      </c>
      <c r="W670" t="n">
        <v>0</v>
      </c>
      <c r="X670" t="n">
        <v>0</v>
      </c>
    </row>
    <row r="671">
      <c r="A671" t="n">
        <v>670</v>
      </c>
      <c r="B671" t="inlineStr">
        <is>
          <t>Sending Material</t>
        </is>
      </c>
      <c r="C671" t="inlineStr">
        <is>
          <t>ឌី អេច អិល អិចប្រេស (ខេមបូឌា)</t>
        </is>
      </c>
      <c r="D671" t="inlineStr">
        <is>
          <t>L001-100045197</t>
        </is>
      </c>
      <c r="E671" t="inlineStr">
        <is>
          <t>PNHIR00226229</t>
        </is>
      </c>
      <c r="F671" t="inlineStr">
        <is>
          <t>21-06-2024</t>
        </is>
      </c>
      <c r="G671" t="n">
        <v>8255</v>
      </c>
      <c r="I671">
        <f>G671</f>
        <v/>
      </c>
      <c r="K671">
        <f>I671-G671</f>
        <v/>
      </c>
      <c r="M671" t="inlineStr">
        <is>
          <t>PNHIR00226229</t>
        </is>
      </c>
      <c r="N671" t="inlineStr"/>
      <c r="O671">
        <f>M671=N671</f>
        <v/>
      </c>
      <c r="P671">
        <f>AND(MONTH(F671)=MONTH(S671), YEAR(F671)=YEAR(S671))</f>
        <v/>
      </c>
      <c r="Q671">
        <f>"L001-902303751"=U671</f>
        <v/>
      </c>
      <c r="R671">
        <f>G671-W671</f>
        <v/>
      </c>
      <c r="S671" s="36" t="n">
        <v>45369</v>
      </c>
      <c r="T671" t="inlineStr"/>
      <c r="U671" t="inlineStr">
        <is>
          <t>L001-100045340</t>
        </is>
      </c>
      <c r="V671" t="inlineStr">
        <is>
          <t xml:space="preserve">ស៊ីវ៉ា អ៊ែរ អ៊ែន អូសៀន (ខេមបូឌា) ឯ.ក </t>
        </is>
      </c>
      <c r="W671" t="n">
        <v>0</v>
      </c>
      <c r="X671" t="n">
        <v>0</v>
      </c>
    </row>
    <row r="672">
      <c r="A672" t="n">
        <v>671</v>
      </c>
      <c r="B672" t="inlineStr">
        <is>
          <t>Sending Material</t>
        </is>
      </c>
      <c r="C672" t="inlineStr">
        <is>
          <t>ឌី អេច អិល អិចប្រេស (ខេមបូឌា)</t>
        </is>
      </c>
      <c r="D672" t="inlineStr">
        <is>
          <t>L001-100045197</t>
        </is>
      </c>
      <c r="E672" t="inlineStr">
        <is>
          <t>PNHIR00226066</t>
        </is>
      </c>
      <c r="F672" t="inlineStr">
        <is>
          <t>20-06-2024</t>
        </is>
      </c>
      <c r="G672" t="n">
        <v>3162</v>
      </c>
      <c r="I672">
        <f>G672</f>
        <v/>
      </c>
      <c r="K672">
        <f>I672-G672</f>
        <v/>
      </c>
      <c r="M672" t="inlineStr">
        <is>
          <t>PNHIR00226066</t>
        </is>
      </c>
      <c r="N672" t="inlineStr"/>
      <c r="O672">
        <f>M672=N672</f>
        <v/>
      </c>
      <c r="P672">
        <f>AND(MONTH(F672)=MONTH(S672), YEAR(F672)=YEAR(S672))</f>
        <v/>
      </c>
      <c r="Q672">
        <f>"L001-902303751"=U672</f>
        <v/>
      </c>
      <c r="R672">
        <f>G672-W672</f>
        <v/>
      </c>
      <c r="S672" s="36" t="n">
        <v>45369</v>
      </c>
      <c r="T672" t="inlineStr"/>
      <c r="U672" t="inlineStr">
        <is>
          <t>K005-901805913</t>
        </is>
      </c>
      <c r="V672" t="inlineStr">
        <is>
          <t>ស្តារ ខង់ខដ (ខេមបូឌា) ឯ.ក</t>
        </is>
      </c>
      <c r="W672" t="n">
        <v>0</v>
      </c>
      <c r="X672" t="n">
        <v>0</v>
      </c>
    </row>
    <row r="673">
      <c r="A673" t="n">
        <v>672</v>
      </c>
      <c r="B673" t="inlineStr">
        <is>
          <t>Sending Material</t>
        </is>
      </c>
      <c r="C673" t="inlineStr">
        <is>
          <t>ឌី អេច អិល អិចប្រេស (ខេមបូឌា)</t>
        </is>
      </c>
      <c r="D673" t="inlineStr">
        <is>
          <t>L001-100045197</t>
        </is>
      </c>
      <c r="E673" t="inlineStr">
        <is>
          <t>PNHIR00226065</t>
        </is>
      </c>
      <c r="F673" t="inlineStr">
        <is>
          <t>20-06-2024</t>
        </is>
      </c>
      <c r="G673" t="n">
        <v>11095</v>
      </c>
      <c r="I673">
        <f>G673</f>
        <v/>
      </c>
      <c r="K673">
        <f>I673-G673</f>
        <v/>
      </c>
      <c r="M673" t="inlineStr">
        <is>
          <t>PNHIR00226065</t>
        </is>
      </c>
      <c r="N673" t="inlineStr">
        <is>
          <t>11400200</t>
        </is>
      </c>
      <c r="O673">
        <f>M673=N673</f>
        <v/>
      </c>
      <c r="P673">
        <f>AND(MONTH(F673)=MONTH(S673), YEAR(F673)=YEAR(S673))</f>
        <v/>
      </c>
      <c r="Q673">
        <f>"L001-902303751"=U673</f>
        <v/>
      </c>
      <c r="R673">
        <f>G673-W673</f>
        <v/>
      </c>
      <c r="S673" s="36" t="n">
        <v>45369</v>
      </c>
      <c r="T673" t="n">
        <v>114002</v>
      </c>
      <c r="U673" t="inlineStr">
        <is>
          <t>K005-901805913</t>
        </is>
      </c>
      <c r="V673" t="inlineStr">
        <is>
          <t>ស្តារ ខង់ខដ (ខេមបូឌា) ឯ.ក</t>
        </is>
      </c>
      <c r="W673" t="n">
        <v>114002</v>
      </c>
      <c r="X673" t="n">
        <v>0</v>
      </c>
    </row>
    <row r="674">
      <c r="A674" t="n">
        <v>673</v>
      </c>
      <c r="B674" t="inlineStr">
        <is>
          <t>Sending Material</t>
        </is>
      </c>
      <c r="C674" t="inlineStr">
        <is>
          <t>ឌី អេច អិល អិចប្រេស (ខេមបូឌា)</t>
        </is>
      </c>
      <c r="D674" t="inlineStr">
        <is>
          <t>L001-100045197</t>
        </is>
      </c>
      <c r="E674" t="inlineStr">
        <is>
          <t>PNHIR00224365</t>
        </is>
      </c>
      <c r="F674" t="inlineStr">
        <is>
          <t>13-06-2024</t>
        </is>
      </c>
      <c r="G674" t="n">
        <v>24389</v>
      </c>
      <c r="I674">
        <f>G674</f>
        <v/>
      </c>
      <c r="K674">
        <f>I674-G674</f>
        <v/>
      </c>
      <c r="M674" t="inlineStr">
        <is>
          <t>PNHIR00224365</t>
        </is>
      </c>
      <c r="N674" t="inlineStr">
        <is>
          <t>10980900</t>
        </is>
      </c>
      <c r="O674">
        <f>M674=N674</f>
        <v/>
      </c>
      <c r="P674">
        <f>AND(MONTH(F674)=MONTH(S674), YEAR(F674)=YEAR(S674))</f>
        <v/>
      </c>
      <c r="Q674">
        <f>"L001-902303751"=U674</f>
        <v/>
      </c>
      <c r="R674">
        <f>G674-W674</f>
        <v/>
      </c>
      <c r="S674" s="36" t="n">
        <v>45355</v>
      </c>
      <c r="T674" t="n">
        <v>109809</v>
      </c>
      <c r="U674" t="inlineStr">
        <is>
          <t>K005-100059945</t>
        </is>
      </c>
      <c r="V674" t="inlineStr">
        <is>
          <t>អ៊ែតវ៉ានស៍ គ្លរី ឡូជីស្ទីក (ខេមបូឌា) (អេ ជី អិល)</t>
        </is>
      </c>
      <c r="W674" t="n">
        <v>109809</v>
      </c>
      <c r="X674" t="n">
        <v>0</v>
      </c>
    </row>
    <row r="675">
      <c r="A675" t="n">
        <v>674</v>
      </c>
      <c r="B675" t="inlineStr">
        <is>
          <t>Delivery Fee</t>
        </is>
      </c>
      <c r="C675" t="inlineStr">
        <is>
          <t>សំអាង &amp; មករា ត្រេនស្ព័ត ឯ.ក</t>
        </is>
      </c>
      <c r="D675" t="inlineStr">
        <is>
          <t>K010-902204282</t>
        </is>
      </c>
      <c r="E675" t="inlineStr">
        <is>
          <t>202300064</t>
        </is>
      </c>
      <c r="F675" t="inlineStr">
        <is>
          <t>29-06-2024</t>
        </is>
      </c>
      <c r="G675" t="n">
        <v>1075998</v>
      </c>
      <c r="I675">
        <f>G675</f>
        <v/>
      </c>
      <c r="K675">
        <f>I675-G675</f>
        <v/>
      </c>
      <c r="M675" t="inlineStr">
        <is>
          <t>202300064</t>
        </is>
      </c>
      <c r="N675" t="inlineStr">
        <is>
          <t>17081400</t>
        </is>
      </c>
      <c r="O675">
        <f>M675=N675</f>
        <v/>
      </c>
      <c r="P675">
        <f>AND(MONTH(F675)=MONTH(S675), YEAR(F675)=YEAR(S675))</f>
        <v/>
      </c>
      <c r="Q675">
        <f>"L001-902303751"=U675</f>
        <v/>
      </c>
      <c r="R675">
        <f>G675-W675</f>
        <v/>
      </c>
      <c r="S675" s="36" t="n">
        <v>45355</v>
      </c>
      <c r="T675" t="n">
        <v>170814</v>
      </c>
      <c r="U675" t="inlineStr">
        <is>
          <t>K005-100150195</t>
        </is>
      </c>
      <c r="V675" t="inlineStr">
        <is>
          <t>អេស អ វី ស៊ី ហ្វ្រេត សឺវីស (ខេមបូឌា) ខូ អិលធីឌី</t>
        </is>
      </c>
      <c r="W675" t="n">
        <v>170814</v>
      </c>
      <c r="X675" t="n">
        <v>0</v>
      </c>
    </row>
    <row r="676">
      <c r="A676" t="n">
        <v>675</v>
      </c>
      <c r="B676" t="inlineStr">
        <is>
          <t>Monthly Security for June 2024</t>
        </is>
      </c>
      <c r="C676" t="inlineStr">
        <is>
          <t>អិល.ប៊ី.អិល.អេច ស៊ីឃ្យូរឹធី ឯ.ក</t>
        </is>
      </c>
      <c r="D676" t="inlineStr">
        <is>
          <t>K010-902202247</t>
        </is>
      </c>
      <c r="E676" t="inlineStr">
        <is>
          <t>L.B.L.H00006</t>
        </is>
      </c>
      <c r="F676" t="inlineStr">
        <is>
          <t>25-06-2024</t>
        </is>
      </c>
      <c r="G676" t="n">
        <v>1405962</v>
      </c>
      <c r="I676">
        <f>G676</f>
        <v/>
      </c>
      <c r="K676">
        <f>I676-G676</f>
        <v/>
      </c>
      <c r="M676" t="inlineStr">
        <is>
          <t>LBLH00006</t>
        </is>
      </c>
      <c r="N676" t="inlineStr">
        <is>
          <t>10948500</t>
        </is>
      </c>
      <c r="O676">
        <f>M676=N676</f>
        <v/>
      </c>
      <c r="P676">
        <f>AND(MONTH(F676)=MONTH(S676), YEAR(F676)=YEAR(S676))</f>
        <v/>
      </c>
      <c r="Q676">
        <f>"L001-902303751"=U676</f>
        <v/>
      </c>
      <c r="R676">
        <f>G676-W676</f>
        <v/>
      </c>
      <c r="S676" s="36" t="n">
        <v>45362</v>
      </c>
      <c r="T676" t="n">
        <v>109485</v>
      </c>
      <c r="U676" t="inlineStr">
        <is>
          <t>L001-107000385</t>
        </is>
      </c>
      <c r="V676" t="inlineStr">
        <is>
          <t>អិចស្ពោលាំងកា ហ្រ្វេត (ខេមបូឌា) លីមីធីត</t>
        </is>
      </c>
      <c r="W676" t="n">
        <v>109485</v>
      </c>
      <c r="X676" t="n">
        <v>0</v>
      </c>
    </row>
    <row r="677">
      <c r="A677" t="n">
        <v>676</v>
      </c>
      <c r="B677" t="inlineStr">
        <is>
          <t>Monthly Security for June 2024</t>
        </is>
      </c>
      <c r="C677" t="inlineStr">
        <is>
          <t>អិល.ប៊ី.អិល.អេច ស៊ីឃ្យូរឹធី ឯ.ក</t>
        </is>
      </c>
      <c r="D677" t="inlineStr">
        <is>
          <t>K010-902202247</t>
        </is>
      </c>
      <c r="E677" t="inlineStr">
        <is>
          <t>L.B.L.H00020</t>
        </is>
      </c>
      <c r="F677" t="inlineStr">
        <is>
          <t>25-06-2024</t>
        </is>
      </c>
      <c r="G677" t="n">
        <v>616650</v>
      </c>
      <c r="I677">
        <f>G677</f>
        <v/>
      </c>
      <c r="K677">
        <f>I677-G677</f>
        <v/>
      </c>
      <c r="M677" t="inlineStr">
        <is>
          <t>LBLH00020</t>
        </is>
      </c>
      <c r="N677" t="inlineStr">
        <is>
          <t>11224900</t>
        </is>
      </c>
      <c r="O677">
        <f>M677=N677</f>
        <v/>
      </c>
      <c r="P677">
        <f>AND(MONTH(F677)=MONTH(S677), YEAR(F677)=YEAR(S677))</f>
        <v/>
      </c>
      <c r="Q677">
        <f>"L001-902303751"=U677</f>
        <v/>
      </c>
      <c r="R677">
        <f>G677-W677</f>
        <v/>
      </c>
      <c r="S677" s="36" t="n">
        <v>45355</v>
      </c>
      <c r="T677" t="n">
        <v>112249</v>
      </c>
      <c r="U677" t="inlineStr">
        <is>
          <t>K003-901635943</t>
        </is>
      </c>
      <c r="V677" t="inlineStr">
        <is>
          <t>អ៊ីឃ្យូឡាញ វើលវ៉ាយដ៍ ឡូជីស្ទីក</t>
        </is>
      </c>
      <c r="W677" t="n">
        <v>112249</v>
      </c>
      <c r="X677" t="n">
        <v>0</v>
      </c>
    </row>
    <row r="678">
      <c r="A678" t="n">
        <v>677</v>
      </c>
      <c r="B678" t="inlineStr">
        <is>
          <t>Machine</t>
        </is>
      </c>
      <c r="C678" t="inlineStr">
        <is>
          <t>ក្លាក ហ៊ូ ឯ.ក</t>
        </is>
      </c>
      <c r="D678" t="inlineStr">
        <is>
          <t>K007-901639199</t>
        </is>
      </c>
      <c r="E678" t="inlineStr">
        <is>
          <t>IN1263</t>
        </is>
      </c>
      <c r="F678" t="inlineStr">
        <is>
          <t>27-06-2024</t>
        </is>
      </c>
      <c r="G678" t="n">
        <v>23416</v>
      </c>
      <c r="I678">
        <f>G678</f>
        <v/>
      </c>
      <c r="K678">
        <f>I678-G678</f>
        <v/>
      </c>
      <c r="M678" t="inlineStr">
        <is>
          <t>IN1263</t>
        </is>
      </c>
      <c r="N678" t="inlineStr">
        <is>
          <t>8378000</t>
        </is>
      </c>
      <c r="O678">
        <f>M678=N678</f>
        <v/>
      </c>
      <c r="P678">
        <f>AND(MONTH(F678)=MONTH(S678), YEAR(F678)=YEAR(S678))</f>
        <v/>
      </c>
      <c r="Q678">
        <f>"L001-902303751"=U678</f>
        <v/>
      </c>
      <c r="R678">
        <f>G678-W678</f>
        <v/>
      </c>
      <c r="S678" s="36" t="n">
        <v>45355</v>
      </c>
      <c r="T678" t="n">
        <v>83780</v>
      </c>
      <c r="U678" t="inlineStr">
        <is>
          <t>L001-100045340</t>
        </is>
      </c>
      <c r="V678" t="inlineStr">
        <is>
          <t xml:space="preserve">ស៊ីវ៉ា អ៊ែរ អ៊ែន អូសៀន (ខេមបូឌា) ឯ.ក </t>
        </is>
      </c>
      <c r="W678" t="n">
        <v>83780</v>
      </c>
      <c r="X678" t="n">
        <v>0</v>
      </c>
    </row>
    <row r="679">
      <c r="A679" t="n">
        <v>678</v>
      </c>
      <c r="B679" t="inlineStr">
        <is>
          <t>Machine</t>
        </is>
      </c>
      <c r="C679" t="inlineStr">
        <is>
          <t>ក្លាក ហ៊ូ ឯ.ក</t>
        </is>
      </c>
      <c r="D679" t="inlineStr">
        <is>
          <t>K007-901639199</t>
        </is>
      </c>
      <c r="E679" t="inlineStr">
        <is>
          <t>IN1264</t>
        </is>
      </c>
      <c r="F679" t="inlineStr">
        <is>
          <t>27-06-2024</t>
        </is>
      </c>
      <c r="G679" t="n">
        <v>26702</v>
      </c>
      <c r="I679">
        <f>G679</f>
        <v/>
      </c>
      <c r="K679">
        <f>I679-G679</f>
        <v/>
      </c>
      <c r="M679" t="inlineStr">
        <is>
          <t>IN1264</t>
        </is>
      </c>
      <c r="N679" t="inlineStr">
        <is>
          <t>8086000</t>
        </is>
      </c>
      <c r="O679">
        <f>M679=N679</f>
        <v/>
      </c>
      <c r="P679">
        <f>AND(MONTH(F679)=MONTH(S679), YEAR(F679)=YEAR(S679))</f>
        <v/>
      </c>
      <c r="Q679">
        <f>"L001-902303751"=U679</f>
        <v/>
      </c>
      <c r="R679">
        <f>G679-W679</f>
        <v/>
      </c>
      <c r="S679" s="36" t="n">
        <v>45363</v>
      </c>
      <c r="T679" t="n">
        <v>80860</v>
      </c>
      <c r="U679" t="inlineStr">
        <is>
          <t>L001-100045995</t>
        </is>
      </c>
      <c r="V679" t="inlineStr">
        <is>
          <t>ឌីអេចអិល ឡូជីស្ទីក (ខេមបូឌា)</t>
        </is>
      </c>
      <c r="W679" t="n">
        <v>80860</v>
      </c>
      <c r="X679" t="n">
        <v>0</v>
      </c>
    </row>
    <row r="680">
      <c r="A680" t="n">
        <v>679</v>
      </c>
      <c r="B680" t="inlineStr">
        <is>
          <t>Machine</t>
        </is>
      </c>
      <c r="C680" t="inlineStr">
        <is>
          <t>ក្លាក ហ៊ូ ឯ.ក</t>
        </is>
      </c>
      <c r="D680" t="inlineStr">
        <is>
          <t>K007-901639199</t>
        </is>
      </c>
      <c r="E680" t="inlineStr">
        <is>
          <t>IN1265</t>
        </is>
      </c>
      <c r="F680" t="inlineStr">
        <is>
          <t>27-06-2024</t>
        </is>
      </c>
      <c r="G680" t="n">
        <v>21772</v>
      </c>
      <c r="I680">
        <f>G680</f>
        <v/>
      </c>
      <c r="K680">
        <f>I680-G680</f>
        <v/>
      </c>
      <c r="M680" t="inlineStr">
        <is>
          <t>IN1265</t>
        </is>
      </c>
      <c r="N680" t="inlineStr">
        <is>
          <t>8086000</t>
        </is>
      </c>
      <c r="O680">
        <f>M680=N680</f>
        <v/>
      </c>
      <c r="P680">
        <f>AND(MONTH(F680)=MONTH(S680), YEAR(F680)=YEAR(S680))</f>
        <v/>
      </c>
      <c r="Q680">
        <f>"L001-902303751"=U680</f>
        <v/>
      </c>
      <c r="R680">
        <f>G680-W680</f>
        <v/>
      </c>
      <c r="S680" s="36" t="n">
        <v>45363</v>
      </c>
      <c r="T680" t="n">
        <v>80860</v>
      </c>
      <c r="U680" t="inlineStr">
        <is>
          <t>L001-100045995</t>
        </is>
      </c>
      <c r="V680" t="inlineStr">
        <is>
          <t>ឌីអេចអិល ឡូជីស្ទីក (ខេមបូឌា)</t>
        </is>
      </c>
      <c r="W680" t="n">
        <v>80860</v>
      </c>
      <c r="X680" t="n">
        <v>0</v>
      </c>
    </row>
    <row r="681">
      <c r="A681" t="n">
        <v>680</v>
      </c>
      <c r="B681" t="inlineStr">
        <is>
          <t>Machine</t>
        </is>
      </c>
      <c r="C681" t="inlineStr">
        <is>
          <t>ក្លាក ហ៊ូ ឯ.ក</t>
        </is>
      </c>
      <c r="D681" t="inlineStr">
        <is>
          <t>K007-901639199</t>
        </is>
      </c>
      <c r="E681" t="inlineStr">
        <is>
          <t>IN1266</t>
        </is>
      </c>
      <c r="F681" t="inlineStr">
        <is>
          <t>27-06-2024</t>
        </is>
      </c>
      <c r="G681" t="n">
        <v>20540</v>
      </c>
      <c r="I681">
        <f>G681</f>
        <v/>
      </c>
      <c r="K681">
        <f>I681-G681</f>
        <v/>
      </c>
      <c r="M681" t="inlineStr">
        <is>
          <t>IN1266</t>
        </is>
      </c>
      <c r="N681" t="inlineStr"/>
      <c r="O681">
        <f>M681=N681</f>
        <v/>
      </c>
      <c r="P681">
        <f>AND(MONTH(F681)=MONTH(S681), YEAR(F681)=YEAR(S681))</f>
        <v/>
      </c>
      <c r="Q681">
        <f>"L001-902303751"=U681</f>
        <v/>
      </c>
      <c r="R681">
        <f>G681-W681</f>
        <v/>
      </c>
      <c r="S681" s="36" t="n">
        <v>45376</v>
      </c>
      <c r="T681" t="inlineStr"/>
      <c r="U681" t="inlineStr">
        <is>
          <t>L001-100074669</t>
        </is>
      </c>
      <c r="V681" t="inlineStr">
        <is>
          <t>ខេអិលអិន ហ្វ្រេត (ខេមបូឌា) ឯ.ក</t>
        </is>
      </c>
      <c r="W681" t="n">
        <v>0</v>
      </c>
      <c r="X681" t="n">
        <v>0</v>
      </c>
    </row>
    <row r="682">
      <c r="A682" t="n">
        <v>681</v>
      </c>
      <c r="B682" t="inlineStr">
        <is>
          <t>Machine</t>
        </is>
      </c>
      <c r="C682" t="inlineStr">
        <is>
          <t>ក្លាក ហ៊ូ ឯ.ក</t>
        </is>
      </c>
      <c r="D682" t="inlineStr">
        <is>
          <t>K007-901639199</t>
        </is>
      </c>
      <c r="E682" t="inlineStr">
        <is>
          <t>IN1267</t>
        </is>
      </c>
      <c r="F682" t="inlineStr">
        <is>
          <t>27-06-2024</t>
        </is>
      </c>
      <c r="G682" t="n">
        <v>22594</v>
      </c>
      <c r="I682">
        <f>G682</f>
        <v/>
      </c>
      <c r="K682">
        <f>I682-G682</f>
        <v/>
      </c>
      <c r="M682" t="inlineStr">
        <is>
          <t>IN1267</t>
        </is>
      </c>
      <c r="N682" t="inlineStr">
        <is>
          <t>22790200</t>
        </is>
      </c>
      <c r="O682">
        <f>M682=N682</f>
        <v/>
      </c>
      <c r="P682">
        <f>AND(MONTH(F682)=MONTH(S682), YEAR(F682)=YEAR(S682))</f>
        <v/>
      </c>
      <c r="Q682">
        <f>"L001-902303751"=U682</f>
        <v/>
      </c>
      <c r="R682">
        <f>G682-W682</f>
        <v/>
      </c>
      <c r="S682" s="36" t="n">
        <v>45373</v>
      </c>
      <c r="T682" t="n">
        <v>227902</v>
      </c>
      <c r="U682" t="inlineStr">
        <is>
          <t>L001-103007369</t>
        </is>
      </c>
      <c r="V682" t="inlineStr">
        <is>
          <t>អូរៀនថល ឡូជីស្ទីក &amp; ឌីស្ទ្រីប៊្យូសិន (ខេមបូឌា)</t>
        </is>
      </c>
      <c r="W682" t="n">
        <v>227902</v>
      </c>
      <c r="X682" t="n">
        <v>0</v>
      </c>
    </row>
    <row r="683">
      <c r="A683" t="n">
        <v>682</v>
      </c>
      <c r="B683" t="inlineStr">
        <is>
          <t>Machine</t>
        </is>
      </c>
      <c r="C683" t="inlineStr">
        <is>
          <t>ក្លាក ហ៊ូ ឯ.ក</t>
        </is>
      </c>
      <c r="D683" t="inlineStr">
        <is>
          <t>K007-901639199</t>
        </is>
      </c>
      <c r="E683" t="inlineStr">
        <is>
          <t>IN1268</t>
        </is>
      </c>
      <c r="F683" t="inlineStr">
        <is>
          <t>27-06-2024</t>
        </is>
      </c>
      <c r="G683" t="n">
        <v>250588</v>
      </c>
      <c r="I683">
        <f>G683</f>
        <v/>
      </c>
      <c r="K683">
        <f>I683-G683</f>
        <v/>
      </c>
      <c r="M683" t="inlineStr">
        <is>
          <t>IN1268</t>
        </is>
      </c>
      <c r="N683" t="inlineStr">
        <is>
          <t>8134000</t>
        </is>
      </c>
      <c r="O683">
        <f>M683=N683</f>
        <v/>
      </c>
      <c r="P683">
        <f>AND(MONTH(F683)=MONTH(S683), YEAR(F683)=YEAR(S683))</f>
        <v/>
      </c>
      <c r="Q683">
        <f>"L001-902303751"=U683</f>
        <v/>
      </c>
      <c r="R683">
        <f>G683-W683</f>
        <v/>
      </c>
      <c r="S683" s="36" t="n">
        <v>45355</v>
      </c>
      <c r="T683" t="n">
        <v>81340</v>
      </c>
      <c r="U683" t="inlineStr">
        <is>
          <t>L001-100182259</t>
        </is>
      </c>
      <c r="V683" t="inlineStr">
        <is>
          <t>សាខាក្រុមហ៊ុន ប៊ី ឡូជីស្ទីក ខបភើរេសិន (ខេមបូឌា)</t>
        </is>
      </c>
      <c r="W683" t="n">
        <v>81340</v>
      </c>
      <c r="X683" t="n">
        <v>0</v>
      </c>
    </row>
    <row r="684">
      <c r="A684" t="n">
        <v>683</v>
      </c>
      <c r="B684" t="inlineStr">
        <is>
          <t>Machine</t>
        </is>
      </c>
      <c r="C684" t="inlineStr">
        <is>
          <t>ក្លាក ហ៊ូ ឯ.ក</t>
        </is>
      </c>
      <c r="D684" t="inlineStr">
        <is>
          <t>K007-901639199</t>
        </is>
      </c>
      <c r="E684" t="inlineStr">
        <is>
          <t>IN1269</t>
        </is>
      </c>
      <c r="F684" t="inlineStr">
        <is>
          <t>27-06-2024</t>
        </is>
      </c>
      <c r="G684" t="n">
        <v>1294020</v>
      </c>
      <c r="I684">
        <f>G684</f>
        <v/>
      </c>
      <c r="K684">
        <f>I684-G684</f>
        <v/>
      </c>
      <c r="M684" t="inlineStr">
        <is>
          <t>IN1269</t>
        </is>
      </c>
      <c r="N684" t="inlineStr">
        <is>
          <t>20508200</t>
        </is>
      </c>
      <c r="O684">
        <f>M684=N684</f>
        <v/>
      </c>
      <c r="P684">
        <f>AND(MONTH(F684)=MONTH(S684), YEAR(F684)=YEAR(S684))</f>
        <v/>
      </c>
      <c r="Q684">
        <f>"L001-902303751"=U684</f>
        <v/>
      </c>
      <c r="R684">
        <f>G684-W684</f>
        <v/>
      </c>
      <c r="S684" s="36" t="n">
        <v>45376</v>
      </c>
      <c r="T684" t="n">
        <v>205082</v>
      </c>
      <c r="U684" t="inlineStr">
        <is>
          <t>L001-100074669</t>
        </is>
      </c>
      <c r="V684" t="inlineStr">
        <is>
          <t>ខេអិលអិន ហ្វ្រេត (ខេមបូឌា) ឯ.ក</t>
        </is>
      </c>
      <c r="W684" t="n">
        <v>205082</v>
      </c>
      <c r="X684" t="n">
        <v>0</v>
      </c>
    </row>
    <row r="685">
      <c r="A685" t="n">
        <v>684</v>
      </c>
      <c r="B685" t="inlineStr">
        <is>
          <t>Overtime Charge</t>
        </is>
      </c>
      <c r="C685" t="inlineStr">
        <is>
          <t>អ៊ីឃ្យូឡាញ វើលវ៉ាយដ៍ ឡូជីស្ទីក</t>
        </is>
      </c>
      <c r="D685" t="inlineStr">
        <is>
          <t>K003-901635943</t>
        </is>
      </c>
      <c r="E685" t="inlineStr">
        <is>
          <t>PPTI24/002830</t>
        </is>
      </c>
      <c r="F685" t="inlineStr">
        <is>
          <t>07-06-2024</t>
        </is>
      </c>
      <c r="G685" t="n">
        <v>123330</v>
      </c>
      <c r="I685">
        <f>G685</f>
        <v/>
      </c>
      <c r="K685">
        <f>I685-G685</f>
        <v/>
      </c>
      <c r="M685" t="inlineStr">
        <is>
          <t>PPTI24002830</t>
        </is>
      </c>
      <c r="N685" t="inlineStr">
        <is>
          <t>11156800</t>
        </is>
      </c>
      <c r="O685">
        <f>M685=N685</f>
        <v/>
      </c>
      <c r="P685">
        <f>AND(MONTH(F685)=MONTH(S685), YEAR(F685)=YEAR(S685))</f>
        <v/>
      </c>
      <c r="Q685">
        <f>"L001-902303751"=U685</f>
        <v/>
      </c>
      <c r="R685">
        <f>G685-W685</f>
        <v/>
      </c>
      <c r="S685" s="36" t="n">
        <v>45369</v>
      </c>
      <c r="T685" t="n">
        <v>111568</v>
      </c>
      <c r="U685" t="inlineStr">
        <is>
          <t>K005-100059945</t>
        </is>
      </c>
      <c r="V685" t="inlineStr">
        <is>
          <t>អ៊ែតវ៉ានស៍ គ្លរី ឡូជីស្ទីក (ខេមបូឌា) (អេ ជី អិល)</t>
        </is>
      </c>
      <c r="W685" t="n">
        <v>111568</v>
      </c>
      <c r="X685" t="n">
        <v>0</v>
      </c>
    </row>
    <row r="686">
      <c r="A686" t="n">
        <v>685</v>
      </c>
      <c r="B686" t="inlineStr">
        <is>
          <t>Doc Fee and Agency Fee</t>
        </is>
      </c>
      <c r="C686" t="inlineStr">
        <is>
          <t>អ៊ែតវ៉ានស៍ គ្លរី ឡូជីស្ទីក (ខេមបូឌា) (អេ ជី អិល)</t>
        </is>
      </c>
      <c r="D686" t="inlineStr">
        <is>
          <t>K005-100059945</t>
        </is>
      </c>
      <c r="E686" t="inlineStr">
        <is>
          <t>AGL2400835</t>
        </is>
      </c>
      <c r="F686" t="inlineStr">
        <is>
          <t>05-06-2024</t>
        </is>
      </c>
      <c r="G686" t="n">
        <v>45155</v>
      </c>
      <c r="I686">
        <f>G686</f>
        <v/>
      </c>
      <c r="K686">
        <f>I686-G686</f>
        <v/>
      </c>
      <c r="M686" t="inlineStr">
        <is>
          <t>AGL2400835</t>
        </is>
      </c>
      <c r="N686" t="inlineStr"/>
      <c r="O686">
        <f>M686=N686</f>
        <v/>
      </c>
      <c r="P686">
        <f>AND(MONTH(F686)=MONTH(S686), YEAR(F686)=YEAR(S686))</f>
        <v/>
      </c>
      <c r="Q686">
        <f>"L001-902303751"=U686</f>
        <v/>
      </c>
      <c r="R686">
        <f>G686-W686</f>
        <v/>
      </c>
      <c r="S686" s="36" t="n">
        <v>45355</v>
      </c>
      <c r="T686" t="inlineStr"/>
      <c r="U686" t="inlineStr">
        <is>
          <t>L001-100045340</t>
        </is>
      </c>
      <c r="V686" t="inlineStr">
        <is>
          <t xml:space="preserve">ស៊ីវ៉ា អ៊ែរ អ៊ែន អូសៀន (ខេមបូឌា) ឯ.ក </t>
        </is>
      </c>
      <c r="W686" t="n">
        <v>0</v>
      </c>
      <c r="X686" t="n">
        <v>0</v>
      </c>
    </row>
    <row r="687">
      <c r="A687" t="n">
        <v>686</v>
      </c>
      <c r="B687" t="inlineStr">
        <is>
          <t>Import Shipment Expense</t>
        </is>
      </c>
      <c r="C687" t="inlineStr">
        <is>
          <t>ខាហ្គោផត (ខេមបូឌា)</t>
        </is>
      </c>
      <c r="D687" t="inlineStr">
        <is>
          <t>K005-100099521</t>
        </is>
      </c>
      <c r="E687" t="inlineStr">
        <is>
          <t>24-1230</t>
        </is>
      </c>
      <c r="F687" t="inlineStr">
        <is>
          <t>01-06-2024</t>
        </is>
      </c>
      <c r="G687" t="n">
        <v>51163</v>
      </c>
      <c r="I687">
        <f>G687</f>
        <v/>
      </c>
      <c r="K687">
        <f>I687-G687</f>
        <v/>
      </c>
      <c r="M687" t="inlineStr">
        <is>
          <t>241230</t>
        </is>
      </c>
      <c r="N687" t="inlineStr"/>
      <c r="O687">
        <f>M687=N687</f>
        <v/>
      </c>
      <c r="P687">
        <f>AND(MONTH(F687)=MONTH(S687), YEAR(F687)=YEAR(S687))</f>
        <v/>
      </c>
      <c r="Q687">
        <f>"L001-902303751"=U687</f>
        <v/>
      </c>
      <c r="R687">
        <f>G687-W687</f>
        <v/>
      </c>
      <c r="S687" s="36" t="n">
        <v>45376</v>
      </c>
      <c r="T687" t="inlineStr"/>
      <c r="U687" t="inlineStr">
        <is>
          <t>K003-901635943</t>
        </is>
      </c>
      <c r="V687" t="inlineStr">
        <is>
          <t>អ៊ីឃ្យូឡាញ វើលវ៉ាយដ៍ ឡូជីស្ទីក</t>
        </is>
      </c>
      <c r="W687" t="n">
        <v>0</v>
      </c>
      <c r="X687" t="n">
        <v>0</v>
      </c>
    </row>
    <row r="688">
      <c r="A688" t="n">
        <v>687</v>
      </c>
      <c r="B688" t="inlineStr">
        <is>
          <t>Trucking, Customs Clearance, Extra Trucking and Truck Fuel Surcharge</t>
        </is>
      </c>
      <c r="C688" t="inlineStr">
        <is>
          <t>អេស អ វី ស៊ី ហ្វ្រេត សឺវីស (ខេមបូឌា) ខូ អិលធីឌី</t>
        </is>
      </c>
      <c r="D688" t="inlineStr">
        <is>
          <t>K005-100150195</t>
        </is>
      </c>
      <c r="E688" t="inlineStr">
        <is>
          <t>SRVI2403035</t>
        </is>
      </c>
      <c r="F688" t="inlineStr">
        <is>
          <t>05-06-2024</t>
        </is>
      </c>
      <c r="G688" t="n">
        <v>172410</v>
      </c>
      <c r="I688">
        <f>G688</f>
        <v/>
      </c>
      <c r="K688">
        <f>I688-G688</f>
        <v/>
      </c>
      <c r="M688" t="inlineStr">
        <is>
          <t>SRVI2403035</t>
        </is>
      </c>
      <c r="N688" t="inlineStr">
        <is>
          <t>17676700</t>
        </is>
      </c>
      <c r="O688">
        <f>M688=N688</f>
        <v/>
      </c>
      <c r="P688">
        <f>AND(MONTH(F688)=MONTH(S688), YEAR(F688)=YEAR(S688))</f>
        <v/>
      </c>
      <c r="Q688">
        <f>"L001-902303751"=U688</f>
        <v/>
      </c>
      <c r="R688">
        <f>G688-W688</f>
        <v/>
      </c>
      <c r="S688" s="36" t="n">
        <v>45376</v>
      </c>
      <c r="T688" t="n">
        <v>176767</v>
      </c>
      <c r="U688" t="inlineStr">
        <is>
          <t>K005-901805913</t>
        </is>
      </c>
      <c r="V688" t="inlineStr">
        <is>
          <t>ស្តារ ខង់ខដ (ខេមបូឌា) ឯ.ក</t>
        </is>
      </c>
      <c r="W688" t="n">
        <v>176767</v>
      </c>
      <c r="X688" t="n">
        <v>0</v>
      </c>
    </row>
    <row r="689">
      <c r="A689" t="n">
        <v>688</v>
      </c>
      <c r="B689" t="inlineStr">
        <is>
          <t>Trucking, Customs Clearance, Extra Trucking and Truck Fuel Surcharge</t>
        </is>
      </c>
      <c r="C689" t="inlineStr">
        <is>
          <t>អេស អ វី ស៊ី ហ្វ្រេត សឺវីស (ខេមបូឌា) ខូ អិលធីឌី</t>
        </is>
      </c>
      <c r="D689" t="inlineStr">
        <is>
          <t>K005-100150195</t>
        </is>
      </c>
      <c r="E689" t="inlineStr">
        <is>
          <t>SRVI2403124</t>
        </is>
      </c>
      <c r="F689" t="inlineStr">
        <is>
          <t>12-06-2024</t>
        </is>
      </c>
      <c r="G689" t="n">
        <v>374647</v>
      </c>
      <c r="I689">
        <f>G689</f>
        <v/>
      </c>
      <c r="K689">
        <f>I689-G689</f>
        <v/>
      </c>
      <c r="M689" t="inlineStr">
        <is>
          <t>SRVI2403124</t>
        </is>
      </c>
      <c r="N689" t="inlineStr">
        <is>
          <t>8316900</t>
        </is>
      </c>
      <c r="O689">
        <f>M689=N689</f>
        <v/>
      </c>
      <c r="P689">
        <f>AND(MONTH(F689)=MONTH(S689), YEAR(F689)=YEAR(S689))</f>
        <v/>
      </c>
      <c r="Q689">
        <f>"L001-902303751"=U689</f>
        <v/>
      </c>
      <c r="R689">
        <f>G689-W689</f>
        <v/>
      </c>
      <c r="S689" s="36" t="n">
        <v>45369</v>
      </c>
      <c r="T689" t="n">
        <v>83169</v>
      </c>
      <c r="U689" t="inlineStr">
        <is>
          <t>L001-100182259</t>
        </is>
      </c>
      <c r="V689" t="inlineStr">
        <is>
          <t>សាខាក្រុមហ៊ុន ប៊ី ឡូជីស្ទីក ខបភើរេសិន (ខេមបូឌា)</t>
        </is>
      </c>
      <c r="W689" t="n">
        <v>83169</v>
      </c>
      <c r="X689" t="n">
        <v>0</v>
      </c>
    </row>
    <row r="690">
      <c r="A690" t="n">
        <v>689</v>
      </c>
      <c r="B690" t="inlineStr">
        <is>
          <t>Trucking, Customs Clearance, Extra Trucking and Truck Fuel Surcharge</t>
        </is>
      </c>
      <c r="C690" t="inlineStr">
        <is>
          <t>អេស អ វី ស៊ី ហ្វ្រេត សឺវីស (ខេមបូឌា) ខូ អិលធីឌី</t>
        </is>
      </c>
      <c r="D690" t="inlineStr">
        <is>
          <t>K005-100150195</t>
        </is>
      </c>
      <c r="E690" t="inlineStr">
        <is>
          <t>SRVI2403186</t>
        </is>
      </c>
      <c r="F690" t="inlineStr">
        <is>
          <t>14-06-2024</t>
        </is>
      </c>
      <c r="G690" t="n">
        <v>172998</v>
      </c>
      <c r="I690">
        <f>G690</f>
        <v/>
      </c>
      <c r="K690">
        <f>I690-G690</f>
        <v/>
      </c>
      <c r="M690" t="inlineStr">
        <is>
          <t>SRVI2403186</t>
        </is>
      </c>
      <c r="N690" t="inlineStr">
        <is>
          <t>73416800</t>
        </is>
      </c>
      <c r="O690">
        <f>M690=N690</f>
        <v/>
      </c>
      <c r="P690">
        <f>AND(MONTH(F690)=MONTH(S690), YEAR(F690)=YEAR(S690))</f>
        <v/>
      </c>
      <c r="Q690">
        <f>"L001-902303751"=U690</f>
        <v/>
      </c>
      <c r="R690">
        <f>G690-W690</f>
        <v/>
      </c>
      <c r="S690" s="36" t="n">
        <v>45376</v>
      </c>
      <c r="T690" t="n">
        <v>734168</v>
      </c>
      <c r="U690" t="inlineStr">
        <is>
          <t>K005-901501155</t>
        </is>
      </c>
      <c r="V690" t="inlineStr">
        <is>
          <t>ផេនដា គ្លូប៊ល ឡូជីស្ទីក (ខេមបូឌា)</t>
        </is>
      </c>
      <c r="W690" t="n">
        <v>734168</v>
      </c>
      <c r="X690" t="n">
        <v>0</v>
      </c>
    </row>
    <row r="691">
      <c r="A691" t="n">
        <v>690</v>
      </c>
      <c r="B691" t="inlineStr">
        <is>
          <t>Trucking, Customs Clearance, Extra Trucking and Truck Fuel Surcharge</t>
        </is>
      </c>
      <c r="C691" t="inlineStr">
        <is>
          <t>អេស អ វី ស៊ី ហ្វ្រេត សឺវីស (ខេមបូឌា) ខូ អិលធីឌី</t>
        </is>
      </c>
      <c r="D691" t="inlineStr">
        <is>
          <t>K005-100150195</t>
        </is>
      </c>
      <c r="E691" t="inlineStr">
        <is>
          <t>SRVI2403237</t>
        </is>
      </c>
      <c r="F691" t="inlineStr">
        <is>
          <t>20-06-2024</t>
        </is>
      </c>
      <c r="G691" t="n">
        <v>187597</v>
      </c>
      <c r="I691">
        <f>G691</f>
        <v/>
      </c>
      <c r="K691">
        <f>I691-G691</f>
        <v/>
      </c>
      <c r="M691" t="inlineStr">
        <is>
          <t>SRVI2403237</t>
        </is>
      </c>
      <c r="N691" t="inlineStr">
        <is>
          <t>11156800</t>
        </is>
      </c>
      <c r="O691">
        <f>M691=N691</f>
        <v/>
      </c>
      <c r="P691">
        <f>AND(MONTH(F691)=MONTH(S691), YEAR(F691)=YEAR(S691))</f>
        <v/>
      </c>
      <c r="Q691">
        <f>"L001-902303751"=U691</f>
        <v/>
      </c>
      <c r="R691">
        <f>G691-W691</f>
        <v/>
      </c>
      <c r="S691" s="36" t="n">
        <v>45369</v>
      </c>
      <c r="T691" t="n">
        <v>111568</v>
      </c>
      <c r="U691" t="inlineStr">
        <is>
          <t>K009-902002784</t>
        </is>
      </c>
      <c r="V691" t="inlineStr">
        <is>
          <t>ខាហ្គោលីង អ៊ិនធើណេសិនណល ឯ.ក</t>
        </is>
      </c>
      <c r="W691" t="n">
        <v>111568</v>
      </c>
      <c r="X691" t="n">
        <v>0</v>
      </c>
    </row>
    <row r="692">
      <c r="A692" t="n">
        <v>691</v>
      </c>
      <c r="B692" t="inlineStr">
        <is>
          <t>Trucking, Customs Clearance, Extra Trucking and Truck Fuel Surcharge</t>
        </is>
      </c>
      <c r="C692" t="inlineStr">
        <is>
          <t>អេស អ វី ស៊ី ហ្វ្រេត សឺវីស (ខេមបូឌា) ខូ អិលធីឌី</t>
        </is>
      </c>
      <c r="D692" t="inlineStr">
        <is>
          <t>K005-100150195</t>
        </is>
      </c>
      <c r="E692" t="inlineStr">
        <is>
          <t>SRVI2403396</t>
        </is>
      </c>
      <c r="F692" t="inlineStr">
        <is>
          <t>26-06-2024</t>
        </is>
      </c>
      <c r="G692" t="n">
        <v>178785</v>
      </c>
      <c r="I692">
        <f>G692</f>
        <v/>
      </c>
      <c r="K692">
        <f>I692-G692</f>
        <v/>
      </c>
      <c r="M692" t="inlineStr">
        <is>
          <t>SRVI2403396</t>
        </is>
      </c>
      <c r="N692" t="inlineStr">
        <is>
          <t>10948500</t>
        </is>
      </c>
      <c r="O692">
        <f>M692=N692</f>
        <v/>
      </c>
      <c r="P692">
        <f>AND(MONTH(F692)=MONTH(S692), YEAR(F692)=YEAR(S692))</f>
        <v/>
      </c>
      <c r="Q692">
        <f>"L001-902303751"=U692</f>
        <v/>
      </c>
      <c r="R692">
        <f>G692-W692</f>
        <v/>
      </c>
      <c r="S692" s="36" t="n">
        <v>45362</v>
      </c>
      <c r="T692" t="n">
        <v>109485</v>
      </c>
      <c r="U692" t="inlineStr">
        <is>
          <t>K005-100059945</t>
        </is>
      </c>
      <c r="V692" t="inlineStr">
        <is>
          <t>អ៊ែតវ៉ានស៍ គ្លរី ឡូជីស្ទីក (ខេមបូឌា) (អេ ជី អិល)</t>
        </is>
      </c>
      <c r="W692" t="n">
        <v>109485</v>
      </c>
      <c r="X692" t="n">
        <v>0</v>
      </c>
    </row>
    <row r="693">
      <c r="A693" t="n">
        <v>692</v>
      </c>
      <c r="B693" t="inlineStr">
        <is>
          <t>Trucking, Customs Clearance, Extra Trucking and Truck Fuel Surcharge</t>
        </is>
      </c>
      <c r="C693" t="inlineStr">
        <is>
          <t>អេស អ វី ស៊ី ហ្វ្រេត សឺវីស (ខេមបូឌា) ខូ អិលធីឌី</t>
        </is>
      </c>
      <c r="D693" t="inlineStr">
        <is>
          <t>K005-100150195</t>
        </is>
      </c>
      <c r="E693" t="inlineStr">
        <is>
          <t>SRVI2402825</t>
        </is>
      </c>
      <c r="F693" t="inlineStr">
        <is>
          <t>29-06-2024</t>
        </is>
      </c>
      <c r="G693" t="n">
        <v>172620</v>
      </c>
      <c r="I693">
        <f>G693</f>
        <v/>
      </c>
      <c r="K693">
        <f>I693-G693</f>
        <v/>
      </c>
      <c r="M693" t="inlineStr">
        <is>
          <t>SRVI2402825</t>
        </is>
      </c>
      <c r="N693" t="inlineStr">
        <is>
          <t>11158700</t>
        </is>
      </c>
      <c r="O693">
        <f>M693=N693</f>
        <v/>
      </c>
      <c r="P693">
        <f>AND(MONTH(F693)=MONTH(S693), YEAR(F693)=YEAR(S693))</f>
        <v/>
      </c>
      <c r="Q693">
        <f>"L001-902303751"=U693</f>
        <v/>
      </c>
      <c r="R693">
        <f>G693-W693</f>
        <v/>
      </c>
      <c r="S693" s="36" t="n">
        <v>45363</v>
      </c>
      <c r="T693" t="n">
        <v>111587</v>
      </c>
      <c r="U693" t="inlineStr">
        <is>
          <t>K005-901805913</t>
        </is>
      </c>
      <c r="V693" t="inlineStr">
        <is>
          <t>ស្តារ ខង់ខដ (ខេមបូឌា) ឯ.ក</t>
        </is>
      </c>
      <c r="W693" t="n">
        <v>111587</v>
      </c>
      <c r="X693" t="n">
        <v>0</v>
      </c>
    </row>
    <row r="694">
      <c r="A694" t="n">
        <v>693</v>
      </c>
      <c r="B694" t="inlineStr">
        <is>
          <t>Trucking, Customs Clearance, Extra Trucking and Truck Fuel Surcharge</t>
        </is>
      </c>
      <c r="C694" t="inlineStr">
        <is>
          <t>អេស អ វី ស៊ី ហ្វ្រេត សឺវីស (ខេមបូឌា) ខូ អិលធីឌី</t>
        </is>
      </c>
      <c r="D694" t="inlineStr">
        <is>
          <t>K005-100150195</t>
        </is>
      </c>
      <c r="E694" t="inlineStr">
        <is>
          <t>SRVI2402826</t>
        </is>
      </c>
      <c r="F694" t="inlineStr">
        <is>
          <t>29-06-2024</t>
        </is>
      </c>
      <c r="G694" t="n">
        <v>172620</v>
      </c>
      <c r="I694">
        <f>G694</f>
        <v/>
      </c>
      <c r="K694">
        <f>I694-G694</f>
        <v/>
      </c>
      <c r="M694" t="inlineStr">
        <is>
          <t>SRVI2402826</t>
        </is>
      </c>
      <c r="N694" t="inlineStr">
        <is>
          <t>11156800</t>
        </is>
      </c>
      <c r="O694">
        <f>M694=N694</f>
        <v/>
      </c>
      <c r="P694">
        <f>AND(MONTH(F694)=MONTH(S694), YEAR(F694)=YEAR(S694))</f>
        <v/>
      </c>
      <c r="Q694">
        <f>"L001-902303751"=U694</f>
        <v/>
      </c>
      <c r="R694">
        <f>G694-W694</f>
        <v/>
      </c>
      <c r="S694" s="36" t="n">
        <v>45369</v>
      </c>
      <c r="T694" t="n">
        <v>111568</v>
      </c>
      <c r="U694" t="inlineStr">
        <is>
          <t>L001-107041723</t>
        </is>
      </c>
      <c r="V694" t="inlineStr">
        <is>
          <t>ឌីប៊ី សេនឃើរ (ខេមបូឌា) លីមីធីត</t>
        </is>
      </c>
      <c r="W694" t="n">
        <v>111568</v>
      </c>
      <c r="X694" t="n">
        <v>0</v>
      </c>
    </row>
    <row r="695">
      <c r="A695" t="n">
        <v>694</v>
      </c>
      <c r="B695" t="inlineStr">
        <is>
          <t>Monthly Tax Service for May 2024</t>
        </is>
      </c>
      <c r="C695" t="inlineStr">
        <is>
          <t>ខេឌី ខនសាល់ធេន ឯ.ក</t>
        </is>
      </c>
      <c r="D695" t="inlineStr">
        <is>
          <t>K005-901704277</t>
        </is>
      </c>
      <c r="E695" t="inlineStr">
        <is>
          <t>20240000783</t>
        </is>
      </c>
      <c r="F695" t="inlineStr">
        <is>
          <t>26-06-2024</t>
        </is>
      </c>
      <c r="G695" t="n">
        <v>102750</v>
      </c>
      <c r="I695">
        <f>G695</f>
        <v/>
      </c>
      <c r="K695">
        <f>I695-G695</f>
        <v/>
      </c>
      <c r="M695" t="inlineStr">
        <is>
          <t>20240000783</t>
        </is>
      </c>
      <c r="N695" t="inlineStr">
        <is>
          <t>9777400</t>
        </is>
      </c>
      <c r="O695">
        <f>M695=N695</f>
        <v/>
      </c>
      <c r="P695">
        <f>AND(MONTH(F695)=MONTH(S695), YEAR(F695)=YEAR(S695))</f>
        <v/>
      </c>
      <c r="Q695">
        <f>"L001-902303751"=U695</f>
        <v/>
      </c>
      <c r="R695">
        <f>G695-W695</f>
        <v/>
      </c>
      <c r="S695" s="36" t="n">
        <v>45369</v>
      </c>
      <c r="T695" t="n">
        <v>97774</v>
      </c>
      <c r="U695" t="inlineStr">
        <is>
          <t>L001-100045340</t>
        </is>
      </c>
      <c r="V695" t="inlineStr">
        <is>
          <t xml:space="preserve">ស៊ីវ៉ា អ៊ែរ អ៊ែន អូសៀន (ខេមបូឌា) ឯ.ក </t>
        </is>
      </c>
      <c r="W695" t="n">
        <v>97774</v>
      </c>
      <c r="X695" t="n">
        <v>0</v>
      </c>
    </row>
    <row r="696">
      <c r="A696" t="n">
        <v>695</v>
      </c>
      <c r="B696" t="inlineStr">
        <is>
          <t>Import Shipment Expense</t>
        </is>
      </c>
      <c r="C696" t="inlineStr">
        <is>
          <t>អឹឡាយអិន ហ្វ័រវើឌីង (ខេមបូឌា) ឯ.ក</t>
        </is>
      </c>
      <c r="D696" t="inlineStr">
        <is>
          <t>K005-901902888</t>
        </is>
      </c>
      <c r="E696" t="inlineStr">
        <is>
          <t>PPTI24-0379</t>
        </is>
      </c>
      <c r="F696" t="inlineStr">
        <is>
          <t>06-06-2024</t>
        </is>
      </c>
      <c r="G696" t="n">
        <v>103032</v>
      </c>
      <c r="I696">
        <f>G696</f>
        <v/>
      </c>
      <c r="K696">
        <f>I696-G696</f>
        <v/>
      </c>
      <c r="M696" t="inlineStr">
        <is>
          <t>PPTI240379</t>
        </is>
      </c>
      <c r="N696" t="inlineStr"/>
      <c r="O696">
        <f>M696=N696</f>
        <v/>
      </c>
      <c r="P696">
        <f>AND(MONTH(F696)=MONTH(S696), YEAR(F696)=YEAR(S696))</f>
        <v/>
      </c>
      <c r="Q696">
        <f>"L001-902303751"=U696</f>
        <v/>
      </c>
      <c r="R696">
        <f>G696-W696</f>
        <v/>
      </c>
      <c r="S696" s="36" t="n">
        <v>45355</v>
      </c>
      <c r="T696" t="inlineStr"/>
      <c r="U696" t="inlineStr">
        <is>
          <t>K003-901635943</t>
        </is>
      </c>
      <c r="V696" t="inlineStr">
        <is>
          <t>អ៊ីឃ្យូឡាញ វើលវ៉ាយដ៍ ឡូជីស្ទីក</t>
        </is>
      </c>
      <c r="W696" t="n">
        <v>0</v>
      </c>
      <c r="X696" t="n">
        <v>0</v>
      </c>
    </row>
    <row r="697">
      <c r="A697" t="n">
        <v>696</v>
      </c>
      <c r="B697" t="inlineStr">
        <is>
          <t>Machine and Material</t>
        </is>
      </c>
      <c r="C697" t="inlineStr">
        <is>
          <t>ក្លាក ហ៊ូ ឯ.ក</t>
        </is>
      </c>
      <c r="D697" t="inlineStr">
        <is>
          <t>K007-901639199</t>
        </is>
      </c>
      <c r="E697" t="inlineStr">
        <is>
          <t>IN1372</t>
        </is>
      </c>
      <c r="F697" t="inlineStr">
        <is>
          <t>28-06-2024</t>
        </is>
      </c>
      <c r="G697" t="n">
        <v>513771</v>
      </c>
      <c r="I697">
        <f>G697</f>
        <v/>
      </c>
      <c r="K697">
        <f>I697-G697</f>
        <v/>
      </c>
      <c r="M697" t="inlineStr">
        <is>
          <t>IN1372</t>
        </is>
      </c>
      <c r="N697" t="inlineStr">
        <is>
          <t>8134000</t>
        </is>
      </c>
      <c r="O697">
        <f>M697=N697</f>
        <v/>
      </c>
      <c r="P697">
        <f>AND(MONTH(F697)=MONTH(S697), YEAR(F697)=YEAR(S697))</f>
        <v/>
      </c>
      <c r="Q697">
        <f>"L001-902303751"=U697</f>
        <v/>
      </c>
      <c r="R697">
        <f>G697-W697</f>
        <v/>
      </c>
      <c r="S697" s="36" t="n">
        <v>45355</v>
      </c>
      <c r="T697" t="n">
        <v>81340</v>
      </c>
      <c r="U697" t="inlineStr">
        <is>
          <t>L001-100011888</t>
        </is>
      </c>
      <c r="V697" t="inlineStr">
        <is>
          <t>ត្រេន ស្តារ ហ្រេ្វត</t>
        </is>
      </c>
      <c r="W697" t="n">
        <v>81340</v>
      </c>
      <c r="X697" t="n">
        <v>0</v>
      </c>
    </row>
    <row r="698">
      <c r="A698" t="n">
        <v>697</v>
      </c>
      <c r="B698" t="inlineStr">
        <is>
          <t>Machine and Material</t>
        </is>
      </c>
      <c r="C698" t="inlineStr">
        <is>
          <t>ក្លាក ហ៊ូ ឯ.ក</t>
        </is>
      </c>
      <c r="D698" t="inlineStr">
        <is>
          <t>K007-901639199</t>
        </is>
      </c>
      <c r="E698" t="inlineStr">
        <is>
          <t>IN1373</t>
        </is>
      </c>
      <c r="F698" t="inlineStr">
        <is>
          <t>28-06-2024</t>
        </is>
      </c>
      <c r="G698" t="n">
        <v>256300</v>
      </c>
      <c r="I698">
        <f>G698</f>
        <v/>
      </c>
      <c r="K698">
        <f>I698-G698</f>
        <v/>
      </c>
      <c r="M698" t="inlineStr">
        <is>
          <t>IN1373</t>
        </is>
      </c>
      <c r="N698" t="inlineStr"/>
      <c r="O698">
        <f>M698=N698</f>
        <v/>
      </c>
      <c r="P698">
        <f>AND(MONTH(F698)=MONTH(S698), YEAR(F698)=YEAR(S698))</f>
        <v/>
      </c>
      <c r="Q698">
        <f>"L001-902303751"=U698</f>
        <v/>
      </c>
      <c r="R698">
        <f>G698-W698</f>
        <v/>
      </c>
      <c r="S698" s="36" t="n">
        <v>45363</v>
      </c>
      <c r="T698" t="inlineStr"/>
      <c r="U698" t="inlineStr">
        <is>
          <t>K005-901805913</t>
        </is>
      </c>
      <c r="V698" t="inlineStr">
        <is>
          <t>ស្តារ ខង់ខដ (ខេមបូឌា) ឯ.ក</t>
        </is>
      </c>
      <c r="W698" t="n">
        <v>0</v>
      </c>
      <c r="X698" t="n">
        <v>0</v>
      </c>
    </row>
    <row r="699">
      <c r="A699" t="n">
        <v>698</v>
      </c>
      <c r="B699" t="inlineStr">
        <is>
          <t>Machine and Material</t>
        </is>
      </c>
      <c r="C699" t="inlineStr">
        <is>
          <t>ក្លាក ហ៊ូ ឯ.ក</t>
        </is>
      </c>
      <c r="D699" t="inlineStr">
        <is>
          <t>K007-901639199</t>
        </is>
      </c>
      <c r="E699" t="inlineStr">
        <is>
          <t>IN1374</t>
        </is>
      </c>
      <c r="F699" t="inlineStr">
        <is>
          <t>28-06-2024</t>
        </is>
      </c>
      <c r="G699" t="n">
        <v>216022</v>
      </c>
      <c r="I699">
        <f>G699</f>
        <v/>
      </c>
      <c r="K699">
        <f>I699-G699</f>
        <v/>
      </c>
      <c r="M699" t="inlineStr">
        <is>
          <t>IN1374</t>
        </is>
      </c>
      <c r="N699" t="inlineStr"/>
      <c r="O699">
        <f>M699=N699</f>
        <v/>
      </c>
      <c r="P699">
        <f>AND(MONTH(F699)=MONTH(S699), YEAR(F699)=YEAR(S699))</f>
        <v/>
      </c>
      <c r="Q699">
        <f>"L001-902303751"=U699</f>
        <v/>
      </c>
      <c r="R699">
        <f>G699-W699</f>
        <v/>
      </c>
      <c r="S699" s="36" t="n">
        <v>45369</v>
      </c>
      <c r="T699" t="inlineStr"/>
      <c r="U699" t="inlineStr">
        <is>
          <t>K003-901635943</t>
        </is>
      </c>
      <c r="V699" t="inlineStr">
        <is>
          <t>អ៊ីឃ្យូឡាញ វើលវ៉ាយដ៍ ឡូជីស្ទីក</t>
        </is>
      </c>
      <c r="W699" t="n">
        <v>0</v>
      </c>
      <c r="X699" t="n">
        <v>0</v>
      </c>
    </row>
    <row r="700">
      <c r="A700" t="n">
        <v>699</v>
      </c>
      <c r="B700" t="inlineStr">
        <is>
          <t>Machine and Material</t>
        </is>
      </c>
      <c r="C700" t="inlineStr">
        <is>
          <t>ក្លាក ហ៊ូ ឯ.ក</t>
        </is>
      </c>
      <c r="D700" t="inlineStr">
        <is>
          <t>K007-901639199</t>
        </is>
      </c>
      <c r="E700" t="inlineStr">
        <is>
          <t>IN1375</t>
        </is>
      </c>
      <c r="F700" t="inlineStr">
        <is>
          <t>28-06-2024</t>
        </is>
      </c>
      <c r="G700" t="n">
        <v>574578</v>
      </c>
      <c r="I700">
        <f>G700</f>
        <v/>
      </c>
      <c r="K700">
        <f>I700-G700</f>
        <v/>
      </c>
      <c r="M700" t="inlineStr">
        <is>
          <t>IN1375</t>
        </is>
      </c>
      <c r="N700" t="inlineStr">
        <is>
          <t>8086000</t>
        </is>
      </c>
      <c r="O700">
        <f>M700=N700</f>
        <v/>
      </c>
      <c r="P700">
        <f>AND(MONTH(F700)=MONTH(S700), YEAR(F700)=YEAR(S700))</f>
        <v/>
      </c>
      <c r="Q700">
        <f>"L001-902303751"=U700</f>
        <v/>
      </c>
      <c r="R700">
        <f>G700-W700</f>
        <v/>
      </c>
      <c r="S700" s="36" t="n">
        <v>45363</v>
      </c>
      <c r="T700" t="n">
        <v>80860</v>
      </c>
      <c r="U700" t="inlineStr">
        <is>
          <t>K009-902002784</t>
        </is>
      </c>
      <c r="V700" t="inlineStr">
        <is>
          <t>ខាហ្គោលីង អ៊ិនធើណេសិនណល ឯ.ក</t>
        </is>
      </c>
      <c r="W700" t="n">
        <v>80860</v>
      </c>
      <c r="X700" t="n">
        <v>0</v>
      </c>
    </row>
    <row r="701">
      <c r="A701" t="n">
        <v>700</v>
      </c>
      <c r="B701" t="inlineStr">
        <is>
          <t>Monthly Charge of Photo Copies Rental from 06/05/2024-06/06/2024</t>
        </is>
      </c>
      <c r="C701" t="inlineStr">
        <is>
          <t>វី.អាយ.អេស ខភៀ ឯ.ក</t>
        </is>
      </c>
      <c r="D701" t="inlineStr">
        <is>
          <t>K007-901705195</t>
        </is>
      </c>
      <c r="E701" t="inlineStr">
        <is>
          <t>RNT240623</t>
        </is>
      </c>
      <c r="F701" t="inlineStr">
        <is>
          <t>06-06-2024</t>
        </is>
      </c>
      <c r="G701" t="n">
        <v>57498</v>
      </c>
      <c r="I701">
        <f>G701</f>
        <v/>
      </c>
      <c r="K701">
        <f>I701-G701</f>
        <v/>
      </c>
      <c r="M701" t="inlineStr">
        <is>
          <t>RNT240623</t>
        </is>
      </c>
      <c r="N701" t="inlineStr">
        <is>
          <t>11156800</t>
        </is>
      </c>
      <c r="O701">
        <f>M701=N701</f>
        <v/>
      </c>
      <c r="P701">
        <f>AND(MONTH(F701)=MONTH(S701), YEAR(F701)=YEAR(S701))</f>
        <v/>
      </c>
      <c r="Q701">
        <f>"L001-902303751"=U701</f>
        <v/>
      </c>
      <c r="R701">
        <f>G701-W701</f>
        <v/>
      </c>
      <c r="S701" s="36" t="n">
        <v>45369</v>
      </c>
      <c r="T701" t="n">
        <v>111568</v>
      </c>
      <c r="U701" t="inlineStr">
        <is>
          <t>K005-100059945</t>
        </is>
      </c>
      <c r="V701" t="inlineStr">
        <is>
          <t>អ៊ែតវ៉ានស៍ គ្លរី ឡូជីស្ទីក (ខេមបូឌា) (អេ ជី អិល)</t>
        </is>
      </c>
      <c r="W701" t="n">
        <v>111568</v>
      </c>
      <c r="X701" t="n">
        <v>0</v>
      </c>
    </row>
    <row r="702">
      <c r="A702" t="n">
        <v>701</v>
      </c>
      <c r="B702" t="inlineStr">
        <is>
          <t>Monthly Charge of Photo Copies Rental from 06/05/2024-06/06/2024</t>
        </is>
      </c>
      <c r="C702" t="inlineStr">
        <is>
          <t>វី.អាយ.អេស ខភៀ ឯ.ក</t>
        </is>
      </c>
      <c r="D702" t="inlineStr">
        <is>
          <t>K007-901705195</t>
        </is>
      </c>
      <c r="E702" t="inlineStr">
        <is>
          <t>RNT240624</t>
        </is>
      </c>
      <c r="F702" t="inlineStr">
        <is>
          <t>06-06-2024</t>
        </is>
      </c>
      <c r="G702" t="n">
        <v>26696</v>
      </c>
      <c r="I702">
        <f>G702</f>
        <v/>
      </c>
      <c r="K702">
        <f>I702-G702</f>
        <v/>
      </c>
      <c r="M702" t="inlineStr">
        <is>
          <t>RNT240624</t>
        </is>
      </c>
      <c r="N702" t="inlineStr"/>
      <c r="O702">
        <f>M702=N702</f>
        <v/>
      </c>
      <c r="P702">
        <f>AND(MONTH(F702)=MONTH(S702), YEAR(F702)=YEAR(S702))</f>
        <v/>
      </c>
      <c r="Q702">
        <f>"L001-902303751"=U702</f>
        <v/>
      </c>
      <c r="R702">
        <f>G702-W702</f>
        <v/>
      </c>
      <c r="S702" s="36" t="n">
        <v>45376</v>
      </c>
      <c r="T702" t="inlineStr"/>
      <c r="U702" t="inlineStr">
        <is>
          <t>L001-100045340</t>
        </is>
      </c>
      <c r="V702" t="inlineStr">
        <is>
          <t xml:space="preserve">ស៊ីវ៉ា អ៊ែរ អ៊ែន អូសៀន (ខេមបូឌា) ឯ.ក </t>
        </is>
      </c>
      <c r="W702" t="n">
        <v>0</v>
      </c>
      <c r="X702" t="n">
        <v>0</v>
      </c>
    </row>
    <row r="703">
      <c r="A703" t="n">
        <v>702</v>
      </c>
      <c r="B703" t="inlineStr">
        <is>
          <t>Monthly Charge of Photo Copies Rental from 06/05/2024-06/06/2024</t>
        </is>
      </c>
      <c r="C703" t="inlineStr">
        <is>
          <t>វី.អាយ.អេស ខភៀ ឯ.ក</t>
        </is>
      </c>
      <c r="D703" t="inlineStr">
        <is>
          <t>K007-901705195</t>
        </is>
      </c>
      <c r="E703" t="inlineStr">
        <is>
          <t>RNT240625</t>
        </is>
      </c>
      <c r="F703" t="inlineStr">
        <is>
          <t>06-06-2024</t>
        </is>
      </c>
      <c r="G703" t="n">
        <v>28749</v>
      </c>
      <c r="I703">
        <f>G703</f>
        <v/>
      </c>
      <c r="K703">
        <f>I703-G703</f>
        <v/>
      </c>
      <c r="M703" t="inlineStr">
        <is>
          <t>RNT240625</t>
        </is>
      </c>
      <c r="N703" t="inlineStr">
        <is>
          <t>8086000</t>
        </is>
      </c>
      <c r="O703">
        <f>M703=N703</f>
        <v/>
      </c>
      <c r="P703">
        <f>AND(MONTH(F703)=MONTH(S703), YEAR(F703)=YEAR(S703))</f>
        <v/>
      </c>
      <c r="Q703">
        <f>"L001-902303751"=U703</f>
        <v/>
      </c>
      <c r="R703">
        <f>G703-W703</f>
        <v/>
      </c>
      <c r="S703" s="36" t="n">
        <v>45363</v>
      </c>
      <c r="T703" t="n">
        <v>80860</v>
      </c>
      <c r="U703" t="inlineStr">
        <is>
          <t>L001-107032791</t>
        </is>
      </c>
      <c r="V703" t="inlineStr">
        <is>
          <t>នីបផន អិចប្រេស (ខេមបូឌា) ខូ អិលធីឌី</t>
        </is>
      </c>
      <c r="W703" t="n">
        <v>80860</v>
      </c>
      <c r="X703" t="n">
        <v>0</v>
      </c>
    </row>
    <row r="704">
      <c r="A704" t="n">
        <v>703</v>
      </c>
      <c r="B704" t="inlineStr">
        <is>
          <t>Export Customs Clearance</t>
        </is>
      </c>
      <c r="C704" t="inlineStr">
        <is>
          <t>អ៊ីឃ្យូឡាញ វើលវ៉ាយដ៍ ឡូជីស្ទីក</t>
        </is>
      </c>
      <c r="D704" t="inlineStr">
        <is>
          <t>K003-901635943</t>
        </is>
      </c>
      <c r="E704" t="inlineStr">
        <is>
          <t>PPTI24/002829</t>
        </is>
      </c>
      <c r="F704" t="inlineStr">
        <is>
          <t>07-06-2024</t>
        </is>
      </c>
      <c r="G704" t="n">
        <v>65776</v>
      </c>
      <c r="I704">
        <f>G704</f>
        <v/>
      </c>
      <c r="K704">
        <f>I704-G704</f>
        <v/>
      </c>
      <c r="M704" t="inlineStr">
        <is>
          <t>PPTI24002829</t>
        </is>
      </c>
      <c r="N704" t="inlineStr"/>
      <c r="O704">
        <f>M704=N704</f>
        <v/>
      </c>
      <c r="P704">
        <f>AND(MONTH(F704)=MONTH(S704), YEAR(F704)=YEAR(S704))</f>
        <v/>
      </c>
      <c r="Q704">
        <f>"L001-902303751"=U704</f>
        <v/>
      </c>
      <c r="R704">
        <f>G704-W704</f>
        <v/>
      </c>
      <c r="S704" s="36" t="n">
        <v>45369</v>
      </c>
      <c r="T704" t="inlineStr"/>
      <c r="U704" t="inlineStr">
        <is>
          <t>K005-100059945</t>
        </is>
      </c>
      <c r="V704" t="inlineStr">
        <is>
          <t>អ៊ែតវ៉ានស៍ គ្លរី ឡូជីស្ទីក (ខេមបូឌា) (អេ ជី អិល)</t>
        </is>
      </c>
      <c r="W704" t="n">
        <v>0</v>
      </c>
      <c r="X704" t="n">
        <v>0</v>
      </c>
    </row>
    <row r="705">
      <c r="A705" t="n">
        <v>704</v>
      </c>
      <c r="B705" t="inlineStr">
        <is>
          <t>THC Fee, LCL Fee, Scanning Fee, Doc Fee, DO Fee, Agency Fee and CIC</t>
        </is>
      </c>
      <c r="C705" t="inlineStr">
        <is>
          <t>គ្លូប៊ល ស៊ី &amp; លែន ឯ.ក</t>
        </is>
      </c>
      <c r="D705" t="inlineStr">
        <is>
          <t>K007-901702732</t>
        </is>
      </c>
      <c r="E705" t="inlineStr">
        <is>
          <t>PPTI24-06-038</t>
        </is>
      </c>
      <c r="F705" t="inlineStr">
        <is>
          <t>19-06-2024</t>
        </is>
      </c>
      <c r="G705" t="n">
        <v>105310</v>
      </c>
      <c r="I705">
        <f>G705</f>
        <v/>
      </c>
      <c r="K705">
        <f>I705-G705</f>
        <v/>
      </c>
      <c r="M705" t="inlineStr">
        <is>
          <t>PPTI2406038</t>
        </is>
      </c>
      <c r="N705" t="inlineStr">
        <is>
          <t>480781000</t>
        </is>
      </c>
      <c r="O705">
        <f>M705=N705</f>
        <v/>
      </c>
      <c r="P705">
        <f>AND(MONTH(F705)=MONTH(S705), YEAR(F705)=YEAR(S705))</f>
        <v/>
      </c>
      <c r="Q705">
        <f>"L001-902303751"=U705</f>
        <v/>
      </c>
      <c r="R705">
        <f>G705-W705</f>
        <v/>
      </c>
      <c r="S705" s="36" t="n">
        <v>45372</v>
      </c>
      <c r="T705" t="n">
        <v>4807810</v>
      </c>
      <c r="U705" t="inlineStr">
        <is>
          <t>K004-105012505</t>
        </is>
      </c>
      <c r="V705" t="inlineStr">
        <is>
          <t>អេស៊ាន ហ្វ្រេត (ខេមបូឌា)</t>
        </is>
      </c>
      <c r="W705" t="n">
        <v>4807810</v>
      </c>
      <c r="X705" t="n">
        <v>0</v>
      </c>
    </row>
    <row r="706">
      <c r="A706" t="n">
        <v>705</v>
      </c>
      <c r="B706" t="inlineStr">
        <is>
          <t>Import Shipment Expense</t>
        </is>
      </c>
      <c r="C706" t="inlineStr">
        <is>
          <t>ភី.ដាប់បែលយូ. ស្កេនវែល ឡូជីស្ទីក (ខេមបូឌា)</t>
        </is>
      </c>
      <c r="D706" t="inlineStr">
        <is>
          <t>K002-107011379</t>
        </is>
      </c>
      <c r="E706" t="inlineStr">
        <is>
          <t>240600115</t>
        </is>
      </c>
      <c r="F706" t="inlineStr">
        <is>
          <t>10-06-2024</t>
        </is>
      </c>
      <c r="G706" t="n">
        <v>225316</v>
      </c>
      <c r="I706">
        <f>G706</f>
        <v/>
      </c>
      <c r="K706">
        <f>I706-G706</f>
        <v/>
      </c>
      <c r="M706" t="inlineStr">
        <is>
          <t>240600115</t>
        </is>
      </c>
      <c r="N706" t="inlineStr"/>
      <c r="O706">
        <f>M706=N706</f>
        <v/>
      </c>
      <c r="P706">
        <f>AND(MONTH(F706)=MONTH(S706), YEAR(F706)=YEAR(S706))</f>
        <v/>
      </c>
      <c r="Q706">
        <f>"L001-902303751"=U706</f>
        <v/>
      </c>
      <c r="R706">
        <f>G706-W706</f>
        <v/>
      </c>
      <c r="S706" s="36" t="n">
        <v>45376</v>
      </c>
      <c r="T706" t="inlineStr"/>
      <c r="U706" t="inlineStr">
        <is>
          <t>L001-100045995</t>
        </is>
      </c>
      <c r="V706" t="inlineStr">
        <is>
          <t>ឌីអេចអិល ឡូជីស្ទីក (ខេមបូឌា)</t>
        </is>
      </c>
      <c r="W706" t="n">
        <v>0</v>
      </c>
      <c r="X706" t="n">
        <v>0</v>
      </c>
    </row>
    <row r="707">
      <c r="A707" t="n">
        <v>706</v>
      </c>
      <c r="B707" t="inlineStr">
        <is>
          <t>Monthly Charge of Photo Copies Rental from 06/05/2024-06/06/2024</t>
        </is>
      </c>
      <c r="C707" t="inlineStr">
        <is>
          <t>វី.អាយ.អេស ខភៀ ឯ.ក</t>
        </is>
      </c>
      <c r="D707" t="inlineStr">
        <is>
          <t>K007-901705195</t>
        </is>
      </c>
      <c r="E707" t="inlineStr">
        <is>
          <t>RNT240627</t>
        </is>
      </c>
      <c r="F707" t="inlineStr">
        <is>
          <t>06-06-2024</t>
        </is>
      </c>
      <c r="G707" t="n">
        <v>28749</v>
      </c>
      <c r="I707">
        <f>G707</f>
        <v/>
      </c>
      <c r="K707">
        <f>I707-G707</f>
        <v/>
      </c>
      <c r="M707" t="inlineStr">
        <is>
          <t>RNT240627</t>
        </is>
      </c>
      <c r="N707" t="inlineStr">
        <is>
          <t>9748500</t>
        </is>
      </c>
      <c r="O707">
        <f>M707=N707</f>
        <v/>
      </c>
      <c r="P707">
        <f>AND(MONTH(F707)=MONTH(S707), YEAR(F707)=YEAR(S707))</f>
        <v/>
      </c>
      <c r="Q707">
        <f>"L001-902303751"=U707</f>
        <v/>
      </c>
      <c r="R707">
        <f>G707-W707</f>
        <v/>
      </c>
      <c r="S707" s="36" t="n">
        <v>45376</v>
      </c>
      <c r="T707" t="n">
        <v>97485</v>
      </c>
      <c r="U707" t="inlineStr">
        <is>
          <t>L001-100045340</t>
        </is>
      </c>
      <c r="V707" t="inlineStr">
        <is>
          <t xml:space="preserve">ស៊ីវ៉ា អ៊ែរ អ៊ែន អូសៀន (ខេមបូឌា) ឯ.ក </t>
        </is>
      </c>
      <c r="W707" t="n">
        <v>97485</v>
      </c>
      <c r="X707" t="n">
        <v>0</v>
      </c>
    </row>
    <row r="708">
      <c r="A708" t="n">
        <v>707</v>
      </c>
      <c r="B708" t="inlineStr">
        <is>
          <t>Monthly Charge of Photo Copies Rental from 06/05/2024-06/06/2024</t>
        </is>
      </c>
      <c r="C708" t="inlineStr">
        <is>
          <t>វី.អាយ.អេស ខភៀ ឯ.ក</t>
        </is>
      </c>
      <c r="D708" t="inlineStr">
        <is>
          <t>K007-901705195</t>
        </is>
      </c>
      <c r="E708" t="inlineStr">
        <is>
          <t>RNT240626</t>
        </is>
      </c>
      <c r="F708" t="inlineStr">
        <is>
          <t>06-06-2024</t>
        </is>
      </c>
      <c r="G708" t="n">
        <v>57498</v>
      </c>
      <c r="I708">
        <f>G708</f>
        <v/>
      </c>
      <c r="K708">
        <f>I708-G708</f>
        <v/>
      </c>
      <c r="M708" t="inlineStr">
        <is>
          <t>RNT240626</t>
        </is>
      </c>
      <c r="N708" t="inlineStr"/>
      <c r="O708">
        <f>M708=N708</f>
        <v/>
      </c>
      <c r="P708">
        <f>AND(MONTH(F708)=MONTH(S708), YEAR(F708)=YEAR(S708))</f>
        <v/>
      </c>
      <c r="Q708">
        <f>"L001-902303751"=U708</f>
        <v/>
      </c>
      <c r="R708">
        <f>G708-W708</f>
        <v/>
      </c>
      <c r="S708" s="36" t="n">
        <v>45355</v>
      </c>
      <c r="T708" t="inlineStr"/>
      <c r="U708" t="inlineStr">
        <is>
          <t>K005-901805913</t>
        </is>
      </c>
      <c r="V708" t="inlineStr">
        <is>
          <t>ស្តារ ខង់ខដ (ខេមបូឌា) ឯ.ក</t>
        </is>
      </c>
      <c r="W708" t="n">
        <v>0</v>
      </c>
      <c r="X708" t="n">
        <v>0</v>
      </c>
    </row>
    <row r="709">
      <c r="A709" t="n">
        <v>708</v>
      </c>
      <c r="B709" t="inlineStr">
        <is>
          <t>Non Woven Interlining</t>
        </is>
      </c>
      <c r="C709" t="inlineStr">
        <is>
          <t>ដេលី ហ្គាមេន អេកសេសឺរី</t>
        </is>
      </c>
      <c r="D709" t="inlineStr">
        <is>
          <t>L001-108012794</t>
        </is>
      </c>
      <c r="E709" t="inlineStr">
        <is>
          <t>00252</t>
        </is>
      </c>
      <c r="F709" t="inlineStr">
        <is>
          <t>28-06-2024</t>
        </is>
      </c>
      <c r="G709" t="n">
        <v>450045</v>
      </c>
      <c r="I709">
        <f>G709</f>
        <v/>
      </c>
      <c r="K709">
        <f>I709-G709</f>
        <v/>
      </c>
      <c r="M709" t="inlineStr">
        <is>
          <t>00252</t>
        </is>
      </c>
      <c r="N709" t="inlineStr"/>
      <c r="O709">
        <f>M709=N709</f>
        <v/>
      </c>
      <c r="P709">
        <f>AND(MONTH(F709)=MONTH(S709), YEAR(F709)=YEAR(S709))</f>
        <v/>
      </c>
      <c r="Q709">
        <f>"L001-902303751"=U709</f>
        <v/>
      </c>
      <c r="R709">
        <f>G709-W709</f>
        <v/>
      </c>
      <c r="S709" s="36" t="n">
        <v>45363</v>
      </c>
      <c r="T709" t="inlineStr"/>
      <c r="U709" t="inlineStr">
        <is>
          <t>L001-100045995</t>
        </is>
      </c>
      <c r="V709" t="inlineStr">
        <is>
          <t>ឌីអេចអិល ឡូជីស្ទីក (ខេមបូឌា)</t>
        </is>
      </c>
      <c r="W709" t="n">
        <v>0</v>
      </c>
      <c r="X709" t="n">
        <v>0</v>
      </c>
    </row>
    <row r="710">
      <c r="A710" t="n">
        <v>709</v>
      </c>
      <c r="B710" t="inlineStr">
        <is>
          <t>Import Shipment Expense</t>
        </is>
      </c>
      <c r="C710" t="inlineStr">
        <is>
          <t>ហ្វ្រេត ខនសិប (ខេមបូឌា)</t>
        </is>
      </c>
      <c r="D710" t="inlineStr">
        <is>
          <t>K009-901502482</t>
        </is>
      </c>
      <c r="E710" t="inlineStr">
        <is>
          <t>240619</t>
        </is>
      </c>
      <c r="F710" t="inlineStr">
        <is>
          <t>24-06-2024</t>
        </is>
      </c>
      <c r="G710" t="n">
        <v>84893</v>
      </c>
      <c r="I710">
        <f>G710</f>
        <v/>
      </c>
      <c r="K710">
        <f>I710-G710</f>
        <v/>
      </c>
      <c r="M710" t="inlineStr">
        <is>
          <t>240619</t>
        </is>
      </c>
      <c r="N710" t="inlineStr">
        <is>
          <t>11121000</t>
        </is>
      </c>
      <c r="O710">
        <f>M710=N710</f>
        <v/>
      </c>
      <c r="P710">
        <f>AND(MONTH(F710)=MONTH(S710), YEAR(F710)=YEAR(S710))</f>
        <v/>
      </c>
      <c r="Q710">
        <f>"L001-902303751"=U710</f>
        <v/>
      </c>
      <c r="R710">
        <f>G710-W710</f>
        <v/>
      </c>
      <c r="S710" s="36" t="n">
        <v>45399</v>
      </c>
      <c r="T710" t="n">
        <v>111210</v>
      </c>
      <c r="U710" t="inlineStr">
        <is>
          <t>K005-100059945</t>
        </is>
      </c>
      <c r="V710" t="inlineStr">
        <is>
          <t>អ៊ែតវ៉ានស៍ គ្លរី ឡូជីស្ទីក (ខេមបូឌា) (អេ ជី អិល)</t>
        </is>
      </c>
      <c r="W710" t="n">
        <v>111210</v>
      </c>
      <c r="X710" t="n">
        <v>0</v>
      </c>
    </row>
    <row r="711">
      <c r="A711" t="n">
        <v>710</v>
      </c>
      <c r="B711" t="inlineStr">
        <is>
          <t>THC, Doc Fee and Container Imbalance</t>
        </is>
      </c>
      <c r="C711" t="inlineStr">
        <is>
          <t>សាខាក្រុមហ៊ុន ជីម៉ាឌីប ស៊ីបភីង ខមភេនី លីមីធីត</t>
        </is>
      </c>
      <c r="D711" t="inlineStr">
        <is>
          <t>L001-901704777</t>
        </is>
      </c>
      <c r="E711" t="inlineStr">
        <is>
          <t>24-01837</t>
        </is>
      </c>
      <c r="F711" t="inlineStr">
        <is>
          <t>03-06-2024</t>
        </is>
      </c>
      <c r="G711" t="n">
        <v>96327</v>
      </c>
      <c r="I711">
        <f>G711</f>
        <v/>
      </c>
      <c r="K711">
        <f>I711-G711</f>
        <v/>
      </c>
      <c r="M711" t="inlineStr">
        <is>
          <t>2401837</t>
        </is>
      </c>
      <c r="N711" t="inlineStr">
        <is>
          <t>9738800</t>
        </is>
      </c>
      <c r="O711">
        <f>M711=N711</f>
        <v/>
      </c>
      <c r="P711">
        <f>AND(MONTH(F711)=MONTH(S711), YEAR(F711)=YEAR(S711))</f>
        <v/>
      </c>
      <c r="Q711">
        <f>"L001-902303751"=U711</f>
        <v/>
      </c>
      <c r="R711">
        <f>G711-W711</f>
        <v/>
      </c>
      <c r="S711" s="36" t="n">
        <v>45391</v>
      </c>
      <c r="T711" t="n">
        <v>97388</v>
      </c>
      <c r="U711" t="inlineStr">
        <is>
          <t>K003-901635943</t>
        </is>
      </c>
      <c r="V711" t="inlineStr">
        <is>
          <t>អ៊ីឃ្យូឡាញ វើលវ៉ាយដ៍ ឡូជីស្ទីក</t>
        </is>
      </c>
      <c r="W711" t="n">
        <v>97388</v>
      </c>
      <c r="X711" t="n">
        <v>0</v>
      </c>
    </row>
    <row r="712">
      <c r="A712" t="n">
        <v>711</v>
      </c>
      <c r="B712" t="inlineStr">
        <is>
          <t>THC, Doc Fee and Container Imbalance</t>
        </is>
      </c>
      <c r="C712" t="inlineStr">
        <is>
          <t>សាខាក្រុមហ៊ុន ជីម៉ាឌីប ស៊ីបភីង ខមភេនី លីមីធីត</t>
        </is>
      </c>
      <c r="D712" t="inlineStr">
        <is>
          <t>L001-901704777</t>
        </is>
      </c>
      <c r="E712" t="inlineStr">
        <is>
          <t>24-01835</t>
        </is>
      </c>
      <c r="F712" t="inlineStr">
        <is>
          <t>03-06-2024</t>
        </is>
      </c>
      <c r="G712" t="n">
        <v>137317</v>
      </c>
      <c r="I712">
        <f>G712</f>
        <v/>
      </c>
      <c r="K712">
        <f>I712-G712</f>
        <v/>
      </c>
      <c r="M712" t="inlineStr">
        <is>
          <t>2401835</t>
        </is>
      </c>
      <c r="N712" t="inlineStr">
        <is>
          <t>11355200</t>
        </is>
      </c>
      <c r="O712">
        <f>M712=N712</f>
        <v/>
      </c>
      <c r="P712">
        <f>AND(MONTH(F712)=MONTH(S712), YEAR(F712)=YEAR(S712))</f>
        <v/>
      </c>
      <c r="Q712">
        <f>"L001-902303751"=U712</f>
        <v/>
      </c>
      <c r="R712">
        <f>G712-W712</f>
        <v/>
      </c>
      <c r="S712" s="36" t="n">
        <v>45391</v>
      </c>
      <c r="T712" t="n">
        <v>113552</v>
      </c>
      <c r="U712" t="inlineStr">
        <is>
          <t>K005-901805913</t>
        </is>
      </c>
      <c r="V712" t="inlineStr">
        <is>
          <t>ស្តារ ខង់ខដ (ខេមបូឌា) ឯ.ក</t>
        </is>
      </c>
      <c r="W712" t="n">
        <v>113552</v>
      </c>
      <c r="X712" t="n">
        <v>0</v>
      </c>
    </row>
    <row r="713">
      <c r="A713" t="n">
        <v>712</v>
      </c>
      <c r="B713" t="inlineStr">
        <is>
          <t>THC, Doc Fee and Container Imbalance</t>
        </is>
      </c>
      <c r="C713" t="inlineStr">
        <is>
          <t>សាខាក្រុមហ៊ុន ជីម៉ាឌីប ស៊ីបភីង ខមភេនី លីមីធីត</t>
        </is>
      </c>
      <c r="D713" t="inlineStr">
        <is>
          <t>L001-901704777</t>
        </is>
      </c>
      <c r="E713" t="inlineStr">
        <is>
          <t>24-01986</t>
        </is>
      </c>
      <c r="F713" t="inlineStr">
        <is>
          <t>17-06-2024</t>
        </is>
      </c>
      <c r="G713" t="n">
        <v>96844</v>
      </c>
      <c r="I713">
        <f>G713</f>
        <v/>
      </c>
      <c r="K713">
        <f>I713-G713</f>
        <v/>
      </c>
      <c r="M713" t="inlineStr">
        <is>
          <t>2401986</t>
        </is>
      </c>
      <c r="N713" t="inlineStr">
        <is>
          <t>8532800</t>
        </is>
      </c>
      <c r="O713">
        <f>M713=N713</f>
        <v/>
      </c>
      <c r="P713">
        <f>AND(MONTH(F713)=MONTH(S713), YEAR(F713)=YEAR(S713))</f>
        <v/>
      </c>
      <c r="Q713">
        <f>"L001-902303751"=U713</f>
        <v/>
      </c>
      <c r="R713">
        <f>G713-W713</f>
        <v/>
      </c>
      <c r="S713" s="36" t="n">
        <v>45399</v>
      </c>
      <c r="T713" t="n">
        <v>85328</v>
      </c>
      <c r="U713" t="inlineStr">
        <is>
          <t>K005-901805913</t>
        </is>
      </c>
      <c r="V713" t="inlineStr">
        <is>
          <t>ស្តារ ខង់ខដ (ខេមបូឌា) ឯ.ក</t>
        </is>
      </c>
      <c r="W713" t="n">
        <v>85328</v>
      </c>
      <c r="X713" t="n">
        <v>0</v>
      </c>
    </row>
    <row r="714">
      <c r="A714" t="n">
        <v>713</v>
      </c>
      <c r="B714" t="inlineStr">
        <is>
          <t>THC, Doc Fee and Container Imbalance</t>
        </is>
      </c>
      <c r="C714" t="inlineStr">
        <is>
          <t>សាខាក្រុមហ៊ុន ជីម៉ាឌីប ស៊ីបភីង ខមភេនី លីមីធីត</t>
        </is>
      </c>
      <c r="D714" t="inlineStr">
        <is>
          <t>L001-901704777</t>
        </is>
      </c>
      <c r="E714" t="inlineStr">
        <is>
          <t>24-02108</t>
        </is>
      </c>
      <c r="F714" t="inlineStr">
        <is>
          <t>24-06-2024</t>
        </is>
      </c>
      <c r="G714" t="n">
        <v>138054</v>
      </c>
      <c r="I714">
        <f>G714</f>
        <v/>
      </c>
      <c r="K714">
        <f>I714-G714</f>
        <v/>
      </c>
      <c r="M714" t="inlineStr">
        <is>
          <t>2402108</t>
        </is>
      </c>
      <c r="N714" t="inlineStr">
        <is>
          <t>11170500</t>
        </is>
      </c>
      <c r="O714">
        <f>M714=N714</f>
        <v/>
      </c>
      <c r="P714">
        <f>AND(MONTH(F714)=MONTH(S714), YEAR(F714)=YEAR(S714))</f>
        <v/>
      </c>
      <c r="Q714">
        <f>"L001-902303751"=U714</f>
        <v/>
      </c>
      <c r="R714">
        <f>G714-W714</f>
        <v/>
      </c>
      <c r="S714" s="36" t="n">
        <v>45411</v>
      </c>
      <c r="T714" t="n">
        <v>111705</v>
      </c>
      <c r="U714" t="inlineStr">
        <is>
          <t>L001-107032791</t>
        </is>
      </c>
      <c r="V714" t="inlineStr">
        <is>
          <t>នីបផន អិចប្រេស (ខេមបូឌា) ខូ អិលធីឌី</t>
        </is>
      </c>
      <c r="W714" t="n">
        <v>111705</v>
      </c>
      <c r="X714" t="n">
        <v>0</v>
      </c>
    </row>
    <row r="715">
      <c r="A715" t="n">
        <v>714</v>
      </c>
      <c r="B715" t="inlineStr">
        <is>
          <t>Coated Paper and Thermal Tramsfer Ribbons</t>
        </is>
      </c>
      <c r="C715" t="inlineStr">
        <is>
          <t>ហ្គូដញូ ភែកឃីជីង ថេកណឡជី ឯ.ក</t>
        </is>
      </c>
      <c r="D715" t="inlineStr">
        <is>
          <t>L001-901704919</t>
        </is>
      </c>
      <c r="E715" t="inlineStr">
        <is>
          <t>TI-GN-2024-033</t>
        </is>
      </c>
      <c r="F715" t="inlineStr">
        <is>
          <t>30-06-2024</t>
        </is>
      </c>
      <c r="G715" t="n">
        <v>268371</v>
      </c>
      <c r="I715">
        <f>G715</f>
        <v/>
      </c>
      <c r="K715">
        <f>I715-G715</f>
        <v/>
      </c>
      <c r="M715" t="inlineStr">
        <is>
          <t>TIGN2024033</t>
        </is>
      </c>
      <c r="N715" t="inlineStr">
        <is>
          <t>8575000</t>
        </is>
      </c>
      <c r="O715">
        <f>M715=N715</f>
        <v/>
      </c>
      <c r="P715">
        <f>AND(MONTH(F715)=MONTH(S715), YEAR(F715)=YEAR(S715))</f>
        <v/>
      </c>
      <c r="Q715">
        <f>"L001-902303751"=U715</f>
        <v/>
      </c>
      <c r="R715">
        <f>G715-W715</f>
        <v/>
      </c>
      <c r="S715" s="36" t="n">
        <v>45404</v>
      </c>
      <c r="T715" t="n">
        <v>85750</v>
      </c>
      <c r="U715" t="inlineStr">
        <is>
          <t>L001-100045340</t>
        </is>
      </c>
      <c r="V715" t="inlineStr">
        <is>
          <t xml:space="preserve">ស៊ីវ៉ា អ៊ែរ អ៊ែន អូសៀន (ខេមបូឌា) ឯ.ក </t>
        </is>
      </c>
      <c r="W715" t="n">
        <v>85750</v>
      </c>
      <c r="X715" t="n">
        <v>0</v>
      </c>
    </row>
    <row r="716">
      <c r="A716" t="n">
        <v>715</v>
      </c>
      <c r="B716" t="inlineStr">
        <is>
          <t>Import Shipment Expense</t>
        </is>
      </c>
      <c r="C716" t="inlineStr">
        <is>
          <t>ហ្វ្រេត ខនសិប (ខេមបូឌា)</t>
        </is>
      </c>
      <c r="D716" t="inlineStr">
        <is>
          <t>K009-901502482</t>
        </is>
      </c>
      <c r="E716" t="inlineStr">
        <is>
          <t>240547</t>
        </is>
      </c>
      <c r="F716" t="inlineStr">
        <is>
          <t>03-06-2024</t>
        </is>
      </c>
      <c r="G716" t="n">
        <v>78865</v>
      </c>
      <c r="I716">
        <f>G716</f>
        <v/>
      </c>
      <c r="K716">
        <f>I716-G716</f>
        <v/>
      </c>
      <c r="M716" t="inlineStr">
        <is>
          <t>240547</t>
        </is>
      </c>
      <c r="N716" t="inlineStr">
        <is>
          <t>8331200</t>
        </is>
      </c>
      <c r="O716">
        <f>M716=N716</f>
        <v/>
      </c>
      <c r="P716">
        <f>AND(MONTH(F716)=MONTH(S716), YEAR(F716)=YEAR(S716))</f>
        <v/>
      </c>
      <c r="Q716">
        <f>"L001-902303751"=U716</f>
        <v/>
      </c>
      <c r="R716">
        <f>G716-W716</f>
        <v/>
      </c>
      <c r="S716" s="36" t="n">
        <v>45404</v>
      </c>
      <c r="T716" t="n">
        <v>83312</v>
      </c>
      <c r="U716" t="inlineStr">
        <is>
          <t>L001-107032791</t>
        </is>
      </c>
      <c r="V716" t="inlineStr">
        <is>
          <t>នីបផន អិចប្រេស (ខេមបូឌា) ខូ អិលធីឌី</t>
        </is>
      </c>
      <c r="W716" t="n">
        <v>83312</v>
      </c>
      <c r="X716" t="n">
        <v>0</v>
      </c>
    </row>
    <row r="717">
      <c r="A717" t="n">
        <v>716</v>
      </c>
      <c r="B717" t="inlineStr">
        <is>
          <t>Documentation Origin, Handling Charges Origin, PLACI Fee and HAWB Transmission Fee</t>
        </is>
      </c>
      <c r="C717" t="inlineStr">
        <is>
          <t>ឌីប៊ី សេនឃើរ (ខេមបូឌា) លីមីធីត</t>
        </is>
      </c>
      <c r="D717" t="inlineStr">
        <is>
          <t>L001-107041723</t>
        </is>
      </c>
      <c r="E717" t="inlineStr">
        <is>
          <t>2400004467</t>
        </is>
      </c>
      <c r="F717" t="inlineStr">
        <is>
          <t>04-06-2024</t>
        </is>
      </c>
      <c r="G717" t="n">
        <v>50479</v>
      </c>
      <c r="I717">
        <f>G717</f>
        <v/>
      </c>
      <c r="K717">
        <f>I717-G717</f>
        <v/>
      </c>
      <c r="M717" t="inlineStr">
        <is>
          <t>2400004467</t>
        </is>
      </c>
      <c r="N717" t="inlineStr">
        <is>
          <t>8277900</t>
        </is>
      </c>
      <c r="O717">
        <f>M717=N717</f>
        <v/>
      </c>
      <c r="P717">
        <f>AND(MONTH(F717)=MONTH(S717), YEAR(F717)=YEAR(S717))</f>
        <v/>
      </c>
      <c r="Q717">
        <f>"L001-902303751"=U717</f>
        <v/>
      </c>
      <c r="R717">
        <f>G717-W717</f>
        <v/>
      </c>
      <c r="S717" s="36" t="n">
        <v>45383</v>
      </c>
      <c r="T717" t="n">
        <v>82779</v>
      </c>
      <c r="U717" t="inlineStr">
        <is>
          <t>L001-100044956</t>
        </is>
      </c>
      <c r="V717" t="inlineStr">
        <is>
          <t>ជី លីង អិចប្រេស ឡូជីស្ទីក (ខេមបូឌា) លីមីធីត</t>
        </is>
      </c>
      <c r="W717" t="n">
        <v>82779</v>
      </c>
      <c r="X717" t="n">
        <v>0</v>
      </c>
    </row>
    <row r="718">
      <c r="A718" t="n">
        <v>717</v>
      </c>
      <c r="B718" t="inlineStr">
        <is>
          <t>Documentation Origin, Handling Charges Origin, PLACI Fee and HAWB Transmission Fee</t>
        </is>
      </c>
      <c r="C718" t="inlineStr">
        <is>
          <t>ឌីប៊ី សេនឃើរ (ខេមបូឌា) លីមីធីត</t>
        </is>
      </c>
      <c r="D718" t="inlineStr">
        <is>
          <t>L001-107041723</t>
        </is>
      </c>
      <c r="E718" t="inlineStr">
        <is>
          <t>240004475</t>
        </is>
      </c>
      <c r="F718" t="inlineStr">
        <is>
          <t>04-06-2024</t>
        </is>
      </c>
      <c r="G718" t="n">
        <v>50479</v>
      </c>
      <c r="I718">
        <f>G718</f>
        <v/>
      </c>
      <c r="K718">
        <f>I718-G718</f>
        <v/>
      </c>
      <c r="M718" t="inlineStr">
        <is>
          <t>240004475</t>
        </is>
      </c>
      <c r="N718" t="inlineStr"/>
      <c r="O718">
        <f>M718=N718</f>
        <v/>
      </c>
      <c r="P718">
        <f>AND(MONTH(F718)=MONTH(S718), YEAR(F718)=YEAR(S718))</f>
        <v/>
      </c>
      <c r="Q718">
        <f>"L001-902303751"=U718</f>
        <v/>
      </c>
      <c r="R718">
        <f>G718-W718</f>
        <v/>
      </c>
      <c r="S718" s="36" t="n">
        <v>45383</v>
      </c>
      <c r="T718" t="inlineStr"/>
      <c r="U718" t="inlineStr">
        <is>
          <t>K003-901635943</t>
        </is>
      </c>
      <c r="V718" t="inlineStr">
        <is>
          <t>អ៊ីឃ្យូឡាញ វើលវ៉ាយដ៍ ឡូជីស្ទីក</t>
        </is>
      </c>
      <c r="W718" t="n">
        <v>0</v>
      </c>
      <c r="X718" t="n">
        <v>0</v>
      </c>
    </row>
    <row r="719">
      <c r="A719" t="n">
        <v>718</v>
      </c>
      <c r="B719" t="inlineStr">
        <is>
          <t>Cargo Terminal</t>
        </is>
      </c>
      <c r="C719" t="inlineStr">
        <is>
          <t>សូស៊ីយេតេ កុងសេស្យូនែរ ដឺ ឡាអេរ៉ូព័រ</t>
        </is>
      </c>
      <c r="D719" t="inlineStr">
        <is>
          <t>L001-100047300</t>
        </is>
      </c>
      <c r="E719" t="inlineStr">
        <is>
          <t>2400-042312</t>
        </is>
      </c>
      <c r="F719" t="inlineStr">
        <is>
          <t>06-06-2024</t>
        </is>
      </c>
      <c r="G719" t="n">
        <v>4731</v>
      </c>
      <c r="I719">
        <f>G719</f>
        <v/>
      </c>
      <c r="K719">
        <f>I719-G719</f>
        <v/>
      </c>
      <c r="M719" t="inlineStr">
        <is>
          <t>2400042312</t>
        </is>
      </c>
      <c r="N719" t="inlineStr">
        <is>
          <t>11355200</t>
        </is>
      </c>
      <c r="O719">
        <f>M719=N719</f>
        <v/>
      </c>
      <c r="P719">
        <f>AND(MONTH(F719)=MONTH(S719), YEAR(F719)=YEAR(S719))</f>
        <v/>
      </c>
      <c r="Q719">
        <f>"L001-902303751"=U719</f>
        <v/>
      </c>
      <c r="R719">
        <f>G719-W719</f>
        <v/>
      </c>
      <c r="S719" s="36" t="n">
        <v>45391</v>
      </c>
      <c r="T719" t="n">
        <v>113552</v>
      </c>
      <c r="U719" t="inlineStr">
        <is>
          <t>K003-901635943</t>
        </is>
      </c>
      <c r="V719" t="inlineStr">
        <is>
          <t>អ៊ីឃ្យូឡាញ វើលវ៉ាយដ៍ ឡូជីស្ទីក</t>
        </is>
      </c>
      <c r="W719" t="n">
        <v>113552</v>
      </c>
      <c r="X719" t="n">
        <v>0</v>
      </c>
    </row>
    <row r="720">
      <c r="A720" t="n">
        <v>719</v>
      </c>
      <c r="B720" t="inlineStr">
        <is>
          <t>Cargo Terminal</t>
        </is>
      </c>
      <c r="C720" t="inlineStr">
        <is>
          <t>សូស៊ីយេតេ កុងសេស្យូនែរ ដឺ ឡាអេរ៉ូព័រ</t>
        </is>
      </c>
      <c r="D720" t="inlineStr">
        <is>
          <t>L001-100047300</t>
        </is>
      </c>
      <c r="E720" t="inlineStr">
        <is>
          <t>2400-041363</t>
        </is>
      </c>
      <c r="F720" t="inlineStr">
        <is>
          <t>03-06-2024</t>
        </is>
      </c>
      <c r="G720" t="n">
        <v>1442</v>
      </c>
      <c r="I720">
        <f>G720</f>
        <v/>
      </c>
      <c r="K720">
        <f>I720-G720</f>
        <v/>
      </c>
      <c r="M720" t="inlineStr">
        <is>
          <t>2400041363</t>
        </is>
      </c>
      <c r="N720" t="inlineStr">
        <is>
          <t>20594300</t>
        </is>
      </c>
      <c r="O720">
        <f>M720=N720</f>
        <v/>
      </c>
      <c r="P720">
        <f>AND(MONTH(F720)=MONTH(S720), YEAR(F720)=YEAR(S720))</f>
        <v/>
      </c>
      <c r="Q720">
        <f>"L001-902303751"=U720</f>
        <v/>
      </c>
      <c r="R720">
        <f>G720-W720</f>
        <v/>
      </c>
      <c r="S720" s="36" t="n">
        <v>45411</v>
      </c>
      <c r="T720" t="n">
        <v>205943</v>
      </c>
      <c r="U720" t="inlineStr">
        <is>
          <t>L001-100074669</t>
        </is>
      </c>
      <c r="V720" t="inlineStr">
        <is>
          <t>ខេអិលអិន ហ្វ្រេត (ខេមបូឌា) ឯ.ក</t>
        </is>
      </c>
      <c r="W720" t="n">
        <v>205943</v>
      </c>
      <c r="X720" t="n">
        <v>0</v>
      </c>
    </row>
    <row r="721">
      <c r="A721" t="n">
        <v>720</v>
      </c>
      <c r="B721" t="inlineStr">
        <is>
          <t>Cargo Terminal</t>
        </is>
      </c>
      <c r="C721" t="inlineStr">
        <is>
          <t>សូស៊ីយេតេ កុងសេស្យូនែរ ដឺ ឡាអេរ៉ូព័រ</t>
        </is>
      </c>
      <c r="D721" t="inlineStr">
        <is>
          <t>L001-100047300</t>
        </is>
      </c>
      <c r="E721" t="inlineStr">
        <is>
          <t>2400-041364</t>
        </is>
      </c>
      <c r="F721" t="inlineStr">
        <is>
          <t>03-06-2024</t>
        </is>
      </c>
      <c r="G721" t="n">
        <v>917</v>
      </c>
      <c r="I721">
        <f>G721</f>
        <v/>
      </c>
      <c r="K721">
        <f>I721-G721</f>
        <v/>
      </c>
      <c r="M721" t="inlineStr">
        <is>
          <t>2400041364</t>
        </is>
      </c>
      <c r="N721" t="inlineStr">
        <is>
          <t>17263500</t>
        </is>
      </c>
      <c r="O721">
        <f>M721=N721</f>
        <v/>
      </c>
      <c r="P721">
        <f>AND(MONTH(F721)=MONTH(S721), YEAR(F721)=YEAR(S721))</f>
        <v/>
      </c>
      <c r="Q721">
        <f>"L001-902303751"=U721</f>
        <v/>
      </c>
      <c r="R721">
        <f>G721-W721</f>
        <v/>
      </c>
      <c r="S721" s="36" t="n">
        <v>45411</v>
      </c>
      <c r="T721" t="n">
        <v>172635</v>
      </c>
      <c r="U721" t="inlineStr">
        <is>
          <t>L001-107032791</t>
        </is>
      </c>
      <c r="V721" t="inlineStr">
        <is>
          <t>នីបផន អិចប្រេស (ខេមបូឌា) ខូ អិលធីឌី</t>
        </is>
      </c>
      <c r="W721" t="n">
        <v>172635</v>
      </c>
      <c r="X721" t="n">
        <v>0</v>
      </c>
    </row>
    <row r="722">
      <c r="A722" t="n">
        <v>721</v>
      </c>
      <c r="B722" t="inlineStr">
        <is>
          <t>Cargo Terminal</t>
        </is>
      </c>
      <c r="C722" t="inlineStr">
        <is>
          <t>សូស៊ីយេតេ កុងសេស្យូនែរ ដឺ ឡាអេរ៉ូព័រ</t>
        </is>
      </c>
      <c r="D722" t="inlineStr">
        <is>
          <t>L001-100047300</t>
        </is>
      </c>
      <c r="E722" t="inlineStr">
        <is>
          <t>2400-043648</t>
        </is>
      </c>
      <c r="F722" t="inlineStr">
        <is>
          <t>11-06-2024</t>
        </is>
      </c>
      <c r="G722" t="n">
        <v>1414</v>
      </c>
      <c r="I722">
        <f>G722</f>
        <v/>
      </c>
      <c r="K722">
        <f>I722-G722</f>
        <v/>
      </c>
      <c r="M722" t="inlineStr">
        <is>
          <t>2400043648</t>
        </is>
      </c>
      <c r="N722" t="inlineStr">
        <is>
          <t>8327100</t>
        </is>
      </c>
      <c r="O722">
        <f>M722=N722</f>
        <v/>
      </c>
      <c r="P722">
        <f>AND(MONTH(F722)=MONTH(S722), YEAR(F722)=YEAR(S722))</f>
        <v/>
      </c>
      <c r="Q722">
        <f>"L001-902303751"=U722</f>
        <v/>
      </c>
      <c r="R722">
        <f>G722-W722</f>
        <v/>
      </c>
      <c r="S722" s="36" t="n">
        <v>45411</v>
      </c>
      <c r="T722" t="n">
        <v>83271</v>
      </c>
      <c r="U722" t="inlineStr">
        <is>
          <t>L001-107032791</t>
        </is>
      </c>
      <c r="V722" t="inlineStr">
        <is>
          <t>នីបផន អិចប្រេស (ខេមបូឌា) ខូ អិលធីឌី</t>
        </is>
      </c>
      <c r="W722" t="n">
        <v>83271</v>
      </c>
      <c r="X722" t="n">
        <v>0</v>
      </c>
    </row>
    <row r="723">
      <c r="A723" t="n">
        <v>722</v>
      </c>
      <c r="B723" t="inlineStr">
        <is>
          <t>Cargo Terminal</t>
        </is>
      </c>
      <c r="C723" t="inlineStr">
        <is>
          <t>សូស៊ីយេតេ កុងសេស្យូនែរ ដឺ ឡាអេរ៉ូព័រ</t>
        </is>
      </c>
      <c r="D723" t="inlineStr">
        <is>
          <t>L001-100047300</t>
        </is>
      </c>
      <c r="E723" t="inlineStr">
        <is>
          <t>2400-043649</t>
        </is>
      </c>
      <c r="F723" t="inlineStr">
        <is>
          <t>11-06-2024</t>
        </is>
      </c>
      <c r="G723" t="n">
        <v>2140</v>
      </c>
      <c r="I723">
        <f>G723</f>
        <v/>
      </c>
      <c r="K723">
        <f>I723-G723</f>
        <v/>
      </c>
      <c r="M723" t="inlineStr">
        <is>
          <t>2400043649</t>
        </is>
      </c>
      <c r="N723" t="inlineStr"/>
      <c r="O723">
        <f>M723=N723</f>
        <v/>
      </c>
      <c r="P723">
        <f>AND(MONTH(F723)=MONTH(S723), YEAR(F723)=YEAR(S723))</f>
        <v/>
      </c>
      <c r="Q723">
        <f>"L001-902303751"=U723</f>
        <v/>
      </c>
      <c r="R723">
        <f>G723-W723</f>
        <v/>
      </c>
      <c r="S723" s="36" t="n">
        <v>45411</v>
      </c>
      <c r="T723" t="inlineStr"/>
      <c r="U723" t="inlineStr">
        <is>
          <t>K005-901805913</t>
        </is>
      </c>
      <c r="V723" t="inlineStr">
        <is>
          <t>ស្តារ ខង់ខដ (ខេមបូឌា) ឯ.ក</t>
        </is>
      </c>
      <c r="W723" t="n">
        <v>0</v>
      </c>
      <c r="X723" t="n">
        <v>0</v>
      </c>
    </row>
    <row r="724">
      <c r="A724" t="n">
        <v>723</v>
      </c>
      <c r="B724" t="inlineStr">
        <is>
          <t>Cargo Terminal</t>
        </is>
      </c>
      <c r="C724" t="inlineStr">
        <is>
          <t>សូស៊ីយេតេ កុងសេស្យូនែរ ដឺ ឡាអេរ៉ូព័រ</t>
        </is>
      </c>
      <c r="D724" t="inlineStr">
        <is>
          <t>L001-100047300</t>
        </is>
      </c>
      <c r="E724" t="inlineStr">
        <is>
          <t>2400-043565</t>
        </is>
      </c>
      <c r="F724" t="inlineStr">
        <is>
          <t>10-06-2024</t>
        </is>
      </c>
      <c r="G724" t="n">
        <v>1316</v>
      </c>
      <c r="I724">
        <f>G724</f>
        <v/>
      </c>
      <c r="K724">
        <f>I724-G724</f>
        <v/>
      </c>
      <c r="M724" t="inlineStr">
        <is>
          <t>2400043565</t>
        </is>
      </c>
      <c r="N724" t="inlineStr">
        <is>
          <t>9259100</t>
        </is>
      </c>
      <c r="O724">
        <f>M724=N724</f>
        <v/>
      </c>
      <c r="P724">
        <f>AND(MONTH(F724)=MONTH(S724), YEAR(F724)=YEAR(S724))</f>
        <v/>
      </c>
      <c r="Q724">
        <f>"L001-902303751"=U724</f>
        <v/>
      </c>
      <c r="R724">
        <f>G724-W724</f>
        <v/>
      </c>
      <c r="S724" s="36" t="n">
        <v>45406</v>
      </c>
      <c r="T724" t="n">
        <v>92591</v>
      </c>
      <c r="U724" t="inlineStr">
        <is>
          <t>K009-107034735</t>
        </is>
      </c>
      <c r="V724" t="inlineStr">
        <is>
          <t>ស៊ីប៊ីជី ឡូជីស្ទីក (ខេមបូឌា)</t>
        </is>
      </c>
      <c r="W724" t="n">
        <v>92591</v>
      </c>
      <c r="X724" t="n">
        <v>0</v>
      </c>
    </row>
    <row r="725">
      <c r="A725" t="n">
        <v>724</v>
      </c>
      <c r="B725" t="inlineStr">
        <is>
          <t>Cargo Terminal</t>
        </is>
      </c>
      <c r="C725" t="inlineStr">
        <is>
          <t>សូស៊ីយេតេ កុងសេស្យូនែរ ដឺ ឡាអេរ៉ូព័រ</t>
        </is>
      </c>
      <c r="D725" t="inlineStr">
        <is>
          <t>L001-100047300</t>
        </is>
      </c>
      <c r="E725" t="inlineStr">
        <is>
          <t>2400-044954</t>
        </is>
      </c>
      <c r="F725" t="inlineStr">
        <is>
          <t>14-06-2024</t>
        </is>
      </c>
      <c r="G725" t="n">
        <v>2045</v>
      </c>
      <c r="I725">
        <f>G725</f>
        <v/>
      </c>
      <c r="K725">
        <f>I725-G725</f>
        <v/>
      </c>
      <c r="M725" t="inlineStr">
        <is>
          <t>2400044954</t>
        </is>
      </c>
      <c r="N725" t="inlineStr">
        <is>
          <t>11346800</t>
        </is>
      </c>
      <c r="O725">
        <f>M725=N725</f>
        <v/>
      </c>
      <c r="P725">
        <f>AND(MONTH(F725)=MONTH(S725), YEAR(F725)=YEAR(S725))</f>
        <v/>
      </c>
      <c r="Q725">
        <f>"L001-902303751"=U725</f>
        <v/>
      </c>
      <c r="R725">
        <f>G725-W725</f>
        <v/>
      </c>
      <c r="S725" s="36" t="n">
        <v>45383</v>
      </c>
      <c r="T725" t="n">
        <v>113468</v>
      </c>
      <c r="U725" t="inlineStr">
        <is>
          <t>K005-901805913</t>
        </is>
      </c>
      <c r="V725" t="inlineStr">
        <is>
          <t>ស្តារ ខង់ខដ (ខេមបូឌា) ឯ.ក</t>
        </is>
      </c>
      <c r="W725" t="n">
        <v>113468</v>
      </c>
      <c r="X725" t="n">
        <v>0</v>
      </c>
    </row>
    <row r="726">
      <c r="A726" t="n">
        <v>725</v>
      </c>
      <c r="B726" t="inlineStr">
        <is>
          <t>Cargo Terminal</t>
        </is>
      </c>
      <c r="C726" t="inlineStr">
        <is>
          <t>សូស៊ីយេតេ កុងសេស្យូនែរ ដឺ ឡាអេរ៉ូព័រ</t>
        </is>
      </c>
      <c r="D726" t="inlineStr">
        <is>
          <t>L001-100047300</t>
        </is>
      </c>
      <c r="E726" t="inlineStr">
        <is>
          <t>2400-044953</t>
        </is>
      </c>
      <c r="F726" t="inlineStr">
        <is>
          <t>14-06-2024</t>
        </is>
      </c>
      <c r="G726" t="n">
        <v>15851</v>
      </c>
      <c r="I726">
        <f>G726</f>
        <v/>
      </c>
      <c r="K726">
        <f>I726-G726</f>
        <v/>
      </c>
      <c r="M726" t="inlineStr">
        <is>
          <t>2400044953</t>
        </is>
      </c>
      <c r="N726" t="inlineStr"/>
      <c r="O726">
        <f>M726=N726</f>
        <v/>
      </c>
      <c r="P726">
        <f>AND(MONTH(F726)=MONTH(S726), YEAR(F726)=YEAR(S726))</f>
        <v/>
      </c>
      <c r="Q726">
        <f>"L001-902303751"=U726</f>
        <v/>
      </c>
      <c r="R726">
        <f>G726-W726</f>
        <v/>
      </c>
      <c r="S726" s="36" t="n">
        <v>45399</v>
      </c>
      <c r="T726" t="inlineStr"/>
      <c r="U726" t="inlineStr">
        <is>
          <t>L001-107032791</t>
        </is>
      </c>
      <c r="V726" t="inlineStr">
        <is>
          <t>នីបផន អិចប្រេស (ខេមបូឌា) ខូ អិលធីឌី</t>
        </is>
      </c>
      <c r="W726" t="n">
        <v>0</v>
      </c>
      <c r="X726" t="n">
        <v>0</v>
      </c>
    </row>
    <row r="727">
      <c r="A727" t="n">
        <v>726</v>
      </c>
      <c r="B727" t="inlineStr">
        <is>
          <t>Cargo Terminal</t>
        </is>
      </c>
      <c r="C727" t="inlineStr">
        <is>
          <t>សូស៊ីយេតេ កុងសេស្យូនែរ ដឺ ឡាអេរ៉ូព័រ</t>
        </is>
      </c>
      <c r="D727" t="inlineStr">
        <is>
          <t>L001-100047300</t>
        </is>
      </c>
      <c r="E727" t="inlineStr">
        <is>
          <t>2400-045713</t>
        </is>
      </c>
      <c r="F727" t="inlineStr">
        <is>
          <t>17-06-2024</t>
        </is>
      </c>
      <c r="G727" t="n">
        <v>824</v>
      </c>
      <c r="I727">
        <f>G727</f>
        <v/>
      </c>
      <c r="K727">
        <f>I727-G727</f>
        <v/>
      </c>
      <c r="M727" t="inlineStr">
        <is>
          <t>2400045713</t>
        </is>
      </c>
      <c r="N727" t="inlineStr">
        <is>
          <t>32292900</t>
        </is>
      </c>
      <c r="O727">
        <f>M727=N727</f>
        <v/>
      </c>
      <c r="P727">
        <f>AND(MONTH(F727)=MONTH(S727), YEAR(F727)=YEAR(S727))</f>
        <v/>
      </c>
      <c r="Q727">
        <f>"L001-902303751"=U727</f>
        <v/>
      </c>
      <c r="R727">
        <f>G727-W727</f>
        <v/>
      </c>
      <c r="S727" s="36" t="n">
        <v>45411</v>
      </c>
      <c r="T727" t="n">
        <v>322929</v>
      </c>
      <c r="U727" t="inlineStr">
        <is>
          <t>L001-107032791</t>
        </is>
      </c>
      <c r="V727" t="inlineStr">
        <is>
          <t>នីបផន អិចប្រេស (ខេមបូឌា) ខូ អិលធីឌី</t>
        </is>
      </c>
      <c r="W727" t="n">
        <v>322929</v>
      </c>
      <c r="X727" t="n">
        <v>0</v>
      </c>
    </row>
    <row r="728">
      <c r="A728" t="n">
        <v>727</v>
      </c>
      <c r="B728" t="inlineStr">
        <is>
          <t>Cargo Terminal</t>
        </is>
      </c>
      <c r="C728" t="inlineStr">
        <is>
          <t>សូស៊ីយេតេ កុងសេស្យូនែរ ដឺ ឡាអេរ៉ូព័រ</t>
        </is>
      </c>
      <c r="D728" t="inlineStr">
        <is>
          <t>L001-100047300</t>
        </is>
      </c>
      <c r="E728" t="inlineStr">
        <is>
          <t>2400-045714</t>
        </is>
      </c>
      <c r="F728" t="inlineStr">
        <is>
          <t>17-06-2024</t>
        </is>
      </c>
      <c r="G728" t="n">
        <v>8111</v>
      </c>
      <c r="I728">
        <f>G728</f>
        <v/>
      </c>
      <c r="K728">
        <f>I728-G728</f>
        <v/>
      </c>
      <c r="M728" t="inlineStr">
        <is>
          <t>2400045714</t>
        </is>
      </c>
      <c r="N728" t="inlineStr"/>
      <c r="O728">
        <f>M728=N728</f>
        <v/>
      </c>
      <c r="P728">
        <f>AND(MONTH(F728)=MONTH(S728), YEAR(F728)=YEAR(S728))</f>
        <v/>
      </c>
      <c r="Q728">
        <f>"L001-902303751"=U728</f>
        <v/>
      </c>
      <c r="R728">
        <f>G728-W728</f>
        <v/>
      </c>
      <c r="S728" s="36" t="n">
        <v>45400</v>
      </c>
      <c r="T728" t="inlineStr"/>
      <c r="U728" t="inlineStr">
        <is>
          <t>L001-901500191</t>
        </is>
      </c>
      <c r="V728" t="inlineStr">
        <is>
          <t>អ.អិន.វ៉ាយ ត្រេនស្ព័ត</t>
        </is>
      </c>
      <c r="W728" t="n">
        <v>0</v>
      </c>
      <c r="X728" t="n">
        <v>0</v>
      </c>
    </row>
    <row r="729">
      <c r="A729" t="n">
        <v>728</v>
      </c>
      <c r="B729" t="inlineStr">
        <is>
          <t>Cargo Terminal</t>
        </is>
      </c>
      <c r="C729" t="inlineStr">
        <is>
          <t>សូស៊ីយេតេ កុងសេស្យូនែរ ដឺ ឡាអេរ៉ូព័រ</t>
        </is>
      </c>
      <c r="D729" t="inlineStr">
        <is>
          <t>L001-100047300</t>
        </is>
      </c>
      <c r="E729" t="inlineStr">
        <is>
          <t>2400-049836</t>
        </is>
      </c>
      <c r="F729" t="inlineStr">
        <is>
          <t>29-06-2024</t>
        </is>
      </c>
      <c r="G729" t="n">
        <v>1117</v>
      </c>
      <c r="I729">
        <f>G729</f>
        <v/>
      </c>
      <c r="K729">
        <f>I729-G729</f>
        <v/>
      </c>
      <c r="M729" t="inlineStr">
        <is>
          <t>2400049836</t>
        </is>
      </c>
      <c r="N729" t="inlineStr">
        <is>
          <t>8331200</t>
        </is>
      </c>
      <c r="O729">
        <f>M729=N729</f>
        <v/>
      </c>
      <c r="P729">
        <f>AND(MONTH(F729)=MONTH(S729), YEAR(F729)=YEAR(S729))</f>
        <v/>
      </c>
      <c r="Q729">
        <f>"L001-902303751"=U729</f>
        <v/>
      </c>
      <c r="R729">
        <f>G729-W729</f>
        <v/>
      </c>
      <c r="S729" s="36" t="n">
        <v>45404</v>
      </c>
      <c r="T729" t="n">
        <v>83312</v>
      </c>
      <c r="U729" t="inlineStr">
        <is>
          <t>L001-100045995</t>
        </is>
      </c>
      <c r="V729" t="inlineStr">
        <is>
          <t>ឌីអេចអិល ឡូជីស្ទីក (ខេមបូឌា)</t>
        </is>
      </c>
      <c r="W729" t="n">
        <v>83312</v>
      </c>
      <c r="X729" t="n">
        <v>0</v>
      </c>
    </row>
    <row r="730">
      <c r="A730" t="n">
        <v>729</v>
      </c>
      <c r="B730" t="inlineStr">
        <is>
          <t>Cargo Terminal</t>
        </is>
      </c>
      <c r="C730" t="inlineStr">
        <is>
          <t>សូស៊ីយេតេ កុងសេស្យូនែរ ដឺ ឡាអេរ៉ូព័រ</t>
        </is>
      </c>
      <c r="D730" t="inlineStr">
        <is>
          <t>L001-100047300</t>
        </is>
      </c>
      <c r="E730" t="inlineStr">
        <is>
          <t>2400-046276</t>
        </is>
      </c>
      <c r="F730" t="inlineStr">
        <is>
          <t>19-06-2024</t>
        </is>
      </c>
      <c r="G730" t="n">
        <v>824</v>
      </c>
      <c r="I730">
        <f>G730</f>
        <v/>
      </c>
      <c r="K730">
        <f>I730-G730</f>
        <v/>
      </c>
      <c r="M730" t="inlineStr">
        <is>
          <t>2400046276</t>
        </is>
      </c>
      <c r="N730" t="inlineStr"/>
      <c r="O730">
        <f>M730=N730</f>
        <v/>
      </c>
      <c r="P730">
        <f>AND(MONTH(F730)=MONTH(S730), YEAR(F730)=YEAR(S730))</f>
        <v/>
      </c>
      <c r="Q730">
        <f>"L001-902303751"=U730</f>
        <v/>
      </c>
      <c r="R730">
        <f>G730-W730</f>
        <v/>
      </c>
      <c r="S730" s="36" t="n">
        <v>45404</v>
      </c>
      <c r="T730" t="inlineStr"/>
      <c r="U730" t="inlineStr">
        <is>
          <t>K003-901635943</t>
        </is>
      </c>
      <c r="V730" t="inlineStr">
        <is>
          <t>អ៊ីឃ្យូឡាញ វើលវ៉ាយដ៍ ឡូជីស្ទីក</t>
        </is>
      </c>
      <c r="W730" t="n">
        <v>0</v>
      </c>
      <c r="X730" t="n">
        <v>0</v>
      </c>
    </row>
    <row r="731">
      <c r="A731" t="n">
        <v>730</v>
      </c>
      <c r="B731" t="inlineStr">
        <is>
          <t>Cargo Terminal</t>
        </is>
      </c>
      <c r="C731" t="inlineStr">
        <is>
          <t>សូស៊ីយេតេ កុងសេស្យូនែរ ដឺ ឡាអេរ៉ូព័រ</t>
        </is>
      </c>
      <c r="D731" t="inlineStr">
        <is>
          <t>L001-100047300</t>
        </is>
      </c>
      <c r="E731" t="inlineStr">
        <is>
          <t>2400-048293</t>
        </is>
      </c>
      <c r="F731" t="inlineStr">
        <is>
          <t>25-06-2024</t>
        </is>
      </c>
      <c r="G731" t="n">
        <v>823</v>
      </c>
      <c r="I731">
        <f>G731</f>
        <v/>
      </c>
      <c r="K731">
        <f>I731-G731</f>
        <v/>
      </c>
      <c r="M731" t="inlineStr">
        <is>
          <t>2400048293</t>
        </is>
      </c>
      <c r="N731" t="inlineStr">
        <is>
          <t>2032000</t>
        </is>
      </c>
      <c r="O731">
        <f>M731=N731</f>
        <v/>
      </c>
      <c r="P731">
        <f>AND(MONTH(F731)=MONTH(S731), YEAR(F731)=YEAR(S731))</f>
        <v/>
      </c>
      <c r="Q731">
        <f>"L001-902303751"=U731</f>
        <v/>
      </c>
      <c r="R731">
        <f>G731-W731</f>
        <v/>
      </c>
      <c r="S731" s="36" t="n">
        <v>45404</v>
      </c>
      <c r="T731" t="n">
        <v>20320</v>
      </c>
      <c r="U731" t="inlineStr">
        <is>
          <t>L001-100045995</t>
        </is>
      </c>
      <c r="V731" t="inlineStr">
        <is>
          <t>ឌីអេចអិល ឡូជីស្ទីក (ខេមបូឌា)</t>
        </is>
      </c>
      <c r="W731" t="n">
        <v>20320</v>
      </c>
      <c r="X731" t="n">
        <v>0</v>
      </c>
    </row>
    <row r="732">
      <c r="A732" t="n">
        <v>731</v>
      </c>
      <c r="B732" t="inlineStr">
        <is>
          <t>Cargo Terminal</t>
        </is>
      </c>
      <c r="C732" t="inlineStr">
        <is>
          <t>សូស៊ីយេតេ កុងសេស្យូនែរ ដឺ ឡាអេរ៉ូព័រ</t>
        </is>
      </c>
      <c r="D732" t="inlineStr">
        <is>
          <t>L001-100047300</t>
        </is>
      </c>
      <c r="E732" t="inlineStr">
        <is>
          <t>2400-049601</t>
        </is>
      </c>
      <c r="F732" t="inlineStr">
        <is>
          <t>29-06-2024</t>
        </is>
      </c>
      <c r="G732" t="n">
        <v>9830</v>
      </c>
      <c r="I732">
        <f>G732</f>
        <v/>
      </c>
      <c r="K732">
        <f>I732-G732</f>
        <v/>
      </c>
      <c r="M732" t="inlineStr">
        <is>
          <t>2400049601</t>
        </is>
      </c>
      <c r="N732" t="inlineStr">
        <is>
          <t>11112800</t>
        </is>
      </c>
      <c r="O732">
        <f>M732=N732</f>
        <v/>
      </c>
      <c r="P732">
        <f>AND(MONTH(F732)=MONTH(S732), YEAR(F732)=YEAR(S732))</f>
        <v/>
      </c>
      <c r="Q732">
        <f>"L001-902303751"=U732</f>
        <v/>
      </c>
      <c r="R732">
        <f>G732-W732</f>
        <v/>
      </c>
      <c r="S732" s="36" t="n">
        <v>45391</v>
      </c>
      <c r="T732" t="n">
        <v>111128</v>
      </c>
      <c r="U732" t="inlineStr">
        <is>
          <t>K005-901501155</t>
        </is>
      </c>
      <c r="V732" t="inlineStr">
        <is>
          <t>ផេនដា គ្លូប៊ល ឡូជីស្ទីក (ខេមបូឌា)</t>
        </is>
      </c>
      <c r="W732" t="n">
        <v>111128</v>
      </c>
      <c r="X732" t="n">
        <v>0</v>
      </c>
    </row>
    <row r="733">
      <c r="A733" t="n">
        <v>732</v>
      </c>
      <c r="B733" t="inlineStr">
        <is>
          <t>Import Shipment Expense</t>
        </is>
      </c>
      <c r="C733" t="inlineStr">
        <is>
          <t>ខេអិលអិន ហ្វ្រេត (ខេមបូឌា) ឯ.ក</t>
        </is>
      </c>
      <c r="D733" t="inlineStr">
        <is>
          <t>L001-100074669</t>
        </is>
      </c>
      <c r="E733" t="inlineStr">
        <is>
          <t>IVO08397</t>
        </is>
      </c>
      <c r="F733" t="inlineStr">
        <is>
          <t>07-06-2024</t>
        </is>
      </c>
      <c r="G733" t="n">
        <v>93936</v>
      </c>
      <c r="I733">
        <f>G733</f>
        <v/>
      </c>
      <c r="K733">
        <f>I733-G733</f>
        <v/>
      </c>
      <c r="M733" t="inlineStr">
        <is>
          <t>IVO08397</t>
        </is>
      </c>
      <c r="N733" t="inlineStr"/>
      <c r="O733">
        <f>M733=N733</f>
        <v/>
      </c>
      <c r="P733">
        <f>AND(MONTH(F733)=MONTH(S733), YEAR(F733)=YEAR(S733))</f>
        <v/>
      </c>
      <c r="Q733">
        <f>"L001-902303751"=U733</f>
        <v/>
      </c>
      <c r="R733">
        <f>G733-W733</f>
        <v/>
      </c>
      <c r="S733" s="36" t="n">
        <v>45399</v>
      </c>
      <c r="T733" t="inlineStr"/>
      <c r="U733" t="inlineStr">
        <is>
          <t>L001-103007369</t>
        </is>
      </c>
      <c r="V733" t="inlineStr">
        <is>
          <t>អូរៀនថល ឡូជីស្ទីក &amp; ឌីស្ទ្រីប៊្យូសិន (ខេមបូឌា)</t>
        </is>
      </c>
      <c r="W733" t="n">
        <v>0</v>
      </c>
      <c r="X733" t="n">
        <v>0</v>
      </c>
    </row>
    <row r="734">
      <c r="A734" t="n">
        <v>733</v>
      </c>
      <c r="B734" t="inlineStr">
        <is>
          <t>Import Shipment Expense</t>
        </is>
      </c>
      <c r="C734" t="inlineStr">
        <is>
          <t>ខេអិលអិន ហ្វ្រេត (ខេមបូឌា) ឯ.ក</t>
        </is>
      </c>
      <c r="D734" t="inlineStr">
        <is>
          <t>L001-100074669</t>
        </is>
      </c>
      <c r="E734" t="inlineStr">
        <is>
          <t>IVO09368</t>
        </is>
      </c>
      <c r="F734" t="inlineStr">
        <is>
          <t>25-06-2024</t>
        </is>
      </c>
      <c r="G734" t="n">
        <v>107401</v>
      </c>
      <c r="I734">
        <f>G734</f>
        <v/>
      </c>
      <c r="K734">
        <f>I734-G734</f>
        <v/>
      </c>
      <c r="M734" t="inlineStr">
        <is>
          <t>IVO09368</t>
        </is>
      </c>
      <c r="N734" t="inlineStr"/>
      <c r="O734">
        <f>M734=N734</f>
        <v/>
      </c>
      <c r="P734">
        <f>AND(MONTH(F734)=MONTH(S734), YEAR(F734)=YEAR(S734))</f>
        <v/>
      </c>
      <c r="Q734">
        <f>"L001-902303751"=U734</f>
        <v/>
      </c>
      <c r="R734">
        <f>G734-W734</f>
        <v/>
      </c>
      <c r="S734" s="36" t="n">
        <v>45391</v>
      </c>
      <c r="T734" t="inlineStr"/>
      <c r="U734" t="inlineStr">
        <is>
          <t>K005-901805913</t>
        </is>
      </c>
      <c r="V734" t="inlineStr">
        <is>
          <t>ស្តារ ខង់ខដ (ខេមបូឌា) ឯ.ក</t>
        </is>
      </c>
      <c r="W734" t="n">
        <v>0</v>
      </c>
      <c r="X734" t="n">
        <v>0</v>
      </c>
    </row>
    <row r="735">
      <c r="A735" t="n">
        <v>734</v>
      </c>
      <c r="B735" t="inlineStr">
        <is>
          <t>Internet Expense from 01/05/2024-31/10/2024</t>
        </is>
      </c>
      <c r="C735" t="inlineStr">
        <is>
          <t>សៅ អ៊ីស្ត អេស៊ា ធេលីខម (ខេមបូឌា)</t>
        </is>
      </c>
      <c r="D735" t="inlineStr">
        <is>
          <t>L001-100111467</t>
        </is>
      </c>
      <c r="E735" t="inlineStr">
        <is>
          <t>1208</t>
        </is>
      </c>
      <c r="F735" t="inlineStr">
        <is>
          <t>20-06-2024</t>
        </is>
      </c>
      <c r="G735" t="n">
        <v>368446</v>
      </c>
      <c r="I735">
        <f>G735</f>
        <v/>
      </c>
      <c r="K735">
        <f>I735-G735</f>
        <v/>
      </c>
      <c r="M735" t="inlineStr">
        <is>
          <t>1208</t>
        </is>
      </c>
      <c r="N735" t="inlineStr">
        <is>
          <t>1212300</t>
        </is>
      </c>
      <c r="O735">
        <f>M735=N735</f>
        <v/>
      </c>
      <c r="P735">
        <f>AND(MONTH(F735)=MONTH(S735), YEAR(F735)=YEAR(S735))</f>
        <v/>
      </c>
      <c r="Q735">
        <f>"L001-902303751"=U735</f>
        <v/>
      </c>
      <c r="R735">
        <f>G735-W735</f>
        <v/>
      </c>
      <c r="S735" s="36" t="n">
        <v>45394</v>
      </c>
      <c r="T735" t="n">
        <v>12123</v>
      </c>
      <c r="U735" t="inlineStr">
        <is>
          <t>K003-901635943</t>
        </is>
      </c>
      <c r="V735" t="inlineStr">
        <is>
          <t>អ៊ីឃ្យូឡាញ វើលវ៉ាយដ៍ ឡូជីស្ទីក</t>
        </is>
      </c>
      <c r="W735" t="n">
        <v>12123</v>
      </c>
      <c r="X735" t="n">
        <v>0</v>
      </c>
    </row>
    <row r="736">
      <c r="A736" t="n">
        <v>735</v>
      </c>
      <c r="B736" t="inlineStr">
        <is>
          <t>Thread</t>
        </is>
      </c>
      <c r="C736" t="inlineStr">
        <is>
          <t>គ្លូប៊ល សុីលីន ហ្គាមុិន អេកសេសឺរី ឯ.ក</t>
        </is>
      </c>
      <c r="D736" t="inlineStr">
        <is>
          <t>L001-902200857</t>
        </is>
      </c>
      <c r="E736" t="inlineStr">
        <is>
          <t>000415</t>
        </is>
      </c>
      <c r="F736" t="inlineStr">
        <is>
          <t>25-06-2024</t>
        </is>
      </c>
      <c r="G736" t="n">
        <v>1026425</v>
      </c>
      <c r="I736">
        <f>G736</f>
        <v/>
      </c>
      <c r="K736">
        <f>I736-G736</f>
        <v/>
      </c>
      <c r="M736" t="inlineStr">
        <is>
          <t>000415</t>
        </is>
      </c>
      <c r="N736" t="inlineStr"/>
      <c r="O736">
        <f>M736=N736</f>
        <v/>
      </c>
      <c r="P736">
        <f>AND(MONTH(F736)=MONTH(S736), YEAR(F736)=YEAR(S736))</f>
        <v/>
      </c>
      <c r="Q736">
        <f>"L001-902303751"=U736</f>
        <v/>
      </c>
      <c r="R736">
        <f>G736-W736</f>
        <v/>
      </c>
      <c r="S736" s="36" t="n">
        <v>45399</v>
      </c>
      <c r="T736" t="inlineStr"/>
      <c r="U736" t="inlineStr">
        <is>
          <t>K005-901805913</t>
        </is>
      </c>
      <c r="V736" t="inlineStr">
        <is>
          <t>ស្តារ ខង់ខដ (ខេមបូឌា) ឯ.ក</t>
        </is>
      </c>
      <c r="W736" t="n">
        <v>0</v>
      </c>
      <c r="X736" t="n">
        <v>0</v>
      </c>
    </row>
    <row r="737">
      <c r="A737" t="n">
        <v>736</v>
      </c>
      <c r="B737" t="inlineStr">
        <is>
          <t>Laco QC Inspection Fee in May 2024</t>
        </is>
      </c>
      <c r="C737" t="inlineStr">
        <is>
          <t>តេនតាក់ (ខេមបូឌា) អ៊ិនស្ពេកសិន</t>
        </is>
      </c>
      <c r="D737" t="inlineStr">
        <is>
          <t>K009-901638542</t>
        </is>
      </c>
      <c r="E737" t="inlineStr">
        <is>
          <t>TI2024-0073</t>
        </is>
      </c>
      <c r="F737" t="inlineStr">
        <is>
          <t>06-06-2024</t>
        </is>
      </c>
      <c r="G737" t="n">
        <v>1007004</v>
      </c>
      <c r="I737">
        <f>G737</f>
        <v/>
      </c>
      <c r="K737">
        <f>I737-G737</f>
        <v/>
      </c>
      <c r="M737" t="inlineStr">
        <is>
          <t>TI20240073</t>
        </is>
      </c>
      <c r="N737" t="inlineStr"/>
      <c r="O737">
        <f>M737=N737</f>
        <v/>
      </c>
      <c r="P737">
        <f>AND(MONTH(F737)=MONTH(S737), YEAR(F737)=YEAR(S737))</f>
        <v/>
      </c>
      <c r="Q737">
        <f>"L001-902303751"=U737</f>
        <v/>
      </c>
      <c r="R737">
        <f>G737-W737</f>
        <v/>
      </c>
      <c r="S737" s="36" t="n">
        <v>45399</v>
      </c>
      <c r="T737" t="inlineStr"/>
      <c r="U737" t="inlineStr">
        <is>
          <t>L001-107032791</t>
        </is>
      </c>
      <c r="V737" t="inlineStr">
        <is>
          <t>នីបផន អិចប្រេស (ខេមបូឌា) ខូ អិលធីឌី</t>
        </is>
      </c>
      <c r="W737" t="n">
        <v>0</v>
      </c>
      <c r="X737" t="n">
        <v>0</v>
      </c>
    </row>
    <row r="738">
      <c r="A738" t="n">
        <v>737</v>
      </c>
      <c r="B738" t="inlineStr">
        <is>
          <t>Customs Clearance Fee</t>
        </is>
      </c>
      <c r="C738" t="inlineStr">
        <is>
          <t>ត្រាយអ៊ែងហ្គល ឡូជីស្ទីក (ខេមបូឌា) ឯ.ក</t>
        </is>
      </c>
      <c r="D738" t="inlineStr">
        <is>
          <t>K010-902101743</t>
        </is>
      </c>
      <c r="E738" t="inlineStr">
        <is>
          <t>TAG-24-00406</t>
        </is>
      </c>
      <c r="F738" t="inlineStr">
        <is>
          <t>12-06-2024</t>
        </is>
      </c>
      <c r="G738" t="n">
        <v>8234</v>
      </c>
      <c r="I738">
        <f>G738</f>
        <v/>
      </c>
      <c r="K738">
        <f>I738-G738</f>
        <v/>
      </c>
      <c r="M738" t="inlineStr">
        <is>
          <t>TAG2400406</t>
        </is>
      </c>
      <c r="N738" t="inlineStr">
        <is>
          <t>450986900</t>
        </is>
      </c>
      <c r="O738">
        <f>M738=N738</f>
        <v/>
      </c>
      <c r="P738">
        <f>AND(MONTH(F738)=MONTH(S738), YEAR(F738)=YEAR(S738))</f>
        <v/>
      </c>
      <c r="Q738">
        <f>"L001-902303751"=U738</f>
        <v/>
      </c>
      <c r="R738">
        <f>G738-W738</f>
        <v/>
      </c>
      <c r="S738" s="36" t="n">
        <v>45399</v>
      </c>
      <c r="T738" t="n">
        <v>4509869</v>
      </c>
      <c r="U738" t="inlineStr">
        <is>
          <t>K004-105012505</t>
        </is>
      </c>
      <c r="V738" t="inlineStr">
        <is>
          <t>អេស៊ាន ហ្វ្រេត (ខេមបូឌា)</t>
        </is>
      </c>
      <c r="W738" t="n">
        <v>4509869</v>
      </c>
      <c r="X738" t="n">
        <v>0</v>
      </c>
    </row>
    <row r="739">
      <c r="A739" t="n">
        <v>738</v>
      </c>
      <c r="B739" t="inlineStr">
        <is>
          <t>Customs Clearance Fee</t>
        </is>
      </c>
      <c r="C739" t="inlineStr">
        <is>
          <t>ត្រាយអ៊ែងហ្គល ឡូជីស្ទីក (ខេមបូឌា) ឯ.ក</t>
        </is>
      </c>
      <c r="D739" t="inlineStr">
        <is>
          <t>K010-902101743</t>
        </is>
      </c>
      <c r="E739" t="inlineStr">
        <is>
          <t>TAG-24-00416</t>
        </is>
      </c>
      <c r="F739" t="inlineStr">
        <is>
          <t>17-06-2024</t>
        </is>
      </c>
      <c r="G739" t="n">
        <v>8242</v>
      </c>
      <c r="I739">
        <f>G739</f>
        <v/>
      </c>
      <c r="K739">
        <f>I739-G739</f>
        <v/>
      </c>
      <c r="M739" t="inlineStr">
        <is>
          <t>TAG2400416</t>
        </is>
      </c>
      <c r="N739" t="inlineStr"/>
      <c r="O739">
        <f>M739=N739</f>
        <v/>
      </c>
      <c r="P739">
        <f>AND(MONTH(F739)=MONTH(S739), YEAR(F739)=YEAR(S739))</f>
        <v/>
      </c>
      <c r="Q739">
        <f>"L001-902303751"=U739</f>
        <v/>
      </c>
      <c r="R739">
        <f>G739-W739</f>
        <v/>
      </c>
      <c r="S739" s="36" t="n">
        <v>45411</v>
      </c>
      <c r="T739" t="inlineStr"/>
      <c r="U739" t="inlineStr">
        <is>
          <t>L001-107032791</t>
        </is>
      </c>
      <c r="V739" t="inlineStr">
        <is>
          <t>នីបផន អិចប្រេស (ខេមបូឌា) ខូ អិលធីឌី</t>
        </is>
      </c>
      <c r="W739" t="n">
        <v>0</v>
      </c>
      <c r="X739" t="n">
        <v>0</v>
      </c>
    </row>
    <row r="740">
      <c r="A740" t="n">
        <v>739</v>
      </c>
      <c r="B740" t="inlineStr">
        <is>
          <t>Customs Clearance Fee</t>
        </is>
      </c>
      <c r="C740" t="inlineStr">
        <is>
          <t>ត្រាយអ៊ែងហ្គល ឡូជីស្ទីក (ខេមបូឌា) ឯ.ក</t>
        </is>
      </c>
      <c r="D740" t="inlineStr">
        <is>
          <t>K010-902101743</t>
        </is>
      </c>
      <c r="E740" t="inlineStr">
        <is>
          <t>TAG-24-00417</t>
        </is>
      </c>
      <c r="F740" t="inlineStr">
        <is>
          <t>17-06-2024</t>
        </is>
      </c>
      <c r="G740" t="n">
        <v>8242</v>
      </c>
      <c r="I740">
        <f>G740</f>
        <v/>
      </c>
      <c r="K740">
        <f>I740-G740</f>
        <v/>
      </c>
      <c r="M740" t="inlineStr">
        <is>
          <t>TAG2400417</t>
        </is>
      </c>
      <c r="N740" t="inlineStr"/>
      <c r="O740">
        <f>M740=N740</f>
        <v/>
      </c>
      <c r="P740">
        <f>AND(MONTH(F740)=MONTH(S740), YEAR(F740)=YEAR(S740))</f>
        <v/>
      </c>
      <c r="Q740">
        <f>"L001-902303751"=U740</f>
        <v/>
      </c>
      <c r="R740">
        <f>G740-W740</f>
        <v/>
      </c>
      <c r="S740" s="36" t="n">
        <v>45399</v>
      </c>
      <c r="T740" t="inlineStr"/>
      <c r="U740" t="inlineStr">
        <is>
          <t>K005-901805913</t>
        </is>
      </c>
      <c r="V740" t="inlineStr">
        <is>
          <t>ស្តារ ខង់ខដ (ខេមបូឌា) ឯ.ក</t>
        </is>
      </c>
      <c r="W740" t="n">
        <v>0</v>
      </c>
      <c r="X740" t="n">
        <v>0</v>
      </c>
    </row>
    <row r="741">
      <c r="A741" t="n">
        <v>740</v>
      </c>
      <c r="B741" t="inlineStr">
        <is>
          <t>Customs Clearance Fee</t>
        </is>
      </c>
      <c r="C741" t="inlineStr">
        <is>
          <t>ត្រាយអ៊ែងហ្គល ឡូជីស្ទីក (ខេមបូឌា) ឯ.ក</t>
        </is>
      </c>
      <c r="D741" t="inlineStr">
        <is>
          <t>K010-902101743</t>
        </is>
      </c>
      <c r="E741" t="inlineStr">
        <is>
          <t>TAG-24-00418</t>
        </is>
      </c>
      <c r="F741" t="inlineStr">
        <is>
          <t>17-06-2024</t>
        </is>
      </c>
      <c r="G741" t="n">
        <v>8242</v>
      </c>
      <c r="I741">
        <f>G741</f>
        <v/>
      </c>
      <c r="K741">
        <f>I741-G741</f>
        <v/>
      </c>
      <c r="M741" t="inlineStr">
        <is>
          <t>TAG2400418</t>
        </is>
      </c>
      <c r="N741" t="inlineStr">
        <is>
          <t>8575000</t>
        </is>
      </c>
      <c r="O741">
        <f>M741=N741</f>
        <v/>
      </c>
      <c r="P741">
        <f>AND(MONTH(F741)=MONTH(S741), YEAR(F741)=YEAR(S741))</f>
        <v/>
      </c>
      <c r="Q741">
        <f>"L001-902303751"=U741</f>
        <v/>
      </c>
      <c r="R741">
        <f>G741-W741</f>
        <v/>
      </c>
      <c r="S741" s="36" t="n">
        <v>45404</v>
      </c>
      <c r="T741" t="n">
        <v>85750</v>
      </c>
      <c r="U741" t="inlineStr">
        <is>
          <t>K003-901635943</t>
        </is>
      </c>
      <c r="V741" t="inlineStr">
        <is>
          <t>អ៊ីឃ្យូឡាញ វើលវ៉ាយដ៍ ឡូជីស្ទីក</t>
        </is>
      </c>
      <c r="W741" t="n">
        <v>85750</v>
      </c>
      <c r="X741" t="n">
        <v>0</v>
      </c>
    </row>
    <row r="742">
      <c r="A742" t="n">
        <v>741</v>
      </c>
      <c r="B742" t="inlineStr">
        <is>
          <t>Customs Clearance Fee</t>
        </is>
      </c>
      <c r="C742" t="inlineStr">
        <is>
          <t>ត្រាយអ៊ែងហ្គល ឡូជីស្ទីក (ខេមបូឌា) ឯ.ក</t>
        </is>
      </c>
      <c r="D742" t="inlineStr">
        <is>
          <t>K010-902101743</t>
        </is>
      </c>
      <c r="E742" t="inlineStr">
        <is>
          <t>TAG-24-00419</t>
        </is>
      </c>
      <c r="F742" t="inlineStr">
        <is>
          <t>17-06-2024</t>
        </is>
      </c>
      <c r="G742" t="n">
        <v>8242</v>
      </c>
      <c r="I742">
        <f>G742</f>
        <v/>
      </c>
      <c r="K742">
        <f>I742-G742</f>
        <v/>
      </c>
      <c r="M742" t="inlineStr">
        <is>
          <t>TAG2400419</t>
        </is>
      </c>
      <c r="N742" t="inlineStr">
        <is>
          <t>8284100</t>
        </is>
      </c>
      <c r="O742">
        <f>M742=N742</f>
        <v/>
      </c>
      <c r="P742">
        <f>AND(MONTH(F742)=MONTH(S742), YEAR(F742)=YEAR(S742))</f>
        <v/>
      </c>
      <c r="Q742">
        <f>"L001-902303751"=U742</f>
        <v/>
      </c>
      <c r="R742">
        <f>G742-W742</f>
        <v/>
      </c>
      <c r="S742" s="36" t="n">
        <v>45391</v>
      </c>
      <c r="T742" t="n">
        <v>82841</v>
      </c>
      <c r="U742" t="inlineStr">
        <is>
          <t>L001-107032791</t>
        </is>
      </c>
      <c r="V742" t="inlineStr">
        <is>
          <t>នីបផន អិចប្រេស (ខេមបូឌា) ខូ អិលធីឌី</t>
        </is>
      </c>
      <c r="W742" t="n">
        <v>82841</v>
      </c>
      <c r="X742" t="n">
        <v>0</v>
      </c>
    </row>
    <row r="743">
      <c r="A743" t="n">
        <v>742</v>
      </c>
      <c r="B743" t="inlineStr">
        <is>
          <t>Customs Clearance Fee</t>
        </is>
      </c>
      <c r="C743" t="inlineStr">
        <is>
          <t>ត្រាយអ៊ែងហ្គល ឡូជីស្ទីក (ខេមបូឌា) ឯ.ក</t>
        </is>
      </c>
      <c r="D743" t="inlineStr">
        <is>
          <t>K010-902101743</t>
        </is>
      </c>
      <c r="E743" t="inlineStr">
        <is>
          <t>TAG-24-00435</t>
        </is>
      </c>
      <c r="F743" t="inlineStr">
        <is>
          <t>28-06-2024</t>
        </is>
      </c>
      <c r="G743" t="n">
        <v>8220</v>
      </c>
      <c r="I743">
        <f>G743</f>
        <v/>
      </c>
      <c r="K743">
        <f>I743-G743</f>
        <v/>
      </c>
      <c r="M743" t="inlineStr">
        <is>
          <t>TAG2400435</t>
        </is>
      </c>
      <c r="N743" t="inlineStr"/>
      <c r="O743">
        <f>M743=N743</f>
        <v/>
      </c>
      <c r="P743">
        <f>AND(MONTH(F743)=MONTH(S743), YEAR(F743)=YEAR(S743))</f>
        <v/>
      </c>
      <c r="Q743">
        <f>"L001-902303751"=U743</f>
        <v/>
      </c>
      <c r="R743">
        <f>G743-W743</f>
        <v/>
      </c>
      <c r="S743" s="36" t="n">
        <v>45383</v>
      </c>
      <c r="T743" t="inlineStr"/>
      <c r="U743" t="inlineStr">
        <is>
          <t>L001-100044956</t>
        </is>
      </c>
      <c r="V743" t="inlineStr">
        <is>
          <t>ជី លីង អិចប្រេស ឡូជីស្ទីក (ខេមបូឌា) លីមីធីត</t>
        </is>
      </c>
      <c r="W743" t="n">
        <v>0</v>
      </c>
      <c r="X743" t="n">
        <v>0</v>
      </c>
    </row>
    <row r="744">
      <c r="A744" t="n">
        <v>743</v>
      </c>
      <c r="B744" t="inlineStr">
        <is>
          <t>Customs Clearance Fee</t>
        </is>
      </c>
      <c r="C744" t="inlineStr">
        <is>
          <t>ត្រាយអ៊ែងហ្គល ឡូជីស្ទីក (ខេមបូឌា) ឯ.ក</t>
        </is>
      </c>
      <c r="D744" t="inlineStr">
        <is>
          <t>K010-902101743</t>
        </is>
      </c>
      <c r="E744" t="inlineStr">
        <is>
          <t>TAG-24-00436</t>
        </is>
      </c>
      <c r="F744" t="inlineStr">
        <is>
          <t>28-06-2024</t>
        </is>
      </c>
      <c r="G744" t="n">
        <v>8220</v>
      </c>
      <c r="I744">
        <f>G744</f>
        <v/>
      </c>
      <c r="K744">
        <f>I744-G744</f>
        <v/>
      </c>
      <c r="M744" t="inlineStr">
        <is>
          <t>TAG2400436</t>
        </is>
      </c>
      <c r="N744" t="inlineStr"/>
      <c r="O744">
        <f>M744=N744</f>
        <v/>
      </c>
      <c r="P744">
        <f>AND(MONTH(F744)=MONTH(S744), YEAR(F744)=YEAR(S744))</f>
        <v/>
      </c>
      <c r="Q744">
        <f>"L001-902303751"=U744</f>
        <v/>
      </c>
      <c r="R744">
        <f>G744-W744</f>
        <v/>
      </c>
      <c r="S744" s="36" t="n">
        <v>45383</v>
      </c>
      <c r="T744" t="inlineStr"/>
      <c r="U744" t="inlineStr">
        <is>
          <t>L001-100074669</t>
        </is>
      </c>
      <c r="V744" t="inlineStr">
        <is>
          <t>ខេអិលអិន ហ្វ្រេត (ខេមបូឌា) ឯ.ក</t>
        </is>
      </c>
      <c r="W744" t="n">
        <v>0</v>
      </c>
      <c r="X744" t="n">
        <v>0</v>
      </c>
    </row>
    <row r="745">
      <c r="A745" t="n">
        <v>744</v>
      </c>
      <c r="B745" t="inlineStr">
        <is>
          <t>Customs Clearance Fee</t>
        </is>
      </c>
      <c r="C745" t="inlineStr">
        <is>
          <t>ត្រាយអ៊ែងហ្គល ឡូជីស្ទីក (ខេមបូឌា) ឯ.ក</t>
        </is>
      </c>
      <c r="D745" t="inlineStr">
        <is>
          <t>K010-902101743</t>
        </is>
      </c>
      <c r="E745" t="inlineStr">
        <is>
          <t>TAG-24-00437</t>
        </is>
      </c>
      <c r="F745" t="inlineStr">
        <is>
          <t>28-06-2024</t>
        </is>
      </c>
      <c r="G745" t="n">
        <v>8220</v>
      </c>
      <c r="I745">
        <f>G745</f>
        <v/>
      </c>
      <c r="K745">
        <f>I745-G745</f>
        <v/>
      </c>
      <c r="M745" t="inlineStr">
        <is>
          <t>TAG2400437</t>
        </is>
      </c>
      <c r="N745" t="inlineStr"/>
      <c r="O745">
        <f>M745=N745</f>
        <v/>
      </c>
      <c r="P745">
        <f>AND(MONTH(F745)=MONTH(S745), YEAR(F745)=YEAR(S745))</f>
        <v/>
      </c>
      <c r="Q745">
        <f>"L001-902303751"=U745</f>
        <v/>
      </c>
      <c r="R745">
        <f>G745-W745</f>
        <v/>
      </c>
      <c r="S745" s="36" t="n">
        <v>45383</v>
      </c>
      <c r="T745" t="inlineStr"/>
      <c r="U745" t="inlineStr">
        <is>
          <t>K003-901635943</t>
        </is>
      </c>
      <c r="V745" t="inlineStr">
        <is>
          <t>អ៊ីឃ្យូឡាញ វើលវ៉ាយដ៍ ឡូជីស្ទីក</t>
        </is>
      </c>
      <c r="W745" t="n">
        <v>0</v>
      </c>
      <c r="X745" t="n">
        <v>0</v>
      </c>
    </row>
    <row r="746">
      <c r="A746" t="n">
        <v>745</v>
      </c>
      <c r="B746" t="inlineStr">
        <is>
          <t>Customs Clearance Fee</t>
        </is>
      </c>
      <c r="C746" t="inlineStr">
        <is>
          <t>ត្រាយអ៊ែងហ្គល ឡូជីស្ទីក (ខេមបូឌា) ឯ.ក</t>
        </is>
      </c>
      <c r="D746" t="inlineStr">
        <is>
          <t>K010-902101743</t>
        </is>
      </c>
      <c r="E746" t="inlineStr">
        <is>
          <t>TAG-24-00438</t>
        </is>
      </c>
      <c r="F746" t="inlineStr">
        <is>
          <t>28-06-2024</t>
        </is>
      </c>
      <c r="G746" t="n">
        <v>8220</v>
      </c>
      <c r="I746">
        <f>G746</f>
        <v/>
      </c>
      <c r="K746">
        <f>I746-G746</f>
        <v/>
      </c>
      <c r="M746" t="inlineStr">
        <is>
          <t>TAG2400438</t>
        </is>
      </c>
      <c r="N746" t="inlineStr">
        <is>
          <t>8520200</t>
        </is>
      </c>
      <c r="O746">
        <f>M746=N746</f>
        <v/>
      </c>
      <c r="P746">
        <f>AND(MONTH(F746)=MONTH(S746), YEAR(F746)=YEAR(S746))</f>
        <v/>
      </c>
      <c r="Q746">
        <f>"L001-902303751"=U746</f>
        <v/>
      </c>
      <c r="R746">
        <f>G746-W746</f>
        <v/>
      </c>
      <c r="S746" s="36" t="n">
        <v>45383</v>
      </c>
      <c r="T746" t="n">
        <v>85202</v>
      </c>
      <c r="U746" t="inlineStr">
        <is>
          <t>K003-901635943</t>
        </is>
      </c>
      <c r="V746" t="inlineStr">
        <is>
          <t>អ៊ីឃ្យូឡាញ វើលវ៉ាយដ៍ ឡូជីស្ទីក</t>
        </is>
      </c>
      <c r="W746" t="n">
        <v>85202</v>
      </c>
      <c r="X746" t="n">
        <v>0</v>
      </c>
    </row>
    <row r="747">
      <c r="A747" t="n">
        <v>746</v>
      </c>
      <c r="B747" t="inlineStr">
        <is>
          <t>Machine and Material</t>
        </is>
      </c>
      <c r="C747" t="inlineStr">
        <is>
          <t>យីស៊ូ ធេមផ្លេត ក្រាហ្វ ឯ.ក</t>
        </is>
      </c>
      <c r="D747" t="inlineStr">
        <is>
          <t>K010-902200360</t>
        </is>
      </c>
      <c r="E747" t="inlineStr">
        <is>
          <t>24-0115</t>
        </is>
      </c>
      <c r="F747" t="inlineStr">
        <is>
          <t>26-06-2024</t>
        </is>
      </c>
      <c r="G747" t="n">
        <v>1388769</v>
      </c>
      <c r="I747">
        <f>G747</f>
        <v/>
      </c>
      <c r="K747">
        <f>I747-G747</f>
        <v/>
      </c>
      <c r="M747" t="inlineStr">
        <is>
          <t>240115</t>
        </is>
      </c>
      <c r="N747" t="inlineStr">
        <is>
          <t>11121000</t>
        </is>
      </c>
      <c r="O747">
        <f>M747=N747</f>
        <v/>
      </c>
      <c r="P747">
        <f>AND(MONTH(F747)=MONTH(S747), YEAR(F747)=YEAR(S747))</f>
        <v/>
      </c>
      <c r="Q747">
        <f>"L001-902303751"=U747</f>
        <v/>
      </c>
      <c r="R747">
        <f>G747-W747</f>
        <v/>
      </c>
      <c r="S747" s="36" t="n">
        <v>45399</v>
      </c>
      <c r="T747" t="n">
        <v>111210</v>
      </c>
      <c r="U747" t="inlineStr">
        <is>
          <t>L001-100045995</t>
        </is>
      </c>
      <c r="V747" t="inlineStr">
        <is>
          <t>ឌីអេចអិល ឡូជីស្ទីក (ខេមបូឌា)</t>
        </is>
      </c>
      <c r="W747" t="n">
        <v>111210</v>
      </c>
      <c r="X747" t="n">
        <v>0</v>
      </c>
    </row>
    <row r="748">
      <c r="A748" t="n">
        <v>747</v>
      </c>
      <c r="B748" t="inlineStr">
        <is>
          <t>Stationery</t>
        </is>
      </c>
      <c r="C748" t="inlineStr">
        <is>
          <t>ស៊ី &amp; ជី ត្រេឌីង ឯ.ក</t>
        </is>
      </c>
      <c r="D748" t="inlineStr">
        <is>
          <t>K010-902205065</t>
        </is>
      </c>
      <c r="E748" t="inlineStr">
        <is>
          <t>2024-0048</t>
        </is>
      </c>
      <c r="F748" t="inlineStr">
        <is>
          <t>21-06-2024</t>
        </is>
      </c>
      <c r="G748" t="n">
        <v>975059</v>
      </c>
      <c r="I748">
        <f>G748</f>
        <v/>
      </c>
      <c r="K748">
        <f>I748-G748</f>
        <v/>
      </c>
      <c r="M748" t="inlineStr">
        <is>
          <t>20240048</t>
        </is>
      </c>
      <c r="N748" t="inlineStr"/>
      <c r="O748">
        <f>M748=N748</f>
        <v/>
      </c>
      <c r="P748">
        <f>AND(MONTH(F748)=MONTH(S748), YEAR(F748)=YEAR(S748))</f>
        <v/>
      </c>
      <c r="Q748">
        <f>"L001-902303751"=U748</f>
        <v/>
      </c>
      <c r="R748">
        <f>G748-W748</f>
        <v/>
      </c>
      <c r="S748" s="36" t="n">
        <v>45391</v>
      </c>
      <c r="T748" t="inlineStr"/>
      <c r="U748" t="inlineStr">
        <is>
          <t>L001-107032791</t>
        </is>
      </c>
      <c r="V748" t="inlineStr">
        <is>
          <t>នីបផន អិចប្រេស (ខេមបូឌា) ខូ អិលធីឌី</t>
        </is>
      </c>
      <c r="W748" t="n">
        <v>0</v>
      </c>
      <c r="X748" t="n">
        <v>0</v>
      </c>
    </row>
    <row r="749">
      <c r="A749" t="n">
        <v>748</v>
      </c>
      <c r="B749" t="inlineStr">
        <is>
          <t>Charge from warehouse to trucks</t>
        </is>
      </c>
      <c r="C749" t="inlineStr">
        <is>
          <t>កំពង់ផែស្វយ័តក្រុងព្រះសីហនុ</t>
        </is>
      </c>
      <c r="D749" t="inlineStr">
        <is>
          <t>L001-100044638</t>
        </is>
      </c>
      <c r="E749" t="inlineStr">
        <is>
          <t>110645</t>
        </is>
      </c>
      <c r="F749" t="inlineStr">
        <is>
          <t>10-06-2024</t>
        </is>
      </c>
      <c r="G749" t="n">
        <v>628</v>
      </c>
      <c r="I749">
        <f>G749</f>
        <v/>
      </c>
      <c r="K749">
        <f>I749-G749</f>
        <v/>
      </c>
      <c r="M749" t="inlineStr">
        <is>
          <t>110645</t>
        </is>
      </c>
      <c r="N749" t="inlineStr">
        <is>
          <t>9794200</t>
        </is>
      </c>
      <c r="O749">
        <f>M749=N749</f>
        <v/>
      </c>
      <c r="P749">
        <f>AND(MONTH(F749)=MONTH(S749), YEAR(F749)=YEAR(S749))</f>
        <v/>
      </c>
      <c r="Q749">
        <f>"L001-902303751"=U749</f>
        <v/>
      </c>
      <c r="R749">
        <f>G749-W749</f>
        <v/>
      </c>
      <c r="S749" s="36" t="n">
        <v>45404</v>
      </c>
      <c r="T749" t="n">
        <v>97942</v>
      </c>
      <c r="U749" t="inlineStr">
        <is>
          <t>L001-100045340</t>
        </is>
      </c>
      <c r="V749" t="inlineStr">
        <is>
          <t xml:space="preserve">ស៊ីវ៉ា អ៊ែរ អ៊ែន អូសៀន (ខេមបូឌា) ឯ.ក </t>
        </is>
      </c>
      <c r="W749" t="n">
        <v>97942</v>
      </c>
      <c r="X749" t="n">
        <v>0</v>
      </c>
    </row>
    <row r="750">
      <c r="A750" t="n">
        <v>749</v>
      </c>
      <c r="B750" t="inlineStr">
        <is>
          <t>Charge from warehouse to trucks</t>
        </is>
      </c>
      <c r="C750" t="inlineStr">
        <is>
          <t>កំពង់ផែស្វយ័តក្រុងព្រះសីហនុ</t>
        </is>
      </c>
      <c r="D750" t="inlineStr">
        <is>
          <t>L001-100044638</t>
        </is>
      </c>
      <c r="E750" t="inlineStr">
        <is>
          <t>110644</t>
        </is>
      </c>
      <c r="F750" t="inlineStr">
        <is>
          <t>10-06-2024</t>
        </is>
      </c>
      <c r="G750" t="n">
        <v>1260</v>
      </c>
      <c r="I750">
        <f>G750</f>
        <v/>
      </c>
      <c r="K750">
        <f>I750-G750</f>
        <v/>
      </c>
      <c r="M750" t="inlineStr">
        <is>
          <t>110644</t>
        </is>
      </c>
      <c r="N750" t="inlineStr"/>
      <c r="O750">
        <f>M750=N750</f>
        <v/>
      </c>
      <c r="P750">
        <f>AND(MONTH(F750)=MONTH(S750), YEAR(F750)=YEAR(S750))</f>
        <v/>
      </c>
      <c r="Q750">
        <f>"L001-902303751"=U750</f>
        <v/>
      </c>
      <c r="R750">
        <f>G750-W750</f>
        <v/>
      </c>
      <c r="S750" s="36" t="n">
        <v>45406</v>
      </c>
      <c r="T750" t="inlineStr"/>
      <c r="U750" t="inlineStr">
        <is>
          <t>K010-108005623</t>
        </is>
      </c>
      <c r="V750" t="inlineStr">
        <is>
          <t>យូ អេហ្វ អេស គ្លូប៊ល អិចប្រេស ឡូជីស្ទីក</t>
        </is>
      </c>
      <c r="W750" t="n">
        <v>0</v>
      </c>
      <c r="X750" t="n">
        <v>0</v>
      </c>
    </row>
    <row r="751">
      <c r="A751" t="n">
        <v>750</v>
      </c>
      <c r="B751" t="inlineStr">
        <is>
          <t>Charge from warehouse to trucks</t>
        </is>
      </c>
      <c r="C751" t="inlineStr">
        <is>
          <t>កំពង់ផែស្វយ័តក្រុងព្រះសីហនុ</t>
        </is>
      </c>
      <c r="D751" t="inlineStr">
        <is>
          <t>L001-100044638</t>
        </is>
      </c>
      <c r="E751" t="inlineStr">
        <is>
          <t>110643</t>
        </is>
      </c>
      <c r="F751" t="inlineStr">
        <is>
          <t>10-06-2024</t>
        </is>
      </c>
      <c r="G751" t="n">
        <v>628</v>
      </c>
      <c r="I751">
        <f>G751</f>
        <v/>
      </c>
      <c r="K751">
        <f>I751-G751</f>
        <v/>
      </c>
      <c r="M751" t="inlineStr">
        <is>
          <t>110643</t>
        </is>
      </c>
      <c r="N751" t="inlineStr"/>
      <c r="O751">
        <f>M751=N751</f>
        <v/>
      </c>
      <c r="P751">
        <f>AND(MONTH(F751)=MONTH(S751), YEAR(F751)=YEAR(S751))</f>
        <v/>
      </c>
      <c r="Q751">
        <f>"L001-902303751"=U751</f>
        <v/>
      </c>
      <c r="R751">
        <f>G751-W751</f>
        <v/>
      </c>
      <c r="S751" s="36" t="n">
        <v>45390</v>
      </c>
      <c r="T751" t="inlineStr"/>
      <c r="U751" t="inlineStr">
        <is>
          <t>L001-107000385</t>
        </is>
      </c>
      <c r="V751" t="inlineStr">
        <is>
          <t>អិចស្ពោលាំងកា ហ្រ្វេត (ខេមបូឌា) លីមីធីត</t>
        </is>
      </c>
      <c r="W751" t="n">
        <v>0</v>
      </c>
      <c r="X751" t="n">
        <v>0</v>
      </c>
    </row>
    <row r="752">
      <c r="A752" t="n">
        <v>751</v>
      </c>
      <c r="B752" t="inlineStr">
        <is>
          <t>Charge from warehouse to trucks and Storage Charges</t>
        </is>
      </c>
      <c r="C752" t="inlineStr">
        <is>
          <t>កំពង់ផែស្វយ័តក្រុងព្រះសីហនុ</t>
        </is>
      </c>
      <c r="D752" t="inlineStr">
        <is>
          <t>L001-100044638</t>
        </is>
      </c>
      <c r="E752" t="inlineStr">
        <is>
          <t>110642</t>
        </is>
      </c>
      <c r="F752" t="inlineStr">
        <is>
          <t>10-06-2024</t>
        </is>
      </c>
      <c r="G752" t="n">
        <v>669</v>
      </c>
      <c r="I752">
        <f>G752</f>
        <v/>
      </c>
      <c r="K752">
        <f>I752-G752</f>
        <v/>
      </c>
      <c r="M752" t="inlineStr">
        <is>
          <t>110642</t>
        </is>
      </c>
      <c r="N752" t="inlineStr"/>
      <c r="O752">
        <f>M752=N752</f>
        <v/>
      </c>
      <c r="P752">
        <f>AND(MONTH(F752)=MONTH(S752), YEAR(F752)=YEAR(S752))</f>
        <v/>
      </c>
      <c r="Q752">
        <f>"L001-902303751"=U752</f>
        <v/>
      </c>
      <c r="R752">
        <f>G752-W752</f>
        <v/>
      </c>
      <c r="S752" s="36" t="n">
        <v>45391</v>
      </c>
      <c r="T752" t="inlineStr"/>
      <c r="U752" t="inlineStr">
        <is>
          <t>L001-100045340</t>
        </is>
      </c>
      <c r="V752" t="inlineStr">
        <is>
          <t xml:space="preserve">ស៊ីវ៉ា អ៊ែរ អ៊ែន អូសៀន (ខេមបូឌា) ឯ.ក </t>
        </is>
      </c>
      <c r="W752" t="n">
        <v>0</v>
      </c>
      <c r="X752" t="n">
        <v>0</v>
      </c>
    </row>
    <row r="753">
      <c r="A753" t="n">
        <v>752</v>
      </c>
      <c r="B753" t="inlineStr">
        <is>
          <t>Charge from warehouse to trucks and Storage Charges</t>
        </is>
      </c>
      <c r="C753" t="inlineStr">
        <is>
          <t>កំពង់ផែស្វយ័តក្រុងព្រះសីហនុ</t>
        </is>
      </c>
      <c r="D753" t="inlineStr">
        <is>
          <t>L001-100044638</t>
        </is>
      </c>
      <c r="E753" t="inlineStr">
        <is>
          <t>116176</t>
        </is>
      </c>
      <c r="F753" t="inlineStr">
        <is>
          <t>17-06-2024</t>
        </is>
      </c>
      <c r="G753" t="n">
        <v>712</v>
      </c>
      <c r="I753">
        <f>G753</f>
        <v/>
      </c>
      <c r="K753">
        <f>I753-G753</f>
        <v/>
      </c>
      <c r="M753" t="inlineStr">
        <is>
          <t>116176</t>
        </is>
      </c>
      <c r="N753" t="inlineStr"/>
      <c r="O753">
        <f>M753=N753</f>
        <v/>
      </c>
      <c r="P753">
        <f>AND(MONTH(F753)=MONTH(S753), YEAR(F753)=YEAR(S753))</f>
        <v/>
      </c>
      <c r="Q753">
        <f>"L001-902303751"=U753</f>
        <v/>
      </c>
      <c r="R753">
        <f>G753-W753</f>
        <v/>
      </c>
      <c r="S753" s="36" t="n">
        <v>45391</v>
      </c>
      <c r="T753" t="inlineStr"/>
      <c r="U753" t="inlineStr">
        <is>
          <t>L001-107032791</t>
        </is>
      </c>
      <c r="V753" t="inlineStr">
        <is>
          <t>នីបផន អិចប្រេស (ខេមបូឌា) ខូ អិលធីឌី</t>
        </is>
      </c>
      <c r="W753" t="n">
        <v>0</v>
      </c>
      <c r="X753" t="n">
        <v>0</v>
      </c>
    </row>
    <row r="754">
      <c r="A754" t="n">
        <v>753</v>
      </c>
      <c r="B754" t="inlineStr">
        <is>
          <t>Charge from warehouse to trucks and Storage Charges</t>
        </is>
      </c>
      <c r="C754" t="inlineStr">
        <is>
          <t>កំពង់ផែស្វយ័តក្រុងព្រះសីហនុ</t>
        </is>
      </c>
      <c r="D754" t="inlineStr">
        <is>
          <t>L001-100044638</t>
        </is>
      </c>
      <c r="E754" t="inlineStr">
        <is>
          <t>121911</t>
        </is>
      </c>
      <c r="F754" t="inlineStr">
        <is>
          <t>24-06-2024</t>
        </is>
      </c>
      <c r="G754" t="n">
        <v>2016</v>
      </c>
      <c r="I754">
        <f>G754</f>
        <v/>
      </c>
      <c r="K754">
        <f>I754-G754</f>
        <v/>
      </c>
      <c r="M754" t="inlineStr">
        <is>
          <t>121911</t>
        </is>
      </c>
      <c r="N754" t="inlineStr"/>
      <c r="O754">
        <f>M754=N754</f>
        <v/>
      </c>
      <c r="P754">
        <f>AND(MONTH(F754)=MONTH(S754), YEAR(F754)=YEAR(S754))</f>
        <v/>
      </c>
      <c r="Q754">
        <f>"L001-902303751"=U754</f>
        <v/>
      </c>
      <c r="R754">
        <f>G754-W754</f>
        <v/>
      </c>
      <c r="S754" s="36" t="n">
        <v>45399</v>
      </c>
      <c r="T754" t="inlineStr"/>
      <c r="U754" t="inlineStr">
        <is>
          <t>L001-100045340</t>
        </is>
      </c>
      <c r="V754" t="inlineStr">
        <is>
          <t xml:space="preserve">ស៊ីវ៉ា អ៊ែរ អ៊ែន អូសៀន (ខេមបូឌា) ឯ.ក </t>
        </is>
      </c>
      <c r="W754" t="n">
        <v>0</v>
      </c>
      <c r="X754" t="n">
        <v>0</v>
      </c>
    </row>
    <row r="755">
      <c r="A755" t="n">
        <v>754</v>
      </c>
      <c r="B755" t="inlineStr">
        <is>
          <t>Charge from warehouse to trucks</t>
        </is>
      </c>
      <c r="C755" t="inlineStr">
        <is>
          <t>កំពង់ផែស្វយ័តក្រុងព្រះសីហនុ</t>
        </is>
      </c>
      <c r="D755" t="inlineStr">
        <is>
          <t>L001-100044638</t>
        </is>
      </c>
      <c r="E755" t="inlineStr">
        <is>
          <t>120986</t>
        </is>
      </c>
      <c r="F755" t="inlineStr">
        <is>
          <t>22-06-2024</t>
        </is>
      </c>
      <c r="G755" t="n">
        <v>1892</v>
      </c>
      <c r="I755">
        <f>G755</f>
        <v/>
      </c>
      <c r="K755">
        <f>I755-G755</f>
        <v/>
      </c>
      <c r="M755" t="inlineStr">
        <is>
          <t>120986</t>
        </is>
      </c>
      <c r="N755" t="inlineStr">
        <is>
          <t>20503100</t>
        </is>
      </c>
      <c r="O755">
        <f>M755=N755</f>
        <v/>
      </c>
      <c r="P755">
        <f>AND(MONTH(F755)=MONTH(S755), YEAR(F755)=YEAR(S755))</f>
        <v/>
      </c>
      <c r="Q755">
        <f>"L001-902303751"=U755</f>
        <v/>
      </c>
      <c r="R755">
        <f>G755-W755</f>
        <v/>
      </c>
      <c r="S755" s="36" t="n">
        <v>45399</v>
      </c>
      <c r="T755" t="n">
        <v>205031</v>
      </c>
      <c r="U755" t="inlineStr">
        <is>
          <t>L001-104015799</t>
        </is>
      </c>
      <c r="V755" t="inlineStr">
        <is>
          <t>យូសេន ឡូជីស្ទីក (ខេមបូឌា) ខូ អិលធីឌី</t>
        </is>
      </c>
      <c r="W755" t="n">
        <v>205031</v>
      </c>
      <c r="X755" t="n">
        <v>0</v>
      </c>
    </row>
    <row r="756">
      <c r="A756" t="n">
        <v>755</v>
      </c>
      <c r="B756" t="inlineStr">
        <is>
          <t>Lift-On &amp; Lift-Off</t>
        </is>
      </c>
      <c r="C756" t="inlineStr">
        <is>
          <t>កំពង់ផែស្វយ័តក្រុងព្រះសីហនុ</t>
        </is>
      </c>
      <c r="D756" t="inlineStr">
        <is>
          <t>L001-100044638</t>
        </is>
      </c>
      <c r="E756" t="inlineStr">
        <is>
          <t>103093</t>
        </is>
      </c>
      <c r="F756" t="inlineStr">
        <is>
          <t>01-06-2024</t>
        </is>
      </c>
      <c r="G756" t="n">
        <v>20874</v>
      </c>
      <c r="I756">
        <f>G756</f>
        <v/>
      </c>
      <c r="K756">
        <f>I756-G756</f>
        <v/>
      </c>
      <c r="M756" t="inlineStr">
        <is>
          <t>103093</t>
        </is>
      </c>
      <c r="N756" t="inlineStr"/>
      <c r="O756">
        <f>M756=N756</f>
        <v/>
      </c>
      <c r="P756">
        <f>AND(MONTH(F756)=MONTH(S756), YEAR(F756)=YEAR(S756))</f>
        <v/>
      </c>
      <c r="Q756">
        <f>"L001-902303751"=U756</f>
        <v/>
      </c>
      <c r="R756">
        <f>G756-W756</f>
        <v/>
      </c>
      <c r="S756" s="36" t="n">
        <v>45411</v>
      </c>
      <c r="T756" t="inlineStr"/>
      <c r="U756" t="inlineStr">
        <is>
          <t>L001-100074669</t>
        </is>
      </c>
      <c r="V756" t="inlineStr">
        <is>
          <t>ខេអិលអិន ហ្វ្រេត (ខេមបូឌា) ឯ.ក</t>
        </is>
      </c>
      <c r="W756" t="n">
        <v>0</v>
      </c>
      <c r="X756" t="n">
        <v>0</v>
      </c>
    </row>
    <row r="757">
      <c r="A757" t="n">
        <v>756</v>
      </c>
      <c r="B757" t="inlineStr">
        <is>
          <t>Lift-Off</t>
        </is>
      </c>
      <c r="C757" t="inlineStr">
        <is>
          <t>កំពង់ផែស្វយ័តក្រុងព្រះសីហនុ</t>
        </is>
      </c>
      <c r="D757" t="inlineStr">
        <is>
          <t>L001-100044638</t>
        </is>
      </c>
      <c r="E757" t="inlineStr">
        <is>
          <t>108810</t>
        </is>
      </c>
      <c r="F757" t="inlineStr">
        <is>
          <t>07-06-2024</t>
        </is>
      </c>
      <c r="G757" t="n">
        <v>20966</v>
      </c>
      <c r="I757">
        <f>G757</f>
        <v/>
      </c>
      <c r="K757">
        <f>I757-G757</f>
        <v/>
      </c>
      <c r="M757" t="inlineStr">
        <is>
          <t>108810</t>
        </is>
      </c>
      <c r="N757" t="inlineStr"/>
      <c r="O757">
        <f>M757=N757</f>
        <v/>
      </c>
      <c r="P757">
        <f>AND(MONTH(F757)=MONTH(S757), YEAR(F757)=YEAR(S757))</f>
        <v/>
      </c>
      <c r="Q757">
        <f>"L001-902303751"=U757</f>
        <v/>
      </c>
      <c r="R757">
        <f>G757-W757</f>
        <v/>
      </c>
      <c r="S757" s="36" t="n">
        <v>45399</v>
      </c>
      <c r="T757" t="inlineStr"/>
      <c r="U757" t="inlineStr">
        <is>
          <t>L001-107032791</t>
        </is>
      </c>
      <c r="V757" t="inlineStr">
        <is>
          <t>នីបផន អិចប្រេស (ខេមបូឌា) ខូ អិលធីឌី</t>
        </is>
      </c>
      <c r="W757" t="n">
        <v>0</v>
      </c>
      <c r="X757" t="n">
        <v>0</v>
      </c>
    </row>
    <row r="758">
      <c r="A758" t="n">
        <v>757</v>
      </c>
      <c r="B758" t="inlineStr">
        <is>
          <t>Lift-Off</t>
        </is>
      </c>
      <c r="C758" t="inlineStr">
        <is>
          <t>កំពង់ផែស្វយ័តក្រុងព្រះសីហនុ</t>
        </is>
      </c>
      <c r="D758" t="inlineStr">
        <is>
          <t>L001-100044638</t>
        </is>
      </c>
      <c r="E758" t="inlineStr">
        <is>
          <t>118931</t>
        </is>
      </c>
      <c r="F758" t="inlineStr">
        <is>
          <t>20-06-2024</t>
        </is>
      </c>
      <c r="G758" t="n">
        <v>21022</v>
      </c>
      <c r="I758">
        <f>G758</f>
        <v/>
      </c>
      <c r="K758">
        <f>I758-G758</f>
        <v/>
      </c>
      <c r="M758" t="inlineStr">
        <is>
          <t>118931</t>
        </is>
      </c>
      <c r="N758" t="inlineStr"/>
      <c r="O758">
        <f>M758=N758</f>
        <v/>
      </c>
      <c r="P758">
        <f>AND(MONTH(F758)=MONTH(S758), YEAR(F758)=YEAR(S758))</f>
        <v/>
      </c>
      <c r="Q758">
        <f>"L001-902303751"=U758</f>
        <v/>
      </c>
      <c r="R758">
        <f>G758-W758</f>
        <v/>
      </c>
      <c r="S758" s="36" t="n">
        <v>45406</v>
      </c>
      <c r="T758" t="inlineStr"/>
      <c r="U758" t="inlineStr">
        <is>
          <t>K009-107034735</t>
        </is>
      </c>
      <c r="V758" t="inlineStr">
        <is>
          <t>ស៊ីប៊ីជី ឡូជីស្ទីក (ខេមបូឌា)</t>
        </is>
      </c>
      <c r="W758" t="n">
        <v>0</v>
      </c>
      <c r="X758" t="n">
        <v>0</v>
      </c>
    </row>
    <row r="759">
      <c r="A759" t="n">
        <v>758</v>
      </c>
      <c r="B759" t="inlineStr">
        <is>
          <t>Lift-On &amp; Gate Fee Charge</t>
        </is>
      </c>
      <c r="C759" t="inlineStr">
        <is>
          <t>កំពង់ផែស្វយ័តភ្នំពេញ "ក.ស.ភ"</t>
        </is>
      </c>
      <c r="D759" t="inlineStr">
        <is>
          <t>L001-100044999</t>
        </is>
      </c>
      <c r="E759" t="inlineStr">
        <is>
          <t>INV20240632964</t>
        </is>
      </c>
      <c r="F759" t="inlineStr">
        <is>
          <t>05-06-2024</t>
        </is>
      </c>
      <c r="G759" t="n">
        <v>18883</v>
      </c>
      <c r="I759">
        <f>G759</f>
        <v/>
      </c>
      <c r="K759">
        <f>I759-G759</f>
        <v/>
      </c>
      <c r="M759" t="inlineStr">
        <is>
          <t>INV20240632964</t>
        </is>
      </c>
      <c r="N759" t="inlineStr"/>
      <c r="O759">
        <f>M759=N759</f>
        <v/>
      </c>
      <c r="P759">
        <f>AND(MONTH(F759)=MONTH(S759), YEAR(F759)=YEAR(S759))</f>
        <v/>
      </c>
      <c r="Q759">
        <f>"L001-902303751"=U759</f>
        <v/>
      </c>
      <c r="R759">
        <f>G759-W759</f>
        <v/>
      </c>
      <c r="S759" s="36" t="n">
        <v>45404</v>
      </c>
      <c r="T759" t="inlineStr"/>
      <c r="U759" t="inlineStr">
        <is>
          <t>L001-100045995</t>
        </is>
      </c>
      <c r="V759" t="inlineStr">
        <is>
          <t>ឌីអេចអិល ឡូជីស្ទីក (ខេមបូឌា)</t>
        </is>
      </c>
      <c r="W759" t="n">
        <v>0</v>
      </c>
      <c r="X759" t="n">
        <v>0</v>
      </c>
    </row>
    <row r="760">
      <c r="A760" t="n">
        <v>759</v>
      </c>
      <c r="B760" t="inlineStr">
        <is>
          <t>Lift-On &amp; Gate Fee Charge</t>
        </is>
      </c>
      <c r="C760" t="inlineStr">
        <is>
          <t>កំពង់ផែស្វយ័តភ្នំពេញ "ក.ស.ភ"</t>
        </is>
      </c>
      <c r="D760" t="inlineStr">
        <is>
          <t>L001-100044999</t>
        </is>
      </c>
      <c r="E760" t="inlineStr">
        <is>
          <t>INV20240632963</t>
        </is>
      </c>
      <c r="F760" t="inlineStr">
        <is>
          <t>05-06-2024</t>
        </is>
      </c>
      <c r="G760" t="n">
        <v>28735</v>
      </c>
      <c r="I760">
        <f>G760</f>
        <v/>
      </c>
      <c r="K760">
        <f>I760-G760</f>
        <v/>
      </c>
      <c r="M760" t="inlineStr">
        <is>
          <t>INV20240632963</t>
        </is>
      </c>
      <c r="N760" t="inlineStr">
        <is>
          <t>11176000</t>
        </is>
      </c>
      <c r="O760">
        <f>M760=N760</f>
        <v/>
      </c>
      <c r="P760">
        <f>AND(MONTH(F760)=MONTH(S760), YEAR(F760)=YEAR(S760))</f>
        <v/>
      </c>
      <c r="Q760">
        <f>"L001-902303751"=U760</f>
        <v/>
      </c>
      <c r="R760">
        <f>G760-W760</f>
        <v/>
      </c>
      <c r="S760" s="36" t="n">
        <v>45404</v>
      </c>
      <c r="T760" t="n">
        <v>111760</v>
      </c>
      <c r="U760" t="inlineStr">
        <is>
          <t>L001-100045995</t>
        </is>
      </c>
      <c r="V760" t="inlineStr">
        <is>
          <t>ឌីអេចអិល ឡូជីស្ទីក (ខេមបូឌា)</t>
        </is>
      </c>
      <c r="W760" t="n">
        <v>111760</v>
      </c>
      <c r="X760" t="n">
        <v>0</v>
      </c>
    </row>
    <row r="761">
      <c r="A761" t="n">
        <v>760</v>
      </c>
      <c r="B761" t="inlineStr">
        <is>
          <t>Customs Clearance Fee</t>
        </is>
      </c>
      <c r="C761" t="inlineStr">
        <is>
          <t>ត្រាយអ៊ែងហ្គល ឡូជីស្ទីក (ខេមបូឌា) ឯ.ក</t>
        </is>
      </c>
      <c r="D761" t="inlineStr">
        <is>
          <t>K010-902101743</t>
        </is>
      </c>
      <c r="E761" t="inlineStr">
        <is>
          <t>TAG-24-00407</t>
        </is>
      </c>
      <c r="F761" t="inlineStr">
        <is>
          <t>12-06-2024</t>
        </is>
      </c>
      <c r="G761" t="n">
        <v>8234</v>
      </c>
      <c r="I761">
        <f>G761</f>
        <v/>
      </c>
      <c r="K761">
        <f>I761-G761</f>
        <v/>
      </c>
      <c r="M761" t="inlineStr">
        <is>
          <t>TAG2400407</t>
        </is>
      </c>
      <c r="N761" t="inlineStr">
        <is>
          <t>11176000</t>
        </is>
      </c>
      <c r="O761">
        <f>M761=N761</f>
        <v/>
      </c>
      <c r="P761">
        <f>AND(MONTH(F761)=MONTH(S761), YEAR(F761)=YEAR(S761))</f>
        <v/>
      </c>
      <c r="Q761">
        <f>"L001-902303751"=U761</f>
        <v/>
      </c>
      <c r="R761">
        <f>G761-W761</f>
        <v/>
      </c>
      <c r="S761" s="36" t="n">
        <v>45404</v>
      </c>
      <c r="T761" t="n">
        <v>111760</v>
      </c>
      <c r="U761" t="inlineStr">
        <is>
          <t>L001-107032791</t>
        </is>
      </c>
      <c r="V761" t="inlineStr">
        <is>
          <t>នីបផន អិចប្រេស (ខេមបូឌា) ខូ អិលធីឌី</t>
        </is>
      </c>
      <c r="W761" t="n">
        <v>111760</v>
      </c>
      <c r="X761" t="n">
        <v>0</v>
      </c>
    </row>
    <row r="762">
      <c r="A762" t="n">
        <v>761</v>
      </c>
      <c r="B762" t="inlineStr">
        <is>
          <t>Customs Clearance Fee</t>
        </is>
      </c>
      <c r="C762" t="inlineStr">
        <is>
          <t>ត្រាយអ៊ែងហ្គល ឡូជីស្ទីក (ខេមបូឌា) ឯ.ក</t>
        </is>
      </c>
      <c r="D762" t="inlineStr">
        <is>
          <t>K010-902101743</t>
        </is>
      </c>
      <c r="E762" t="inlineStr">
        <is>
          <t>TAG-24-00405</t>
        </is>
      </c>
      <c r="F762" t="inlineStr">
        <is>
          <t>12-06-2024</t>
        </is>
      </c>
      <c r="G762" t="n">
        <v>8234</v>
      </c>
      <c r="I762">
        <f>G762</f>
        <v/>
      </c>
      <c r="K762">
        <f>I762-G762</f>
        <v/>
      </c>
      <c r="M762" t="inlineStr">
        <is>
          <t>TAG2400405</t>
        </is>
      </c>
      <c r="N762" t="inlineStr"/>
      <c r="O762">
        <f>M762=N762</f>
        <v/>
      </c>
      <c r="P762">
        <f>AND(MONTH(F762)=MONTH(S762), YEAR(F762)=YEAR(S762))</f>
        <v/>
      </c>
      <c r="Q762">
        <f>"L001-902303751"=U762</f>
        <v/>
      </c>
      <c r="R762">
        <f>G762-W762</f>
        <v/>
      </c>
      <c r="S762" s="36" t="n">
        <v>45404</v>
      </c>
      <c r="T762" t="inlineStr"/>
      <c r="U762" t="inlineStr">
        <is>
          <t>L001-107032791</t>
        </is>
      </c>
      <c r="V762" t="inlineStr">
        <is>
          <t>នីបផន អិចប្រេស (ខេមបូឌា) ខូ អិលធីឌី</t>
        </is>
      </c>
      <c r="W762" t="n">
        <v>0</v>
      </c>
      <c r="X762" t="n">
        <v>0</v>
      </c>
    </row>
    <row r="763">
      <c r="A763" t="n">
        <v>762</v>
      </c>
      <c r="B763" t="inlineStr">
        <is>
          <t>Customs Clearance Fee</t>
        </is>
      </c>
      <c r="C763" t="inlineStr">
        <is>
          <t>ត្រាយអ៊ែងហ្គល ឡូជីស្ទីក (ខេមបូឌា) ឯ.ក</t>
        </is>
      </c>
      <c r="D763" t="inlineStr">
        <is>
          <t>K010-902101743</t>
        </is>
      </c>
      <c r="E763" t="inlineStr">
        <is>
          <t>TAG-24-00399</t>
        </is>
      </c>
      <c r="F763" t="inlineStr">
        <is>
          <t>11-06-2024</t>
        </is>
      </c>
      <c r="G763" t="n">
        <v>8232</v>
      </c>
      <c r="I763">
        <f>G763</f>
        <v/>
      </c>
      <c r="K763">
        <f>I763-G763</f>
        <v/>
      </c>
      <c r="M763" t="inlineStr">
        <is>
          <t>TAG2400399</t>
        </is>
      </c>
      <c r="N763" t="inlineStr"/>
      <c r="O763">
        <f>M763=N763</f>
        <v/>
      </c>
      <c r="P763">
        <f>AND(MONTH(F763)=MONTH(S763), YEAR(F763)=YEAR(S763))</f>
        <v/>
      </c>
      <c r="Q763">
        <f>"L001-902303751"=U763</f>
        <v/>
      </c>
      <c r="R763">
        <f>G763-W763</f>
        <v/>
      </c>
      <c r="S763" s="36" t="n">
        <v>45390</v>
      </c>
      <c r="T763" t="inlineStr"/>
      <c r="U763" t="inlineStr">
        <is>
          <t>L001-100045995</t>
        </is>
      </c>
      <c r="V763" t="inlineStr">
        <is>
          <t>ឌីអេចអិល ឡូជីស្ទីក (ខេមបូឌា)</t>
        </is>
      </c>
      <c r="W763" t="n">
        <v>0</v>
      </c>
      <c r="X763" t="n">
        <v>0</v>
      </c>
    </row>
    <row r="764">
      <c r="A764" t="n">
        <v>763</v>
      </c>
      <c r="B764" t="inlineStr">
        <is>
          <t>Customs Clearance Fee and Trucking Fee</t>
        </is>
      </c>
      <c r="C764" t="inlineStr">
        <is>
          <t>ត្រាយអ៊ែងហ្គល ឡូជីស្ទីក (ខេមបូឌា) ឯ.ក</t>
        </is>
      </c>
      <c r="D764" t="inlineStr">
        <is>
          <t>K010-902101743</t>
        </is>
      </c>
      <c r="E764" t="inlineStr">
        <is>
          <t>TAG-24-00393</t>
        </is>
      </c>
      <c r="F764" t="inlineStr">
        <is>
          <t>10-06-2024</t>
        </is>
      </c>
      <c r="G764" t="n">
        <v>32912</v>
      </c>
      <c r="I764">
        <f>G764</f>
        <v/>
      </c>
      <c r="K764">
        <f>I764-G764</f>
        <v/>
      </c>
      <c r="M764" t="inlineStr">
        <is>
          <t>TAG2400393</t>
        </is>
      </c>
      <c r="N764" t="inlineStr"/>
      <c r="O764">
        <f>M764=N764</f>
        <v/>
      </c>
      <c r="P764">
        <f>AND(MONTH(F764)=MONTH(S764), YEAR(F764)=YEAR(S764))</f>
        <v/>
      </c>
      <c r="Q764">
        <f>"L001-902303751"=U764</f>
        <v/>
      </c>
      <c r="R764">
        <f>G764-W764</f>
        <v/>
      </c>
      <c r="S764" s="36" t="n">
        <v>45386</v>
      </c>
      <c r="T764" t="inlineStr"/>
      <c r="U764" t="inlineStr">
        <is>
          <t>K003-901635943</t>
        </is>
      </c>
      <c r="V764" t="inlineStr">
        <is>
          <t>អ៊ីឃ្យូឡាញ វើលវ៉ាយដ៍ ឡូជីស្ទីក</t>
        </is>
      </c>
      <c r="W764" t="n">
        <v>0</v>
      </c>
      <c r="X764" t="n">
        <v>0</v>
      </c>
    </row>
    <row r="765">
      <c r="A765" t="n">
        <v>764</v>
      </c>
      <c r="B765" t="inlineStr">
        <is>
          <t>Customs Clearance Fee</t>
        </is>
      </c>
      <c r="C765" t="inlineStr">
        <is>
          <t>ត្រាយអ៊ែងហ្គល ឡូជីស្ទីក (ខេមបូឌា) ឯ.ក</t>
        </is>
      </c>
      <c r="D765" t="inlineStr">
        <is>
          <t>K010-902101743</t>
        </is>
      </c>
      <c r="E765" t="inlineStr">
        <is>
          <t>TAG-24-00383</t>
        </is>
      </c>
      <c r="F765" t="inlineStr">
        <is>
          <t>03-06-2024</t>
        </is>
      </c>
      <c r="G765" t="n">
        <v>8198</v>
      </c>
      <c r="I765">
        <f>G765</f>
        <v/>
      </c>
      <c r="K765">
        <f>I765-G765</f>
        <v/>
      </c>
      <c r="M765" t="inlineStr">
        <is>
          <t>TAG2400383</t>
        </is>
      </c>
      <c r="N765" t="inlineStr">
        <is>
          <t>11112800</t>
        </is>
      </c>
      <c r="O765">
        <f>M765=N765</f>
        <v/>
      </c>
      <c r="P765">
        <f>AND(MONTH(F765)=MONTH(S765), YEAR(F765)=YEAR(S765))</f>
        <v/>
      </c>
      <c r="Q765">
        <f>"L001-902303751"=U765</f>
        <v/>
      </c>
      <c r="R765">
        <f>G765-W765</f>
        <v/>
      </c>
      <c r="S765" s="36" t="n">
        <v>45391</v>
      </c>
      <c r="T765" t="n">
        <v>111128</v>
      </c>
      <c r="U765" t="inlineStr">
        <is>
          <t>L001-107032791</t>
        </is>
      </c>
      <c r="V765" t="inlineStr">
        <is>
          <t>នីបផន អិចប្រេស (ខេមបូឌា) ខូ អិលធីឌី</t>
        </is>
      </c>
      <c r="W765" t="n">
        <v>111128</v>
      </c>
      <c r="X765" t="n">
        <v>0</v>
      </c>
    </row>
    <row r="766">
      <c r="A766" t="n">
        <v>765</v>
      </c>
      <c r="B766" t="inlineStr">
        <is>
          <t>Customs Clearance Fee and Trucking Fee</t>
        </is>
      </c>
      <c r="C766" t="inlineStr">
        <is>
          <t>ត្រាយអ៊ែងហ្គល ឡូជីស្ទីក (ខេមបូឌា) ឯ.ក</t>
        </is>
      </c>
      <c r="D766" t="inlineStr">
        <is>
          <t>K010-902101743</t>
        </is>
      </c>
      <c r="E766" t="inlineStr">
        <is>
          <t>TAG-24-00394</t>
        </is>
      </c>
      <c r="F766" t="inlineStr">
        <is>
          <t>10-06-2024</t>
        </is>
      </c>
      <c r="G766" t="n">
        <v>32912</v>
      </c>
      <c r="I766">
        <f>G766</f>
        <v/>
      </c>
      <c r="K766">
        <f>I766-G766</f>
        <v/>
      </c>
      <c r="M766" t="inlineStr">
        <is>
          <t>TAG2400394</t>
        </is>
      </c>
      <c r="N766" t="inlineStr"/>
      <c r="O766">
        <f>M766=N766</f>
        <v/>
      </c>
      <c r="P766">
        <f>AND(MONTH(F766)=MONTH(S766), YEAR(F766)=YEAR(S766))</f>
        <v/>
      </c>
      <c r="Q766">
        <f>"L001-902303751"=U766</f>
        <v/>
      </c>
      <c r="R766">
        <f>G766-W766</f>
        <v/>
      </c>
      <c r="S766" s="36" t="n">
        <v>45391</v>
      </c>
      <c r="T766" t="inlineStr"/>
      <c r="U766" t="inlineStr">
        <is>
          <t>K003-901635943</t>
        </is>
      </c>
      <c r="V766" t="inlineStr">
        <is>
          <t>អ៊ីឃ្យូឡាញ វើលវ៉ាយដ៍ ឡូជីស្ទីក</t>
        </is>
      </c>
      <c r="W766" t="n">
        <v>0</v>
      </c>
      <c r="X766" t="n">
        <v>0</v>
      </c>
    </row>
    <row r="767">
      <c r="A767" t="n">
        <v>766</v>
      </c>
      <c r="B767" t="inlineStr">
        <is>
          <t>Customs Clearance Fee and Trucking Fee</t>
        </is>
      </c>
      <c r="C767" t="inlineStr">
        <is>
          <t>ត្រាយអ៊ែងហ្គល ឡូជីស្ទីក (ខេមបូឌា) ឯ.ក</t>
        </is>
      </c>
      <c r="D767" t="inlineStr">
        <is>
          <t>K010-902101743</t>
        </is>
      </c>
      <c r="E767" t="inlineStr">
        <is>
          <t>TAG-24-00392</t>
        </is>
      </c>
      <c r="F767" t="inlineStr">
        <is>
          <t>10-06-2024</t>
        </is>
      </c>
      <c r="G767" t="n">
        <v>32912</v>
      </c>
      <c r="I767">
        <f>G767</f>
        <v/>
      </c>
      <c r="K767">
        <f>I767-G767</f>
        <v/>
      </c>
      <c r="M767" t="inlineStr">
        <is>
          <t>TAG2400392</t>
        </is>
      </c>
      <c r="N767" t="inlineStr">
        <is>
          <t>9213500</t>
        </is>
      </c>
      <c r="O767">
        <f>M767=N767</f>
        <v/>
      </c>
      <c r="P767">
        <f>AND(MONTH(F767)=MONTH(S767), YEAR(F767)=YEAR(S767))</f>
        <v/>
      </c>
      <c r="Q767">
        <f>"L001-902303751"=U767</f>
        <v/>
      </c>
      <c r="R767">
        <f>G767-W767</f>
        <v/>
      </c>
      <c r="S767" s="36" t="n">
        <v>45392</v>
      </c>
      <c r="T767" t="n">
        <v>92135</v>
      </c>
      <c r="U767" t="inlineStr">
        <is>
          <t>K009-902302542</t>
        </is>
      </c>
      <c r="V767" t="inlineStr">
        <is>
          <t>ឡូជីម៉ាក អ៊ិនធើណេសិនណល ឯ.ក</t>
        </is>
      </c>
      <c r="W767" t="n">
        <v>92135</v>
      </c>
      <c r="X767" t="n">
        <v>0</v>
      </c>
    </row>
    <row r="768">
      <c r="A768" t="n">
        <v>767</v>
      </c>
      <c r="B768" t="inlineStr">
        <is>
          <t>Terminal Handling Charge, CFS Fee, Scan Fee, D/O Fee, Document Fee, Handling Fee, Co-Loader Agency Fee and LSS Charge</t>
        </is>
      </c>
      <c r="C768" t="inlineStr">
        <is>
          <t>ត្រាយអ៊ែងហ្គល ឡូជីស្ទីក (ខេមបូឌា) ឯ.ក</t>
        </is>
      </c>
      <c r="D768" t="inlineStr">
        <is>
          <t>K010-902101743</t>
        </is>
      </c>
      <c r="E768" t="inlineStr">
        <is>
          <t>TAG-24-00388</t>
        </is>
      </c>
      <c r="F768" t="inlineStr">
        <is>
          <t>05-06-2024</t>
        </is>
      </c>
      <c r="G768" t="n">
        <v>83582</v>
      </c>
      <c r="I768">
        <f>G768</f>
        <v/>
      </c>
      <c r="K768">
        <f>I768-G768</f>
        <v/>
      </c>
      <c r="M768" t="inlineStr">
        <is>
          <t>TAG2400388</t>
        </is>
      </c>
      <c r="N768" t="inlineStr">
        <is>
          <t>8292300</t>
        </is>
      </c>
      <c r="O768">
        <f>M768=N768</f>
        <v/>
      </c>
      <c r="P768">
        <f>AND(MONTH(F768)=MONTH(S768), YEAR(F768)=YEAR(S768))</f>
        <v/>
      </c>
      <c r="Q768">
        <f>"L001-902303751"=U768</f>
        <v/>
      </c>
      <c r="R768">
        <f>G768-W768</f>
        <v/>
      </c>
      <c r="S768" s="36" t="n">
        <v>45400</v>
      </c>
      <c r="T768" t="n">
        <v>82923</v>
      </c>
      <c r="U768" t="inlineStr">
        <is>
          <t>L001-901500191</t>
        </is>
      </c>
      <c r="V768" t="inlineStr">
        <is>
          <t>អ.អិន.វ៉ាយ ត្រេនស្ព័ត</t>
        </is>
      </c>
      <c r="W768" t="n">
        <v>82923</v>
      </c>
      <c r="X768" t="n">
        <v>0</v>
      </c>
    </row>
    <row r="769">
      <c r="A769" t="n">
        <v>768</v>
      </c>
      <c r="B769" t="inlineStr">
        <is>
          <t>Customs Clearance Fee and Trucking Fee</t>
        </is>
      </c>
      <c r="C769" t="inlineStr">
        <is>
          <t>ត្រាយអ៊ែងហ្គល ឡូជីស្ទីក (ខេមបូឌា) ឯ.ក</t>
        </is>
      </c>
      <c r="D769" t="inlineStr">
        <is>
          <t>K010-902101743</t>
        </is>
      </c>
      <c r="E769" t="inlineStr">
        <is>
          <t>TAG-24-00395</t>
        </is>
      </c>
      <c r="F769" t="inlineStr">
        <is>
          <t>10-06-2024</t>
        </is>
      </c>
      <c r="G769" t="n">
        <v>32912</v>
      </c>
      <c r="I769">
        <f>G769</f>
        <v/>
      </c>
      <c r="K769">
        <f>I769-G769</f>
        <v/>
      </c>
      <c r="M769" t="inlineStr">
        <is>
          <t>TAG2400395</t>
        </is>
      </c>
      <c r="N769" t="inlineStr">
        <is>
          <t>8282000</t>
        </is>
      </c>
      <c r="O769">
        <f>M769=N769</f>
        <v/>
      </c>
      <c r="P769">
        <f>AND(MONTH(F769)=MONTH(S769), YEAR(F769)=YEAR(S769))</f>
        <v/>
      </c>
      <c r="Q769">
        <f>"L001-902303751"=U769</f>
        <v/>
      </c>
      <c r="R769">
        <f>G769-W769</f>
        <v/>
      </c>
      <c r="S769" s="36" t="n">
        <v>45390</v>
      </c>
      <c r="T769" t="n">
        <v>82820</v>
      </c>
      <c r="U769" t="inlineStr">
        <is>
          <t>K009-902002784</t>
        </is>
      </c>
      <c r="V769" t="inlineStr">
        <is>
          <t>ខាហ្គោលីង អ៊ិនធើណេសិនណល ឯ.ក</t>
        </is>
      </c>
      <c r="W769" t="n">
        <v>82820</v>
      </c>
      <c r="X769" t="n">
        <v>0</v>
      </c>
    </row>
    <row r="770">
      <c r="A770" t="n">
        <v>769</v>
      </c>
      <c r="B770" t="inlineStr">
        <is>
          <t>Customs Clearance Fee and Trucking Fee</t>
        </is>
      </c>
      <c r="C770" t="inlineStr">
        <is>
          <t>ត្រាយអ៊ែងហ្គល ឡូជីស្ទីក (ខេមបូឌា) ឯ.ក</t>
        </is>
      </c>
      <c r="D770" t="inlineStr">
        <is>
          <t>K010-902101743</t>
        </is>
      </c>
      <c r="E770" t="inlineStr">
        <is>
          <t>TAG-24-00389</t>
        </is>
      </c>
      <c r="F770" t="inlineStr">
        <is>
          <t>05-06-2024</t>
        </is>
      </c>
      <c r="G770" t="n">
        <v>65680</v>
      </c>
      <c r="I770">
        <f>G770</f>
        <v/>
      </c>
      <c r="K770">
        <f>I770-G770</f>
        <v/>
      </c>
      <c r="M770" t="inlineStr">
        <is>
          <t>TAG2400389</t>
        </is>
      </c>
      <c r="N770" t="inlineStr">
        <is>
          <t>8282000</t>
        </is>
      </c>
      <c r="O770">
        <f>M770=N770</f>
        <v/>
      </c>
      <c r="P770">
        <f>AND(MONTH(F770)=MONTH(S770), YEAR(F770)=YEAR(S770))</f>
        <v/>
      </c>
      <c r="Q770">
        <f>"L001-902303751"=U770</f>
        <v/>
      </c>
      <c r="R770">
        <f>G770-W770</f>
        <v/>
      </c>
      <c r="S770" s="36" t="n">
        <v>45390</v>
      </c>
      <c r="T770" t="n">
        <v>82820</v>
      </c>
      <c r="U770" t="inlineStr">
        <is>
          <t>K009-902002784</t>
        </is>
      </c>
      <c r="V770" t="inlineStr">
        <is>
          <t>ខាហ្គោលីង អ៊ិនធើណេសិនណល ឯ.ក</t>
        </is>
      </c>
      <c r="W770" t="n">
        <v>82820</v>
      </c>
      <c r="X770" t="n">
        <v>0</v>
      </c>
    </row>
    <row r="771">
      <c r="A771" t="n">
        <v>770</v>
      </c>
      <c r="B771" t="inlineStr">
        <is>
          <t>Customs Clearance Fee and Trucking Fee</t>
        </is>
      </c>
      <c r="C771" t="inlineStr">
        <is>
          <t>ត្រាយអ៊ែងហ្គល ឡូជីស្ទីក (ខេមបូឌា) ឯ.ក</t>
        </is>
      </c>
      <c r="D771" t="inlineStr">
        <is>
          <t>K010-902101743</t>
        </is>
      </c>
      <c r="E771" t="inlineStr">
        <is>
          <t>TAG-24-00390</t>
        </is>
      </c>
      <c r="F771" t="inlineStr">
        <is>
          <t>05-06-2024</t>
        </is>
      </c>
      <c r="G771" t="n">
        <v>69785</v>
      </c>
      <c r="I771">
        <f>G771</f>
        <v/>
      </c>
      <c r="K771">
        <f>I771-G771</f>
        <v/>
      </c>
      <c r="M771" t="inlineStr">
        <is>
          <t>TAG2400390</t>
        </is>
      </c>
      <c r="N771" t="inlineStr">
        <is>
          <t>11110000</t>
        </is>
      </c>
      <c r="O771">
        <f>M771=N771</f>
        <v/>
      </c>
      <c r="P771">
        <f>AND(MONTH(F771)=MONTH(S771), YEAR(F771)=YEAR(S771))</f>
        <v/>
      </c>
      <c r="Q771">
        <f>"L001-902303751"=U771</f>
        <v/>
      </c>
      <c r="R771">
        <f>G771-W771</f>
        <v/>
      </c>
      <c r="S771" s="36" t="n">
        <v>45390</v>
      </c>
      <c r="T771" t="n">
        <v>111100</v>
      </c>
      <c r="U771" t="inlineStr">
        <is>
          <t>L001-100045995</t>
        </is>
      </c>
      <c r="V771" t="inlineStr">
        <is>
          <t>ឌីអេចអិល ឡូជីស្ទីក (ខេមបូឌា)</t>
        </is>
      </c>
      <c r="W771" t="n">
        <v>111100</v>
      </c>
      <c r="X771" t="n">
        <v>0</v>
      </c>
    </row>
    <row r="772">
      <c r="A772" t="n">
        <v>771</v>
      </c>
      <c r="B772" t="inlineStr">
        <is>
          <t>Customs Clearance Fee</t>
        </is>
      </c>
      <c r="C772" t="inlineStr">
        <is>
          <t>ត្រាយអ៊ែងហ្គល ឡូជីស្ទីក (ខេមបូឌា) ឯ.ក</t>
        </is>
      </c>
      <c r="D772" t="inlineStr">
        <is>
          <t>K010-902101743</t>
        </is>
      </c>
      <c r="E772" t="inlineStr">
        <is>
          <t>TAG-24-00387</t>
        </is>
      </c>
      <c r="F772" t="inlineStr">
        <is>
          <t>04-06-2024</t>
        </is>
      </c>
      <c r="G772" t="n">
        <v>8208</v>
      </c>
      <c r="I772">
        <f>G772</f>
        <v/>
      </c>
      <c r="K772">
        <f>I772-G772</f>
        <v/>
      </c>
      <c r="M772" t="inlineStr">
        <is>
          <t>TAG2400387</t>
        </is>
      </c>
      <c r="N772" t="inlineStr"/>
      <c r="O772">
        <f>M772=N772</f>
        <v/>
      </c>
      <c r="P772">
        <f>AND(MONTH(F772)=MONTH(S772), YEAR(F772)=YEAR(S772))</f>
        <v/>
      </c>
      <c r="Q772">
        <f>"L001-902303751"=U772</f>
        <v/>
      </c>
      <c r="R772">
        <f>G772-W772</f>
        <v/>
      </c>
      <c r="S772" s="36" t="n">
        <v>45399</v>
      </c>
      <c r="T772" t="inlineStr"/>
      <c r="U772" t="inlineStr">
        <is>
          <t>K005-100059945</t>
        </is>
      </c>
      <c r="V772" t="inlineStr">
        <is>
          <t>អ៊ែតវ៉ានស៍ គ្លរី ឡូជីស្ទីក (ខេមបូឌា) (អេ ជី អិល)</t>
        </is>
      </c>
      <c r="W772" t="n">
        <v>0</v>
      </c>
      <c r="X772" t="n">
        <v>0</v>
      </c>
    </row>
    <row r="773">
      <c r="A773" t="n">
        <v>772</v>
      </c>
      <c r="B773" t="inlineStr">
        <is>
          <t>Customs Clearance Fee and Trucking Fee</t>
        </is>
      </c>
      <c r="C773" t="inlineStr">
        <is>
          <t>ត្រាយអ៊ែងហ្គល ឡូជីស្ទីក (ខេមបូឌា) ឯ.ក</t>
        </is>
      </c>
      <c r="D773" t="inlineStr">
        <is>
          <t>K010-902101743</t>
        </is>
      </c>
      <c r="E773" t="inlineStr">
        <is>
          <t>TAG-24-00411</t>
        </is>
      </c>
      <c r="F773" t="inlineStr">
        <is>
          <t>17-06-2024</t>
        </is>
      </c>
      <c r="G773" t="n">
        <v>32968</v>
      </c>
      <c r="I773">
        <f>G773</f>
        <v/>
      </c>
      <c r="K773">
        <f>I773-G773</f>
        <v/>
      </c>
      <c r="M773" t="inlineStr">
        <is>
          <t>TAG2400411</t>
        </is>
      </c>
      <c r="N773" t="inlineStr"/>
      <c r="O773">
        <f>M773=N773</f>
        <v/>
      </c>
      <c r="P773">
        <f>AND(MONTH(F773)=MONTH(S773), YEAR(F773)=YEAR(S773))</f>
        <v/>
      </c>
      <c r="Q773">
        <f>"L001-902303751"=U773</f>
        <v/>
      </c>
      <c r="R773">
        <f>G773-W773</f>
        <v/>
      </c>
      <c r="S773" s="36" t="n">
        <v>45391</v>
      </c>
      <c r="T773" t="inlineStr"/>
      <c r="U773" t="inlineStr">
        <is>
          <t>L001-107032791</t>
        </is>
      </c>
      <c r="V773" t="inlineStr">
        <is>
          <t>នីបផន អិចប្រេស (ខេមបូឌា) ខូ អិលធីឌី</t>
        </is>
      </c>
      <c r="W773" t="n">
        <v>0</v>
      </c>
      <c r="X773" t="n">
        <v>0</v>
      </c>
    </row>
    <row r="774">
      <c r="A774" t="n">
        <v>773</v>
      </c>
      <c r="B774" t="inlineStr">
        <is>
          <t>Terminal Handling Charge, CFS Fee, Scan Fee, D/O Fee, Document Fee, Handling Fee, Co-Loader Agency Fee and CIC</t>
        </is>
      </c>
      <c r="C774" t="inlineStr">
        <is>
          <t>ត្រាយអ៊ែងហ្គល ឡូជីស្ទីក (ខេមបូឌា) ឯ.ក</t>
        </is>
      </c>
      <c r="D774" t="inlineStr">
        <is>
          <t>K010-902101743</t>
        </is>
      </c>
      <c r="E774" t="inlineStr">
        <is>
          <t>TAG-24-00391</t>
        </is>
      </c>
      <c r="F774" t="inlineStr">
        <is>
          <t>10-06-2024</t>
        </is>
      </c>
      <c r="G774" t="n">
        <v>77343</v>
      </c>
      <c r="I774">
        <f>G774</f>
        <v/>
      </c>
      <c r="K774">
        <f>I774-G774</f>
        <v/>
      </c>
      <c r="M774" t="inlineStr">
        <is>
          <t>TAG2400391</t>
        </is>
      </c>
      <c r="N774" t="inlineStr"/>
      <c r="O774">
        <f>M774=N774</f>
        <v/>
      </c>
      <c r="P774">
        <f>AND(MONTH(F774)=MONTH(S774), YEAR(F774)=YEAR(S774))</f>
        <v/>
      </c>
      <c r="Q774">
        <f>"L001-902303751"=U774</f>
        <v/>
      </c>
      <c r="R774">
        <f>G774-W774</f>
        <v/>
      </c>
      <c r="S774" s="36" t="n">
        <v>45411</v>
      </c>
      <c r="T774" t="inlineStr"/>
      <c r="U774" t="inlineStr">
        <is>
          <t>L001-107032791</t>
        </is>
      </c>
      <c r="V774" t="inlineStr">
        <is>
          <t>នីបផន អិចប្រេស (ខេមបូឌា) ខូ អិលធីឌី</t>
        </is>
      </c>
      <c r="W774" t="n">
        <v>0</v>
      </c>
      <c r="X774" t="n">
        <v>0</v>
      </c>
    </row>
    <row r="775">
      <c r="A775" t="n">
        <v>774</v>
      </c>
      <c r="B775" t="inlineStr">
        <is>
          <t>Customs Clearance Fee and Trucking Fee</t>
        </is>
      </c>
      <c r="C775" t="inlineStr">
        <is>
          <t>ត្រាយអ៊ែងហ្គល ឡូជីស្ទីក (ខេមបូឌា) ឯ.ក</t>
        </is>
      </c>
      <c r="D775" t="inlineStr">
        <is>
          <t>K010-902101743</t>
        </is>
      </c>
      <c r="E775" t="inlineStr">
        <is>
          <t>TAG-24-00403</t>
        </is>
      </c>
      <c r="F775" t="inlineStr">
        <is>
          <t>11-06-2024</t>
        </is>
      </c>
      <c r="G775" t="n">
        <v>28812</v>
      </c>
      <c r="I775">
        <f>G775</f>
        <v/>
      </c>
      <c r="K775">
        <f>I775-G775</f>
        <v/>
      </c>
      <c r="M775" t="inlineStr">
        <is>
          <t>TAG2400403</t>
        </is>
      </c>
      <c r="N775" t="inlineStr">
        <is>
          <t>12557800</t>
        </is>
      </c>
      <c r="O775">
        <f>M775=N775</f>
        <v/>
      </c>
      <c r="P775">
        <f>AND(MONTH(F775)=MONTH(S775), YEAR(F775)=YEAR(S775))</f>
        <v/>
      </c>
      <c r="Q775">
        <f>"L001-902303751"=U775</f>
        <v/>
      </c>
      <c r="R775">
        <f>G775-W775</f>
        <v/>
      </c>
      <c r="S775" s="36" t="n">
        <v>45404</v>
      </c>
      <c r="T775" t="n">
        <v>125578</v>
      </c>
      <c r="U775" t="inlineStr">
        <is>
          <t>K009-901605081</t>
        </is>
      </c>
      <c r="V775" t="inlineStr">
        <is>
          <t>ទ្រូ ខមភែនៀន ឡូជីស្ទីក (ខេមបូឌា)</t>
        </is>
      </c>
      <c r="W775" t="n">
        <v>125578</v>
      </c>
      <c r="X775" t="n">
        <v>0</v>
      </c>
    </row>
    <row r="776">
      <c r="A776" t="n">
        <v>775</v>
      </c>
      <c r="B776" t="inlineStr">
        <is>
          <t>Customs Clearance Fee and Trucking Fee</t>
        </is>
      </c>
      <c r="C776" t="inlineStr">
        <is>
          <t>ត្រាយអ៊ែងហ្គល ឡូជីស្ទីក (ខេមបូឌា) ឯ.ក</t>
        </is>
      </c>
      <c r="D776" t="inlineStr">
        <is>
          <t>K010-902101743</t>
        </is>
      </c>
      <c r="E776" t="inlineStr">
        <is>
          <t>TAG-24-00427</t>
        </is>
      </c>
      <c r="F776" t="inlineStr">
        <is>
          <t>24-06-2024</t>
        </is>
      </c>
      <c r="G776" t="n">
        <v>32968</v>
      </c>
      <c r="I776">
        <f>G776</f>
        <v/>
      </c>
      <c r="K776">
        <f>I776-G776</f>
        <v/>
      </c>
      <c r="M776" t="inlineStr">
        <is>
          <t>TAG2400427</t>
        </is>
      </c>
      <c r="N776" t="inlineStr"/>
      <c r="O776">
        <f>M776=N776</f>
        <v/>
      </c>
      <c r="P776">
        <f>AND(MONTH(F776)=MONTH(S776), YEAR(F776)=YEAR(S776))</f>
        <v/>
      </c>
      <c r="Q776">
        <f>"L001-902303751"=U776</f>
        <v/>
      </c>
      <c r="R776">
        <f>G776-W776</f>
        <v/>
      </c>
      <c r="S776" s="36" t="n">
        <v>45404</v>
      </c>
      <c r="T776" t="inlineStr"/>
      <c r="U776" t="inlineStr">
        <is>
          <t>L001-107032791</t>
        </is>
      </c>
      <c r="V776" t="inlineStr">
        <is>
          <t>នីបផន អិចប្រេស (ខេមបូឌា) ខូ អិលធីឌី</t>
        </is>
      </c>
      <c r="W776" t="n">
        <v>0</v>
      </c>
      <c r="X776" t="n">
        <v>0</v>
      </c>
    </row>
    <row r="777">
      <c r="A777" t="n">
        <v>776</v>
      </c>
      <c r="B777" t="inlineStr">
        <is>
          <t>Customs Clearance Fee and Trucking Fee</t>
        </is>
      </c>
      <c r="C777" t="inlineStr">
        <is>
          <t>ត្រាយអ៊ែងហ្គល ឡូជីស្ទីក (ខេមបូឌា) ឯ.ក</t>
        </is>
      </c>
      <c r="D777" t="inlineStr">
        <is>
          <t>K010-902101743</t>
        </is>
      </c>
      <c r="E777" t="inlineStr">
        <is>
          <t>TAG-24-00425</t>
        </is>
      </c>
      <c r="F777" t="inlineStr">
        <is>
          <t>24-06-2024</t>
        </is>
      </c>
      <c r="G777" t="n">
        <v>61429</v>
      </c>
      <c r="I777">
        <f>G777</f>
        <v/>
      </c>
      <c r="K777">
        <f>I777-G777</f>
        <v/>
      </c>
      <c r="M777" t="inlineStr">
        <is>
          <t>TAG2400425</t>
        </is>
      </c>
      <c r="N777" t="inlineStr">
        <is>
          <t>8282000</t>
        </is>
      </c>
      <c r="O777">
        <f>M777=N777</f>
        <v/>
      </c>
      <c r="P777">
        <f>AND(MONTH(F777)=MONTH(S777), YEAR(F777)=YEAR(S777))</f>
        <v/>
      </c>
      <c r="Q777">
        <f>"L001-902303751"=U777</f>
        <v/>
      </c>
      <c r="R777">
        <f>G777-W777</f>
        <v/>
      </c>
      <c r="S777" s="36" t="n">
        <v>45390</v>
      </c>
      <c r="T777" t="n">
        <v>82820</v>
      </c>
      <c r="U777" t="inlineStr">
        <is>
          <t>K003-901635943</t>
        </is>
      </c>
      <c r="V777" t="inlineStr">
        <is>
          <t>អ៊ីឃ្យូឡាញ វើលវ៉ាយដ៍ ឡូជីស្ទីក</t>
        </is>
      </c>
      <c r="W777" t="n">
        <v>82820</v>
      </c>
      <c r="X777" t="n">
        <v>0</v>
      </c>
    </row>
    <row r="778">
      <c r="A778" t="n">
        <v>777</v>
      </c>
      <c r="B778" t="inlineStr">
        <is>
          <t>Terminal Handling Charges, CFS Fee, Scan Fee, Document Fee, Handling Fee, Co-Loader Agency Fee and LSS Charge</t>
        </is>
      </c>
      <c r="C778" t="inlineStr">
        <is>
          <t>ត្រាយអ៊ែងហ្គល ឡូជីស្ទីក (ខេមបូឌា) ឯ.ក</t>
        </is>
      </c>
      <c r="D778" t="inlineStr">
        <is>
          <t>K010-902101743</t>
        </is>
      </c>
      <c r="E778" t="inlineStr">
        <is>
          <t>TAG-24-00410</t>
        </is>
      </c>
      <c r="F778" t="inlineStr">
        <is>
          <t>17-06-2024</t>
        </is>
      </c>
      <c r="G778" t="n">
        <v>152522</v>
      </c>
      <c r="I778">
        <f>G778</f>
        <v/>
      </c>
      <c r="K778">
        <f>I778-G778</f>
        <v/>
      </c>
      <c r="M778" t="inlineStr">
        <is>
          <t>TAG2400410</t>
        </is>
      </c>
      <c r="N778" t="inlineStr">
        <is>
          <t>11110000</t>
        </is>
      </c>
      <c r="O778">
        <f>M778=N778</f>
        <v/>
      </c>
      <c r="P778">
        <f>AND(MONTH(F778)=MONTH(S778), YEAR(F778)=YEAR(S778))</f>
        <v/>
      </c>
      <c r="Q778">
        <f>"L001-902303751"=U778</f>
        <v/>
      </c>
      <c r="R778">
        <f>G778-W778</f>
        <v/>
      </c>
      <c r="S778" s="36" t="n">
        <v>45390</v>
      </c>
      <c r="T778" t="n">
        <v>111100</v>
      </c>
      <c r="U778" t="inlineStr">
        <is>
          <t>L001-107000385</t>
        </is>
      </c>
      <c r="V778" t="inlineStr">
        <is>
          <t>អិចស្ពោលាំងកា ហ្រ្វេត (ខេមបូឌា) លីមីធីត</t>
        </is>
      </c>
      <c r="W778" t="n">
        <v>111100</v>
      </c>
      <c r="X778" t="n">
        <v>0</v>
      </c>
    </row>
    <row r="779">
      <c r="A779" t="n">
        <v>778</v>
      </c>
      <c r="B779" t="inlineStr">
        <is>
          <t>Customs Clearance Fee and Trucking Fee</t>
        </is>
      </c>
      <c r="C779" t="inlineStr">
        <is>
          <t>ត្រាយអ៊ែងហ្គល ឡូជីស្ទីក (ខេមបូឌា) ឯ.ក</t>
        </is>
      </c>
      <c r="D779" t="inlineStr">
        <is>
          <t>K010-902101743</t>
        </is>
      </c>
      <c r="E779" t="inlineStr">
        <is>
          <t>TAG-24-00401</t>
        </is>
      </c>
      <c r="F779" t="inlineStr">
        <is>
          <t>11-06-2024</t>
        </is>
      </c>
      <c r="G779" t="n">
        <v>28812</v>
      </c>
      <c r="I779">
        <f>G779</f>
        <v/>
      </c>
      <c r="K779">
        <f>I779-G779</f>
        <v/>
      </c>
      <c r="M779" t="inlineStr">
        <is>
          <t>TAG2400401</t>
        </is>
      </c>
      <c r="N779" t="inlineStr"/>
      <c r="O779">
        <f>M779=N779</f>
        <v/>
      </c>
      <c r="P779">
        <f>AND(MONTH(F779)=MONTH(S779), YEAR(F779)=YEAR(S779))</f>
        <v/>
      </c>
      <c r="Q779">
        <f>"L001-902303751"=U779</f>
        <v/>
      </c>
      <c r="R779">
        <f>G779-W779</f>
        <v/>
      </c>
      <c r="S779" s="36" t="n">
        <v>45391</v>
      </c>
      <c r="T779" t="inlineStr"/>
      <c r="U779" t="inlineStr">
        <is>
          <t>K005-901805913</t>
        </is>
      </c>
      <c r="V779" t="inlineStr">
        <is>
          <t>ស្តារ ខង់ខដ (ខេមបូឌា) ឯ.ក</t>
        </is>
      </c>
      <c r="W779" t="n">
        <v>0</v>
      </c>
      <c r="X779" t="n">
        <v>0</v>
      </c>
    </row>
    <row r="780">
      <c r="A780" t="n">
        <v>779</v>
      </c>
      <c r="B780" t="inlineStr">
        <is>
          <t>Customs Clearance Fee</t>
        </is>
      </c>
      <c r="C780" t="inlineStr">
        <is>
          <t>ត្រាយអ៊ែងហ្គល ឡូជីស្ទីក (ខេមបូឌា) ឯ.ក</t>
        </is>
      </c>
      <c r="D780" t="inlineStr">
        <is>
          <t>K010-902101743</t>
        </is>
      </c>
      <c r="E780" t="inlineStr">
        <is>
          <t>TAG-24-00413</t>
        </is>
      </c>
      <c r="F780" t="inlineStr">
        <is>
          <t>17-06-2024</t>
        </is>
      </c>
      <c r="G780" t="n">
        <v>8242</v>
      </c>
      <c r="I780">
        <f>G780</f>
        <v/>
      </c>
      <c r="K780">
        <f>I780-G780</f>
        <v/>
      </c>
      <c r="M780" t="inlineStr">
        <is>
          <t>TAG2400413</t>
        </is>
      </c>
      <c r="N780" t="inlineStr"/>
      <c r="O780">
        <f>M780=N780</f>
        <v/>
      </c>
      <c r="P780">
        <f>AND(MONTH(F780)=MONTH(S780), YEAR(F780)=YEAR(S780))</f>
        <v/>
      </c>
      <c r="Q780">
        <f>"L001-902303751"=U780</f>
        <v/>
      </c>
      <c r="R780">
        <f>G780-W780</f>
        <v/>
      </c>
      <c r="S780" s="36" t="n">
        <v>45391</v>
      </c>
      <c r="T780" t="inlineStr"/>
      <c r="U780" t="inlineStr">
        <is>
          <t>L001-100045340</t>
        </is>
      </c>
      <c r="V780" t="inlineStr">
        <is>
          <t xml:space="preserve">ស៊ីវ៉ា អ៊ែរ អ៊ែន អូសៀន (ខេមបូឌា) ឯ.ក </t>
        </is>
      </c>
      <c r="W780" t="n">
        <v>0</v>
      </c>
      <c r="X780" t="n">
        <v>0</v>
      </c>
    </row>
    <row r="781">
      <c r="A781" t="n">
        <v>780</v>
      </c>
      <c r="B781" t="inlineStr">
        <is>
          <t>Customs Clearance Fee</t>
        </is>
      </c>
      <c r="C781" t="inlineStr">
        <is>
          <t>ត្រាយអ៊ែងហ្គល ឡូជីស្ទីក (ខេមបូឌា) ឯ.ក</t>
        </is>
      </c>
      <c r="D781" t="inlineStr">
        <is>
          <t>K010-902101743</t>
        </is>
      </c>
      <c r="E781" t="inlineStr">
        <is>
          <t>TAG-24-00420</t>
        </is>
      </c>
      <c r="F781" t="inlineStr">
        <is>
          <t>19-06-2024</t>
        </is>
      </c>
      <c r="G781" t="n">
        <v>8240</v>
      </c>
      <c r="I781">
        <f>G781</f>
        <v/>
      </c>
      <c r="K781">
        <f>I781-G781</f>
        <v/>
      </c>
      <c r="M781" t="inlineStr">
        <is>
          <t>TAG2400420</t>
        </is>
      </c>
      <c r="N781" t="inlineStr"/>
      <c r="O781">
        <f>M781=N781</f>
        <v/>
      </c>
      <c r="P781">
        <f>AND(MONTH(F781)=MONTH(S781), YEAR(F781)=YEAR(S781))</f>
        <v/>
      </c>
      <c r="Q781">
        <f>"L001-902303751"=U781</f>
        <v/>
      </c>
      <c r="R781">
        <f>G781-W781</f>
        <v/>
      </c>
      <c r="S781" s="36" t="n">
        <v>45383</v>
      </c>
      <c r="T781" t="inlineStr"/>
      <c r="U781" t="inlineStr">
        <is>
          <t>K009-902002784</t>
        </is>
      </c>
      <c r="V781" t="inlineStr">
        <is>
          <t>ខាហ្គោលីង អ៊ិនធើណេសិនណល ឯ.ក</t>
        </is>
      </c>
      <c r="W781" t="n">
        <v>0</v>
      </c>
      <c r="X781" t="n">
        <v>0</v>
      </c>
    </row>
    <row r="782">
      <c r="A782" t="n">
        <v>781</v>
      </c>
      <c r="B782" t="inlineStr">
        <is>
          <t>Customs Clearance Fee and Trucking Fee</t>
        </is>
      </c>
      <c r="C782" t="inlineStr">
        <is>
          <t>ត្រាយអ៊ែងហ្គល ឡូជីស្ទីក (ខេមបូឌា) ឯ.ក</t>
        </is>
      </c>
      <c r="D782" t="inlineStr">
        <is>
          <t>K010-902101743</t>
        </is>
      </c>
      <c r="E782" t="inlineStr">
        <is>
          <t>TAG-24-00426</t>
        </is>
      </c>
      <c r="F782" t="inlineStr">
        <is>
          <t>24-06-2024</t>
        </is>
      </c>
      <c r="G782" t="n">
        <v>65936</v>
      </c>
      <c r="I782">
        <f>G782</f>
        <v/>
      </c>
      <c r="K782">
        <f>I782-G782</f>
        <v/>
      </c>
      <c r="M782" t="inlineStr">
        <is>
          <t>TAG2400426</t>
        </is>
      </c>
      <c r="N782" t="inlineStr">
        <is>
          <t>123544200</t>
        </is>
      </c>
      <c r="O782">
        <f>M782=N782</f>
        <v/>
      </c>
      <c r="P782">
        <f>AND(MONTH(F782)=MONTH(S782), YEAR(F782)=YEAR(S782))</f>
        <v/>
      </c>
      <c r="Q782">
        <f>"L001-902303751"=U782</f>
        <v/>
      </c>
      <c r="R782">
        <f>G782-W782</f>
        <v/>
      </c>
      <c r="S782" s="36" t="n">
        <v>45399</v>
      </c>
      <c r="T782" t="n">
        <v>1235442</v>
      </c>
      <c r="U782" t="inlineStr">
        <is>
          <t>L001-103007369</t>
        </is>
      </c>
      <c r="V782" t="inlineStr">
        <is>
          <t>អូរៀនថល ឡូជីស្ទីក &amp; ឌីស្ទ្រីប៊្យូសិន (ខេមបូឌា)</t>
        </is>
      </c>
      <c r="W782" t="n">
        <v>1235442</v>
      </c>
      <c r="X782" t="n">
        <v>0</v>
      </c>
    </row>
    <row r="783">
      <c r="A783" t="n">
        <v>782</v>
      </c>
      <c r="B783" t="inlineStr">
        <is>
          <t>Customs Clearance Fee and Trucking Fee</t>
        </is>
      </c>
      <c r="C783" t="inlineStr">
        <is>
          <t>ត្រាយអ៊ែងហ្គល ឡូជីស្ទីក (ខេមបូឌា) ឯ.ក</t>
        </is>
      </c>
      <c r="D783" t="inlineStr">
        <is>
          <t>K010-902101743</t>
        </is>
      </c>
      <c r="E783" t="inlineStr">
        <is>
          <t>TAG-24-00434</t>
        </is>
      </c>
      <c r="F783" t="inlineStr">
        <is>
          <t>28-06-2024</t>
        </is>
      </c>
      <c r="G783" t="n">
        <v>32880</v>
      </c>
      <c r="I783">
        <f>G783</f>
        <v/>
      </c>
      <c r="K783">
        <f>I783-G783</f>
        <v/>
      </c>
      <c r="M783" t="inlineStr">
        <is>
          <t>TAG2400434</t>
        </is>
      </c>
      <c r="N783" t="inlineStr">
        <is>
          <t>11112800</t>
        </is>
      </c>
      <c r="O783">
        <f>M783=N783</f>
        <v/>
      </c>
      <c r="P783">
        <f>AND(MONTH(F783)=MONTH(S783), YEAR(F783)=YEAR(S783))</f>
        <v/>
      </c>
      <c r="Q783">
        <f>"L001-902303751"=U783</f>
        <v/>
      </c>
      <c r="R783">
        <f>G783-W783</f>
        <v/>
      </c>
      <c r="S783" s="36" t="n">
        <v>45391</v>
      </c>
      <c r="T783" t="n">
        <v>111128</v>
      </c>
      <c r="U783" t="inlineStr">
        <is>
          <t>L001-107032791</t>
        </is>
      </c>
      <c r="V783" t="inlineStr">
        <is>
          <t>នីបផន អិចប្រេស (ខេមបូឌា) ខូ អិលធីឌី</t>
        </is>
      </c>
      <c r="W783" t="n">
        <v>111128</v>
      </c>
      <c r="X783" t="n">
        <v>0</v>
      </c>
    </row>
    <row r="784">
      <c r="A784" t="n">
        <v>783</v>
      </c>
      <c r="B784" t="inlineStr">
        <is>
          <t>Customs Clearance Fee and Trucking Fee</t>
        </is>
      </c>
      <c r="C784" t="inlineStr">
        <is>
          <t>ត្រាយអ៊ែងហ្គល ឡូជីស្ទីក (ខេមបូឌា) ឯ.ក</t>
        </is>
      </c>
      <c r="D784" t="inlineStr">
        <is>
          <t>K010-902101743</t>
        </is>
      </c>
      <c r="E784" t="inlineStr">
        <is>
          <t>TAG-24-00430</t>
        </is>
      </c>
      <c r="F784" t="inlineStr">
        <is>
          <t>26-06-2024</t>
        </is>
      </c>
      <c r="G784" t="n">
        <v>69870</v>
      </c>
      <c r="I784">
        <f>G784</f>
        <v/>
      </c>
      <c r="K784">
        <f>I784-G784</f>
        <v/>
      </c>
      <c r="M784" t="inlineStr">
        <is>
          <t>TAG2400430</t>
        </is>
      </c>
      <c r="N784" t="inlineStr">
        <is>
          <t>1212300</t>
        </is>
      </c>
      <c r="O784">
        <f>M784=N784</f>
        <v/>
      </c>
      <c r="P784">
        <f>AND(MONTH(F784)=MONTH(S784), YEAR(F784)=YEAR(S784))</f>
        <v/>
      </c>
      <c r="Q784">
        <f>"L001-902303751"=U784</f>
        <v/>
      </c>
      <c r="R784">
        <f>G784-W784</f>
        <v/>
      </c>
      <c r="S784" s="36" t="n">
        <v>45392</v>
      </c>
      <c r="T784" t="n">
        <v>12123</v>
      </c>
      <c r="U784" t="inlineStr">
        <is>
          <t>K009-902002784</t>
        </is>
      </c>
      <c r="V784" t="inlineStr">
        <is>
          <t>ខាហ្គោលីង អ៊ិនធើណេសិនណល ឯ.ក</t>
        </is>
      </c>
      <c r="W784" t="n">
        <v>12123</v>
      </c>
      <c r="X784" t="n">
        <v>0</v>
      </c>
    </row>
    <row r="785">
      <c r="A785" t="n">
        <v>784</v>
      </c>
      <c r="B785" t="inlineStr">
        <is>
          <t>Customs Clearance Fee</t>
        </is>
      </c>
      <c r="C785" t="inlineStr">
        <is>
          <t>ត្រាយអ៊ែងហ្គល ឡូជីស្ទីក (ខេមបូឌា) ឯ.ក</t>
        </is>
      </c>
      <c r="D785" t="inlineStr">
        <is>
          <t>K010-902101743</t>
        </is>
      </c>
      <c r="E785" t="inlineStr">
        <is>
          <t>TAG-24-00431</t>
        </is>
      </c>
      <c r="F785" t="inlineStr">
        <is>
          <t>26-06-2024</t>
        </is>
      </c>
      <c r="G785" t="n">
        <v>8220</v>
      </c>
      <c r="I785">
        <f>G785</f>
        <v/>
      </c>
      <c r="K785">
        <f>I785-G785</f>
        <v/>
      </c>
      <c r="M785" t="inlineStr">
        <is>
          <t>TAG2400431</t>
        </is>
      </c>
      <c r="N785" t="inlineStr">
        <is>
          <t>12576800</t>
        </is>
      </c>
      <c r="O785">
        <f>M785=N785</f>
        <v/>
      </c>
      <c r="P785">
        <f>AND(MONTH(F785)=MONTH(S785), YEAR(F785)=YEAR(S785))</f>
        <v/>
      </c>
      <c r="Q785">
        <f>"L001-902303751"=U785</f>
        <v/>
      </c>
      <c r="R785">
        <f>G785-W785</f>
        <v/>
      </c>
      <c r="S785" s="36" t="n">
        <v>45399</v>
      </c>
      <c r="T785" t="n">
        <v>125768</v>
      </c>
      <c r="U785" t="inlineStr">
        <is>
          <t>L001-100045340</t>
        </is>
      </c>
      <c r="V785" t="inlineStr">
        <is>
          <t xml:space="preserve">ស៊ីវ៉ា អ៊ែរ អ៊ែន អូសៀន (ខេមបូឌា) ឯ.ក </t>
        </is>
      </c>
      <c r="W785" t="n">
        <v>125768</v>
      </c>
      <c r="X785" t="n">
        <v>0</v>
      </c>
    </row>
    <row r="786">
      <c r="A786" t="n">
        <v>785</v>
      </c>
      <c r="B786" t="inlineStr">
        <is>
          <t>Customs Clearance Fee</t>
        </is>
      </c>
      <c r="C786" t="inlineStr">
        <is>
          <t>ត្រាយអ៊ែងហ្គល ឡូជីស្ទីក (ខេមបូឌា) ឯ.ក</t>
        </is>
      </c>
      <c r="D786" t="inlineStr">
        <is>
          <t>K010-902101743</t>
        </is>
      </c>
      <c r="E786" t="inlineStr">
        <is>
          <t>TAG-24-00398</t>
        </is>
      </c>
      <c r="F786" t="inlineStr">
        <is>
          <t>11-06-2024</t>
        </is>
      </c>
      <c r="G786" t="n">
        <v>8232</v>
      </c>
      <c r="I786">
        <f>G786</f>
        <v/>
      </c>
      <c r="K786">
        <f>I786-G786</f>
        <v/>
      </c>
      <c r="M786" t="inlineStr">
        <is>
          <t>TAG2400398</t>
        </is>
      </c>
      <c r="N786" t="inlineStr"/>
      <c r="O786">
        <f>M786=N786</f>
        <v/>
      </c>
      <c r="P786">
        <f>AND(MONTH(F786)=MONTH(S786), YEAR(F786)=YEAR(S786))</f>
        <v/>
      </c>
      <c r="Q786">
        <f>"L001-902303751"=U786</f>
        <v/>
      </c>
      <c r="R786">
        <f>G786-W786</f>
        <v/>
      </c>
      <c r="S786" s="36" t="n">
        <v>45399</v>
      </c>
      <c r="T786" t="inlineStr"/>
      <c r="U786" t="inlineStr">
        <is>
          <t>L001-104015799</t>
        </is>
      </c>
      <c r="V786" t="inlineStr">
        <is>
          <t>យូសេន ឡូជីស្ទីក (ខេមបូឌា) ខូ អិលធីឌី</t>
        </is>
      </c>
      <c r="W786" t="n">
        <v>0</v>
      </c>
      <c r="X786" t="n">
        <v>0</v>
      </c>
    </row>
    <row r="787">
      <c r="A787" t="n">
        <v>786</v>
      </c>
      <c r="B787" t="inlineStr">
        <is>
          <t>Gate Fee Charges</t>
        </is>
      </c>
      <c r="C787" t="inlineStr">
        <is>
          <t>កំពង់ផែស្វយ័តភ្នំពេញ "ក.ស.ភ"</t>
        </is>
      </c>
      <c r="D787" t="inlineStr">
        <is>
          <t>L001-100044999</t>
        </is>
      </c>
      <c r="E787" t="inlineStr">
        <is>
          <t>INV20240634802</t>
        </is>
      </c>
      <c r="F787" t="inlineStr">
        <is>
          <t>12-06-2024</t>
        </is>
      </c>
      <c r="G787" t="n">
        <v>823</v>
      </c>
      <c r="I787">
        <f>G787</f>
        <v/>
      </c>
      <c r="K787">
        <f>I787-G787</f>
        <v/>
      </c>
      <c r="M787" t="inlineStr">
        <is>
          <t>INV20240634802</t>
        </is>
      </c>
      <c r="N787" t="inlineStr">
        <is>
          <t>8290200</t>
        </is>
      </c>
      <c r="O787">
        <f>M787=N787</f>
        <v/>
      </c>
      <c r="P787">
        <f>AND(MONTH(F787)=MONTH(S787), YEAR(F787)=YEAR(S787))</f>
        <v/>
      </c>
      <c r="Q787">
        <f>"L001-902303751"=U787</f>
        <v/>
      </c>
      <c r="R787">
        <f>G787-W787</f>
        <v/>
      </c>
      <c r="S787" s="36" t="n">
        <v>45399</v>
      </c>
      <c r="T787" t="n">
        <v>82902</v>
      </c>
      <c r="U787" t="inlineStr">
        <is>
          <t>L001-107032791</t>
        </is>
      </c>
      <c r="V787" t="inlineStr">
        <is>
          <t>នីបផន អិចប្រេស (ខេមបូឌា) ខូ អិលធីឌី</t>
        </is>
      </c>
      <c r="W787" t="n">
        <v>82902</v>
      </c>
      <c r="X787" t="n">
        <v>0</v>
      </c>
    </row>
    <row r="788">
      <c r="A788" t="n">
        <v>787</v>
      </c>
      <c r="B788" t="inlineStr">
        <is>
          <t>Lift-On and Gate Fee Charges</t>
        </is>
      </c>
      <c r="C788" t="inlineStr">
        <is>
          <t>កំពង់ផែស្វយ័តភ្នំពេញ "ក.ស.ភ"</t>
        </is>
      </c>
      <c r="D788" t="inlineStr">
        <is>
          <t>L001-100044999</t>
        </is>
      </c>
      <c r="E788" t="inlineStr">
        <is>
          <t>INV20240637046</t>
        </is>
      </c>
      <c r="F788" t="inlineStr">
        <is>
          <t>20-06-2024</t>
        </is>
      </c>
      <c r="G788" t="n">
        <v>18966</v>
      </c>
      <c r="I788">
        <f>G788</f>
        <v/>
      </c>
      <c r="K788">
        <f>I788-G788</f>
        <v/>
      </c>
      <c r="M788" t="inlineStr">
        <is>
          <t>INV20240637046</t>
        </is>
      </c>
      <c r="N788" t="inlineStr">
        <is>
          <t>11110000</t>
        </is>
      </c>
      <c r="O788">
        <f>M788=N788</f>
        <v/>
      </c>
      <c r="P788">
        <f>AND(MONTH(F788)=MONTH(S788), YEAR(F788)=YEAR(S788))</f>
        <v/>
      </c>
      <c r="Q788">
        <f>"L001-902303751"=U788</f>
        <v/>
      </c>
      <c r="R788">
        <f>G788-W788</f>
        <v/>
      </c>
      <c r="S788" s="36" t="n">
        <v>45390</v>
      </c>
      <c r="T788" t="n">
        <v>111100</v>
      </c>
      <c r="U788" t="inlineStr">
        <is>
          <t>K005-100059945</t>
        </is>
      </c>
      <c r="V788" t="inlineStr">
        <is>
          <t>អ៊ែតវ៉ានស៍ គ្លរី ឡូជីស្ទីក (ខេមបូឌា) (អេ ជី អិល)</t>
        </is>
      </c>
      <c r="W788" t="n">
        <v>111100</v>
      </c>
      <c r="X788" t="n">
        <v>0</v>
      </c>
    </row>
    <row r="789">
      <c r="A789" t="n">
        <v>788</v>
      </c>
      <c r="B789" t="inlineStr">
        <is>
          <t>Charge from Warehouse/cy to trucks</t>
        </is>
      </c>
      <c r="C789" t="inlineStr">
        <is>
          <t>កំពង់ផែស្វយ័តភ្នំពេញ "ក.ស.ភ"</t>
        </is>
      </c>
      <c r="D789" t="inlineStr">
        <is>
          <t>L001-100044999</t>
        </is>
      </c>
      <c r="E789" t="inlineStr">
        <is>
          <t>126441</t>
        </is>
      </c>
      <c r="F789" t="inlineStr">
        <is>
          <t>28-06-2024</t>
        </is>
      </c>
      <c r="G789" t="n">
        <v>1259</v>
      </c>
      <c r="I789">
        <f>G789</f>
        <v/>
      </c>
      <c r="K789">
        <f>I789-G789</f>
        <v/>
      </c>
      <c r="M789" t="inlineStr">
        <is>
          <t>126441</t>
        </is>
      </c>
      <c r="N789" t="inlineStr"/>
      <c r="O789">
        <f>M789=N789</f>
        <v/>
      </c>
      <c r="P789">
        <f>AND(MONTH(F789)=MONTH(S789), YEAR(F789)=YEAR(S789))</f>
        <v/>
      </c>
      <c r="Q789">
        <f>"L001-902303751"=U789</f>
        <v/>
      </c>
      <c r="R789">
        <f>G789-W789</f>
        <v/>
      </c>
      <c r="S789" s="36" t="n">
        <v>45383</v>
      </c>
      <c r="T789" t="inlineStr"/>
      <c r="U789" t="inlineStr">
        <is>
          <t>L001-107032791</t>
        </is>
      </c>
      <c r="V789" t="inlineStr">
        <is>
          <t>នីបផន អិចប្រេស (ខេមបូឌា) ខូ អិលធីឌី</t>
        </is>
      </c>
      <c r="W789" t="n">
        <v>0</v>
      </c>
      <c r="X789" t="n">
        <v>0</v>
      </c>
    </row>
    <row r="790">
      <c r="A790" t="n">
        <v>789</v>
      </c>
      <c r="B790" t="inlineStr">
        <is>
          <t>Lift-On &amp; Gate Fee Charge</t>
        </is>
      </c>
      <c r="C790" t="inlineStr">
        <is>
          <t>កំពង់ផែស្វយ័តភ្នំពេញ "ក.ស.ភ"</t>
        </is>
      </c>
      <c r="D790" t="inlineStr">
        <is>
          <t>L001-100044999</t>
        </is>
      </c>
      <c r="E790" t="inlineStr">
        <is>
          <t>INV20240639181</t>
        </is>
      </c>
      <c r="F790" t="inlineStr">
        <is>
          <t>26-06-2024</t>
        </is>
      </c>
      <c r="G790" t="n">
        <v>28770</v>
      </c>
      <c r="I790">
        <f>G790</f>
        <v/>
      </c>
      <c r="K790">
        <f>I790-G790</f>
        <v/>
      </c>
      <c r="M790" t="inlineStr">
        <is>
          <t>INV20240639181</t>
        </is>
      </c>
      <c r="N790" t="inlineStr"/>
      <c r="O790">
        <f>M790=N790</f>
        <v/>
      </c>
      <c r="P790">
        <f>AND(MONTH(F790)=MONTH(S790), YEAR(F790)=YEAR(S790))</f>
        <v/>
      </c>
      <c r="Q790">
        <f>"L001-902303751"=U790</f>
        <v/>
      </c>
      <c r="R790">
        <f>G790-W790</f>
        <v/>
      </c>
      <c r="S790" s="36" t="n">
        <v>45399</v>
      </c>
      <c r="T790" t="inlineStr"/>
      <c r="U790" t="inlineStr">
        <is>
          <t>L001-100045995</t>
        </is>
      </c>
      <c r="V790" t="inlineStr">
        <is>
          <t>ឌីអេចអិល ឡូជីស្ទីក (ខេមបូឌា)</t>
        </is>
      </c>
      <c r="W790" t="n">
        <v>0</v>
      </c>
      <c r="X790" t="n">
        <v>0</v>
      </c>
    </row>
    <row r="791">
      <c r="A791" t="n">
        <v>790</v>
      </c>
      <c r="B791" t="inlineStr">
        <is>
          <t>Storage 40 Feet Container Full</t>
        </is>
      </c>
      <c r="C791" t="inlineStr">
        <is>
          <t>កំពង់ផែស្វយ័តភ្នំពេញ "ក.ស.ភ"</t>
        </is>
      </c>
      <c r="D791" t="inlineStr">
        <is>
          <t>L001-100044999</t>
        </is>
      </c>
      <c r="E791" t="inlineStr">
        <is>
          <t>INV2024-0638660</t>
        </is>
      </c>
      <c r="F791" t="inlineStr">
        <is>
          <t>25-06-2024</t>
        </is>
      </c>
      <c r="G791" t="n">
        <v>4938</v>
      </c>
      <c r="I791">
        <f>G791</f>
        <v/>
      </c>
      <c r="K791">
        <f>I791-G791</f>
        <v/>
      </c>
      <c r="M791" t="inlineStr">
        <is>
          <t>INV20240638660</t>
        </is>
      </c>
      <c r="N791" t="inlineStr"/>
      <c r="O791">
        <f>M791=N791</f>
        <v/>
      </c>
      <c r="P791">
        <f>AND(MONTH(F791)=MONTH(S791), YEAR(F791)=YEAR(S791))</f>
        <v/>
      </c>
      <c r="Q791">
        <f>"L001-902303751"=U791</f>
        <v/>
      </c>
      <c r="R791">
        <f>G791-W791</f>
        <v/>
      </c>
      <c r="S791" s="36" t="n">
        <v>45399</v>
      </c>
      <c r="T791" t="inlineStr"/>
      <c r="U791" t="inlineStr">
        <is>
          <t>L001-107032791</t>
        </is>
      </c>
      <c r="V791" t="inlineStr">
        <is>
          <t>នីបផន អិចប្រេស (ខេមបូឌា) ខូ អិលធីឌី</t>
        </is>
      </c>
      <c r="W791" t="n">
        <v>0</v>
      </c>
      <c r="X791" t="n">
        <v>0</v>
      </c>
    </row>
    <row r="792">
      <c r="A792" t="n">
        <v>791</v>
      </c>
      <c r="B792" t="inlineStr">
        <is>
          <t>Lift-Off and Gate Fee Charge 40" Full</t>
        </is>
      </c>
      <c r="C792" t="inlineStr">
        <is>
          <t>កំពង់ផែស្វយ័តភ្នំពេញ "ក.ស.ភ"</t>
        </is>
      </c>
      <c r="D792" t="inlineStr">
        <is>
          <t>L001-100044999</t>
        </is>
      </c>
      <c r="E792" t="inlineStr">
        <is>
          <t>INV20240634473</t>
        </is>
      </c>
      <c r="F792" t="inlineStr">
        <is>
          <t>11-06-2024</t>
        </is>
      </c>
      <c r="G792" t="n">
        <v>57624</v>
      </c>
      <c r="I792">
        <f>G792</f>
        <v/>
      </c>
      <c r="K792">
        <f>I792-G792</f>
        <v/>
      </c>
      <c r="M792" t="inlineStr">
        <is>
          <t>INV20240634473</t>
        </is>
      </c>
      <c r="N792" t="inlineStr"/>
      <c r="O792">
        <f>M792=N792</f>
        <v/>
      </c>
      <c r="P792">
        <f>AND(MONTH(F792)=MONTH(S792), YEAR(F792)=YEAR(S792))</f>
        <v/>
      </c>
      <c r="Q792">
        <f>"L001-902303751"=U792</f>
        <v/>
      </c>
      <c r="R792">
        <f>G792-W792</f>
        <v/>
      </c>
      <c r="S792" s="36" t="n">
        <v>45404</v>
      </c>
      <c r="T792" t="inlineStr"/>
      <c r="U792" t="inlineStr">
        <is>
          <t>L001-100045995</t>
        </is>
      </c>
      <c r="V792" t="inlineStr">
        <is>
          <t>ឌីអេចអិល ឡូជីស្ទីក (ខេមបូឌា)</t>
        </is>
      </c>
      <c r="W792" t="n">
        <v>0</v>
      </c>
      <c r="X792" t="n">
        <v>0</v>
      </c>
    </row>
    <row r="793">
      <c r="A793" t="n">
        <v>792</v>
      </c>
      <c r="B793" t="inlineStr">
        <is>
          <t>Weighting Fee 40 Charge</t>
        </is>
      </c>
      <c r="C793" t="inlineStr">
        <is>
          <t>កំពង់ផែស្វយ័តភ្នំពេញ "ក.ស.ភ"</t>
        </is>
      </c>
      <c r="D793" t="inlineStr">
        <is>
          <t>L001-100044999</t>
        </is>
      </c>
      <c r="E793" t="inlineStr">
        <is>
          <t>INV20240634656</t>
        </is>
      </c>
      <c r="F793" t="inlineStr">
        <is>
          <t>11-06-2024</t>
        </is>
      </c>
      <c r="G793" t="n">
        <v>4116</v>
      </c>
      <c r="I793">
        <f>G793</f>
        <v/>
      </c>
      <c r="K793">
        <f>I793-G793</f>
        <v/>
      </c>
      <c r="M793" t="inlineStr">
        <is>
          <t>INV20240634656</t>
        </is>
      </c>
      <c r="N793" t="inlineStr"/>
      <c r="O793">
        <f>M793=N793</f>
        <v/>
      </c>
      <c r="P793">
        <f>AND(MONTH(F793)=MONTH(S793), YEAR(F793)=YEAR(S793))</f>
        <v/>
      </c>
      <c r="Q793">
        <f>"L001-902303751"=U793</f>
        <v/>
      </c>
      <c r="R793">
        <f>G793-W793</f>
        <v/>
      </c>
      <c r="S793" s="36" t="n">
        <v>45390</v>
      </c>
      <c r="T793" t="inlineStr"/>
      <c r="U793" t="inlineStr">
        <is>
          <t>K005-100059945</t>
        </is>
      </c>
      <c r="V793" t="inlineStr">
        <is>
          <t>អ៊ែតវ៉ានស៍ គ្លរី ឡូជីស្ទីក (ខេមបូឌា) (អេ ជី អិល)</t>
        </is>
      </c>
      <c r="W793" t="n">
        <v>0</v>
      </c>
      <c r="X793" t="n">
        <v>0</v>
      </c>
    </row>
    <row r="794">
      <c r="A794" t="n">
        <v>793</v>
      </c>
      <c r="B794" t="inlineStr">
        <is>
          <t>Lift-Off and Gate Fee Charge 40" Full</t>
        </is>
      </c>
      <c r="C794" t="inlineStr">
        <is>
          <t>កំពង់ផែស្វយ័តភ្នំពេញ "ក.ស.ភ"</t>
        </is>
      </c>
      <c r="D794" t="inlineStr">
        <is>
          <t>L001-100044999</t>
        </is>
      </c>
      <c r="E794" t="inlineStr">
        <is>
          <t>INV20240636462</t>
        </is>
      </c>
      <c r="F794" t="inlineStr">
        <is>
          <t>19-06-2024</t>
        </is>
      </c>
      <c r="G794" t="n">
        <v>28840</v>
      </c>
      <c r="I794">
        <f>G794</f>
        <v/>
      </c>
      <c r="K794">
        <f>I794-G794</f>
        <v/>
      </c>
      <c r="M794" t="inlineStr">
        <is>
          <t>INV20240636462</t>
        </is>
      </c>
      <c r="N794" t="inlineStr">
        <is>
          <t>12567500</t>
        </is>
      </c>
      <c r="O794">
        <f>M794=N794</f>
        <v/>
      </c>
      <c r="P794">
        <f>AND(MONTH(F794)=MONTH(S794), YEAR(F794)=YEAR(S794))</f>
        <v/>
      </c>
      <c r="Q794">
        <f>"L001-902303751"=U794</f>
        <v/>
      </c>
      <c r="R794">
        <f>G794-W794</f>
        <v/>
      </c>
      <c r="S794" s="36" t="n">
        <v>45391</v>
      </c>
      <c r="T794" t="n">
        <v>125675</v>
      </c>
      <c r="U794" t="inlineStr">
        <is>
          <t>L001-100045340</t>
        </is>
      </c>
      <c r="V794" t="inlineStr">
        <is>
          <t xml:space="preserve">ស៊ីវ៉ា អ៊ែរ អ៊ែន អូសៀន (ខេមបូឌា) ឯ.ក </t>
        </is>
      </c>
      <c r="W794" t="n">
        <v>125675</v>
      </c>
      <c r="X794" t="n">
        <v>0</v>
      </c>
    </row>
    <row r="795">
      <c r="A795" t="n">
        <v>794</v>
      </c>
      <c r="B795" t="inlineStr">
        <is>
          <t>Weigh Container</t>
        </is>
      </c>
      <c r="C795" t="inlineStr">
        <is>
          <t>កំពង់ផែស្វយ័តភ្នំពេញ "ក.ស.ភ"</t>
        </is>
      </c>
      <c r="D795" t="inlineStr">
        <is>
          <t>L001-100044999</t>
        </is>
      </c>
      <c r="E795" t="inlineStr">
        <is>
          <t>INV20240636781</t>
        </is>
      </c>
      <c r="F795" t="inlineStr">
        <is>
          <t>19-06-2024</t>
        </is>
      </c>
      <c r="G795" t="n">
        <v>2060</v>
      </c>
      <c r="I795">
        <f>G795</f>
        <v/>
      </c>
      <c r="K795">
        <f>I795-G795</f>
        <v/>
      </c>
      <c r="M795" t="inlineStr">
        <is>
          <t>INV20240636781</t>
        </is>
      </c>
      <c r="N795" t="inlineStr">
        <is>
          <t>8277900</t>
        </is>
      </c>
      <c r="O795">
        <f>M795=N795</f>
        <v/>
      </c>
      <c r="P795">
        <f>AND(MONTH(F795)=MONTH(S795), YEAR(F795)=YEAR(S795))</f>
        <v/>
      </c>
      <c r="Q795">
        <f>"L001-902303751"=U795</f>
        <v/>
      </c>
      <c r="R795">
        <f>G795-W795</f>
        <v/>
      </c>
      <c r="S795" s="36" t="n">
        <v>45383</v>
      </c>
      <c r="T795" t="n">
        <v>82779</v>
      </c>
      <c r="U795" t="inlineStr">
        <is>
          <t>K009-902002784</t>
        </is>
      </c>
      <c r="V795" t="inlineStr">
        <is>
          <t>ខាហ្គោលីង អ៊ិនធើណេសិនណល ឯ.ក</t>
        </is>
      </c>
      <c r="W795" t="n">
        <v>82779</v>
      </c>
      <c r="X795" t="n">
        <v>0</v>
      </c>
    </row>
    <row r="796">
      <c r="A796" t="n">
        <v>795</v>
      </c>
      <c r="B796" t="inlineStr">
        <is>
          <t>Lift-Off and Gate Fee Charge 40" Full</t>
        </is>
      </c>
      <c r="C796" t="inlineStr">
        <is>
          <t>កំពង់ផែស្វយ័តភ្នំពេញ "ក.ស.ភ"</t>
        </is>
      </c>
      <c r="D796" t="inlineStr">
        <is>
          <t>L001-100044999</t>
        </is>
      </c>
      <c r="E796" t="inlineStr">
        <is>
          <t>INV20240638598</t>
        </is>
      </c>
      <c r="F796" t="inlineStr">
        <is>
          <t>25-06-2024</t>
        </is>
      </c>
      <c r="G796" t="n">
        <v>18929</v>
      </c>
      <c r="I796">
        <f>G796</f>
        <v/>
      </c>
      <c r="K796">
        <f>I796-G796</f>
        <v/>
      </c>
      <c r="M796" t="inlineStr">
        <is>
          <t>INV20240638598</t>
        </is>
      </c>
      <c r="N796" t="inlineStr">
        <is>
          <t>9731600</t>
        </is>
      </c>
      <c r="O796">
        <f>M796=N796</f>
        <v/>
      </c>
      <c r="P796">
        <f>AND(MONTH(F796)=MONTH(S796), YEAR(F796)=YEAR(S796))</f>
        <v/>
      </c>
      <c r="Q796">
        <f>"L001-902303751"=U796</f>
        <v/>
      </c>
      <c r="R796">
        <f>G796-W796</f>
        <v/>
      </c>
      <c r="S796" s="36" t="n">
        <v>45383</v>
      </c>
      <c r="T796" t="n">
        <v>97316</v>
      </c>
      <c r="U796" t="inlineStr">
        <is>
          <t>K003-901635943</t>
        </is>
      </c>
      <c r="V796" t="inlineStr">
        <is>
          <t>អ៊ីឃ្យូឡាញ វើលវ៉ាយដ៍ ឡូជីស្ទីក</t>
        </is>
      </c>
      <c r="W796" t="n">
        <v>97316</v>
      </c>
      <c r="X796" t="n">
        <v>0</v>
      </c>
    </row>
    <row r="797">
      <c r="A797" t="n">
        <v>796</v>
      </c>
      <c r="B797" t="inlineStr">
        <is>
          <t>Weighting Fee 40 Charge</t>
        </is>
      </c>
      <c r="C797" t="inlineStr">
        <is>
          <t>កំពង់ផែស្វយ័តភ្នំពេញ "ក.ស.ភ"</t>
        </is>
      </c>
      <c r="D797" t="inlineStr">
        <is>
          <t>L001-100044999</t>
        </is>
      </c>
      <c r="E797" t="inlineStr">
        <is>
          <t>INV20240638829</t>
        </is>
      </c>
      <c r="F797" t="inlineStr">
        <is>
          <t>25-06-2024</t>
        </is>
      </c>
      <c r="G797" t="n">
        <v>1235</v>
      </c>
      <c r="I797">
        <f>G797</f>
        <v/>
      </c>
      <c r="K797">
        <f>I797-G797</f>
        <v/>
      </c>
      <c r="M797" t="inlineStr">
        <is>
          <t>INV20240638829</t>
        </is>
      </c>
      <c r="N797" t="inlineStr"/>
      <c r="O797">
        <f>M797=N797</f>
        <v/>
      </c>
      <c r="P797">
        <f>AND(MONTH(F797)=MONTH(S797), YEAR(F797)=YEAR(S797))</f>
        <v/>
      </c>
      <c r="Q797">
        <f>"L001-902303751"=U797</f>
        <v/>
      </c>
      <c r="R797">
        <f>G797-W797</f>
        <v/>
      </c>
      <c r="S797" s="36" t="n">
        <v>45411</v>
      </c>
      <c r="T797" t="inlineStr"/>
      <c r="U797" t="inlineStr">
        <is>
          <t>L001-107032791</t>
        </is>
      </c>
      <c r="V797" t="inlineStr">
        <is>
          <t>នីបផន អិចប្រេស (ខេមបូឌា) ខូ អិលធីឌី</t>
        </is>
      </c>
      <c r="W797" t="n">
        <v>0</v>
      </c>
      <c r="X797" t="n">
        <v>0</v>
      </c>
    </row>
    <row r="798">
      <c r="A798" t="n">
        <v>797</v>
      </c>
      <c r="B798" t="inlineStr">
        <is>
          <t>Lift-Off</t>
        </is>
      </c>
      <c r="C798" t="inlineStr">
        <is>
          <t>កំពង់ផែស្វយ័តភ្នំពេញ "ក.ស.ភ"</t>
        </is>
      </c>
      <c r="D798" t="inlineStr">
        <is>
          <t>L001-100044999</t>
        </is>
      </c>
      <c r="E798" t="inlineStr">
        <is>
          <t>119707</t>
        </is>
      </c>
      <c r="F798" t="inlineStr">
        <is>
          <t>21-06-2024</t>
        </is>
      </c>
      <c r="G798" t="n">
        <v>21022</v>
      </c>
      <c r="I798">
        <f>G798</f>
        <v/>
      </c>
      <c r="K798">
        <f>I798-G798</f>
        <v/>
      </c>
      <c r="M798" t="inlineStr">
        <is>
          <t>119707</t>
        </is>
      </c>
      <c r="N798" t="inlineStr"/>
      <c r="O798">
        <f>M798=N798</f>
        <v/>
      </c>
      <c r="P798">
        <f>AND(MONTH(F798)=MONTH(S798), YEAR(F798)=YEAR(S798))</f>
        <v/>
      </c>
      <c r="Q798">
        <f>"L001-902303751"=U798</f>
        <v/>
      </c>
      <c r="R798">
        <f>G798-W798</f>
        <v/>
      </c>
      <c r="S798" s="36" t="n">
        <v>45404</v>
      </c>
      <c r="T798" t="inlineStr"/>
      <c r="U798" t="inlineStr">
        <is>
          <t>K009-901605081</t>
        </is>
      </c>
      <c r="V798" t="inlineStr">
        <is>
          <t>ទ្រូ ខមភែនៀន ឡូជីស្ទីក (ខេមបូឌា)</t>
        </is>
      </c>
      <c r="W798" t="n">
        <v>0</v>
      </c>
      <c r="X798" t="n">
        <v>0</v>
      </c>
    </row>
    <row r="799">
      <c r="A799" t="n">
        <v>798</v>
      </c>
      <c r="B799" t="inlineStr">
        <is>
          <t>Shipment Expense</t>
        </is>
      </c>
      <c r="C799" t="inlineStr">
        <is>
          <t>អ៊ិចស្ពែឌីធ័រ ខេមបូឌា អិលធីឌី</t>
        </is>
      </c>
      <c r="D799" t="inlineStr">
        <is>
          <t>L001-100045898</t>
        </is>
      </c>
      <c r="E799" t="inlineStr">
        <is>
          <t>TI-0275678</t>
        </is>
      </c>
      <c r="F799" t="inlineStr">
        <is>
          <t>03-06-2024</t>
        </is>
      </c>
      <c r="G799" t="n">
        <v>32792</v>
      </c>
      <c r="I799">
        <f>G799</f>
        <v/>
      </c>
      <c r="K799">
        <f>I799-G799</f>
        <v/>
      </c>
      <c r="M799" t="inlineStr">
        <is>
          <t>TI0275678</t>
        </is>
      </c>
      <c r="N799" t="inlineStr">
        <is>
          <t>11121000</t>
        </is>
      </c>
      <c r="O799">
        <f>M799=N799</f>
        <v/>
      </c>
      <c r="P799">
        <f>AND(MONTH(F799)=MONTH(S799), YEAR(F799)=YEAR(S799))</f>
        <v/>
      </c>
      <c r="Q799">
        <f>"L001-902303751"=U799</f>
        <v/>
      </c>
      <c r="R799">
        <f>G799-W799</f>
        <v/>
      </c>
      <c r="S799" s="36" t="n">
        <v>45399</v>
      </c>
      <c r="T799" t="n">
        <v>111210</v>
      </c>
      <c r="U799" t="inlineStr">
        <is>
          <t>L001-100045995</t>
        </is>
      </c>
      <c r="V799" t="inlineStr">
        <is>
          <t>ឌីអេចអិល ឡូជីស្ទីក (ខេមបូឌា)</t>
        </is>
      </c>
      <c r="W799" t="n">
        <v>111210</v>
      </c>
      <c r="X799" t="n">
        <v>0</v>
      </c>
    </row>
    <row r="800">
      <c r="A800" t="n">
        <v>799</v>
      </c>
      <c r="B800" t="inlineStr">
        <is>
          <t>AWB FEE, OM FORWARDING FEE AND H/C</t>
        </is>
      </c>
      <c r="C800" t="inlineStr">
        <is>
          <t>អ៊ិចស្ពែឌីធ័រ ខេមបូឌា អិលធីឌី</t>
        </is>
      </c>
      <c r="D800" t="inlineStr">
        <is>
          <t>L001-100045898</t>
        </is>
      </c>
      <c r="E800" t="inlineStr">
        <is>
          <t>TI-0278946</t>
        </is>
      </c>
      <c r="F800" t="inlineStr">
        <is>
          <t>02-07-2024</t>
        </is>
      </c>
      <c r="G800" t="n">
        <v>47300</v>
      </c>
      <c r="I800">
        <f>G800</f>
        <v/>
      </c>
      <c r="K800">
        <f>I800-G800</f>
        <v/>
      </c>
      <c r="M800" t="inlineStr">
        <is>
          <t>TI0278946</t>
        </is>
      </c>
      <c r="N800" t="inlineStr"/>
      <c r="O800">
        <f>M800=N800</f>
        <v/>
      </c>
      <c r="P800">
        <f>AND(MONTH(F800)=MONTH(S800), YEAR(F800)=YEAR(S800))</f>
        <v/>
      </c>
      <c r="Q800">
        <f>"L001-902303751"=U800</f>
        <v/>
      </c>
      <c r="R800">
        <f>G800-W800</f>
        <v/>
      </c>
      <c r="S800" s="36" t="n">
        <v>45390</v>
      </c>
      <c r="T800" t="inlineStr"/>
      <c r="U800" t="inlineStr">
        <is>
          <t>K009-902002784</t>
        </is>
      </c>
      <c r="V800" t="inlineStr">
        <is>
          <t>ខាហ្គោលីង អ៊ិនធើណេសិនណល ឯ.ក</t>
        </is>
      </c>
      <c r="W800" t="n">
        <v>0</v>
      </c>
      <c r="X800" t="n">
        <v>0</v>
      </c>
    </row>
    <row r="801">
      <c r="A801" t="n">
        <v>800</v>
      </c>
      <c r="B801" t="inlineStr">
        <is>
          <t>CFS HANDLING, CARRIER BL, DOCUMENT ASSEMBLY, TERMINAL HANDLING, HANDLING FEE, VGM WEIGHING FEE-CFS, FUEL SURCHARGE, TELEX RELEASE AND MANIFEST FEE</t>
        </is>
      </c>
      <c r="C801" t="inlineStr">
        <is>
          <t>អ៊ិចស្ពែឌីធ័រ ខេមបូឌា អិលធីឌី</t>
        </is>
      </c>
      <c r="D801" t="inlineStr">
        <is>
          <t>L001-100045898</t>
        </is>
      </c>
      <c r="E801" t="inlineStr">
        <is>
          <t>TI-0282364</t>
        </is>
      </c>
      <c r="F801" t="inlineStr">
        <is>
          <t>28-07-2024</t>
        </is>
      </c>
      <c r="G801" t="n">
        <v>130007</v>
      </c>
      <c r="I801">
        <f>G801</f>
        <v/>
      </c>
      <c r="K801">
        <f>I801-G801</f>
        <v/>
      </c>
      <c r="M801" t="inlineStr">
        <is>
          <t>TI0282364</t>
        </is>
      </c>
      <c r="N801" t="inlineStr">
        <is>
          <t>5455400</t>
        </is>
      </c>
      <c r="O801">
        <f>M801=N801</f>
        <v/>
      </c>
      <c r="P801">
        <f>AND(MONTH(F801)=MONTH(S801), YEAR(F801)=YEAR(S801))</f>
        <v/>
      </c>
      <c r="Q801">
        <f>"L001-902303751"=U801</f>
        <v/>
      </c>
      <c r="R801">
        <f>G801-W801</f>
        <v/>
      </c>
      <c r="S801" s="36" t="n">
        <v>45391</v>
      </c>
      <c r="T801" t="n">
        <v>54554</v>
      </c>
      <c r="U801" t="inlineStr">
        <is>
          <t>L001-100045340</t>
        </is>
      </c>
      <c r="V801" t="inlineStr">
        <is>
          <t xml:space="preserve">ស៊ីវ៉ា អ៊ែរ អ៊ែន អូសៀន (ខេមបូឌា) ឯ.ក </t>
        </is>
      </c>
      <c r="W801" t="n">
        <v>54554</v>
      </c>
      <c r="X801" t="n">
        <v>0</v>
      </c>
    </row>
    <row r="802">
      <c r="A802" t="n">
        <v>801</v>
      </c>
      <c r="B802" t="inlineStr">
        <is>
          <t>Plastic tent PVC Thin Film</t>
        </is>
      </c>
      <c r="C802" t="inlineStr">
        <is>
          <t>ដេកូស៍ អ៊ិនដាសស្ទ្រី ឯ.ក</t>
        </is>
      </c>
      <c r="D802" t="inlineStr">
        <is>
          <t>K007-901639102</t>
        </is>
      </c>
      <c r="E802" t="inlineStr">
        <is>
          <t>00070</t>
        </is>
      </c>
      <c r="F802" t="inlineStr">
        <is>
          <t>10-07-2024</t>
        </is>
      </c>
      <c r="G802" t="n">
        <v>90420</v>
      </c>
      <c r="I802">
        <f>G802</f>
        <v/>
      </c>
      <c r="K802">
        <f>I802-G802</f>
        <v/>
      </c>
      <c r="M802" t="inlineStr">
        <is>
          <t>00070</t>
        </is>
      </c>
      <c r="N802" t="inlineStr">
        <is>
          <t>11104500</t>
        </is>
      </c>
      <c r="O802">
        <f>M802=N802</f>
        <v/>
      </c>
      <c r="P802">
        <f>AND(MONTH(F802)=MONTH(S802), YEAR(F802)=YEAR(S802))</f>
        <v/>
      </c>
      <c r="Q802">
        <f>"L001-902303751"=U802</f>
        <v/>
      </c>
      <c r="R802">
        <f>G802-W802</f>
        <v/>
      </c>
      <c r="S802" s="36" t="n">
        <v>45383</v>
      </c>
      <c r="T802" t="n">
        <v>111045</v>
      </c>
      <c r="U802" t="inlineStr">
        <is>
          <t>L001-100074669</t>
        </is>
      </c>
      <c r="V802" t="inlineStr">
        <is>
          <t>ខេអិលអិន ហ្វ្រេត (ខេមបូឌា) ឯ.ក</t>
        </is>
      </c>
      <c r="W802" t="n">
        <v>111045</v>
      </c>
      <c r="X802" t="n">
        <v>0</v>
      </c>
    </row>
    <row r="803">
      <c r="A803" t="n">
        <v>802</v>
      </c>
      <c r="B803" t="inlineStr">
        <is>
          <t>Monthly Charge of Photo Copier Rental from 06/06/2024-06/07/2024</t>
        </is>
      </c>
      <c r="C803" t="inlineStr">
        <is>
          <t>វី.អាយ.អេស ខភៀ ឯ.ក</t>
        </is>
      </c>
      <c r="D803" t="inlineStr">
        <is>
          <t>K007-901705195</t>
        </is>
      </c>
      <c r="E803" t="inlineStr">
        <is>
          <t>RNT240726</t>
        </is>
      </c>
      <c r="F803" t="inlineStr">
        <is>
          <t>06-07-2024</t>
        </is>
      </c>
      <c r="G803" t="n">
        <v>28819</v>
      </c>
      <c r="I803">
        <f>G803</f>
        <v/>
      </c>
      <c r="K803">
        <f>I803-G803</f>
        <v/>
      </c>
      <c r="M803" t="inlineStr">
        <is>
          <t>RNT240726</t>
        </is>
      </c>
      <c r="N803" t="inlineStr">
        <is>
          <t>8284100</t>
        </is>
      </c>
      <c r="O803">
        <f>M803=N803</f>
        <v/>
      </c>
      <c r="P803">
        <f>AND(MONTH(F803)=MONTH(S803), YEAR(F803)=YEAR(S803))</f>
        <v/>
      </c>
      <c r="Q803">
        <f>"L001-902303751"=U803</f>
        <v/>
      </c>
      <c r="R803">
        <f>G803-W803</f>
        <v/>
      </c>
      <c r="S803" s="36" t="n">
        <v>45391</v>
      </c>
      <c r="T803" t="n">
        <v>82841</v>
      </c>
      <c r="U803" t="inlineStr">
        <is>
          <t>L001-107032791</t>
        </is>
      </c>
      <c r="V803" t="inlineStr">
        <is>
          <t>នីបផន អិចប្រេស (ខេមបូឌា) ខូ អិលធីឌី</t>
        </is>
      </c>
      <c r="W803" t="n">
        <v>82841</v>
      </c>
      <c r="X803" t="n">
        <v>0</v>
      </c>
    </row>
    <row r="804">
      <c r="A804" t="n">
        <v>803</v>
      </c>
      <c r="B804" t="inlineStr">
        <is>
          <t>PVC Thin Film</t>
        </is>
      </c>
      <c r="C804" t="inlineStr">
        <is>
          <t>ដេកូស៍ អ៊ិនដាសស្ទ្រី ឯ.ក</t>
        </is>
      </c>
      <c r="D804" t="inlineStr">
        <is>
          <t>K007-901639102</t>
        </is>
      </c>
      <c r="E804" t="inlineStr">
        <is>
          <t>00066</t>
        </is>
      </c>
      <c r="F804" t="inlineStr">
        <is>
          <t>08-07-2024</t>
        </is>
      </c>
      <c r="G804" t="n">
        <v>181236</v>
      </c>
      <c r="I804">
        <f>G804</f>
        <v/>
      </c>
      <c r="K804">
        <f>I804-G804</f>
        <v/>
      </c>
      <c r="M804" t="inlineStr">
        <is>
          <t>00066</t>
        </is>
      </c>
      <c r="N804" t="inlineStr">
        <is>
          <t>11363600</t>
        </is>
      </c>
      <c r="O804">
        <f>M804=N804</f>
        <v/>
      </c>
      <c r="P804">
        <f>AND(MONTH(F804)=MONTH(S804), YEAR(F804)=YEAR(S804))</f>
        <v/>
      </c>
      <c r="Q804">
        <f>"L001-902303751"=U804</f>
        <v/>
      </c>
      <c r="R804">
        <f>G804-W804</f>
        <v/>
      </c>
      <c r="S804" s="36" t="n">
        <v>45399</v>
      </c>
      <c r="T804" t="n">
        <v>113636</v>
      </c>
      <c r="U804" t="inlineStr">
        <is>
          <t>K003-901635943</t>
        </is>
      </c>
      <c r="V804" t="inlineStr">
        <is>
          <t>អ៊ីឃ្យូឡាញ វើលវ៉ាយដ៍ ឡូជីស្ទីក</t>
        </is>
      </c>
      <c r="W804" t="n">
        <v>113636</v>
      </c>
      <c r="X804" t="n">
        <v>0</v>
      </c>
    </row>
    <row r="805">
      <c r="A805" t="n">
        <v>804</v>
      </c>
      <c r="B805" t="inlineStr">
        <is>
          <t>Monthly Charge of Photo Copier Rental from 06/06/2024-06/07/2024</t>
        </is>
      </c>
      <c r="C805" t="inlineStr">
        <is>
          <t>វី.អាយ.អេស ខភៀ ឯ.ក</t>
        </is>
      </c>
      <c r="D805" t="inlineStr">
        <is>
          <t>K007-901705195</t>
        </is>
      </c>
      <c r="E805" t="inlineStr">
        <is>
          <t>RNT240725</t>
        </is>
      </c>
      <c r="F805" t="inlineStr">
        <is>
          <t>06-07-2024</t>
        </is>
      </c>
      <c r="G805" t="n">
        <v>57638</v>
      </c>
      <c r="I805">
        <f>G805</f>
        <v/>
      </c>
      <c r="K805">
        <f>I805-G805</f>
        <v/>
      </c>
      <c r="M805" t="inlineStr">
        <is>
          <t>RNT240725</t>
        </is>
      </c>
      <c r="N805" t="inlineStr"/>
      <c r="O805">
        <f>M805=N805</f>
        <v/>
      </c>
      <c r="P805">
        <f>AND(MONTH(F805)=MONTH(S805), YEAR(F805)=YEAR(S805))</f>
        <v/>
      </c>
      <c r="Q805">
        <f>"L001-902303751"=U805</f>
        <v/>
      </c>
      <c r="R805">
        <f>G805-W805</f>
        <v/>
      </c>
      <c r="S805" s="36" t="n">
        <v>45399</v>
      </c>
      <c r="T805" t="inlineStr"/>
      <c r="U805" t="inlineStr">
        <is>
          <t>L001-100045995</t>
        </is>
      </c>
      <c r="V805" t="inlineStr">
        <is>
          <t>ឌីអេចអិល ឡូជីស្ទីក (ខេមបូឌា)</t>
        </is>
      </c>
      <c r="W805" t="n">
        <v>0</v>
      </c>
      <c r="X805" t="n">
        <v>0</v>
      </c>
    </row>
    <row r="806">
      <c r="A806" t="n">
        <v>805</v>
      </c>
      <c r="B806" t="inlineStr">
        <is>
          <t>Monthly Charge of Photo Copier Rental from 06/06/2024-06/07/2024</t>
        </is>
      </c>
      <c r="C806" t="inlineStr">
        <is>
          <t>វី.អាយ.អេស ខភៀ ឯ.ក</t>
        </is>
      </c>
      <c r="D806" t="inlineStr">
        <is>
          <t>K007-901705195</t>
        </is>
      </c>
      <c r="E806" t="inlineStr">
        <is>
          <t>RNT240724</t>
        </is>
      </c>
      <c r="F806" t="inlineStr">
        <is>
          <t>06-07-2024</t>
        </is>
      </c>
      <c r="G806" t="n">
        <v>28819</v>
      </c>
      <c r="I806">
        <f>G806</f>
        <v/>
      </c>
      <c r="K806">
        <f>I806-G806</f>
        <v/>
      </c>
      <c r="M806" t="inlineStr">
        <is>
          <t>RNT240724</t>
        </is>
      </c>
      <c r="N806" t="inlineStr">
        <is>
          <t>9259100</t>
        </is>
      </c>
      <c r="O806">
        <f>M806=N806</f>
        <v/>
      </c>
      <c r="P806">
        <f>AND(MONTH(F806)=MONTH(S806), YEAR(F806)=YEAR(S806))</f>
        <v/>
      </c>
      <c r="Q806">
        <f>"L001-902303751"=U806</f>
        <v/>
      </c>
      <c r="R806">
        <f>G806-W806</f>
        <v/>
      </c>
      <c r="S806" s="36" t="n">
        <v>45406</v>
      </c>
      <c r="T806" t="n">
        <v>92591</v>
      </c>
      <c r="U806" t="inlineStr">
        <is>
          <t>K010-108005623</t>
        </is>
      </c>
      <c r="V806" t="inlineStr">
        <is>
          <t>យូ អេហ្វ អេស គ្លូប៊ល អិចប្រេស ឡូជីស្ទីក</t>
        </is>
      </c>
      <c r="W806" t="n">
        <v>92591</v>
      </c>
      <c r="X806" t="n">
        <v>0</v>
      </c>
    </row>
    <row r="807">
      <c r="A807" t="n">
        <v>806</v>
      </c>
      <c r="B807" t="inlineStr">
        <is>
          <t>Monthly Charge of Photo Copier Rental from 06/06/2024-06/07/2024</t>
        </is>
      </c>
      <c r="C807" t="inlineStr">
        <is>
          <t>វី.អាយ.អេស ខភៀ ឯ.ក</t>
        </is>
      </c>
      <c r="D807" t="inlineStr">
        <is>
          <t>K007-901705195</t>
        </is>
      </c>
      <c r="E807" t="inlineStr">
        <is>
          <t>RNT240723</t>
        </is>
      </c>
      <c r="F807" t="inlineStr">
        <is>
          <t>06-07-2024</t>
        </is>
      </c>
      <c r="G807" t="n">
        <v>26761</v>
      </c>
      <c r="I807">
        <f>G807</f>
        <v/>
      </c>
      <c r="K807">
        <f>I807-G807</f>
        <v/>
      </c>
      <c r="M807" t="inlineStr">
        <is>
          <t>RNT240723</t>
        </is>
      </c>
      <c r="N807" t="inlineStr">
        <is>
          <t>8282000</t>
        </is>
      </c>
      <c r="O807">
        <f>M807=N807</f>
        <v/>
      </c>
      <c r="P807">
        <f>AND(MONTH(F807)=MONTH(S807), YEAR(F807)=YEAR(S807))</f>
        <v/>
      </c>
      <c r="Q807">
        <f>"L001-902303751"=U807</f>
        <v/>
      </c>
      <c r="R807">
        <f>G807-W807</f>
        <v/>
      </c>
      <c r="S807" s="36" t="n">
        <v>45386</v>
      </c>
      <c r="T807" t="n">
        <v>82820</v>
      </c>
      <c r="U807" t="inlineStr">
        <is>
          <t>K003-901635943</t>
        </is>
      </c>
      <c r="V807" t="inlineStr">
        <is>
          <t>អ៊ីឃ្យូឡាញ វើលវ៉ាយដ៍ ឡូជីស្ទីក</t>
        </is>
      </c>
      <c r="W807" t="n">
        <v>82820</v>
      </c>
      <c r="X807" t="n">
        <v>0</v>
      </c>
    </row>
    <row r="808">
      <c r="A808" t="n">
        <v>807</v>
      </c>
      <c r="B808" t="inlineStr">
        <is>
          <t>Monthly Charge of Photo Copier Rental from 06/06/2024-06/07/2024</t>
        </is>
      </c>
      <c r="C808" t="inlineStr">
        <is>
          <t>វី.អាយ.អេស ខភៀ ឯ.ក</t>
        </is>
      </c>
      <c r="D808" t="inlineStr">
        <is>
          <t>K007-901705195</t>
        </is>
      </c>
      <c r="E808" t="inlineStr">
        <is>
          <t>RNT240722</t>
        </is>
      </c>
      <c r="F808" t="inlineStr">
        <is>
          <t>06-07-2024</t>
        </is>
      </c>
      <c r="G808" t="n">
        <v>57638</v>
      </c>
      <c r="I808">
        <f>G808</f>
        <v/>
      </c>
      <c r="K808">
        <f>I808-G808</f>
        <v/>
      </c>
      <c r="M808" t="inlineStr">
        <is>
          <t>RNT240722</t>
        </is>
      </c>
      <c r="N808" t="inlineStr">
        <is>
          <t>10358100</t>
        </is>
      </c>
      <c r="O808">
        <f>M808=N808</f>
        <v/>
      </c>
      <c r="P808">
        <f>AND(MONTH(F808)=MONTH(S808), YEAR(F808)=YEAR(S808))</f>
        <v/>
      </c>
      <c r="Q808">
        <f>"L001-902303751"=U808</f>
        <v/>
      </c>
      <c r="R808">
        <f>G808-W808</f>
        <v/>
      </c>
      <c r="S808" s="36" t="n">
        <v>45411</v>
      </c>
      <c r="T808" t="n">
        <v>103581</v>
      </c>
      <c r="U808" t="inlineStr">
        <is>
          <t>K003-901635943</t>
        </is>
      </c>
      <c r="V808" t="inlineStr">
        <is>
          <t>អ៊ីឃ្យូឡាញ វើលវ៉ាយដ៍ ឡូជីស្ទីក</t>
        </is>
      </c>
      <c r="W808" t="n">
        <v>103581</v>
      </c>
      <c r="X808" t="n">
        <v>0</v>
      </c>
    </row>
    <row r="809">
      <c r="A809" t="n">
        <v>808</v>
      </c>
      <c r="B809" t="inlineStr">
        <is>
          <t>Motor</t>
        </is>
      </c>
      <c r="C809" t="inlineStr">
        <is>
          <t>ហ៊ីង អាង ស៊ូ ម៉ាស៊ីន</t>
        </is>
      </c>
      <c r="D809" t="inlineStr">
        <is>
          <t>K010-108009556</t>
        </is>
      </c>
      <c r="E809" t="inlineStr">
        <is>
          <t>XA20240037</t>
        </is>
      </c>
      <c r="F809" t="inlineStr">
        <is>
          <t>09-07-2024</t>
        </is>
      </c>
      <c r="G809" t="n">
        <v>460992</v>
      </c>
      <c r="I809">
        <f>G809</f>
        <v/>
      </c>
      <c r="K809">
        <f>I809-G809</f>
        <v/>
      </c>
      <c r="M809" t="inlineStr">
        <is>
          <t>XA20240037</t>
        </is>
      </c>
      <c r="N809" t="inlineStr">
        <is>
          <t>11414200</t>
        </is>
      </c>
      <c r="O809">
        <f>M809=N809</f>
        <v/>
      </c>
      <c r="P809">
        <f>AND(MONTH(F809)=MONTH(S809), YEAR(F809)=YEAR(S809))</f>
        <v/>
      </c>
      <c r="Q809">
        <f>"L001-902303751"=U809</f>
        <v/>
      </c>
      <c r="R809">
        <f>G809-W809</f>
        <v/>
      </c>
      <c r="S809" s="36" t="n">
        <v>45411</v>
      </c>
      <c r="T809" t="n">
        <v>114142</v>
      </c>
      <c r="U809" t="inlineStr">
        <is>
          <t>K005-901805913</t>
        </is>
      </c>
      <c r="V809" t="inlineStr">
        <is>
          <t>ស្តារ ខង់ខដ (ខេមបូឌា) ឯ.ក</t>
        </is>
      </c>
      <c r="W809" t="n">
        <v>114142</v>
      </c>
      <c r="X809" t="n">
        <v>0</v>
      </c>
    </row>
    <row r="810">
      <c r="A810" t="n">
        <v>809</v>
      </c>
      <c r="B810" t="inlineStr">
        <is>
          <t>Delivery Bill</t>
        </is>
      </c>
      <c r="C810" t="inlineStr">
        <is>
          <t>អ៊ិន3ឌី (ខេមបូឌា) ឯ.ក</t>
        </is>
      </c>
      <c r="D810" t="inlineStr">
        <is>
          <t>K010-902103600</t>
        </is>
      </c>
      <c r="E810" t="inlineStr">
        <is>
          <t>N3D/24-000058</t>
        </is>
      </c>
      <c r="F810" t="inlineStr">
        <is>
          <t>04-07-2024</t>
        </is>
      </c>
      <c r="G810" t="n">
        <v>70006</v>
      </c>
      <c r="I810">
        <f>G810</f>
        <v/>
      </c>
      <c r="K810">
        <f>I810-G810</f>
        <v/>
      </c>
      <c r="M810" t="inlineStr">
        <is>
          <t>N3D24000058</t>
        </is>
      </c>
      <c r="N810" t="inlineStr"/>
      <c r="O810">
        <f>M810=N810</f>
        <v/>
      </c>
      <c r="P810">
        <f>AND(MONTH(F810)=MONTH(S810), YEAR(F810)=YEAR(S810))</f>
        <v/>
      </c>
      <c r="Q810">
        <f>"L001-902303751"=U810</f>
        <v/>
      </c>
      <c r="R810">
        <f>G810-W810</f>
        <v/>
      </c>
      <c r="S810" s="36" t="n">
        <v>45404</v>
      </c>
      <c r="T810" t="inlineStr"/>
      <c r="U810" t="inlineStr">
        <is>
          <t>L001-100045340</t>
        </is>
      </c>
      <c r="V810" t="inlineStr">
        <is>
          <t xml:space="preserve">ស៊ីវ៉ា អ៊ែរ អ៊ែន អូសៀន (ខេមបូឌា) ឯ.ក </t>
        </is>
      </c>
      <c r="W810" t="n">
        <v>0</v>
      </c>
      <c r="X810" t="n">
        <v>0</v>
      </c>
    </row>
    <row r="811">
      <c r="A811" t="n">
        <v>810</v>
      </c>
      <c r="B811" t="inlineStr">
        <is>
          <t>CFS HANDLING, CARRIER BL, DOCUMENT ASSEMBLY, TERMINAL HANDLING, HANDLING FEE, VGM WEIGHING FEE-CFS, FUEL SURCHARGE AND MANIFEST FEE</t>
        </is>
      </c>
      <c r="C811" t="inlineStr">
        <is>
          <t>អ៊ិចស្ពែឌីធ័រ ខេមបូឌា អិលធីឌី</t>
        </is>
      </c>
      <c r="D811" t="inlineStr">
        <is>
          <t>L001-100045898</t>
        </is>
      </c>
      <c r="E811" t="inlineStr">
        <is>
          <t>TI-0282367</t>
        </is>
      </c>
      <c r="F811" t="inlineStr">
        <is>
          <t>28-07-2024</t>
        </is>
      </c>
      <c r="G811" t="n">
        <v>176229</v>
      </c>
      <c r="I811">
        <f>G811</f>
        <v/>
      </c>
      <c r="K811">
        <f>I811-G811</f>
        <v/>
      </c>
      <c r="M811" t="inlineStr">
        <is>
          <t>TI0282367</t>
        </is>
      </c>
      <c r="N811" t="inlineStr"/>
      <c r="O811">
        <f>M811=N811</f>
        <v/>
      </c>
      <c r="P811">
        <f>AND(MONTH(F811)=MONTH(S811), YEAR(F811)=YEAR(S811))</f>
        <v/>
      </c>
      <c r="Q811">
        <f>"L001-902303751"=U811</f>
        <v/>
      </c>
      <c r="R811">
        <f>G811-W811</f>
        <v/>
      </c>
      <c r="S811" s="36" t="n">
        <v>45404</v>
      </c>
      <c r="T811" t="inlineStr"/>
      <c r="U811" t="inlineStr">
        <is>
          <t>L001-107032791</t>
        </is>
      </c>
      <c r="V811" t="inlineStr">
        <is>
          <t>នីបផន អិចប្រេស (ខេមបូឌា) ខូ អិលធីឌី</t>
        </is>
      </c>
      <c r="W811" t="n">
        <v>0</v>
      </c>
      <c r="X811" t="n">
        <v>0</v>
      </c>
    </row>
    <row r="812">
      <c r="A812" t="n">
        <v>811</v>
      </c>
      <c r="B812" t="inlineStr">
        <is>
          <t>Customs Clearance Fee and Trucking Fee</t>
        </is>
      </c>
      <c r="C812" t="inlineStr">
        <is>
          <t>ត្រាយអ៊ែងហ្គល ឡូជីស្ទីក (ខេមបូឌា) ឯ.ក</t>
        </is>
      </c>
      <c r="D812" t="inlineStr">
        <is>
          <t>K010-902101743</t>
        </is>
      </c>
      <c r="E812" t="inlineStr">
        <is>
          <t>TAG-24-00509</t>
        </is>
      </c>
      <c r="F812" t="inlineStr">
        <is>
          <t>30-07-2024</t>
        </is>
      </c>
      <c r="G812" t="n">
        <v>28749</v>
      </c>
      <c r="I812">
        <f>G812</f>
        <v/>
      </c>
      <c r="K812">
        <f>I812-G812</f>
        <v/>
      </c>
      <c r="M812" t="inlineStr">
        <is>
          <t>TAG2400509</t>
        </is>
      </c>
      <c r="N812" t="inlineStr"/>
      <c r="O812">
        <f>M812=N812</f>
        <v/>
      </c>
      <c r="P812">
        <f>AND(MONTH(F812)=MONTH(S812), YEAR(F812)=YEAR(S812))</f>
        <v/>
      </c>
      <c r="Q812">
        <f>"L001-902303751"=U812</f>
        <v/>
      </c>
      <c r="R812">
        <f>G812-W812</f>
        <v/>
      </c>
      <c r="S812" s="36" t="n">
        <v>45390</v>
      </c>
      <c r="T812" t="inlineStr"/>
      <c r="U812" t="inlineStr">
        <is>
          <t>K009-902002784</t>
        </is>
      </c>
      <c r="V812" t="inlineStr">
        <is>
          <t>ខាហ្គោលីង អ៊ិនធើណេសិនណល ឯ.ក</t>
        </is>
      </c>
      <c r="W812" t="n">
        <v>0</v>
      </c>
      <c r="X812" t="n">
        <v>0</v>
      </c>
    </row>
    <row r="813">
      <c r="A813" t="n">
        <v>812</v>
      </c>
      <c r="B813" t="inlineStr">
        <is>
          <t>EXPORT CUSTOM CLEARANCE PNH/TYO/01286</t>
        </is>
      </c>
      <c r="C813" t="inlineStr">
        <is>
          <t>អ៊ីឃ្យូឡាញ វើលវ៉ាយដ៍ ឡូជីស្ទីក</t>
        </is>
      </c>
      <c r="D813" t="inlineStr">
        <is>
          <t>K003-901635943</t>
        </is>
      </c>
      <c r="E813" t="inlineStr">
        <is>
          <t>PPTI24/003271</t>
        </is>
      </c>
      <c r="F813" t="inlineStr">
        <is>
          <t>03-07-2024</t>
        </is>
      </c>
      <c r="G813" t="n">
        <v>65888</v>
      </c>
      <c r="I813">
        <f>G813</f>
        <v/>
      </c>
      <c r="K813">
        <f>I813-G813</f>
        <v/>
      </c>
      <c r="M813" t="inlineStr">
        <is>
          <t>PPTI24003271</t>
        </is>
      </c>
      <c r="N813" t="inlineStr"/>
      <c r="O813">
        <f>M813=N813</f>
        <v/>
      </c>
      <c r="P813">
        <f>AND(MONTH(F813)=MONTH(S813), YEAR(F813)=YEAR(S813))</f>
        <v/>
      </c>
      <c r="Q813">
        <f>"L001-902303751"=U813</f>
        <v/>
      </c>
      <c r="R813">
        <f>G813-W813</f>
        <v/>
      </c>
      <c r="S813" s="36" t="n">
        <v>45390</v>
      </c>
      <c r="T813" t="inlineStr"/>
      <c r="U813" t="inlineStr">
        <is>
          <t>K003-901635943</t>
        </is>
      </c>
      <c r="V813" t="inlineStr">
        <is>
          <t>អ៊ីឃ្យូឡាញ វើលវ៉ាយដ៍ ឡូជីស្ទីក</t>
        </is>
      </c>
      <c r="W813" t="n">
        <v>0</v>
      </c>
      <c r="X813" t="n">
        <v>0</v>
      </c>
    </row>
    <row r="814">
      <c r="A814" t="n">
        <v>813</v>
      </c>
      <c r="B814" t="inlineStr">
        <is>
          <t>CFS HANDLING, CARRIER BL, DOCUMENT ASSEMBLY, TERMINAL HANDLING, HANDLING FEE, VGM PROCESSING FEE-CFS AND FUEL SURCHARGE</t>
        </is>
      </c>
      <c r="C814" t="inlineStr">
        <is>
          <t>អ៊ិចស្ពែឌីធ័រ ខេមបូឌា អិលធីឌី</t>
        </is>
      </c>
      <c r="D814" t="inlineStr">
        <is>
          <t>L001-100045898</t>
        </is>
      </c>
      <c r="E814" t="inlineStr">
        <is>
          <t>TI-0279632</t>
        </is>
      </c>
      <c r="F814" t="inlineStr">
        <is>
          <t>08-07-2024</t>
        </is>
      </c>
      <c r="G814" t="n">
        <v>275011</v>
      </c>
      <c r="I814">
        <f>G814</f>
        <v/>
      </c>
      <c r="K814">
        <f>I814-G814</f>
        <v/>
      </c>
      <c r="M814" t="inlineStr">
        <is>
          <t>TI0279632</t>
        </is>
      </c>
      <c r="N814" t="inlineStr">
        <is>
          <t>8277900</t>
        </is>
      </c>
      <c r="O814">
        <f>M814=N814</f>
        <v/>
      </c>
      <c r="P814">
        <f>AND(MONTH(F814)=MONTH(S814), YEAR(F814)=YEAR(S814))</f>
        <v/>
      </c>
      <c r="Q814">
        <f>"L001-902303751"=U814</f>
        <v/>
      </c>
      <c r="R814">
        <f>G814-W814</f>
        <v/>
      </c>
      <c r="S814" s="36" t="n">
        <v>45383</v>
      </c>
      <c r="T814" t="n">
        <v>82779</v>
      </c>
      <c r="U814" t="inlineStr">
        <is>
          <t>L001-100074669</t>
        </is>
      </c>
      <c r="V814" t="inlineStr">
        <is>
          <t>ខេអិលអិន ហ្វ្រេត (ខេមបូឌា) ឯ.ក</t>
        </is>
      </c>
      <c r="W814" t="n">
        <v>82779</v>
      </c>
      <c r="X814" t="n">
        <v>0</v>
      </c>
    </row>
    <row r="815">
      <c r="A815" t="n">
        <v>814</v>
      </c>
      <c r="B815" t="inlineStr">
        <is>
          <t>CFS HANDLING, CARRIER BL, DOCUMENT ASSEMBLY, TERMINAL HANDLING, HANDLING FEE, VGM WEIGHING FEE-CFS AND FUEL SURCHARGE</t>
        </is>
      </c>
      <c r="C815" t="inlineStr">
        <is>
          <t>អ៊ិចស្ពែឌីធ័រ ខេមបូឌា អិលធីឌី</t>
        </is>
      </c>
      <c r="D815" t="inlineStr">
        <is>
          <t>L001-100045898</t>
        </is>
      </c>
      <c r="E815" t="inlineStr">
        <is>
          <t>TI-0279628</t>
        </is>
      </c>
      <c r="F815" t="inlineStr">
        <is>
          <t>08-07-2024</t>
        </is>
      </c>
      <c r="G815" t="n">
        <v>106603</v>
      </c>
      <c r="I815">
        <f>G815</f>
        <v/>
      </c>
      <c r="K815">
        <f>I815-G815</f>
        <v/>
      </c>
      <c r="M815" t="inlineStr">
        <is>
          <t>TI0279628</t>
        </is>
      </c>
      <c r="N815" t="inlineStr"/>
      <c r="O815">
        <f>M815=N815</f>
        <v/>
      </c>
      <c r="P815">
        <f>AND(MONTH(F815)=MONTH(S815), YEAR(F815)=YEAR(S815))</f>
        <v/>
      </c>
      <c r="Q815">
        <f>"L001-902303751"=U815</f>
        <v/>
      </c>
      <c r="R815">
        <f>G815-W815</f>
        <v/>
      </c>
      <c r="S815" s="36" t="n">
        <v>45383</v>
      </c>
      <c r="T815" t="inlineStr"/>
      <c r="U815" t="inlineStr">
        <is>
          <t>K005-901805913</t>
        </is>
      </c>
      <c r="V815" t="inlineStr">
        <is>
          <t>ស្តារ ខង់ខដ (ខេមបូឌា) ឯ.ក</t>
        </is>
      </c>
      <c r="W815" t="n">
        <v>0</v>
      </c>
      <c r="X815" t="n">
        <v>0</v>
      </c>
    </row>
    <row r="816">
      <c r="A816" t="n">
        <v>815</v>
      </c>
      <c r="B816" t="inlineStr">
        <is>
          <t>CFS HANDLING, CARRIER BL, DOCUMENT ASSEMBLY, TERMINAL HANDLING, HANDLING FEE, VGM PROCESSING FEE</t>
        </is>
      </c>
      <c r="C816" t="inlineStr">
        <is>
          <t>អ៊ិចស្ពែឌីធ័រ ខេមបូឌា អិលធីឌី</t>
        </is>
      </c>
      <c r="D816" t="inlineStr">
        <is>
          <t>L001-100045898</t>
        </is>
      </c>
      <c r="E816" t="inlineStr">
        <is>
          <t>TI-0279584</t>
        </is>
      </c>
      <c r="F816" t="inlineStr">
        <is>
          <t>08-07-2024</t>
        </is>
      </c>
      <c r="G816" t="n">
        <v>106420</v>
      </c>
      <c r="I816">
        <f>G816</f>
        <v/>
      </c>
      <c r="K816">
        <f>I816-G816</f>
        <v/>
      </c>
      <c r="M816" t="inlineStr">
        <is>
          <t>TI0279584</t>
        </is>
      </c>
      <c r="N816" t="inlineStr"/>
      <c r="O816">
        <f>M816=N816</f>
        <v/>
      </c>
      <c r="P816">
        <f>AND(MONTH(F816)=MONTH(S816), YEAR(F816)=YEAR(S816))</f>
        <v/>
      </c>
      <c r="Q816">
        <f>"L001-902303751"=U816</f>
        <v/>
      </c>
      <c r="R816">
        <f>G816-W816</f>
        <v/>
      </c>
      <c r="S816" s="36" t="n">
        <v>45411</v>
      </c>
      <c r="T816" t="inlineStr"/>
      <c r="U816" t="inlineStr">
        <is>
          <t>L001-107032791</t>
        </is>
      </c>
      <c r="V816" t="inlineStr">
        <is>
          <t>នីបផន អិចប្រេស (ខេមបូឌា) ខូ អិលធីឌី</t>
        </is>
      </c>
      <c r="W816" t="n">
        <v>0</v>
      </c>
      <c r="X816" t="n">
        <v>0</v>
      </c>
    </row>
    <row r="817">
      <c r="A817" t="n">
        <v>816</v>
      </c>
      <c r="B817" t="inlineStr">
        <is>
          <t>AWB FEE, OM FORWARDING FEE AND H/C</t>
        </is>
      </c>
      <c r="C817" t="inlineStr">
        <is>
          <t>អ៊ិចស្ពែឌីធ័រ ខេមបូឌា អិលធីឌី</t>
        </is>
      </c>
      <c r="D817" t="inlineStr">
        <is>
          <t>L001-100045898</t>
        </is>
      </c>
      <c r="E817" t="inlineStr">
        <is>
          <t>TI-0279737</t>
        </is>
      </c>
      <c r="F817" t="inlineStr">
        <is>
          <t>08-07-2024</t>
        </is>
      </c>
      <c r="G817" t="n">
        <v>47369</v>
      </c>
      <c r="I817">
        <f>G817</f>
        <v/>
      </c>
      <c r="K817">
        <f>I817-G817</f>
        <v/>
      </c>
      <c r="M817" t="inlineStr">
        <is>
          <t>TI0279737</t>
        </is>
      </c>
      <c r="N817" t="inlineStr">
        <is>
          <t>56327000</t>
        </is>
      </c>
      <c r="O817">
        <f>M817=N817</f>
        <v/>
      </c>
      <c r="P817">
        <f>AND(MONTH(F817)=MONTH(S817), YEAR(F817)=YEAR(S817))</f>
        <v/>
      </c>
      <c r="Q817">
        <f>"L001-902303751"=U817</f>
        <v/>
      </c>
      <c r="R817">
        <f>G817-W817</f>
        <v/>
      </c>
      <c r="S817" s="36" t="n">
        <v>45404</v>
      </c>
      <c r="T817" t="n">
        <v>563270</v>
      </c>
      <c r="U817" t="inlineStr">
        <is>
          <t>K004-105012505</t>
        </is>
      </c>
      <c r="V817" t="inlineStr">
        <is>
          <t>អេស៊ាន ហ្វ្រេត (ខេមបូឌា)</t>
        </is>
      </c>
      <c r="W817" t="n">
        <v>563270</v>
      </c>
      <c r="X817" t="n">
        <v>0</v>
      </c>
    </row>
    <row r="818">
      <c r="A818" t="n">
        <v>817</v>
      </c>
      <c r="B818" t="inlineStr">
        <is>
          <t>OM FORWARDING FEE, H/C AND AWB FEE</t>
        </is>
      </c>
      <c r="C818" t="inlineStr">
        <is>
          <t>អ៊ិចស្ពែឌីធ័រ ខេមបូឌា អិលធីឌី</t>
        </is>
      </c>
      <c r="D818" t="inlineStr">
        <is>
          <t>L001-100045898</t>
        </is>
      </c>
      <c r="E818" t="inlineStr">
        <is>
          <t>TI-0279910</t>
        </is>
      </c>
      <c r="F818" t="inlineStr">
        <is>
          <t>09-07-2024</t>
        </is>
      </c>
      <c r="G818" t="n">
        <v>47334</v>
      </c>
      <c r="I818">
        <f>G818</f>
        <v/>
      </c>
      <c r="K818">
        <f>I818-G818</f>
        <v/>
      </c>
      <c r="M818" t="inlineStr">
        <is>
          <t>TI0279910</t>
        </is>
      </c>
      <c r="N818" t="inlineStr">
        <is>
          <t>8290200</t>
        </is>
      </c>
      <c r="O818">
        <f>M818=N818</f>
        <v/>
      </c>
      <c r="P818">
        <f>AND(MONTH(F818)=MONTH(S818), YEAR(F818)=YEAR(S818))</f>
        <v/>
      </c>
      <c r="Q818">
        <f>"L001-902303751"=U818</f>
        <v/>
      </c>
      <c r="R818">
        <f>G818-W818</f>
        <v/>
      </c>
      <c r="S818" s="36" t="n">
        <v>45399</v>
      </c>
      <c r="T818" t="n">
        <v>82902</v>
      </c>
      <c r="U818" t="inlineStr">
        <is>
          <t>L001-107032791</t>
        </is>
      </c>
      <c r="V818" t="inlineStr">
        <is>
          <t>នីបផន អិចប្រេស (ខេមបូឌា) ខូ អិលធីឌី</t>
        </is>
      </c>
      <c r="W818" t="n">
        <v>82902</v>
      </c>
      <c r="X818" t="n">
        <v>0</v>
      </c>
    </row>
    <row r="819">
      <c r="A819" t="n">
        <v>818</v>
      </c>
      <c r="B819" t="inlineStr">
        <is>
          <t>Documentation Origin, Handling Charges Origin, PLACI Fee and HAWB Transmission Fee</t>
        </is>
      </c>
      <c r="C819" t="inlineStr">
        <is>
          <t>ឌីប៊ី សេនឃើរ (ខេមបូឌា) លីមីធីត</t>
        </is>
      </c>
      <c r="D819" t="inlineStr">
        <is>
          <t>L001-107041723</t>
        </is>
      </c>
      <c r="E819" t="inlineStr">
        <is>
          <t>2400005532</t>
        </is>
      </c>
      <c r="F819" t="inlineStr">
        <is>
          <t>10-07-2024</t>
        </is>
      </c>
      <c r="G819" t="n">
        <v>50553</v>
      </c>
      <c r="I819">
        <f>G819</f>
        <v/>
      </c>
      <c r="K819">
        <f>I819-G819</f>
        <v/>
      </c>
      <c r="M819" t="inlineStr">
        <is>
          <t>2400005532</t>
        </is>
      </c>
      <c r="N819" t="inlineStr"/>
      <c r="O819">
        <f>M819=N819</f>
        <v/>
      </c>
      <c r="P819">
        <f>AND(MONTH(F819)=MONTH(S819), YEAR(F819)=YEAR(S819))</f>
        <v/>
      </c>
      <c r="Q819">
        <f>"L001-902303751"=U819</f>
        <v/>
      </c>
      <c r="R819">
        <f>G819-W819</f>
        <v/>
      </c>
      <c r="S819" s="36" t="n">
        <v>45391</v>
      </c>
      <c r="T819" t="inlineStr"/>
      <c r="U819" t="inlineStr">
        <is>
          <t>L001-107032791</t>
        </is>
      </c>
      <c r="V819" t="inlineStr">
        <is>
          <t>នីបផន អិចប្រេស (ខេមបូឌា) ខូ អិលធីឌី</t>
        </is>
      </c>
      <c r="W819" t="n">
        <v>0</v>
      </c>
      <c r="X819" t="n">
        <v>0</v>
      </c>
    </row>
    <row r="820">
      <c r="A820" t="n">
        <v>819</v>
      </c>
      <c r="B820" t="inlineStr">
        <is>
          <t>Documentation Origin, Late SI Fee, Handling Charges Origin, Entry Summery Declaration, Terminal Handling Charge Origin, Seal Surcharge and VGM Processing Fee</t>
        </is>
      </c>
      <c r="C820" t="inlineStr">
        <is>
          <t>ឌីប៊ី សេនឃើរ (ខេមបូឌា) លីមីធីត</t>
        </is>
      </c>
      <c r="D820" t="inlineStr">
        <is>
          <t>L001-107041723</t>
        </is>
      </c>
      <c r="E820" t="inlineStr">
        <is>
          <t>2400005307</t>
        </is>
      </c>
      <c r="F820" t="inlineStr">
        <is>
          <t>02-07-2024</t>
        </is>
      </c>
      <c r="G820" t="n">
        <v>199481</v>
      </c>
      <c r="I820">
        <f>G820</f>
        <v/>
      </c>
      <c r="K820">
        <f>I820-G820</f>
        <v/>
      </c>
      <c r="M820" t="inlineStr">
        <is>
          <t>2400005307</t>
        </is>
      </c>
      <c r="N820" t="inlineStr">
        <is>
          <t>17659200</t>
        </is>
      </c>
      <c r="O820">
        <f>M820=N820</f>
        <v/>
      </c>
      <c r="P820">
        <f>AND(MONTH(F820)=MONTH(S820), YEAR(F820)=YEAR(S820))</f>
        <v/>
      </c>
      <c r="Q820">
        <f>"L001-902303751"=U820</f>
        <v/>
      </c>
      <c r="R820">
        <f>G820-W820</f>
        <v/>
      </c>
      <c r="S820" s="36" t="n">
        <v>45391</v>
      </c>
      <c r="T820" t="n">
        <v>176592</v>
      </c>
      <c r="U820" t="inlineStr">
        <is>
          <t>L001-100045340</t>
        </is>
      </c>
      <c r="V820" t="inlineStr">
        <is>
          <t xml:space="preserve">ស៊ីវ៉ា អ៊ែរ អ៊ែន អូសៀន (ខេមបូឌា) ឯ.ក </t>
        </is>
      </c>
      <c r="W820" t="n">
        <v>176592</v>
      </c>
      <c r="X820" t="n">
        <v>0</v>
      </c>
    </row>
    <row r="821">
      <c r="A821" t="n">
        <v>820</v>
      </c>
      <c r="B821" t="inlineStr">
        <is>
          <t>Documentation Origin, Late SI Fee, Handling Charges Origin, Entry Summery Declaration, Terminal Handling Charge Origin, Seal Surcharge and VGM Processing Fee</t>
        </is>
      </c>
      <c r="C821" t="inlineStr">
        <is>
          <t>ឌីប៊ី សេនឃើរ (ខេមបូឌា) លីមីធីត</t>
        </is>
      </c>
      <c r="D821" t="inlineStr">
        <is>
          <t>L001-107041723</t>
        </is>
      </c>
      <c r="E821" t="inlineStr">
        <is>
          <t>2400005308</t>
        </is>
      </c>
      <c r="F821" t="inlineStr">
        <is>
          <t>02-07-2024</t>
        </is>
      </c>
      <c r="G821" t="n">
        <v>199481</v>
      </c>
      <c r="I821">
        <f>G821</f>
        <v/>
      </c>
      <c r="K821">
        <f>I821-G821</f>
        <v/>
      </c>
      <c r="M821" t="inlineStr">
        <is>
          <t>2400005308</t>
        </is>
      </c>
      <c r="N821" t="inlineStr"/>
      <c r="O821">
        <f>M821=N821</f>
        <v/>
      </c>
      <c r="P821">
        <f>AND(MONTH(F821)=MONTH(S821), YEAR(F821)=YEAR(S821))</f>
        <v/>
      </c>
      <c r="Q821">
        <f>"L001-902303751"=U821</f>
        <v/>
      </c>
      <c r="R821">
        <f>G821-W821</f>
        <v/>
      </c>
      <c r="S821" s="36" t="n">
        <v>45391</v>
      </c>
      <c r="T821" t="inlineStr"/>
      <c r="U821" t="inlineStr">
        <is>
          <t>K005-901501155</t>
        </is>
      </c>
      <c r="V821" t="inlineStr">
        <is>
          <t>ផេនដា គ្លូប៊ល ឡូជីស្ទីក (ខេមបូឌា)</t>
        </is>
      </c>
      <c r="W821" t="n">
        <v>0</v>
      </c>
      <c r="X821" t="n">
        <v>0</v>
      </c>
    </row>
    <row r="822">
      <c r="A822" t="n">
        <v>821</v>
      </c>
      <c r="B822" t="inlineStr">
        <is>
          <t>Export Administration Fee, Port Formality and Service Charge</t>
        </is>
      </c>
      <c r="C822" t="inlineStr">
        <is>
          <t>ឆាយ ដា ឡូយីស្ទីក</t>
        </is>
      </c>
      <c r="D822" t="inlineStr">
        <is>
          <t>L001-100063098</t>
        </is>
      </c>
      <c r="E822" t="inlineStr">
        <is>
          <t>2407009322</t>
        </is>
      </c>
      <c r="F822" t="inlineStr">
        <is>
          <t>02-07-2024</t>
        </is>
      </c>
      <c r="G822" t="n">
        <v>77736</v>
      </c>
      <c r="I822">
        <f>G822</f>
        <v/>
      </c>
      <c r="K822">
        <f>I822-G822</f>
        <v/>
      </c>
      <c r="M822" t="inlineStr">
        <is>
          <t>2407009322</t>
        </is>
      </c>
      <c r="N822" t="inlineStr"/>
      <c r="O822">
        <f>M822=N822</f>
        <v/>
      </c>
      <c r="P822">
        <f>AND(MONTH(F822)=MONTH(S822), YEAR(F822)=YEAR(S822))</f>
        <v/>
      </c>
      <c r="Q822">
        <f>"L001-902303751"=U822</f>
        <v/>
      </c>
      <c r="R822">
        <f>G822-W822</f>
        <v/>
      </c>
      <c r="S822" s="36" t="n">
        <v>45391</v>
      </c>
      <c r="T822" t="inlineStr"/>
      <c r="U822" t="inlineStr">
        <is>
          <t>K003-901635943</t>
        </is>
      </c>
      <c r="V822" t="inlineStr">
        <is>
          <t>អ៊ីឃ្យូឡាញ វើលវ៉ាយដ៍ ឡូជីស្ទីក</t>
        </is>
      </c>
      <c r="W822" t="n">
        <v>0</v>
      </c>
      <c r="X822" t="n">
        <v>0</v>
      </c>
    </row>
    <row r="823">
      <c r="A823" t="n">
        <v>822</v>
      </c>
      <c r="B823" t="inlineStr">
        <is>
          <t>Export Administration Fee, Port Formality and Service Charge</t>
        </is>
      </c>
      <c r="C823" t="inlineStr">
        <is>
          <t>ឆាយ ដា ឡូយីស្ទីក</t>
        </is>
      </c>
      <c r="D823" t="inlineStr">
        <is>
          <t>L001-100063098</t>
        </is>
      </c>
      <c r="E823" t="inlineStr">
        <is>
          <t>2407009613</t>
        </is>
      </c>
      <c r="F823" t="inlineStr">
        <is>
          <t>09-07-2024</t>
        </is>
      </c>
      <c r="G823" t="n">
        <v>77792</v>
      </c>
      <c r="I823">
        <f>G823</f>
        <v/>
      </c>
      <c r="K823">
        <f>I823-G823</f>
        <v/>
      </c>
      <c r="M823" t="inlineStr">
        <is>
          <t>2407009613</t>
        </is>
      </c>
      <c r="N823" t="inlineStr">
        <is>
          <t>11121000</t>
        </is>
      </c>
      <c r="O823">
        <f>M823=N823</f>
        <v/>
      </c>
      <c r="P823">
        <f>AND(MONTH(F823)=MONTH(S823), YEAR(F823)=YEAR(S823))</f>
        <v/>
      </c>
      <c r="Q823">
        <f>"L001-902303751"=U823</f>
        <v/>
      </c>
      <c r="R823">
        <f>G823-W823</f>
        <v/>
      </c>
      <c r="S823" s="36" t="n">
        <v>45399</v>
      </c>
      <c r="T823" t="n">
        <v>111210</v>
      </c>
      <c r="U823" t="inlineStr">
        <is>
          <t>L001-107032791</t>
        </is>
      </c>
      <c r="V823" t="inlineStr">
        <is>
          <t>នីបផន អិចប្រេស (ខេមបូឌា) ខូ អិលធីឌី</t>
        </is>
      </c>
      <c r="W823" t="n">
        <v>111210</v>
      </c>
      <c r="X823" t="n">
        <v>0</v>
      </c>
    </row>
    <row r="824">
      <c r="A824" t="n">
        <v>823</v>
      </c>
      <c r="B824" t="inlineStr">
        <is>
          <t>Export Administration Fee, Port Formality, Service Charge, Overtime Inspection, Late Gate Container and Late Gate Document</t>
        </is>
      </c>
      <c r="C824" t="inlineStr">
        <is>
          <t>ឆាយ ដា ឡូយីស្ទីក</t>
        </is>
      </c>
      <c r="D824" t="inlineStr">
        <is>
          <t>L001-100063098</t>
        </is>
      </c>
      <c r="E824" t="inlineStr">
        <is>
          <t>2407009630</t>
        </is>
      </c>
      <c r="F824" t="inlineStr">
        <is>
          <t>09-07-2024</t>
        </is>
      </c>
      <c r="G824" t="n">
        <v>182750</v>
      </c>
      <c r="I824">
        <f>G824</f>
        <v/>
      </c>
      <c r="K824">
        <f>I824-G824</f>
        <v/>
      </c>
      <c r="M824" t="inlineStr">
        <is>
          <t>2407009630</t>
        </is>
      </c>
      <c r="N824" t="inlineStr"/>
      <c r="O824">
        <f>M824=N824</f>
        <v/>
      </c>
      <c r="P824">
        <f>AND(MONTH(F824)=MONTH(S824), YEAR(F824)=YEAR(S824))</f>
        <v/>
      </c>
      <c r="Q824">
        <f>"L001-902303751"=U824</f>
        <v/>
      </c>
      <c r="R824">
        <f>G824-W824</f>
        <v/>
      </c>
      <c r="S824" s="36" t="n">
        <v>45411</v>
      </c>
      <c r="T824" t="inlineStr"/>
      <c r="U824" t="inlineStr">
        <is>
          <t>K003-901635943</t>
        </is>
      </c>
      <c r="V824" t="inlineStr">
        <is>
          <t>អ៊ីឃ្យូឡាញ វើលវ៉ាយដ៍ ឡូជីស្ទីក</t>
        </is>
      </c>
      <c r="W824" t="n">
        <v>0</v>
      </c>
      <c r="X824" t="n">
        <v>0</v>
      </c>
    </row>
    <row r="825">
      <c r="A825" t="n">
        <v>824</v>
      </c>
      <c r="B825" t="inlineStr">
        <is>
          <t>Export Customs Clearance</t>
        </is>
      </c>
      <c r="C825" t="inlineStr">
        <is>
          <t>អ៊ីឃ្យូឡាញ វើលវ៉ាយដ៍ ឡូជីស្ទីក</t>
        </is>
      </c>
      <c r="D825" t="inlineStr">
        <is>
          <t>K003-901635943</t>
        </is>
      </c>
      <c r="E825" t="inlineStr">
        <is>
          <t>PPTI24/003502</t>
        </is>
      </c>
      <c r="F825" t="inlineStr">
        <is>
          <t>09-07-2024</t>
        </is>
      </c>
      <c r="G825" t="n">
        <v>65856</v>
      </c>
      <c r="I825">
        <f>G825</f>
        <v/>
      </c>
      <c r="K825">
        <f>I825-G825</f>
        <v/>
      </c>
      <c r="M825" t="inlineStr">
        <is>
          <t>PPTI24003502</t>
        </is>
      </c>
      <c r="N825" t="inlineStr">
        <is>
          <t>232013800</t>
        </is>
      </c>
      <c r="O825">
        <f>M825=N825</f>
        <v/>
      </c>
      <c r="P825">
        <f>AND(MONTH(F825)=MONTH(S825), YEAR(F825)=YEAR(S825))</f>
        <v/>
      </c>
      <c r="Q825">
        <f>"L001-902303751"=U825</f>
        <v/>
      </c>
      <c r="R825">
        <f>G825-W825</f>
        <v/>
      </c>
      <c r="S825" s="36" t="n">
        <v>45404</v>
      </c>
      <c r="T825" t="n">
        <v>2320138</v>
      </c>
      <c r="U825" t="inlineStr">
        <is>
          <t>K004-105012505</t>
        </is>
      </c>
      <c r="V825" t="inlineStr">
        <is>
          <t>អេស៊ាន ហ្វ្រេត (ខេមបូឌា)</t>
        </is>
      </c>
      <c r="W825" t="n">
        <v>2320138</v>
      </c>
      <c r="X825" t="n">
        <v>0</v>
      </c>
    </row>
    <row r="826">
      <c r="A826" t="n">
        <v>825</v>
      </c>
      <c r="B826" t="inlineStr">
        <is>
          <t>Documentation Origin, Handling Charges Origin, PLACI Fee and HAWB Transmission Fee</t>
        </is>
      </c>
      <c r="C826" t="inlineStr">
        <is>
          <t>ឌីប៊ី សេនឃើរ (ខេមបូឌា) លីមីធីត</t>
        </is>
      </c>
      <c r="D826" t="inlineStr">
        <is>
          <t>L001-107041723</t>
        </is>
      </c>
      <c r="E826" t="inlineStr">
        <is>
          <t>2400005607</t>
        </is>
      </c>
      <c r="F826" t="inlineStr">
        <is>
          <t>13-07-2024</t>
        </is>
      </c>
      <c r="G826" t="n">
        <v>50504</v>
      </c>
      <c r="I826">
        <f>G826</f>
        <v/>
      </c>
      <c r="K826">
        <f>I826-G826</f>
        <v/>
      </c>
      <c r="M826" t="inlineStr">
        <is>
          <t>2400005607</t>
        </is>
      </c>
      <c r="N826" t="inlineStr"/>
      <c r="O826">
        <f>M826=N826</f>
        <v/>
      </c>
      <c r="P826">
        <f>AND(MONTH(F826)=MONTH(S826), YEAR(F826)=YEAR(S826))</f>
        <v/>
      </c>
      <c r="Q826">
        <f>"L001-902303751"=U826</f>
        <v/>
      </c>
      <c r="R826">
        <f>G826-W826</f>
        <v/>
      </c>
      <c r="S826" s="36" t="n">
        <v>45399</v>
      </c>
      <c r="T826" t="inlineStr"/>
      <c r="U826" t="inlineStr">
        <is>
          <t>K003-901635943</t>
        </is>
      </c>
      <c r="V826" t="inlineStr">
        <is>
          <t>អ៊ីឃ្យូឡាញ វើលវ៉ាយដ៍ ឡូជីស្ទីក</t>
        </is>
      </c>
      <c r="W826" t="n">
        <v>0</v>
      </c>
      <c r="X826" t="n">
        <v>0</v>
      </c>
    </row>
    <row r="827">
      <c r="A827" t="n">
        <v>826</v>
      </c>
      <c r="B827" t="inlineStr">
        <is>
          <t>Export Administration Fee, Port Formality and Service Charge</t>
        </is>
      </c>
      <c r="C827" t="inlineStr">
        <is>
          <t>ឆាយ ដា ឡូយីស្ទីក</t>
        </is>
      </c>
      <c r="D827" t="inlineStr">
        <is>
          <t>L001-100063098</t>
        </is>
      </c>
      <c r="E827" t="inlineStr">
        <is>
          <t>2407010027</t>
        </is>
      </c>
      <c r="F827" t="inlineStr">
        <is>
          <t>16-07-2024</t>
        </is>
      </c>
      <c r="G827" t="n">
        <v>77603</v>
      </c>
      <c r="I827">
        <f>G827</f>
        <v/>
      </c>
      <c r="K827">
        <f>I827-G827</f>
        <v/>
      </c>
      <c r="M827" t="inlineStr">
        <is>
          <t>2407010027</t>
        </is>
      </c>
      <c r="N827" t="inlineStr">
        <is>
          <t>11121000</t>
        </is>
      </c>
      <c r="O827">
        <f>M827=N827</f>
        <v/>
      </c>
      <c r="P827">
        <f>AND(MONTH(F827)=MONTH(S827), YEAR(F827)=YEAR(S827))</f>
        <v/>
      </c>
      <c r="Q827">
        <f>"L001-902303751"=U827</f>
        <v/>
      </c>
      <c r="R827">
        <f>G827-W827</f>
        <v/>
      </c>
      <c r="S827" s="36" t="n">
        <v>45399</v>
      </c>
      <c r="T827" t="n">
        <v>111210</v>
      </c>
      <c r="U827" t="inlineStr">
        <is>
          <t>L001-107032791</t>
        </is>
      </c>
      <c r="V827" t="inlineStr">
        <is>
          <t>នីបផន អិចប្រេស (ខេមបូឌា) ខូ អិលធីឌី</t>
        </is>
      </c>
      <c r="W827" t="n">
        <v>111210</v>
      </c>
      <c r="X827" t="n">
        <v>0</v>
      </c>
    </row>
    <row r="828">
      <c r="A828" t="n">
        <v>827</v>
      </c>
      <c r="B828" t="inlineStr">
        <is>
          <t>Export Administration Fee, Port Formality and Service Charge</t>
        </is>
      </c>
      <c r="C828" t="inlineStr">
        <is>
          <t>ឆាយ ដា ឡូយីស្ទីក</t>
        </is>
      </c>
      <c r="D828" t="inlineStr">
        <is>
          <t>L001-100063098</t>
        </is>
      </c>
      <c r="E828" t="inlineStr">
        <is>
          <t>2407010084</t>
        </is>
      </c>
      <c r="F828" t="inlineStr">
        <is>
          <t>16-07-2024</t>
        </is>
      </c>
      <c r="G828" t="n">
        <v>77603</v>
      </c>
      <c r="I828">
        <f>G828</f>
        <v/>
      </c>
      <c r="K828">
        <f>I828-G828</f>
        <v/>
      </c>
      <c r="M828" t="inlineStr">
        <is>
          <t>2407010084</t>
        </is>
      </c>
      <c r="N828" t="inlineStr">
        <is>
          <t>8331200</t>
        </is>
      </c>
      <c r="O828">
        <f>M828=N828</f>
        <v/>
      </c>
      <c r="P828">
        <f>AND(MONTH(F828)=MONTH(S828), YEAR(F828)=YEAR(S828))</f>
        <v/>
      </c>
      <c r="Q828">
        <f>"L001-902303751"=U828</f>
        <v/>
      </c>
      <c r="R828">
        <f>G828-W828</f>
        <v/>
      </c>
      <c r="S828" s="36" t="n">
        <v>45404</v>
      </c>
      <c r="T828" t="n">
        <v>83312</v>
      </c>
      <c r="U828" t="inlineStr">
        <is>
          <t>L001-107032791</t>
        </is>
      </c>
      <c r="V828" t="inlineStr">
        <is>
          <t>នីបផន អិចប្រេស (ខេមបូឌា) ខូ អិលធីឌី</t>
        </is>
      </c>
      <c r="W828" t="n">
        <v>83312</v>
      </c>
      <c r="X828" t="n">
        <v>0</v>
      </c>
    </row>
    <row r="829">
      <c r="A829" t="n">
        <v>828</v>
      </c>
      <c r="B829" t="inlineStr">
        <is>
          <t>Late SI Fee, Documentation Origin, Handling Charges Origin, Entry Summary Declaration, Terminal Handling Charge Origin, Seal Surcharge and VGM Processing Fee</t>
        </is>
      </c>
      <c r="C829" t="inlineStr">
        <is>
          <t>ឌីប៊ី សេនឃើរ (ខេមបូឌា) លីមីធីត</t>
        </is>
      </c>
      <c r="D829" t="inlineStr">
        <is>
          <t>L001-107041723</t>
        </is>
      </c>
      <c r="E829" t="inlineStr">
        <is>
          <t>2400005689</t>
        </is>
      </c>
      <c r="F829" t="inlineStr">
        <is>
          <t>17-07-2024</t>
        </is>
      </c>
      <c r="G829" t="n">
        <v>199190</v>
      </c>
      <c r="I829">
        <f>G829</f>
        <v/>
      </c>
      <c r="K829">
        <f>I829-G829</f>
        <v/>
      </c>
      <c r="M829" t="inlineStr">
        <is>
          <t>2400005689</t>
        </is>
      </c>
      <c r="N829" t="inlineStr">
        <is>
          <t>8526500</t>
        </is>
      </c>
      <c r="O829">
        <f>M829=N829</f>
        <v/>
      </c>
      <c r="P829">
        <f>AND(MONTH(F829)=MONTH(S829), YEAR(F829)=YEAR(S829))</f>
        <v/>
      </c>
      <c r="Q829">
        <f>"L001-902303751"=U829</f>
        <v/>
      </c>
      <c r="R829">
        <f>G829-W829</f>
        <v/>
      </c>
      <c r="S829" s="36" t="n">
        <v>45391</v>
      </c>
      <c r="T829" t="n">
        <v>85265</v>
      </c>
      <c r="U829" t="inlineStr">
        <is>
          <t>K005-901805913</t>
        </is>
      </c>
      <c r="V829" t="inlineStr">
        <is>
          <t>ស្តារ ខង់ខដ (ខេមបូឌា) ឯ.ក</t>
        </is>
      </c>
      <c r="W829" t="n">
        <v>85265</v>
      </c>
      <c r="X829" t="n">
        <v>0</v>
      </c>
    </row>
    <row r="830">
      <c r="A830" t="n">
        <v>829</v>
      </c>
      <c r="B830" t="inlineStr">
        <is>
          <t>Customs Clearance of LCL shipment, THC Charge of LCL, CFS Charge of LCL, Trucking Fee of LCL, Cargo Handling Fee and Bill Fee or Document Fee</t>
        </is>
      </c>
      <c r="C830" t="inlineStr">
        <is>
          <t>អេវើរស្តារ ស៊ីលែនឌែរ</t>
        </is>
      </c>
      <c r="D830" t="inlineStr">
        <is>
          <t>K002-100160492</t>
        </is>
      </c>
      <c r="E830" t="inlineStr">
        <is>
          <t>TI-2024-041</t>
        </is>
      </c>
      <c r="F830" t="inlineStr">
        <is>
          <t>08-07-2024</t>
        </is>
      </c>
      <c r="G830" t="n">
        <v>112037</v>
      </c>
      <c r="I830">
        <f>G830</f>
        <v/>
      </c>
      <c r="K830">
        <f>I830-G830</f>
        <v/>
      </c>
      <c r="M830" t="inlineStr">
        <is>
          <t>TI2024041</t>
        </is>
      </c>
      <c r="N830" t="inlineStr"/>
      <c r="O830">
        <f>M830=N830</f>
        <v/>
      </c>
      <c r="P830">
        <f>AND(MONTH(F830)=MONTH(S830), YEAR(F830)=YEAR(S830))</f>
        <v/>
      </c>
      <c r="Q830">
        <f>"L001-902303751"=U830</f>
        <v/>
      </c>
      <c r="R830">
        <f>G830-W830</f>
        <v/>
      </c>
      <c r="S830" s="36" t="n">
        <v>45383</v>
      </c>
      <c r="T830" t="inlineStr"/>
      <c r="U830" t="inlineStr">
        <is>
          <t>L001-100074669</t>
        </is>
      </c>
      <c r="V830" t="inlineStr">
        <is>
          <t>ខេអិលអិន ហ្វ្រេត (ខេមបូឌា) ឯ.ក</t>
        </is>
      </c>
      <c r="W830" t="n">
        <v>0</v>
      </c>
      <c r="X830" t="n">
        <v>0</v>
      </c>
    </row>
    <row r="831">
      <c r="A831" t="n">
        <v>830</v>
      </c>
      <c r="B831" t="inlineStr">
        <is>
          <t>Customs Clearance of LCL shipment, THC Charge of LCL, CFS Charge of LCL, Trucking Fee of LCL, Cargo Handling Fee and Bill Fee or Document Fee</t>
        </is>
      </c>
      <c r="C831" t="inlineStr">
        <is>
          <t>អេវើរស្តារ ស៊ីលែនឌែរ</t>
        </is>
      </c>
      <c r="D831" t="inlineStr">
        <is>
          <t>K002-100160492</t>
        </is>
      </c>
      <c r="E831" t="inlineStr">
        <is>
          <t>TI-2024-044</t>
        </is>
      </c>
      <c r="F831" t="inlineStr">
        <is>
          <t>15-07-2024</t>
        </is>
      </c>
      <c r="G831" t="n">
        <v>114483</v>
      </c>
      <c r="I831">
        <f>G831</f>
        <v/>
      </c>
      <c r="K831">
        <f>I831-G831</f>
        <v/>
      </c>
      <c r="M831" t="inlineStr">
        <is>
          <t>TI2024044</t>
        </is>
      </c>
      <c r="N831" t="inlineStr">
        <is>
          <t>11104500</t>
        </is>
      </c>
      <c r="O831">
        <f>M831=N831</f>
        <v/>
      </c>
      <c r="P831">
        <f>AND(MONTH(F831)=MONTH(S831), YEAR(F831)=YEAR(S831))</f>
        <v/>
      </c>
      <c r="Q831">
        <f>"L001-902303751"=U831</f>
        <v/>
      </c>
      <c r="R831">
        <f>G831-W831</f>
        <v/>
      </c>
      <c r="S831" s="36" t="n">
        <v>45383</v>
      </c>
      <c r="T831" t="n">
        <v>111045</v>
      </c>
      <c r="U831" t="inlineStr">
        <is>
          <t>L001-107032791</t>
        </is>
      </c>
      <c r="V831" t="inlineStr">
        <is>
          <t>នីបផន អិចប្រេស (ខេមបូឌា) ខូ អិលធីឌី</t>
        </is>
      </c>
      <c r="W831" t="n">
        <v>111045</v>
      </c>
      <c r="X831" t="n">
        <v>0</v>
      </c>
    </row>
    <row r="832">
      <c r="A832" t="n">
        <v>831</v>
      </c>
      <c r="B832" t="inlineStr">
        <is>
          <t>AWB FEE, OM FORWARDING FEE AND H/C</t>
        </is>
      </c>
      <c r="C832" t="inlineStr">
        <is>
          <t>អ៊ិចស្ពែឌីធ័រ ខេមបូឌា អិលធីឌី</t>
        </is>
      </c>
      <c r="D832" t="inlineStr">
        <is>
          <t>L001-100045898</t>
        </is>
      </c>
      <c r="E832" t="inlineStr">
        <is>
          <t>TI-0280933</t>
        </is>
      </c>
      <c r="F832" t="inlineStr">
        <is>
          <t>17-07-2024</t>
        </is>
      </c>
      <c r="G832" t="n">
        <v>47231</v>
      </c>
      <c r="I832">
        <f>G832</f>
        <v/>
      </c>
      <c r="K832">
        <f>I832-G832</f>
        <v/>
      </c>
      <c r="M832" t="inlineStr">
        <is>
          <t>TI0280933</t>
        </is>
      </c>
      <c r="N832" t="inlineStr"/>
      <c r="O832">
        <f>M832=N832</f>
        <v/>
      </c>
      <c r="P832">
        <f>AND(MONTH(F832)=MONTH(S832), YEAR(F832)=YEAR(S832))</f>
        <v/>
      </c>
      <c r="Q832">
        <f>"L001-902303751"=U832</f>
        <v/>
      </c>
      <c r="R832">
        <f>G832-W832</f>
        <v/>
      </c>
      <c r="S832" s="36" t="n">
        <v>45392</v>
      </c>
      <c r="T832" t="inlineStr"/>
      <c r="U832" t="inlineStr">
        <is>
          <t>K009-902302542</t>
        </is>
      </c>
      <c r="V832" t="inlineStr">
        <is>
          <t>ឡូជីម៉ាក អ៊ិនធើណេសិនណល ឯ.ក</t>
        </is>
      </c>
      <c r="W832" t="n">
        <v>0</v>
      </c>
      <c r="X832" t="n">
        <v>0</v>
      </c>
    </row>
    <row r="833">
      <c r="A833" t="n">
        <v>832</v>
      </c>
      <c r="B833" t="inlineStr">
        <is>
          <t>AWB FEE, OM FORWARDING FEE AND H/C</t>
        </is>
      </c>
      <c r="C833" t="inlineStr">
        <is>
          <t>អ៊ិចស្ពែឌីធ័រ ខេមបូឌា អិលធីឌី</t>
        </is>
      </c>
      <c r="D833" t="inlineStr">
        <is>
          <t>L001-100045898</t>
        </is>
      </c>
      <c r="E833" t="inlineStr">
        <is>
          <t>TI-0281771</t>
        </is>
      </c>
      <c r="F833" t="inlineStr">
        <is>
          <t>23-07-2024</t>
        </is>
      </c>
      <c r="G833" t="n">
        <v>47242</v>
      </c>
      <c r="I833">
        <f>G833</f>
        <v/>
      </c>
      <c r="K833">
        <f>I833-G833</f>
        <v/>
      </c>
      <c r="M833" t="inlineStr">
        <is>
          <t>TI0281771</t>
        </is>
      </c>
      <c r="N833" t="inlineStr">
        <is>
          <t>8290200</t>
        </is>
      </c>
      <c r="O833">
        <f>M833=N833</f>
        <v/>
      </c>
      <c r="P833">
        <f>AND(MONTH(F833)=MONTH(S833), YEAR(F833)=YEAR(S833))</f>
        <v/>
      </c>
      <c r="Q833">
        <f>"L001-902303751"=U833</f>
        <v/>
      </c>
      <c r="R833">
        <f>G833-W833</f>
        <v/>
      </c>
      <c r="S833" s="36" t="n">
        <v>45399</v>
      </c>
      <c r="T833" t="n">
        <v>82902</v>
      </c>
      <c r="U833" t="inlineStr">
        <is>
          <t>L001-107032791</t>
        </is>
      </c>
      <c r="V833" t="inlineStr">
        <is>
          <t>នីបផន អិចប្រេស (ខេមបូឌា) ខូ អិលធីឌី</t>
        </is>
      </c>
      <c r="W833" t="n">
        <v>82902</v>
      </c>
      <c r="X833" t="n">
        <v>0</v>
      </c>
    </row>
    <row r="834">
      <c r="A834" t="n">
        <v>833</v>
      </c>
      <c r="B834" t="inlineStr">
        <is>
          <t>AWB FEE, OM FORWARDING FEE AND H/C</t>
        </is>
      </c>
      <c r="C834" t="inlineStr">
        <is>
          <t>អ៊ិចស្ពែឌីធ័រ ខេមបូឌា អិលធីឌី</t>
        </is>
      </c>
      <c r="D834" t="inlineStr">
        <is>
          <t>L001-100045898</t>
        </is>
      </c>
      <c r="E834" t="inlineStr">
        <is>
          <t>TI-0281775</t>
        </is>
      </c>
      <c r="F834" t="inlineStr">
        <is>
          <t>23-07-2024</t>
        </is>
      </c>
      <c r="G834" t="n">
        <v>47242</v>
      </c>
      <c r="I834">
        <f>G834</f>
        <v/>
      </c>
      <c r="K834">
        <f>I834-G834</f>
        <v/>
      </c>
      <c r="M834" t="inlineStr">
        <is>
          <t>TI0281775</t>
        </is>
      </c>
      <c r="N834" t="inlineStr">
        <is>
          <t>17672300</t>
        </is>
      </c>
      <c r="O834">
        <f>M834=N834</f>
        <v/>
      </c>
      <c r="P834">
        <f>AND(MONTH(F834)=MONTH(S834), YEAR(F834)=YEAR(S834))</f>
        <v/>
      </c>
      <c r="Q834">
        <f>"L001-902303751"=U834</f>
        <v/>
      </c>
      <c r="R834">
        <f>G834-W834</f>
        <v/>
      </c>
      <c r="S834" s="36" t="n">
        <v>45399</v>
      </c>
      <c r="T834" t="n">
        <v>176723</v>
      </c>
      <c r="U834" t="inlineStr">
        <is>
          <t>K005-901805913</t>
        </is>
      </c>
      <c r="V834" t="inlineStr">
        <is>
          <t>ស្តារ ខង់ខដ (ខេមបូឌា) ឯ.ក</t>
        </is>
      </c>
      <c r="W834" t="n">
        <v>176723</v>
      </c>
      <c r="X834" t="n">
        <v>0</v>
      </c>
    </row>
    <row r="835">
      <c r="A835" t="n">
        <v>834</v>
      </c>
      <c r="B835" t="inlineStr">
        <is>
          <t>Export Customs Clearance</t>
        </is>
      </c>
      <c r="C835" t="inlineStr">
        <is>
          <t>អ៊ីឃ្យូឡាញ វើលវ៉ាយដ៍ ឡូជីស្ទីក</t>
        </is>
      </c>
      <c r="D835" t="inlineStr">
        <is>
          <t>K003-901635943</t>
        </is>
      </c>
      <c r="E835" t="inlineStr">
        <is>
          <t>PPTI24/003780</t>
        </is>
      </c>
      <c r="F835" t="inlineStr">
        <is>
          <t>23-07-2024</t>
        </is>
      </c>
      <c r="G835" t="n">
        <v>65728</v>
      </c>
      <c r="I835">
        <f>G835</f>
        <v/>
      </c>
      <c r="K835">
        <f>I835-G835</f>
        <v/>
      </c>
      <c r="M835" t="inlineStr">
        <is>
          <t>PPTI24003780</t>
        </is>
      </c>
      <c r="N835" t="inlineStr"/>
      <c r="O835">
        <f>M835=N835</f>
        <v/>
      </c>
      <c r="P835">
        <f>AND(MONTH(F835)=MONTH(S835), YEAR(F835)=YEAR(S835))</f>
        <v/>
      </c>
      <c r="Q835">
        <f>"L001-902303751"=U835</f>
        <v/>
      </c>
      <c r="R835">
        <f>G835-W835</f>
        <v/>
      </c>
      <c r="S835" s="36" t="n">
        <v>45399</v>
      </c>
      <c r="T835" t="inlineStr"/>
      <c r="U835" t="inlineStr">
        <is>
          <t>L001-107032791</t>
        </is>
      </c>
      <c r="V835" t="inlineStr">
        <is>
          <t>នីបផន អិចប្រេស (ខេមបូឌា) ខូ អិលធីឌី</t>
        </is>
      </c>
      <c r="W835" t="n">
        <v>0</v>
      </c>
      <c r="X835" t="n">
        <v>0</v>
      </c>
    </row>
    <row r="836">
      <c r="A836" t="n">
        <v>835</v>
      </c>
      <c r="B836" t="inlineStr">
        <is>
          <t>Export Custom Clearance and Overtime Charges</t>
        </is>
      </c>
      <c r="C836" t="inlineStr">
        <is>
          <t>អ៊ីឃ្យូឡាញ វើលវ៉ាយដ៍ ឡូជីស្ទីក</t>
        </is>
      </c>
      <c r="D836" t="inlineStr">
        <is>
          <t>K003-901635943</t>
        </is>
      </c>
      <c r="E836" t="inlineStr">
        <is>
          <t>PPTI24/003284</t>
        </is>
      </c>
      <c r="F836" t="inlineStr">
        <is>
          <t>03-07-2024</t>
        </is>
      </c>
      <c r="G836" t="n">
        <v>189428</v>
      </c>
      <c r="I836">
        <f>G836</f>
        <v/>
      </c>
      <c r="K836">
        <f>I836-G836</f>
        <v/>
      </c>
      <c r="M836" t="inlineStr">
        <is>
          <t>PPTI24003284</t>
        </is>
      </c>
      <c r="N836" t="inlineStr"/>
      <c r="O836">
        <f>M836=N836</f>
        <v/>
      </c>
      <c r="P836">
        <f>AND(MONTH(F836)=MONTH(S836), YEAR(F836)=YEAR(S836))</f>
        <v/>
      </c>
      <c r="Q836">
        <f>"L001-902303751"=U836</f>
        <v/>
      </c>
      <c r="R836">
        <f>G836-W836</f>
        <v/>
      </c>
      <c r="S836" s="36" t="n">
        <v>45404</v>
      </c>
      <c r="T836" t="inlineStr"/>
      <c r="U836" t="inlineStr">
        <is>
          <t>L001-100045340</t>
        </is>
      </c>
      <c r="V836" t="inlineStr">
        <is>
          <t xml:space="preserve">ស៊ីវ៉ា អ៊ែរ អ៊ែន អូសៀន (ខេមបូឌា) ឯ.ក </t>
        </is>
      </c>
      <c r="W836" t="n">
        <v>0</v>
      </c>
      <c r="X836" t="n">
        <v>0</v>
      </c>
    </row>
    <row r="837">
      <c r="A837" t="n">
        <v>836</v>
      </c>
      <c r="B837" t="inlineStr">
        <is>
          <t>Documentation Origin, Late SI Fee, Handling Charges Origin, Entry Suumary Declaration, Terminal Handling Charge Origin, Seal Surcharge and VGM Processing Fee</t>
        </is>
      </c>
      <c r="C837" t="inlineStr">
        <is>
          <t>ឌីប៊ី សេនឃើរ (ខេមបូឌា) លីមីធីត</t>
        </is>
      </c>
      <c r="D837" t="inlineStr">
        <is>
          <t>L001-107041723</t>
        </is>
      </c>
      <c r="E837" t="inlineStr">
        <is>
          <t>2400005432</t>
        </is>
      </c>
      <c r="F837" t="inlineStr">
        <is>
          <t>06-07-2024</t>
        </is>
      </c>
      <c r="G837" t="n">
        <v>471397</v>
      </c>
      <c r="I837">
        <f>G837</f>
        <v/>
      </c>
      <c r="K837">
        <f>I837-G837</f>
        <v/>
      </c>
      <c r="M837" t="inlineStr">
        <is>
          <t>2400005432</t>
        </is>
      </c>
      <c r="N837" t="inlineStr"/>
      <c r="O837">
        <f>M837=N837</f>
        <v/>
      </c>
      <c r="P837">
        <f>AND(MONTH(F837)=MONTH(S837), YEAR(F837)=YEAR(S837))</f>
        <v/>
      </c>
      <c r="Q837">
        <f>"L001-902303751"=U837</f>
        <v/>
      </c>
      <c r="R837">
        <f>G837-W837</f>
        <v/>
      </c>
      <c r="S837" s="36" t="n">
        <v>45435</v>
      </c>
      <c r="T837" t="inlineStr"/>
      <c r="U837" t="inlineStr">
        <is>
          <t>K005-100059945</t>
        </is>
      </c>
      <c r="V837" t="inlineStr">
        <is>
          <t>អ៊ែតវ៉ានស៍ គ្លរី ឡូជីស្ទីក (ខេមបូឌា) (អេ ជី អិល)</t>
        </is>
      </c>
      <c r="W837" t="n">
        <v>0</v>
      </c>
      <c r="X837" t="n">
        <v>0</v>
      </c>
    </row>
    <row r="838">
      <c r="A838" t="n">
        <v>837</v>
      </c>
      <c r="B838" t="inlineStr">
        <is>
          <t>Cargo Terminal</t>
        </is>
      </c>
      <c r="C838" t="inlineStr">
        <is>
          <t>សូស៊ីយេតេ កុងសេស្យូនែរ ដឺ ឡាអេរ៉ូព័រ</t>
        </is>
      </c>
      <c r="D838" t="inlineStr">
        <is>
          <t>L001-100047300</t>
        </is>
      </c>
      <c r="E838" t="inlineStr">
        <is>
          <t>2400-059789</t>
        </is>
      </c>
      <c r="F838" t="inlineStr">
        <is>
          <t>30-07-2024</t>
        </is>
      </c>
      <c r="G838" t="n">
        <v>3024</v>
      </c>
      <c r="I838">
        <f>G838</f>
        <v/>
      </c>
      <c r="K838">
        <f>I838-G838</f>
        <v/>
      </c>
      <c r="M838" t="inlineStr">
        <is>
          <t>2400059789</t>
        </is>
      </c>
      <c r="N838" t="inlineStr">
        <is>
          <t>8366100</t>
        </is>
      </c>
      <c r="O838">
        <f>M838=N838</f>
        <v/>
      </c>
      <c r="P838">
        <f>AND(MONTH(F838)=MONTH(S838), YEAR(F838)=YEAR(S838))</f>
        <v/>
      </c>
      <c r="Q838">
        <f>"L001-902303751"=U838</f>
        <v/>
      </c>
      <c r="R838">
        <f>G838-W838</f>
        <v/>
      </c>
      <c r="S838" s="36" t="n">
        <v>45439</v>
      </c>
      <c r="T838" t="n">
        <v>83661</v>
      </c>
      <c r="U838" t="inlineStr">
        <is>
          <t>L001-107032791</t>
        </is>
      </c>
      <c r="V838" t="inlineStr">
        <is>
          <t>នីបផន អិចប្រេស (ខេមបូឌា) ខូ អិលធីឌី</t>
        </is>
      </c>
      <c r="W838" t="n">
        <v>83661</v>
      </c>
      <c r="X838" t="n">
        <v>0</v>
      </c>
    </row>
    <row r="839">
      <c r="A839" t="n">
        <v>838</v>
      </c>
      <c r="B839" t="inlineStr">
        <is>
          <t>Document Fee and Agency Fee</t>
        </is>
      </c>
      <c r="C839" t="inlineStr">
        <is>
          <t>ត្រាយអ៊ែងហ្គល ឡូជីស្ទីក (ខេមបូឌា) ឯ.ក</t>
        </is>
      </c>
      <c r="D839" t="inlineStr">
        <is>
          <t>K010-902101743</t>
        </is>
      </c>
      <c r="E839" t="inlineStr">
        <is>
          <t>TAG-24-00500</t>
        </is>
      </c>
      <c r="F839" t="inlineStr">
        <is>
          <t>29-07-2024</t>
        </is>
      </c>
      <c r="G839" t="n">
        <v>32832</v>
      </c>
      <c r="I839">
        <f>G839</f>
        <v/>
      </c>
      <c r="K839">
        <f>I839-G839</f>
        <v/>
      </c>
      <c r="M839" t="inlineStr">
        <is>
          <t>TAG2400500</t>
        </is>
      </c>
      <c r="N839" t="inlineStr">
        <is>
          <t>8366100</t>
        </is>
      </c>
      <c r="O839">
        <f>M839=N839</f>
        <v/>
      </c>
      <c r="P839">
        <f>AND(MONTH(F839)=MONTH(S839), YEAR(F839)=YEAR(S839))</f>
        <v/>
      </c>
      <c r="Q839">
        <f>"L001-902303751"=U839</f>
        <v/>
      </c>
      <c r="R839">
        <f>G839-W839</f>
        <v/>
      </c>
      <c r="S839" s="36" t="n">
        <v>45439</v>
      </c>
      <c r="T839" t="n">
        <v>83661</v>
      </c>
      <c r="U839" t="inlineStr">
        <is>
          <t>L001-100011888</t>
        </is>
      </c>
      <c r="V839" t="inlineStr">
        <is>
          <t>ត្រេន ស្តារ ហ្រេ្វត</t>
        </is>
      </c>
      <c r="W839" t="n">
        <v>83661</v>
      </c>
      <c r="X839" t="n">
        <v>0</v>
      </c>
    </row>
    <row r="840">
      <c r="A840" t="n">
        <v>839</v>
      </c>
      <c r="B840" t="inlineStr">
        <is>
          <t>Customs Clearance Fee</t>
        </is>
      </c>
      <c r="C840" t="inlineStr">
        <is>
          <t>ត្រាយអ៊ែងហ្គល ឡូជីស្ទីក (ខេមបូឌា) ឯ.ក</t>
        </is>
      </c>
      <c r="D840" t="inlineStr">
        <is>
          <t>K010-902101743</t>
        </is>
      </c>
      <c r="E840" t="inlineStr">
        <is>
          <t>TAG-24-00508</t>
        </is>
      </c>
      <c r="F840" t="inlineStr">
        <is>
          <t>30-07-2024</t>
        </is>
      </c>
      <c r="G840" t="n">
        <v>8214</v>
      </c>
      <c r="I840">
        <f>G840</f>
        <v/>
      </c>
      <c r="K840">
        <f>I840-G840</f>
        <v/>
      </c>
      <c r="M840" t="inlineStr">
        <is>
          <t>TAG2400508</t>
        </is>
      </c>
      <c r="N840" t="inlineStr">
        <is>
          <t>8602500</t>
        </is>
      </c>
      <c r="O840">
        <f>M840=N840</f>
        <v/>
      </c>
      <c r="P840">
        <f>AND(MONTH(F840)=MONTH(S840), YEAR(F840)=YEAR(S840))</f>
        <v/>
      </c>
      <c r="Q840">
        <f>"L001-902303751"=U840</f>
        <v/>
      </c>
      <c r="R840">
        <f>G840-W840</f>
        <v/>
      </c>
      <c r="S840" s="36" t="n">
        <v>45432</v>
      </c>
      <c r="T840" t="n">
        <v>86025</v>
      </c>
      <c r="U840" t="inlineStr">
        <is>
          <t>L001-100045340</t>
        </is>
      </c>
      <c r="V840" t="inlineStr">
        <is>
          <t xml:space="preserve">ស៊ីវ៉ា អ៊ែរ អ៊ែន អូសៀន (ខេមបូឌា) ឯ.ក </t>
        </is>
      </c>
      <c r="W840" t="n">
        <v>86025</v>
      </c>
      <c r="X840" t="n">
        <v>0</v>
      </c>
    </row>
    <row r="841">
      <c r="A841" t="n">
        <v>840</v>
      </c>
      <c r="B841" t="inlineStr">
        <is>
          <t>Customs Clearance &amp; Trucking Fee and Extral Trucking Fee</t>
        </is>
      </c>
      <c r="C841" t="inlineStr">
        <is>
          <t>ត្រាយអ៊ែងហ្គល ឡូជីស្ទីក (ខេមបូឌា) ឯ.ក</t>
        </is>
      </c>
      <c r="D841" t="inlineStr">
        <is>
          <t>K010-902101743</t>
        </is>
      </c>
      <c r="E841" t="inlineStr">
        <is>
          <t>TAG-24-00510</t>
        </is>
      </c>
      <c r="F841" t="inlineStr">
        <is>
          <t>30-07-2024</t>
        </is>
      </c>
      <c r="G841" t="n">
        <v>213564</v>
      </c>
      <c r="I841">
        <f>G841</f>
        <v/>
      </c>
      <c r="K841">
        <f>I841-G841</f>
        <v/>
      </c>
      <c r="M841" t="inlineStr">
        <is>
          <t>TAG2400510</t>
        </is>
      </c>
      <c r="N841" t="inlineStr"/>
      <c r="O841">
        <f>M841=N841</f>
        <v/>
      </c>
      <c r="P841">
        <f>AND(MONTH(F841)=MONTH(S841), YEAR(F841)=YEAR(S841))</f>
        <v/>
      </c>
      <c r="Q841">
        <f>"L001-902303751"=U841</f>
        <v/>
      </c>
      <c r="R841">
        <f>G841-W841</f>
        <v/>
      </c>
      <c r="S841" s="36" t="n">
        <v>45432</v>
      </c>
      <c r="T841" t="inlineStr"/>
      <c r="U841" t="inlineStr">
        <is>
          <t>L001-107032791</t>
        </is>
      </c>
      <c r="V841" t="inlineStr">
        <is>
          <t>នីបផន អិចប្រេស (ខេមបូឌា) ខូ អិលធីឌី</t>
        </is>
      </c>
      <c r="W841" t="n">
        <v>0</v>
      </c>
      <c r="X841" t="n">
        <v>0</v>
      </c>
    </row>
    <row r="842">
      <c r="A842" t="n">
        <v>841</v>
      </c>
      <c r="B842" t="inlineStr">
        <is>
          <t>Documentation Origin, Handling Charges Origin, PLACI Fee and HAWB Transmission Fee</t>
        </is>
      </c>
      <c r="C842" t="inlineStr">
        <is>
          <t>ឌីប៊ី សេនឃើរ (ខេមបូឌា) លីមីធីត</t>
        </is>
      </c>
      <c r="D842" t="inlineStr">
        <is>
          <t>L001-107041723</t>
        </is>
      </c>
      <c r="E842" t="inlineStr">
        <is>
          <t>2400005281</t>
        </is>
      </c>
      <c r="F842" t="inlineStr">
        <is>
          <t>02-07-2024</t>
        </is>
      </c>
      <c r="G842" t="n">
        <v>50590</v>
      </c>
      <c r="I842">
        <f>G842</f>
        <v/>
      </c>
      <c r="K842">
        <f>I842-G842</f>
        <v/>
      </c>
      <c r="M842" t="inlineStr">
        <is>
          <t>2400005281</t>
        </is>
      </c>
      <c r="N842" t="inlineStr">
        <is>
          <t>8362000</t>
        </is>
      </c>
      <c r="O842">
        <f>M842=N842</f>
        <v/>
      </c>
      <c r="P842">
        <f>AND(MONTH(F842)=MONTH(S842), YEAR(F842)=YEAR(S842))</f>
        <v/>
      </c>
      <c r="Q842">
        <f>"L001-902303751"=U842</f>
        <v/>
      </c>
      <c r="R842">
        <f>G842-W842</f>
        <v/>
      </c>
      <c r="S842" s="36" t="n">
        <v>45427</v>
      </c>
      <c r="T842" t="n">
        <v>83620</v>
      </c>
      <c r="U842" t="inlineStr">
        <is>
          <t>L001-107032791</t>
        </is>
      </c>
      <c r="V842" t="inlineStr">
        <is>
          <t>នីបផន អិចប្រេស (ខេមបូឌា) ខូ អិលធីឌី</t>
        </is>
      </c>
      <c r="W842" t="n">
        <v>83620</v>
      </c>
      <c r="X842" t="n">
        <v>0</v>
      </c>
    </row>
    <row r="843">
      <c r="A843" t="n">
        <v>842</v>
      </c>
      <c r="B843" t="inlineStr">
        <is>
          <t>Send document</t>
        </is>
      </c>
      <c r="C843" t="inlineStr">
        <is>
          <t>ឌី អេច អិល អិចប្រេស (ខេមបូឌា)</t>
        </is>
      </c>
      <c r="D843" t="inlineStr">
        <is>
          <t>L001-100045197</t>
        </is>
      </c>
      <c r="E843" t="inlineStr">
        <is>
          <t>PNHIR00228480</t>
        </is>
      </c>
      <c r="F843" t="inlineStr">
        <is>
          <t>08-07-2024</t>
        </is>
      </c>
      <c r="G843" t="n">
        <v>18535</v>
      </c>
      <c r="I843">
        <f>G843</f>
        <v/>
      </c>
      <c r="K843">
        <f>I843-G843</f>
        <v/>
      </c>
      <c r="M843" t="inlineStr">
        <is>
          <t>PNHIR00228480</t>
        </is>
      </c>
      <c r="N843" t="inlineStr">
        <is>
          <t>8359900</t>
        </is>
      </c>
      <c r="O843">
        <f>M843=N843</f>
        <v/>
      </c>
      <c r="P843">
        <f>AND(MONTH(F843)=MONTH(S843), YEAR(F843)=YEAR(S843))</f>
        <v/>
      </c>
      <c r="Q843">
        <f>"L001-902303751"=U843</f>
        <v/>
      </c>
      <c r="R843">
        <f>G843-W843</f>
        <v/>
      </c>
      <c r="S843" s="36" t="n">
        <v>45429</v>
      </c>
      <c r="T843" t="n">
        <v>83599</v>
      </c>
      <c r="U843" t="inlineStr">
        <is>
          <t>L001-901500191</t>
        </is>
      </c>
      <c r="V843" t="inlineStr">
        <is>
          <t>អ.អិន.វ៉ាយ ត្រេនស្ព័ត</t>
        </is>
      </c>
      <c r="W843" t="n">
        <v>83599</v>
      </c>
      <c r="X843" t="n">
        <v>0</v>
      </c>
    </row>
    <row r="844">
      <c r="A844" t="n">
        <v>843</v>
      </c>
      <c r="B844" t="inlineStr">
        <is>
          <t>CFS CHARGES, BILL OF LADING FEE AND THC CHARGES</t>
        </is>
      </c>
      <c r="C844" t="inlineStr">
        <is>
          <t>អ៊ិចស្ពែឌីធ័រ ខេមបូឌា អិលធីឌី</t>
        </is>
      </c>
      <c r="D844" t="inlineStr">
        <is>
          <t>L001-100045898</t>
        </is>
      </c>
      <c r="E844" t="inlineStr">
        <is>
          <t>TI-0278997</t>
        </is>
      </c>
      <c r="F844" t="inlineStr">
        <is>
          <t>03-07-2024</t>
        </is>
      </c>
      <c r="G844" t="n">
        <v>47754</v>
      </c>
      <c r="I844">
        <f>G844</f>
        <v/>
      </c>
      <c r="K844">
        <f>I844-G844</f>
        <v/>
      </c>
      <c r="M844" t="inlineStr">
        <is>
          <t>TI0278997</t>
        </is>
      </c>
      <c r="N844" t="inlineStr">
        <is>
          <t>12679500</t>
        </is>
      </c>
      <c r="O844">
        <f>M844=N844</f>
        <v/>
      </c>
      <c r="P844">
        <f>AND(MONTH(F844)=MONTH(S844), YEAR(F844)=YEAR(S844))</f>
        <v/>
      </c>
      <c r="Q844">
        <f>"L001-902303751"=U844</f>
        <v/>
      </c>
      <c r="R844">
        <f>G844-W844</f>
        <v/>
      </c>
      <c r="S844" s="36" t="n">
        <v>45432</v>
      </c>
      <c r="T844" t="n">
        <v>126795</v>
      </c>
      <c r="U844" t="inlineStr">
        <is>
          <t>L001-100045340</t>
        </is>
      </c>
      <c r="V844" t="inlineStr">
        <is>
          <t xml:space="preserve">ស៊ីវ៉ា អ៊ែរ អ៊ែន អូសៀន (ខេមបូឌា) ឯ.ក </t>
        </is>
      </c>
      <c r="W844" t="n">
        <v>126795</v>
      </c>
      <c r="X844" t="n">
        <v>0</v>
      </c>
    </row>
    <row r="845">
      <c r="A845" t="n">
        <v>844</v>
      </c>
      <c r="B845" t="inlineStr">
        <is>
          <t>AWB FEE AND H/C</t>
        </is>
      </c>
      <c r="C845" t="inlineStr">
        <is>
          <t>អ៊ិចស្ពែឌីធ័រ ខេមបូឌា អិលធីឌី</t>
        </is>
      </c>
      <c r="D845" t="inlineStr">
        <is>
          <t>L001-100045898</t>
        </is>
      </c>
      <c r="E845" t="inlineStr">
        <is>
          <t>TI-0278950</t>
        </is>
      </c>
      <c r="F845" t="inlineStr">
        <is>
          <t>02-07-2024</t>
        </is>
      </c>
      <c r="G845" t="n">
        <v>26735</v>
      </c>
      <c r="I845">
        <f>G845</f>
        <v/>
      </c>
      <c r="K845">
        <f>I845-G845</f>
        <v/>
      </c>
      <c r="M845" t="inlineStr">
        <is>
          <t>TI0278950</t>
        </is>
      </c>
      <c r="N845" t="inlineStr"/>
      <c r="O845">
        <f>M845=N845</f>
        <v/>
      </c>
      <c r="P845">
        <f>AND(MONTH(F845)=MONTH(S845), YEAR(F845)=YEAR(S845))</f>
        <v/>
      </c>
      <c r="Q845">
        <f>"L001-902303751"=U845</f>
        <v/>
      </c>
      <c r="R845">
        <f>G845-W845</f>
        <v/>
      </c>
      <c r="S845" s="36" t="n">
        <v>45432</v>
      </c>
      <c r="T845" t="inlineStr"/>
      <c r="U845" t="inlineStr">
        <is>
          <t>L001-107032791</t>
        </is>
      </c>
      <c r="V845" t="inlineStr">
        <is>
          <t>នីបផន អិចប្រេស (ខេមបូឌា) ខូ អិលធីឌី</t>
        </is>
      </c>
      <c r="W845" t="n">
        <v>0</v>
      </c>
      <c r="X845" t="n">
        <v>0</v>
      </c>
    </row>
    <row r="846">
      <c r="A846" t="n">
        <v>845</v>
      </c>
      <c r="B846" t="inlineStr">
        <is>
          <t>Customs Clearance of LCL shipment, THC Charge of LCL, CFS Charge of LCL, Trucking Fee of LCL, Cargo Handling Fee and Bill Fee or Document Fee</t>
        </is>
      </c>
      <c r="C846" t="inlineStr">
        <is>
          <t>អេវើរស្តារ ស៊ីលែនឌែរ</t>
        </is>
      </c>
      <c r="D846" t="inlineStr">
        <is>
          <t>K002-100160492</t>
        </is>
      </c>
      <c r="E846" t="inlineStr">
        <is>
          <t>TI-2024-038</t>
        </is>
      </c>
      <c r="F846" t="inlineStr">
        <is>
          <t>01-07-2024</t>
        </is>
      </c>
      <c r="G846" t="n">
        <v>114741</v>
      </c>
      <c r="I846">
        <f>G846</f>
        <v/>
      </c>
      <c r="K846">
        <f>I846-G846</f>
        <v/>
      </c>
      <c r="M846" t="inlineStr">
        <is>
          <t>TI2024038</t>
        </is>
      </c>
      <c r="N846" t="inlineStr">
        <is>
          <t>11211800</t>
        </is>
      </c>
      <c r="O846">
        <f>M846=N846</f>
        <v/>
      </c>
      <c r="P846">
        <f>AND(MONTH(F846)=MONTH(S846), YEAR(F846)=YEAR(S846))</f>
        <v/>
      </c>
      <c r="Q846">
        <f>"L001-902303751"=U846</f>
        <v/>
      </c>
      <c r="R846">
        <f>G846-W846</f>
        <v/>
      </c>
      <c r="S846" s="36" t="n">
        <v>45432</v>
      </c>
      <c r="T846" t="n">
        <v>112118</v>
      </c>
      <c r="U846" t="inlineStr">
        <is>
          <t>L001-107032791</t>
        </is>
      </c>
      <c r="V846" t="inlineStr">
        <is>
          <t>នីបផន អិចប្រេស (ខេមបូឌា) ខូ អិលធីឌី</t>
        </is>
      </c>
      <c r="W846" t="n">
        <v>112118</v>
      </c>
      <c r="X846" t="n">
        <v>0</v>
      </c>
    </row>
    <row r="847">
      <c r="A847" t="n">
        <v>846</v>
      </c>
      <c r="B847" t="inlineStr">
        <is>
          <t>OM FORWARDING FEE, H/C AND AWB FEE</t>
        </is>
      </c>
      <c r="C847" t="inlineStr">
        <is>
          <t>អ៊ិចស្ពែឌីធ័រ ខេមបូឌា អិលធីឌី</t>
        </is>
      </c>
      <c r="D847" t="inlineStr">
        <is>
          <t>L001-100045898</t>
        </is>
      </c>
      <c r="E847" t="inlineStr">
        <is>
          <t>TI-0280796</t>
        </is>
      </c>
      <c r="F847" t="inlineStr">
        <is>
          <t>17-07-2024</t>
        </is>
      </c>
      <c r="G847" t="n">
        <v>47231</v>
      </c>
      <c r="I847">
        <f>G847</f>
        <v/>
      </c>
      <c r="K847">
        <f>I847-G847</f>
        <v/>
      </c>
      <c r="M847" t="inlineStr">
        <is>
          <t>TI0280796</t>
        </is>
      </c>
      <c r="N847" t="inlineStr">
        <is>
          <t>8362000</t>
        </is>
      </c>
      <c r="O847">
        <f>M847=N847</f>
        <v/>
      </c>
      <c r="P847">
        <f>AND(MONTH(F847)=MONTH(S847), YEAR(F847)=YEAR(S847))</f>
        <v/>
      </c>
      <c r="Q847">
        <f>"L001-902303751"=U847</f>
        <v/>
      </c>
      <c r="R847">
        <f>G847-W847</f>
        <v/>
      </c>
      <c r="S847" s="36" t="n">
        <v>45427</v>
      </c>
      <c r="T847" t="n">
        <v>83620</v>
      </c>
      <c r="U847" t="inlineStr">
        <is>
          <t>L001-107032791</t>
        </is>
      </c>
      <c r="V847" t="inlineStr">
        <is>
          <t>នីបផន អិចប្រេស (ខេមបូឌា) ខូ អិលធីឌី</t>
        </is>
      </c>
      <c r="W847" t="n">
        <v>83620</v>
      </c>
      <c r="X847" t="n">
        <v>0</v>
      </c>
    </row>
    <row r="848">
      <c r="A848" t="n">
        <v>847</v>
      </c>
      <c r="B848" t="inlineStr">
        <is>
          <t>OM FORWARDING FEE, TERMINAL HANDLING, CARRIER BL, DOCUMENT ASSEMBLY, HANDLING FEE, VGM ADMIN FEE (FCL), CONTAINER SEAL AND MANIFEST FEE</t>
        </is>
      </c>
      <c r="C848" t="inlineStr">
        <is>
          <t>អ៊ិចស្ពែឌីធ័រ ខេមបូឌា អិលធីឌី</t>
        </is>
      </c>
      <c r="D848" t="inlineStr">
        <is>
          <t>L001-100045898</t>
        </is>
      </c>
      <c r="E848" t="inlineStr">
        <is>
          <t>TI-0279629</t>
        </is>
      </c>
      <c r="F848" t="inlineStr">
        <is>
          <t>08-07-2024</t>
        </is>
      </c>
      <c r="G848" t="n">
        <v>218719</v>
      </c>
      <c r="I848">
        <f>G848</f>
        <v/>
      </c>
      <c r="K848">
        <f>I848-G848</f>
        <v/>
      </c>
      <c r="M848" t="inlineStr">
        <is>
          <t>TI0279629</t>
        </is>
      </c>
      <c r="N848" t="inlineStr"/>
      <c r="O848">
        <f>M848=N848</f>
        <v/>
      </c>
      <c r="P848">
        <f>AND(MONTH(F848)=MONTH(S848), YEAR(F848)=YEAR(S848))</f>
        <v/>
      </c>
      <c r="Q848">
        <f>"L001-902303751"=U848</f>
        <v/>
      </c>
      <c r="R848">
        <f>G848-W848</f>
        <v/>
      </c>
      <c r="S848" s="36" t="n">
        <v>45429</v>
      </c>
      <c r="T848" t="inlineStr"/>
      <c r="U848" t="inlineStr">
        <is>
          <t>K009-107034735</t>
        </is>
      </c>
      <c r="V848" t="inlineStr">
        <is>
          <t>ស៊ីប៊ីជី ឡូជីស្ទីក (ខេមបូឌា)</t>
        </is>
      </c>
      <c r="W848" t="n">
        <v>0</v>
      </c>
      <c r="X848" t="n">
        <v>0</v>
      </c>
    </row>
    <row r="849">
      <c r="A849" t="n">
        <v>848</v>
      </c>
      <c r="B849" t="inlineStr">
        <is>
          <t>Send Sample</t>
        </is>
      </c>
      <c r="C849" t="inlineStr">
        <is>
          <t>ឌី អេច អិល អិចប្រេស (ខេមបូឌា)</t>
        </is>
      </c>
      <c r="D849" t="inlineStr">
        <is>
          <t>L001-100045197</t>
        </is>
      </c>
      <c r="E849" t="inlineStr">
        <is>
          <t>PNHIR00228309</t>
        </is>
      </c>
      <c r="F849" t="inlineStr">
        <is>
          <t>03-07-2024</t>
        </is>
      </c>
      <c r="G849" t="n">
        <v>8236</v>
      </c>
      <c r="I849">
        <f>G849</f>
        <v/>
      </c>
      <c r="K849">
        <f>I849-G849</f>
        <v/>
      </c>
      <c r="M849" t="inlineStr">
        <is>
          <t>PNHIR00228309</t>
        </is>
      </c>
      <c r="N849" t="inlineStr"/>
      <c r="O849">
        <f>M849=N849</f>
        <v/>
      </c>
      <c r="P849">
        <f>AND(MONTH(F849)=MONTH(S849), YEAR(F849)=YEAR(S849))</f>
        <v/>
      </c>
      <c r="Q849">
        <f>"L001-902303751"=U849</f>
        <v/>
      </c>
      <c r="R849">
        <f>G849-W849</f>
        <v/>
      </c>
      <c r="S849" s="36" t="n">
        <v>45419</v>
      </c>
      <c r="T849" t="inlineStr"/>
      <c r="U849" t="inlineStr">
        <is>
          <t>L001-107032791</t>
        </is>
      </c>
      <c r="V849" t="inlineStr">
        <is>
          <t>នីបផន អិចប្រេស (ខេមបូឌា) ខូ អិលធីឌី</t>
        </is>
      </c>
      <c r="W849" t="n">
        <v>0</v>
      </c>
      <c r="X849" t="n">
        <v>0</v>
      </c>
    </row>
    <row r="850">
      <c r="A850" t="n">
        <v>849</v>
      </c>
      <c r="B850" t="inlineStr">
        <is>
          <t>Send Sample</t>
        </is>
      </c>
      <c r="C850" t="inlineStr">
        <is>
          <t>ឌី អេច អិល អិចប្រេស (ខេមបូឌា)</t>
        </is>
      </c>
      <c r="D850" t="inlineStr">
        <is>
          <t>L001-100045197</t>
        </is>
      </c>
      <c r="E850" t="inlineStr">
        <is>
          <t>PNHIR00228481</t>
        </is>
      </c>
      <c r="F850" t="inlineStr">
        <is>
          <t>08-07-2024</t>
        </is>
      </c>
      <c r="G850" t="n">
        <v>8238</v>
      </c>
      <c r="I850">
        <f>G850</f>
        <v/>
      </c>
      <c r="K850">
        <f>I850-G850</f>
        <v/>
      </c>
      <c r="M850" t="inlineStr">
        <is>
          <t>PNHIR00228481</t>
        </is>
      </c>
      <c r="N850" t="inlineStr">
        <is>
          <t>11206300</t>
        </is>
      </c>
      <c r="O850">
        <f>M850=N850</f>
        <v/>
      </c>
      <c r="P850">
        <f>AND(MONTH(F850)=MONTH(S850), YEAR(F850)=YEAR(S850))</f>
        <v/>
      </c>
      <c r="Q850">
        <f>"L001-902303751"=U850</f>
        <v/>
      </c>
      <c r="R850">
        <f>G850-W850</f>
        <v/>
      </c>
      <c r="S850" s="36" t="n">
        <v>45419</v>
      </c>
      <c r="T850" t="n">
        <v>112063</v>
      </c>
      <c r="U850" t="inlineStr">
        <is>
          <t>L001-107032791</t>
        </is>
      </c>
      <c r="V850" t="inlineStr">
        <is>
          <t>នីបផន អិចប្រេស (ខេមបូឌា) ខូ អិលធីឌី</t>
        </is>
      </c>
      <c r="W850" t="n">
        <v>112063</v>
      </c>
      <c r="X850" t="n">
        <v>0</v>
      </c>
    </row>
    <row r="851">
      <c r="A851" t="n">
        <v>850</v>
      </c>
      <c r="B851" t="inlineStr">
        <is>
          <t>Send Sample</t>
        </is>
      </c>
      <c r="C851" t="inlineStr">
        <is>
          <t>ឌី អេច អិល អិចប្រេស (ខេមបូឌា)</t>
        </is>
      </c>
      <c r="D851" t="inlineStr">
        <is>
          <t>L001-100045197</t>
        </is>
      </c>
      <c r="E851" t="inlineStr">
        <is>
          <t>PNHIR00229472</t>
        </is>
      </c>
      <c r="F851" t="inlineStr">
        <is>
          <t>11-07-2024</t>
        </is>
      </c>
      <c r="G851" t="n">
        <v>8220</v>
      </c>
      <c r="I851">
        <f>G851</f>
        <v/>
      </c>
      <c r="K851">
        <f>I851-G851</f>
        <v/>
      </c>
      <c r="M851" t="inlineStr">
        <is>
          <t>PNHIR00229472</t>
        </is>
      </c>
      <c r="N851" t="inlineStr">
        <is>
          <t>12673300</t>
        </is>
      </c>
      <c r="O851">
        <f>M851=N851</f>
        <v/>
      </c>
      <c r="P851">
        <f>AND(MONTH(F851)=MONTH(S851), YEAR(F851)=YEAR(S851))</f>
        <v/>
      </c>
      <c r="Q851">
        <f>"L001-902303751"=U851</f>
        <v/>
      </c>
      <c r="R851">
        <f>G851-W851</f>
        <v/>
      </c>
      <c r="S851" s="36" t="n">
        <v>45419</v>
      </c>
      <c r="T851" t="n">
        <v>126733</v>
      </c>
      <c r="U851" t="inlineStr">
        <is>
          <t>L001-100045340</t>
        </is>
      </c>
      <c r="V851" t="inlineStr">
        <is>
          <t xml:space="preserve">ស៊ីវ៉ា អ៊ែរ អ៊ែន អូសៀន (ខេមបូឌា) ឯ.ក </t>
        </is>
      </c>
      <c r="W851" t="n">
        <v>126733</v>
      </c>
      <c r="X851" t="n">
        <v>0</v>
      </c>
    </row>
    <row r="852">
      <c r="A852" t="n">
        <v>851</v>
      </c>
      <c r="B852" t="inlineStr">
        <is>
          <t>Send Sample</t>
        </is>
      </c>
      <c r="C852" t="inlineStr">
        <is>
          <t>ឌី អេច អិល អិចប្រេស (ខេមបូឌា)</t>
        </is>
      </c>
      <c r="D852" t="inlineStr">
        <is>
          <t>L001-100045197</t>
        </is>
      </c>
      <c r="E852" t="inlineStr">
        <is>
          <t>PNHIR00229960</t>
        </is>
      </c>
      <c r="F852" t="inlineStr">
        <is>
          <t>15-07-2024</t>
        </is>
      </c>
      <c r="G852" t="n">
        <v>8212</v>
      </c>
      <c r="I852">
        <f>G852</f>
        <v/>
      </c>
      <c r="K852">
        <f>I852-G852</f>
        <v/>
      </c>
      <c r="M852" t="inlineStr">
        <is>
          <t>PNHIR00229960</t>
        </is>
      </c>
      <c r="N852" t="inlineStr">
        <is>
          <t>11176000</t>
        </is>
      </c>
      <c r="O852">
        <f>M852=N852</f>
        <v/>
      </c>
      <c r="P852">
        <f>AND(MONTH(F852)=MONTH(S852), YEAR(F852)=YEAR(S852))</f>
        <v/>
      </c>
      <c r="Q852">
        <f>"L001-902303751"=U852</f>
        <v/>
      </c>
      <c r="R852">
        <f>G852-W852</f>
        <v/>
      </c>
      <c r="S852" s="36" t="n">
        <v>45413</v>
      </c>
      <c r="T852" t="n">
        <v>111760</v>
      </c>
      <c r="U852" t="inlineStr">
        <is>
          <t>L001-100045995</t>
        </is>
      </c>
      <c r="V852" t="inlineStr">
        <is>
          <t>ឌីអេចអិល ឡូជីស្ទីក (ខេមបូឌា)</t>
        </is>
      </c>
      <c r="W852" t="n">
        <v>111760</v>
      </c>
      <c r="X852" t="n">
        <v>0</v>
      </c>
    </row>
    <row r="853">
      <c r="A853" t="n">
        <v>852</v>
      </c>
      <c r="B853" t="inlineStr">
        <is>
          <t>Send Sample</t>
        </is>
      </c>
      <c r="C853" t="inlineStr">
        <is>
          <t>ឌី អេច អិល អិចប្រេស (ខេមបូឌា)</t>
        </is>
      </c>
      <c r="D853" t="inlineStr">
        <is>
          <t>L001-100045197</t>
        </is>
      </c>
      <c r="E853" t="inlineStr">
        <is>
          <t>PNHIR00230804</t>
        </is>
      </c>
      <c r="F853" t="inlineStr">
        <is>
          <t>19-07-2024</t>
        </is>
      </c>
      <c r="G853" t="n">
        <v>8218</v>
      </c>
      <c r="I853">
        <f>G853</f>
        <v/>
      </c>
      <c r="K853">
        <f>I853-G853</f>
        <v/>
      </c>
      <c r="M853" t="inlineStr">
        <is>
          <t>PNHIR00230804</t>
        </is>
      </c>
      <c r="N853" t="inlineStr">
        <is>
          <t>11467600</t>
        </is>
      </c>
      <c r="O853">
        <f>M853=N853</f>
        <v/>
      </c>
      <c r="P853">
        <f>AND(MONTH(F853)=MONTH(S853), YEAR(F853)=YEAR(S853))</f>
        <v/>
      </c>
      <c r="Q853">
        <f>"L001-902303751"=U853</f>
        <v/>
      </c>
      <c r="R853">
        <f>G853-W853</f>
        <v/>
      </c>
      <c r="S853" s="36" t="n">
        <v>45439</v>
      </c>
      <c r="T853" t="n">
        <v>114676</v>
      </c>
      <c r="U853" t="inlineStr">
        <is>
          <t>K005-901805913</t>
        </is>
      </c>
      <c r="V853" t="inlineStr">
        <is>
          <t>ស្តារ ខង់ខដ (ខេមបូឌា) ឯ.ក</t>
        </is>
      </c>
      <c r="W853" t="n">
        <v>114676</v>
      </c>
      <c r="X853" t="n">
        <v>0</v>
      </c>
    </row>
    <row r="854">
      <c r="A854" t="n">
        <v>853</v>
      </c>
      <c r="B854" t="inlineStr">
        <is>
          <t>HAWB FREIGHT, H/C AND AWB FEE</t>
        </is>
      </c>
      <c r="C854" t="inlineStr">
        <is>
          <t>អ៊ិចស្ពែឌីធ័រ ខេមបូឌា អិលធីឌី</t>
        </is>
      </c>
      <c r="D854" t="inlineStr">
        <is>
          <t>L001-100045898</t>
        </is>
      </c>
      <c r="E854" t="inlineStr">
        <is>
          <t>TI-0278762</t>
        </is>
      </c>
      <c r="F854" t="inlineStr">
        <is>
          <t>01-07-2024</t>
        </is>
      </c>
      <c r="G854" t="n">
        <v>26728</v>
      </c>
      <c r="I854">
        <f>G854</f>
        <v/>
      </c>
      <c r="K854">
        <f>I854-G854</f>
        <v/>
      </c>
      <c r="M854" t="inlineStr">
        <is>
          <t>TI0278762</t>
        </is>
      </c>
      <c r="N854" t="inlineStr"/>
      <c r="O854">
        <f>M854=N854</f>
        <v/>
      </c>
      <c r="P854">
        <f>AND(MONTH(F854)=MONTH(S854), YEAR(F854)=YEAR(S854))</f>
        <v/>
      </c>
      <c r="Q854">
        <f>"L001-902303751"=U854</f>
        <v/>
      </c>
      <c r="R854">
        <f>G854-W854</f>
        <v/>
      </c>
      <c r="S854" s="36" t="n">
        <v>45439</v>
      </c>
      <c r="T854" t="inlineStr"/>
      <c r="U854" t="inlineStr">
        <is>
          <t>L001-107032791</t>
        </is>
      </c>
      <c r="V854" t="inlineStr">
        <is>
          <t>នីបផន អិចប្រេស (ខេមបូឌា) ខូ អិលធីឌី</t>
        </is>
      </c>
      <c r="W854" t="n">
        <v>0</v>
      </c>
      <c r="X854" t="n">
        <v>0</v>
      </c>
    </row>
    <row r="855">
      <c r="A855" t="n">
        <v>854</v>
      </c>
      <c r="B855" t="inlineStr">
        <is>
          <t>HAWB FREIGHT, OM FORWARDING FEE, H/C AND AWB FEE</t>
        </is>
      </c>
      <c r="C855" t="inlineStr">
        <is>
          <t>អ៊ិចស្ពែឌីធ័រ ខេមបូឌា អិលធីឌី</t>
        </is>
      </c>
      <c r="D855" t="inlineStr">
        <is>
          <t>L001-100045898</t>
        </is>
      </c>
      <c r="E855" t="inlineStr">
        <is>
          <t>TI-0278952</t>
        </is>
      </c>
      <c r="F855" t="inlineStr">
        <is>
          <t>02-07-2024</t>
        </is>
      </c>
      <c r="G855" t="n">
        <v>47299</v>
      </c>
      <c r="I855">
        <f>G855</f>
        <v/>
      </c>
      <c r="K855">
        <f>I855-G855</f>
        <v/>
      </c>
      <c r="M855" t="inlineStr">
        <is>
          <t>TI0278952</t>
        </is>
      </c>
      <c r="N855" t="inlineStr"/>
      <c r="O855">
        <f>M855=N855</f>
        <v/>
      </c>
      <c r="P855">
        <f>AND(MONTH(F855)=MONTH(S855), YEAR(F855)=YEAR(S855))</f>
        <v/>
      </c>
      <c r="Q855">
        <f>"L001-902303751"=U855</f>
        <v/>
      </c>
      <c r="R855">
        <f>G855-W855</f>
        <v/>
      </c>
      <c r="S855" s="36" t="n">
        <v>45432</v>
      </c>
      <c r="T855" t="inlineStr"/>
      <c r="U855" t="inlineStr">
        <is>
          <t>L001-100074669</t>
        </is>
      </c>
      <c r="V855" t="inlineStr">
        <is>
          <t>ខេអិលអិន ហ្វ្រេត (ខេមបូឌា) ឯ.ក</t>
        </is>
      </c>
      <c r="W855" t="n">
        <v>0</v>
      </c>
      <c r="X855" t="n">
        <v>0</v>
      </c>
    </row>
    <row r="856">
      <c r="A856" t="n">
        <v>855</v>
      </c>
      <c r="B856" t="inlineStr">
        <is>
          <t>OM FORWARDING FEE, TERMINAL HANDLING, CARRIER BL, DOCUMENT ASSEMBLY, HANDLING FEE, VGM ADMIN FEE (FCL), CONTAINER SEAL, TELEX RELEASE MANIFEST</t>
        </is>
      </c>
      <c r="C856" t="inlineStr">
        <is>
          <t>អ៊ិចស្ពែឌីធ័រ ខេមបូឌា អិលធីឌី</t>
        </is>
      </c>
      <c r="D856" t="inlineStr">
        <is>
          <t>L001-100045898</t>
        </is>
      </c>
      <c r="E856" t="inlineStr">
        <is>
          <t>TI-0279630</t>
        </is>
      </c>
      <c r="F856" t="inlineStr">
        <is>
          <t>08-07-2024</t>
        </is>
      </c>
      <c r="G856" t="n">
        <v>194005</v>
      </c>
      <c r="I856">
        <f>G856</f>
        <v/>
      </c>
      <c r="K856">
        <f>I856-G856</f>
        <v/>
      </c>
      <c r="M856" t="inlineStr">
        <is>
          <t>TI0279630</t>
        </is>
      </c>
      <c r="N856" t="inlineStr"/>
      <c r="O856">
        <f>M856=N856</f>
        <v/>
      </c>
      <c r="P856">
        <f>AND(MONTH(F856)=MONTH(S856), YEAR(F856)=YEAR(S856))</f>
        <v/>
      </c>
      <c r="Q856">
        <f>"L001-902303751"=U856</f>
        <v/>
      </c>
      <c r="R856">
        <f>G856-W856</f>
        <v/>
      </c>
      <c r="S856" s="36" t="n">
        <v>45432</v>
      </c>
      <c r="T856" t="inlineStr"/>
      <c r="U856" t="inlineStr">
        <is>
          <t>L001-104015799</t>
        </is>
      </c>
      <c r="V856" t="inlineStr">
        <is>
          <t>យូសេន ឡូជីស្ទីក (ខេមបូឌា) ខូ អិលធីឌី</t>
        </is>
      </c>
      <c r="W856" t="n">
        <v>0</v>
      </c>
      <c r="X856" t="n">
        <v>0</v>
      </c>
    </row>
    <row r="857">
      <c r="A857" t="n">
        <v>856</v>
      </c>
      <c r="B857" t="inlineStr">
        <is>
          <t>CFS HANDLING, CARRIER BL, DOCUMENT ASSEMBLY, TERMINAL HANDLING, HANDLING FEE, VGM WEIGHING FEE-CFS AND FUEL SURCHANRGE</t>
        </is>
      </c>
      <c r="C857" t="inlineStr">
        <is>
          <t>អ៊ិចស្ពែឌីធ័រ ខេមបូឌា អិលធីឌី</t>
        </is>
      </c>
      <c r="D857" t="inlineStr">
        <is>
          <t>L001-100045898</t>
        </is>
      </c>
      <c r="E857" t="inlineStr">
        <is>
          <t>TI-0279638</t>
        </is>
      </c>
      <c r="F857" t="inlineStr">
        <is>
          <t>08-07-2024</t>
        </is>
      </c>
      <c r="G857" t="n">
        <v>120844</v>
      </c>
      <c r="I857">
        <f>G857</f>
        <v/>
      </c>
      <c r="K857">
        <f>I857-G857</f>
        <v/>
      </c>
      <c r="M857" t="inlineStr">
        <is>
          <t>TI0279638</t>
        </is>
      </c>
      <c r="N857" t="inlineStr"/>
      <c r="O857">
        <f>M857=N857</f>
        <v/>
      </c>
      <c r="P857">
        <f>AND(MONTH(F857)=MONTH(S857), YEAR(F857)=YEAR(S857))</f>
        <v/>
      </c>
      <c r="Q857">
        <f>"L001-902303751"=U857</f>
        <v/>
      </c>
      <c r="R857">
        <f>G857-W857</f>
        <v/>
      </c>
      <c r="S857" s="36" t="n">
        <v>45432</v>
      </c>
      <c r="T857" t="inlineStr"/>
      <c r="U857" t="inlineStr">
        <is>
          <t>L001-100045340</t>
        </is>
      </c>
      <c r="V857" t="inlineStr">
        <is>
          <t xml:space="preserve">ស៊ីវ៉ា អ៊ែរ អ៊ែន អូសៀន (ខេមបូឌា) ឯ.ក </t>
        </is>
      </c>
      <c r="W857" t="n">
        <v>0</v>
      </c>
      <c r="X857" t="n">
        <v>0</v>
      </c>
    </row>
    <row r="858">
      <c r="A858" t="n">
        <v>857</v>
      </c>
      <c r="B858" t="inlineStr">
        <is>
          <t>CFS HANDLING, CARRIER BL, DOCUMENT ASSEMBLY, TERMINAL HANDLING, HANDLING FEE, VGM PROCESSING FEE AND MANIFEST FEE</t>
        </is>
      </c>
      <c r="C858" t="inlineStr">
        <is>
          <t>អ៊ិចស្ពែឌីធ័រ ខេមបូឌា អិលធីឌី</t>
        </is>
      </c>
      <c r="D858" t="inlineStr">
        <is>
          <t>L001-100045898</t>
        </is>
      </c>
      <c r="E858" t="inlineStr">
        <is>
          <t>TI-0279626</t>
        </is>
      </c>
      <c r="F858" t="inlineStr">
        <is>
          <t>08-07-2024</t>
        </is>
      </c>
      <c r="G858" t="n">
        <v>84851</v>
      </c>
      <c r="I858">
        <f>G858</f>
        <v/>
      </c>
      <c r="K858">
        <f>I858-G858</f>
        <v/>
      </c>
      <c r="M858" t="inlineStr">
        <is>
          <t>TI0279626</t>
        </is>
      </c>
      <c r="N858" t="inlineStr"/>
      <c r="O858">
        <f>M858=N858</f>
        <v/>
      </c>
      <c r="P858">
        <f>AND(MONTH(F858)=MONTH(S858), YEAR(F858)=YEAR(S858))</f>
        <v/>
      </c>
      <c r="Q858">
        <f>"L001-902303751"=U858</f>
        <v/>
      </c>
      <c r="R858">
        <f>G858-W858</f>
        <v/>
      </c>
      <c r="S858" s="36" t="n">
        <v>45432</v>
      </c>
      <c r="T858" t="inlineStr"/>
      <c r="U858" t="inlineStr">
        <is>
          <t>L001-100045340</t>
        </is>
      </c>
      <c r="V858" t="inlineStr">
        <is>
          <t xml:space="preserve">ស៊ីវ៉ា អ៊ែរ អ៊ែន អូសៀន (ខេមបូឌា) ឯ.ក </t>
        </is>
      </c>
      <c r="W858" t="n">
        <v>0</v>
      </c>
      <c r="X858" t="n">
        <v>0</v>
      </c>
    </row>
    <row r="859">
      <c r="A859" t="n">
        <v>858</v>
      </c>
      <c r="B859" t="inlineStr">
        <is>
          <t>CFS HANDLING, CARRIER BL, DOCUMENT ASSEMBLY, TERMINAL HANDLING, HANDLING FEE, VGM PROCESSING FEE AND MANIFEST FEE</t>
        </is>
      </c>
      <c r="C859" t="inlineStr">
        <is>
          <t>អ៊ិចស្ពែឌីធ័រ ខេមបូឌា អិលធីឌី</t>
        </is>
      </c>
      <c r="D859" t="inlineStr">
        <is>
          <t>L001-100045898</t>
        </is>
      </c>
      <c r="E859" t="inlineStr">
        <is>
          <t>TI-0279634</t>
        </is>
      </c>
      <c r="F859" t="inlineStr">
        <is>
          <t>08-07-2024</t>
        </is>
      </c>
      <c r="G859" t="n">
        <v>146127</v>
      </c>
      <c r="I859">
        <f>G859</f>
        <v/>
      </c>
      <c r="K859">
        <f>I859-G859</f>
        <v/>
      </c>
      <c r="M859" t="inlineStr">
        <is>
          <t>TI0279634</t>
        </is>
      </c>
      <c r="N859" t="inlineStr">
        <is>
          <t>11211800</t>
        </is>
      </c>
      <c r="O859">
        <f>M859=N859</f>
        <v/>
      </c>
      <c r="P859">
        <f>AND(MONTH(F859)=MONTH(S859), YEAR(F859)=YEAR(S859))</f>
        <v/>
      </c>
      <c r="Q859">
        <f>"L001-902303751"=U859</f>
        <v/>
      </c>
      <c r="R859">
        <f>G859-W859</f>
        <v/>
      </c>
      <c r="S859" s="36" t="n">
        <v>45432</v>
      </c>
      <c r="T859" t="n">
        <v>112118</v>
      </c>
      <c r="U859" t="inlineStr">
        <is>
          <t>L001-107032791</t>
        </is>
      </c>
      <c r="V859" t="inlineStr">
        <is>
          <t>នីបផន អិចប្រេស (ខេមបូឌា) ខូ អិលធីឌី</t>
        </is>
      </c>
      <c r="W859" t="n">
        <v>112118</v>
      </c>
      <c r="X859" t="n">
        <v>0</v>
      </c>
    </row>
    <row r="860">
      <c r="A860" t="n">
        <v>859</v>
      </c>
      <c r="B860" t="inlineStr">
        <is>
          <t>CFS HANDLING, CARRIER BL, DOCUMENT ASSEMBLY, TERMINAL HANDLING, HANDLING FEE, VGM PROCESSING FEE AND MANIFEST FEE</t>
        </is>
      </c>
      <c r="C860" t="inlineStr">
        <is>
          <t>អ៊ិចស្ពែឌីធ័រ ខេមបូឌា អិលធីឌី</t>
        </is>
      </c>
      <c r="D860" t="inlineStr">
        <is>
          <t>L001-100045898</t>
        </is>
      </c>
      <c r="E860" t="inlineStr">
        <is>
          <t>TI-0279633</t>
        </is>
      </c>
      <c r="F860" t="inlineStr">
        <is>
          <t>08-07-2024</t>
        </is>
      </c>
      <c r="G860" t="n">
        <v>100882</v>
      </c>
      <c r="I860">
        <f>G860</f>
        <v/>
      </c>
      <c r="K860">
        <f>I860-G860</f>
        <v/>
      </c>
      <c r="M860" t="inlineStr">
        <is>
          <t>TI0279633</t>
        </is>
      </c>
      <c r="N860" t="inlineStr"/>
      <c r="O860">
        <f>M860=N860</f>
        <v/>
      </c>
      <c r="P860">
        <f>AND(MONTH(F860)=MONTH(S860), YEAR(F860)=YEAR(S860))</f>
        <v/>
      </c>
      <c r="Q860">
        <f>"L001-902303751"=U860</f>
        <v/>
      </c>
      <c r="R860">
        <f>G860-W860</f>
        <v/>
      </c>
      <c r="S860" s="36" t="n">
        <v>45427</v>
      </c>
      <c r="T860" t="inlineStr"/>
      <c r="U860" t="inlineStr">
        <is>
          <t>L001-107032791</t>
        </is>
      </c>
      <c r="V860" t="inlineStr">
        <is>
          <t>នីបផន អិចប្រេស (ខេមបូឌា) ខូ អិលធីឌី</t>
        </is>
      </c>
      <c r="W860" t="n">
        <v>0</v>
      </c>
      <c r="X860" t="n">
        <v>0</v>
      </c>
    </row>
    <row r="861">
      <c r="A861" t="n">
        <v>860</v>
      </c>
      <c r="B861" t="inlineStr">
        <is>
          <t>OM FORWARDING FEE, TERMINAL HANDLING, CARRIER BL, DOCUMENT ASSEMBLY, HANDLING FEE, VGM ADMIN FEE (FCL), CONTAINER SEAL AND MANIFEST FEE</t>
        </is>
      </c>
      <c r="C861" t="inlineStr">
        <is>
          <t>អ៊ិចស្ពែឌីធ័រ ខេមបូឌា អិលធីឌី</t>
        </is>
      </c>
      <c r="D861" t="inlineStr">
        <is>
          <t>L001-100045898</t>
        </is>
      </c>
      <c r="E861" t="inlineStr">
        <is>
          <t>TI-0279627</t>
        </is>
      </c>
      <c r="F861" t="inlineStr">
        <is>
          <t>08-07-2024</t>
        </is>
      </c>
      <c r="G861" t="n">
        <v>194005</v>
      </c>
      <c r="I861">
        <f>G861</f>
        <v/>
      </c>
      <c r="K861">
        <f>I861-G861</f>
        <v/>
      </c>
      <c r="M861" t="inlineStr">
        <is>
          <t>TI0279627</t>
        </is>
      </c>
      <c r="N861" t="inlineStr">
        <is>
          <t>9794200</t>
        </is>
      </c>
      <c r="O861">
        <f>M861=N861</f>
        <v/>
      </c>
      <c r="P861">
        <f>AND(MONTH(F861)=MONTH(S861), YEAR(F861)=YEAR(S861))</f>
        <v/>
      </c>
      <c r="Q861">
        <f>"L001-902303751"=U861</f>
        <v/>
      </c>
      <c r="R861">
        <f>G861-W861</f>
        <v/>
      </c>
      <c r="S861" s="36" t="n">
        <v>45413</v>
      </c>
      <c r="T861" t="n">
        <v>97942</v>
      </c>
      <c r="U861" t="inlineStr">
        <is>
          <t>L001-100045340</t>
        </is>
      </c>
      <c r="V861" t="inlineStr">
        <is>
          <t xml:space="preserve">ស៊ីវ៉ា អ៊ែរ អ៊ែន អូសៀន (ខេមបូឌា) ឯ.ក </t>
        </is>
      </c>
      <c r="W861" t="n">
        <v>97942</v>
      </c>
      <c r="X861" t="n">
        <v>0</v>
      </c>
    </row>
    <row r="862">
      <c r="A862" t="n">
        <v>861</v>
      </c>
      <c r="B862" t="inlineStr">
        <is>
          <t>CFS HANDLING, CARRIER BL, DOCUMENT ASSEMBLY, TERMINAL HANDLING, HANDLING FEE, VGM PROCESSING FEE AND MANIFEST FEE</t>
        </is>
      </c>
      <c r="C862" t="inlineStr">
        <is>
          <t>អ៊ិចស្ពែឌីធ័រ ខេមបូឌា អិលធីឌី</t>
        </is>
      </c>
      <c r="D862" t="inlineStr">
        <is>
          <t>L001-100045898</t>
        </is>
      </c>
      <c r="E862" t="inlineStr">
        <is>
          <t>TI-0279625</t>
        </is>
      </c>
      <c r="F862" t="inlineStr">
        <is>
          <t>08-07-2024</t>
        </is>
      </c>
      <c r="G862" t="n">
        <v>154167</v>
      </c>
      <c r="I862">
        <f>G862</f>
        <v/>
      </c>
      <c r="K862">
        <f>I862-G862</f>
        <v/>
      </c>
      <c r="M862" t="inlineStr">
        <is>
          <t>TI0279625</t>
        </is>
      </c>
      <c r="N862" t="inlineStr"/>
      <c r="O862">
        <f>M862=N862</f>
        <v/>
      </c>
      <c r="P862">
        <f>AND(MONTH(F862)=MONTH(S862), YEAR(F862)=YEAR(S862))</f>
        <v/>
      </c>
      <c r="Q862">
        <f>"L001-902303751"=U862</f>
        <v/>
      </c>
      <c r="R862">
        <f>G862-W862</f>
        <v/>
      </c>
      <c r="S862" s="36" t="n">
        <v>45419</v>
      </c>
      <c r="T862" t="inlineStr"/>
      <c r="U862" t="inlineStr">
        <is>
          <t>L001-107032791</t>
        </is>
      </c>
      <c r="V862" t="inlineStr">
        <is>
          <t>នីបផន អិចប្រេស (ខេមបូឌា) ខូ អិលធីឌី</t>
        </is>
      </c>
      <c r="W862" t="n">
        <v>0</v>
      </c>
      <c r="X862" t="n">
        <v>0</v>
      </c>
    </row>
    <row r="863">
      <c r="A863" t="n">
        <v>862</v>
      </c>
      <c r="B863" t="inlineStr">
        <is>
          <t>Export Adminstration Fee and Customs Processing Fee</t>
        </is>
      </c>
      <c r="C863" t="inlineStr">
        <is>
          <t>ជី លីង អិចប្រេស ឡូជីស្ទីក (ខេមបូឌា) លីមីធីត</t>
        </is>
      </c>
      <c r="D863" t="inlineStr">
        <is>
          <t>L001-100044956</t>
        </is>
      </c>
      <c r="E863" t="inlineStr">
        <is>
          <t>24155965</t>
        </is>
      </c>
      <c r="F863" t="inlineStr">
        <is>
          <t>04-07-2024</t>
        </is>
      </c>
      <c r="G863" t="n">
        <v>65888</v>
      </c>
      <c r="I863">
        <f>G863</f>
        <v/>
      </c>
      <c r="K863">
        <f>I863-G863</f>
        <v/>
      </c>
      <c r="M863" t="inlineStr">
        <is>
          <t>24155965</t>
        </is>
      </c>
      <c r="N863" t="inlineStr"/>
      <c r="O863">
        <f>M863=N863</f>
        <v/>
      </c>
      <c r="P863">
        <f>AND(MONTH(F863)=MONTH(S863), YEAR(F863)=YEAR(S863))</f>
        <v/>
      </c>
      <c r="Q863">
        <f>"L001-902303751"=U863</f>
        <v/>
      </c>
      <c r="R863">
        <f>G863-W863</f>
        <v/>
      </c>
      <c r="S863" s="36" t="n">
        <v>45439</v>
      </c>
      <c r="T863" t="inlineStr"/>
      <c r="U863" t="inlineStr">
        <is>
          <t>K005-901805913</t>
        </is>
      </c>
      <c r="V863" t="inlineStr">
        <is>
          <t>ស្តារ ខង់ខដ (ខេមបូឌា) ឯ.ក</t>
        </is>
      </c>
      <c r="W863" t="n">
        <v>0</v>
      </c>
      <c r="X863" t="n">
        <v>0</v>
      </c>
    </row>
    <row r="864">
      <c r="A864" t="n">
        <v>863</v>
      </c>
      <c r="B864" t="inlineStr">
        <is>
          <t>Export Adminstration Fee and Customs Processing Fee</t>
        </is>
      </c>
      <c r="C864" t="inlineStr">
        <is>
          <t>ជី លីង អិចប្រេស ឡូជីស្ទីក (ខេមបូឌា) លីមីធីត</t>
        </is>
      </c>
      <c r="D864" t="inlineStr">
        <is>
          <t>L001-100044956</t>
        </is>
      </c>
      <c r="E864" t="inlineStr">
        <is>
          <t>24156231</t>
        </is>
      </c>
      <c r="F864" t="inlineStr">
        <is>
          <t>15-07-2024</t>
        </is>
      </c>
      <c r="G864" t="n">
        <v>65696</v>
      </c>
      <c r="I864">
        <f>G864</f>
        <v/>
      </c>
      <c r="K864">
        <f>I864-G864</f>
        <v/>
      </c>
      <c r="M864" t="inlineStr">
        <is>
          <t>24156231</t>
        </is>
      </c>
      <c r="N864" t="inlineStr"/>
      <c r="O864">
        <f>M864=N864</f>
        <v/>
      </c>
      <c r="P864">
        <f>AND(MONTH(F864)=MONTH(S864), YEAR(F864)=YEAR(S864))</f>
        <v/>
      </c>
      <c r="Q864">
        <f>"L001-902303751"=U864</f>
        <v/>
      </c>
      <c r="R864">
        <f>G864-W864</f>
        <v/>
      </c>
      <c r="S864" s="36" t="n">
        <v>45439</v>
      </c>
      <c r="T864" t="inlineStr"/>
      <c r="U864" t="inlineStr">
        <is>
          <t>L001-104015799</t>
        </is>
      </c>
      <c r="V864" t="inlineStr">
        <is>
          <t>យូសេន ឡូជីស្ទីក (ខេមបូឌា) ខូ អិលធីឌី</t>
        </is>
      </c>
      <c r="W864" t="n">
        <v>0</v>
      </c>
      <c r="X864" t="n">
        <v>0</v>
      </c>
    </row>
    <row r="865">
      <c r="A865" t="n">
        <v>864</v>
      </c>
      <c r="B865" t="inlineStr">
        <is>
          <t>Documentation Origin, Handling Charges Origin, PLACI Fee, Airfreight and HAWB Transmission Fee</t>
        </is>
      </c>
      <c r="C865" t="inlineStr">
        <is>
          <t>ឌីប៊ី សេនឃើរ (ខេមបូឌា) លីមីធីត</t>
        </is>
      </c>
      <c r="D865" t="inlineStr">
        <is>
          <t>L001-107041723</t>
        </is>
      </c>
      <c r="E865" t="inlineStr">
        <is>
          <t>2400005531</t>
        </is>
      </c>
      <c r="F865" t="inlineStr">
        <is>
          <t>10-07-2024</t>
        </is>
      </c>
      <c r="G865" t="n">
        <v>50553</v>
      </c>
      <c r="I865">
        <f>G865</f>
        <v/>
      </c>
      <c r="K865">
        <f>I865-G865</f>
        <v/>
      </c>
      <c r="M865" t="inlineStr">
        <is>
          <t>2400005531</t>
        </is>
      </c>
      <c r="N865" t="inlineStr">
        <is>
          <t>11233800</t>
        </is>
      </c>
      <c r="O865">
        <f>M865=N865</f>
        <v/>
      </c>
      <c r="P865">
        <f>AND(MONTH(F865)=MONTH(S865), YEAR(F865)=YEAR(S865))</f>
        <v/>
      </c>
      <c r="Q865">
        <f>"L001-902303751"=U865</f>
        <v/>
      </c>
      <c r="R865">
        <f>G865-W865</f>
        <v/>
      </c>
      <c r="S865" s="36" t="n">
        <v>45441</v>
      </c>
      <c r="T865" t="n">
        <v>112338</v>
      </c>
      <c r="U865" t="inlineStr">
        <is>
          <t>K005-100059945</t>
        </is>
      </c>
      <c r="V865" t="inlineStr">
        <is>
          <t>អ៊ែតវ៉ានស៍ គ្លរី ឡូជីស្ទីក (ខេមបូឌា) (អេ ជី អិល)</t>
        </is>
      </c>
      <c r="W865" t="n">
        <v>112338</v>
      </c>
      <c r="X865" t="n">
        <v>0</v>
      </c>
    </row>
    <row r="866">
      <c r="A866" t="n">
        <v>865</v>
      </c>
      <c r="B866" t="inlineStr">
        <is>
          <t>Documentation Origin, Handling Charges Origin, PLACI Fee, Airfreight and HAWB Transmission Fee</t>
        </is>
      </c>
      <c r="C866" t="inlineStr">
        <is>
          <t>ឌីប៊ី សេនឃើរ (ខេមបូឌា) លីមីធីត</t>
        </is>
      </c>
      <c r="D866" t="inlineStr">
        <is>
          <t>L001-107041723</t>
        </is>
      </c>
      <c r="E866" t="inlineStr">
        <is>
          <t>2400005606</t>
        </is>
      </c>
      <c r="F866" t="inlineStr">
        <is>
          <t>13-07-2024</t>
        </is>
      </c>
      <c r="G866" t="n">
        <v>50504</v>
      </c>
      <c r="I866">
        <f>G866</f>
        <v/>
      </c>
      <c r="K866">
        <f>I866-G866</f>
        <v/>
      </c>
      <c r="M866" t="inlineStr">
        <is>
          <t>2400005606</t>
        </is>
      </c>
      <c r="N866" t="inlineStr"/>
      <c r="O866">
        <f>M866=N866</f>
        <v/>
      </c>
      <c r="P866">
        <f>AND(MONTH(F866)=MONTH(S866), YEAR(F866)=YEAR(S866))</f>
        <v/>
      </c>
      <c r="Q866">
        <f>"L001-902303751"=U866</f>
        <v/>
      </c>
      <c r="R866">
        <f>G866-W866</f>
        <v/>
      </c>
      <c r="S866" s="36" t="n">
        <v>45439</v>
      </c>
      <c r="T866" t="inlineStr"/>
      <c r="U866" t="inlineStr">
        <is>
          <t>K005-100150195</t>
        </is>
      </c>
      <c r="V866" t="inlineStr">
        <is>
          <t>អេស អ វី ស៊ី ហ្វ្រេត សឺវីស (ខេមបូឌា) ខូ អិលធីឌី</t>
        </is>
      </c>
      <c r="W866" t="n">
        <v>0</v>
      </c>
      <c r="X866" t="n">
        <v>0</v>
      </c>
    </row>
    <row r="867">
      <c r="A867" t="n">
        <v>866</v>
      </c>
      <c r="B867" t="inlineStr">
        <is>
          <t>HAWB FREIGHT, AWB FEE, OM FORWARDING FEE AND H/C</t>
        </is>
      </c>
      <c r="C867" t="inlineStr">
        <is>
          <t>អ៊ិចស្ពែឌីធ័រ ខេមបូឌា អិលធីឌី</t>
        </is>
      </c>
      <c r="D867" t="inlineStr">
        <is>
          <t>L001-100045898</t>
        </is>
      </c>
      <c r="E867" t="inlineStr">
        <is>
          <t>TI-0280303</t>
        </is>
      </c>
      <c r="F867" t="inlineStr">
        <is>
          <t>12-07-2024</t>
        </is>
      </c>
      <c r="G867" t="n">
        <v>47219</v>
      </c>
      <c r="I867">
        <f>G867</f>
        <v/>
      </c>
      <c r="K867">
        <f>I867-G867</f>
        <v/>
      </c>
      <c r="M867" t="inlineStr">
        <is>
          <t>TI0280303</t>
        </is>
      </c>
      <c r="N867" t="inlineStr">
        <is>
          <t>11222800</t>
        </is>
      </c>
      <c r="O867">
        <f>M867=N867</f>
        <v/>
      </c>
      <c r="P867">
        <f>AND(MONTH(F867)=MONTH(S867), YEAR(F867)=YEAR(S867))</f>
        <v/>
      </c>
      <c r="Q867">
        <f>"L001-902303751"=U867</f>
        <v/>
      </c>
      <c r="R867">
        <f>G867-W867</f>
        <v/>
      </c>
      <c r="S867" s="36" t="n">
        <v>45439</v>
      </c>
      <c r="T867" t="n">
        <v>112228</v>
      </c>
      <c r="U867" t="inlineStr">
        <is>
          <t>L001-107032791</t>
        </is>
      </c>
      <c r="V867" t="inlineStr">
        <is>
          <t>នីបផន អិចប្រេស (ខេមបូឌា) ខូ អិលធីឌី</t>
        </is>
      </c>
      <c r="W867" t="n">
        <v>112228</v>
      </c>
      <c r="X867" t="n">
        <v>0</v>
      </c>
    </row>
    <row r="868">
      <c r="A868" t="n">
        <v>867</v>
      </c>
      <c r="B868" t="inlineStr">
        <is>
          <t>Documentation Origin, Handling Charges Origin, Airfreight, PLACI Fee, and HAWB Transmission Fee</t>
        </is>
      </c>
      <c r="C868" t="inlineStr">
        <is>
          <t>ឌីប៊ី សេនឃើរ (ខេមបូឌា) លីមីធីត</t>
        </is>
      </c>
      <c r="D868" t="inlineStr">
        <is>
          <t>L001-107041723</t>
        </is>
      </c>
      <c r="E868" t="inlineStr">
        <is>
          <t>2400005692</t>
        </is>
      </c>
      <c r="F868" t="inlineStr">
        <is>
          <t>17-07-2024</t>
        </is>
      </c>
      <c r="G868" t="n">
        <v>50516</v>
      </c>
      <c r="I868">
        <f>G868</f>
        <v/>
      </c>
      <c r="K868">
        <f>I868-G868</f>
        <v/>
      </c>
      <c r="M868" t="inlineStr">
        <is>
          <t>2400005692</t>
        </is>
      </c>
      <c r="N868" t="inlineStr"/>
      <c r="O868">
        <f>M868=N868</f>
        <v/>
      </c>
      <c r="P868">
        <f>AND(MONTH(F868)=MONTH(S868), YEAR(F868)=YEAR(S868))</f>
        <v/>
      </c>
      <c r="Q868">
        <f>"L001-902303751"=U868</f>
        <v/>
      </c>
      <c r="R868">
        <f>G868-W868</f>
        <v/>
      </c>
      <c r="S868" s="36" t="n">
        <v>45439</v>
      </c>
      <c r="T868" t="inlineStr"/>
      <c r="U868" t="inlineStr">
        <is>
          <t>L001-100011888</t>
        </is>
      </c>
      <c r="V868" t="inlineStr">
        <is>
          <t>ត្រេន ស្តារ ហ្រេ្វត</t>
        </is>
      </c>
      <c r="W868" t="n">
        <v>0</v>
      </c>
      <c r="X868" t="n">
        <v>0</v>
      </c>
    </row>
    <row r="869">
      <c r="A869" t="n">
        <v>868</v>
      </c>
      <c r="B869" t="inlineStr">
        <is>
          <t>HAWB FREIGHT, OM FORWARDING FEE, H/C AND AWB FEE</t>
        </is>
      </c>
      <c r="C869" t="inlineStr">
        <is>
          <t>អ៊ិចស្ពែឌីធ័រ ខេមបូឌា អិលធីឌី</t>
        </is>
      </c>
      <c r="D869" t="inlineStr">
        <is>
          <t>L001-100045898</t>
        </is>
      </c>
      <c r="E869" t="inlineStr">
        <is>
          <t>TI-0280709</t>
        </is>
      </c>
      <c r="F869" t="inlineStr">
        <is>
          <t>16-07-2024</t>
        </is>
      </c>
      <c r="G869" t="n">
        <v>47219</v>
      </c>
      <c r="I869">
        <f>G869</f>
        <v/>
      </c>
      <c r="K869">
        <f>I869-G869</f>
        <v/>
      </c>
      <c r="M869" t="inlineStr">
        <is>
          <t>TI0280709</t>
        </is>
      </c>
      <c r="N869" t="inlineStr">
        <is>
          <t>29884400</t>
        </is>
      </c>
      <c r="O869">
        <f>M869=N869</f>
        <v/>
      </c>
      <c r="P869">
        <f>AND(MONTH(F869)=MONTH(S869), YEAR(F869)=YEAR(S869))</f>
        <v/>
      </c>
      <c r="Q869">
        <f>"L001-902303751"=U869</f>
        <v/>
      </c>
      <c r="R869">
        <f>G869-W869</f>
        <v/>
      </c>
      <c r="S869" s="36" t="n">
        <v>45432</v>
      </c>
      <c r="T869" t="n">
        <v>298844</v>
      </c>
      <c r="U869" t="inlineStr">
        <is>
          <t>L001-100074669</t>
        </is>
      </c>
      <c r="V869" t="inlineStr">
        <is>
          <t>ខេអិលអិន ហ្វ្រេត (ខេមបូឌា) ឯ.ក</t>
        </is>
      </c>
      <c r="W869" t="n">
        <v>298844</v>
      </c>
      <c r="X869" t="n">
        <v>0</v>
      </c>
    </row>
    <row r="870">
      <c r="A870" t="n">
        <v>869</v>
      </c>
      <c r="B870" t="inlineStr">
        <is>
          <t>Documentation Origin, Handling Charges Origin, Airfreight, PLACI Fee, and HAWB Transmission Fee</t>
        </is>
      </c>
      <c r="C870" t="inlineStr">
        <is>
          <t>ឌីប៊ី សេនឃើរ (ខេមបូឌា) លីមីធីត</t>
        </is>
      </c>
      <c r="D870" t="inlineStr">
        <is>
          <t>L001-107041723</t>
        </is>
      </c>
      <c r="E870" t="inlineStr">
        <is>
          <t>2400005522</t>
        </is>
      </c>
      <c r="F870" t="inlineStr">
        <is>
          <t>10-07-2024</t>
        </is>
      </c>
      <c r="G870" t="n">
        <v>50553</v>
      </c>
      <c r="I870">
        <f>G870</f>
        <v/>
      </c>
      <c r="K870">
        <f>I870-G870</f>
        <v/>
      </c>
      <c r="M870" t="inlineStr">
        <is>
          <t>2400005522</t>
        </is>
      </c>
      <c r="N870" t="inlineStr">
        <is>
          <t>20181200</t>
        </is>
      </c>
      <c r="O870">
        <f>M870=N870</f>
        <v/>
      </c>
      <c r="P870">
        <f>AND(MONTH(F870)=MONTH(S870), YEAR(F870)=YEAR(S870))</f>
        <v/>
      </c>
      <c r="Q870">
        <f>"L001-902303751"=U870</f>
        <v/>
      </c>
      <c r="R870">
        <f>G870-W870</f>
        <v/>
      </c>
      <c r="S870" s="36" t="n">
        <v>45432</v>
      </c>
      <c r="T870" t="n">
        <v>201812</v>
      </c>
      <c r="U870" t="inlineStr">
        <is>
          <t>K005-100099521</t>
        </is>
      </c>
      <c r="V870" t="inlineStr">
        <is>
          <t>ខាហ្គោផត (ខេមបូឌា)</t>
        </is>
      </c>
      <c r="W870" t="n">
        <v>201812</v>
      </c>
      <c r="X870" t="n">
        <v>0</v>
      </c>
    </row>
    <row r="871">
      <c r="A871" t="n">
        <v>870</v>
      </c>
      <c r="B871" t="inlineStr">
        <is>
          <t>HAWB FREIGHT, OM FORWARDING FEE, H/C AND AWB FEE</t>
        </is>
      </c>
      <c r="C871" t="inlineStr">
        <is>
          <t>អ៊ិចស្ពែឌីធ័រ ខេមបូឌា អិលធីឌី</t>
        </is>
      </c>
      <c r="D871" t="inlineStr">
        <is>
          <t>L001-100045898</t>
        </is>
      </c>
      <c r="E871" t="inlineStr">
        <is>
          <t>TI-0280758</t>
        </is>
      </c>
      <c r="F871" t="inlineStr">
        <is>
          <t>16-07-2024</t>
        </is>
      </c>
      <c r="G871" t="n">
        <v>47219</v>
      </c>
      <c r="I871">
        <f>G871</f>
        <v/>
      </c>
      <c r="K871">
        <f>I871-G871</f>
        <v/>
      </c>
      <c r="M871" t="inlineStr">
        <is>
          <t>TI0280758</t>
        </is>
      </c>
      <c r="N871" t="inlineStr"/>
      <c r="O871">
        <f>M871=N871</f>
        <v/>
      </c>
      <c r="P871">
        <f>AND(MONTH(F871)=MONTH(S871), YEAR(F871)=YEAR(S871))</f>
        <v/>
      </c>
      <c r="Q871">
        <f>"L001-902303751"=U871</f>
        <v/>
      </c>
      <c r="R871">
        <f>G871-W871</f>
        <v/>
      </c>
      <c r="S871" s="36" t="n">
        <v>45432</v>
      </c>
      <c r="T871" t="inlineStr"/>
      <c r="U871" t="inlineStr">
        <is>
          <t>K005-901805913</t>
        </is>
      </c>
      <c r="V871" t="inlineStr">
        <is>
          <t>ស្តារ ខង់ខដ (ខេមបូឌា) ឯ.ក</t>
        </is>
      </c>
      <c r="W871" t="n">
        <v>0</v>
      </c>
      <c r="X871" t="n">
        <v>0</v>
      </c>
    </row>
    <row r="872">
      <c r="A872" t="n">
        <v>871</v>
      </c>
      <c r="B872" t="inlineStr">
        <is>
          <t>Documentation Origin, Handling Charges Origin, Airfreight, PLACI Fee and HAWB Transmission Fee</t>
        </is>
      </c>
      <c r="C872" t="inlineStr">
        <is>
          <t>ឌីប៊ី សេនឃើរ (ខេមបូឌា) លីមីធីត</t>
        </is>
      </c>
      <c r="D872" t="inlineStr">
        <is>
          <t>L001-107041723</t>
        </is>
      </c>
      <c r="E872" t="inlineStr">
        <is>
          <t>2400005913</t>
        </is>
      </c>
      <c r="F872" t="inlineStr">
        <is>
          <t>24-07-2024</t>
        </is>
      </c>
      <c r="G872" t="n">
        <v>50516</v>
      </c>
      <c r="I872">
        <f>G872</f>
        <v/>
      </c>
      <c r="K872">
        <f>I872-G872</f>
        <v/>
      </c>
      <c r="M872" t="inlineStr">
        <is>
          <t>2400005913</t>
        </is>
      </c>
      <c r="N872" t="inlineStr"/>
      <c r="O872">
        <f>M872=N872</f>
        <v/>
      </c>
      <c r="P872">
        <f>AND(MONTH(F872)=MONTH(S872), YEAR(F872)=YEAR(S872))</f>
        <v/>
      </c>
      <c r="Q872">
        <f>"L001-902303751"=U872</f>
        <v/>
      </c>
      <c r="R872">
        <f>G872-W872</f>
        <v/>
      </c>
      <c r="S872" s="36" t="n">
        <v>45429</v>
      </c>
      <c r="T872" t="inlineStr"/>
      <c r="U872" t="inlineStr">
        <is>
          <t>L001-901500191</t>
        </is>
      </c>
      <c r="V872" t="inlineStr">
        <is>
          <t>អ.អិន.វ៉ាយ ត្រេនស្ព័ត</t>
        </is>
      </c>
      <c r="W872" t="n">
        <v>0</v>
      </c>
      <c r="X872" t="n">
        <v>0</v>
      </c>
    </row>
    <row r="873">
      <c r="A873" t="n">
        <v>872</v>
      </c>
      <c r="B873" t="inlineStr">
        <is>
          <t>Documentation Origin, Handling Charges Origin, Airfreight, PLACI Fee and HAWB Transmission Fee</t>
        </is>
      </c>
      <c r="C873" t="inlineStr">
        <is>
          <t>ឌីប៊ី សេនឃើរ (ខេមបូឌា) លីមីធីត</t>
        </is>
      </c>
      <c r="D873" t="inlineStr">
        <is>
          <t>L001-107041723</t>
        </is>
      </c>
      <c r="E873" t="inlineStr">
        <is>
          <t>2400005896</t>
        </is>
      </c>
      <c r="F873" t="inlineStr">
        <is>
          <t>24-07-2024</t>
        </is>
      </c>
      <c r="G873" t="n">
        <v>50516</v>
      </c>
      <c r="I873">
        <f>G873</f>
        <v/>
      </c>
      <c r="K873">
        <f>I873-G873</f>
        <v/>
      </c>
      <c r="M873" t="inlineStr">
        <is>
          <t>2400005896</t>
        </is>
      </c>
      <c r="N873" t="inlineStr">
        <is>
          <t>11211800</t>
        </is>
      </c>
      <c r="O873">
        <f>M873=N873</f>
        <v/>
      </c>
      <c r="P873">
        <f>AND(MONTH(F873)=MONTH(S873), YEAR(F873)=YEAR(S873))</f>
        <v/>
      </c>
      <c r="Q873">
        <f>"L001-902303751"=U873</f>
        <v/>
      </c>
      <c r="R873">
        <f>G873-W873</f>
        <v/>
      </c>
      <c r="S873" s="36" t="n">
        <v>45432</v>
      </c>
      <c r="T873" t="n">
        <v>112118</v>
      </c>
      <c r="U873" t="inlineStr">
        <is>
          <t>L001-107032791</t>
        </is>
      </c>
      <c r="V873" t="inlineStr">
        <is>
          <t>នីបផន អិចប្រេស (ខេមបូឌា) ខូ អិលធីឌី</t>
        </is>
      </c>
      <c r="W873" t="n">
        <v>112118</v>
      </c>
      <c r="X873" t="n">
        <v>0</v>
      </c>
    </row>
    <row r="874">
      <c r="A874" t="n">
        <v>873</v>
      </c>
      <c r="B874" t="inlineStr">
        <is>
          <t>Documentation Origin, Handling Charges Origin, Airfreight, PLACI Fee and HAWB Transmission Fee</t>
        </is>
      </c>
      <c r="C874" t="inlineStr">
        <is>
          <t>ឌីប៊ី សេនឃើរ (ខេមបូឌា) លីមីធីត</t>
        </is>
      </c>
      <c r="D874" t="inlineStr">
        <is>
          <t>L001-107041723</t>
        </is>
      </c>
      <c r="E874" t="inlineStr">
        <is>
          <t>2400006150</t>
        </is>
      </c>
      <c r="F874" t="inlineStr">
        <is>
          <t>30-07-2024</t>
        </is>
      </c>
      <c r="G874" t="n">
        <v>50516</v>
      </c>
      <c r="I874">
        <f>G874</f>
        <v/>
      </c>
      <c r="K874">
        <f>I874-G874</f>
        <v/>
      </c>
      <c r="M874" t="inlineStr">
        <is>
          <t>2400006150</t>
        </is>
      </c>
      <c r="N874" t="inlineStr"/>
      <c r="O874">
        <f>M874=N874</f>
        <v/>
      </c>
      <c r="P874">
        <f>AND(MONTH(F874)=MONTH(S874), YEAR(F874)=YEAR(S874))</f>
        <v/>
      </c>
      <c r="Q874">
        <f>"L001-902303751"=U874</f>
        <v/>
      </c>
      <c r="R874">
        <f>G874-W874</f>
        <v/>
      </c>
      <c r="S874" s="36" t="n">
        <v>45427</v>
      </c>
      <c r="T874" t="inlineStr"/>
      <c r="U874" t="inlineStr">
        <is>
          <t>L001-107032791</t>
        </is>
      </c>
      <c r="V874" t="inlineStr">
        <is>
          <t>នីបផន អិចប្រេស (ខេមបូឌា) ខូ អិលធីឌី</t>
        </is>
      </c>
      <c r="W874" t="n">
        <v>0</v>
      </c>
      <c r="X874" t="n">
        <v>0</v>
      </c>
    </row>
    <row r="875">
      <c r="A875" t="n">
        <v>874</v>
      </c>
      <c r="B875" t="inlineStr">
        <is>
          <t>AWB FEE, OM FORWARDING FEE AND H/C</t>
        </is>
      </c>
      <c r="C875" t="inlineStr">
        <is>
          <t>អ៊ិចស្ពែឌីធ័រ ខេមបូឌា អិលធីឌី</t>
        </is>
      </c>
      <c r="D875" t="inlineStr">
        <is>
          <t>L001-100045898</t>
        </is>
      </c>
      <c r="E875" t="inlineStr">
        <is>
          <t>TI-0279426</t>
        </is>
      </c>
      <c r="F875" t="inlineStr">
        <is>
          <t>05-07-2024</t>
        </is>
      </c>
      <c r="G875" t="n">
        <v>47346</v>
      </c>
      <c r="I875">
        <f>G875</f>
        <v/>
      </c>
      <c r="K875">
        <f>I875-G875</f>
        <v/>
      </c>
      <c r="M875" t="inlineStr">
        <is>
          <t>TI0279426</t>
        </is>
      </c>
      <c r="N875" t="inlineStr">
        <is>
          <t>11217300</t>
        </is>
      </c>
      <c r="O875">
        <f>M875=N875</f>
        <v/>
      </c>
      <c r="P875">
        <f>AND(MONTH(F875)=MONTH(S875), YEAR(F875)=YEAR(S875))</f>
        <v/>
      </c>
      <c r="Q875">
        <f>"L001-902303751"=U875</f>
        <v/>
      </c>
      <c r="R875">
        <f>G875-W875</f>
        <v/>
      </c>
      <c r="S875" s="36" t="n">
        <v>45427</v>
      </c>
      <c r="T875" t="n">
        <v>112173</v>
      </c>
      <c r="U875" t="inlineStr">
        <is>
          <t>L001-107032791</t>
        </is>
      </c>
      <c r="V875" t="inlineStr">
        <is>
          <t>នីបផន អិចប្រេស (ខេមបូឌា) ខូ អិលធីឌី</t>
        </is>
      </c>
      <c r="W875" t="n">
        <v>112173</v>
      </c>
      <c r="X875" t="n">
        <v>0</v>
      </c>
    </row>
    <row r="876">
      <c r="A876" t="n">
        <v>875</v>
      </c>
      <c r="B876" t="inlineStr">
        <is>
          <t>Documentation Origin, Handling Charges Origin, PLACI Fee and HAWB Transmission Fee</t>
        </is>
      </c>
      <c r="C876" t="inlineStr">
        <is>
          <t>ឌីប៊ី សេនឃើរ (ខេមបូឌា) លីមីធីត</t>
        </is>
      </c>
      <c r="D876" t="inlineStr">
        <is>
          <t>L001-107041723</t>
        </is>
      </c>
      <c r="E876" t="inlineStr">
        <is>
          <t>2400005914</t>
        </is>
      </c>
      <c r="F876" t="inlineStr">
        <is>
          <t>24-07-2024</t>
        </is>
      </c>
      <c r="G876" t="n">
        <v>50516</v>
      </c>
      <c r="I876">
        <f>G876</f>
        <v/>
      </c>
      <c r="K876">
        <f>I876-G876</f>
        <v/>
      </c>
      <c r="M876" t="inlineStr">
        <is>
          <t>2400005914</t>
        </is>
      </c>
      <c r="N876" t="inlineStr">
        <is>
          <t>11462000</t>
        </is>
      </c>
      <c r="O876">
        <f>M876=N876</f>
        <v/>
      </c>
      <c r="P876">
        <f>AND(MONTH(F876)=MONTH(S876), YEAR(F876)=YEAR(S876))</f>
        <v/>
      </c>
      <c r="Q876">
        <f>"L001-902303751"=U876</f>
        <v/>
      </c>
      <c r="R876">
        <f>G876-W876</f>
        <v/>
      </c>
      <c r="S876" s="36" t="n">
        <v>45427</v>
      </c>
      <c r="T876" t="n">
        <v>114620</v>
      </c>
      <c r="U876" t="inlineStr">
        <is>
          <t>K005-901805913</t>
        </is>
      </c>
      <c r="V876" t="inlineStr">
        <is>
          <t>ស្តារ ខង់ខដ (ខេមបូឌា) ឯ.ក</t>
        </is>
      </c>
      <c r="W876" t="n">
        <v>114620</v>
      </c>
      <c r="X876" t="n">
        <v>0</v>
      </c>
    </row>
    <row r="877">
      <c r="A877" t="n">
        <v>876</v>
      </c>
      <c r="B877" t="inlineStr">
        <is>
          <t>Documentation Origin, Handling Charges Origin, PLACI Fee and HAWB Transmission Fee</t>
        </is>
      </c>
      <c r="C877" t="inlineStr">
        <is>
          <t>ឌីប៊ី សេនឃើរ (ខេមបូឌា) លីមីធីត</t>
        </is>
      </c>
      <c r="D877" t="inlineStr">
        <is>
          <t>L001-107041723</t>
        </is>
      </c>
      <c r="E877" t="inlineStr">
        <is>
          <t>2400005901</t>
        </is>
      </c>
      <c r="F877" t="inlineStr">
        <is>
          <t>24-07-2024</t>
        </is>
      </c>
      <c r="G877" t="n">
        <v>50516</v>
      </c>
      <c r="I877">
        <f>G877</f>
        <v/>
      </c>
      <c r="K877">
        <f>I877-G877</f>
        <v/>
      </c>
      <c r="M877" t="inlineStr">
        <is>
          <t>2400005901</t>
        </is>
      </c>
      <c r="N877" t="inlineStr"/>
      <c r="O877">
        <f>M877=N877</f>
        <v/>
      </c>
      <c r="P877">
        <f>AND(MONTH(F877)=MONTH(S877), YEAR(F877)=YEAR(S877))</f>
        <v/>
      </c>
      <c r="Q877">
        <f>"L001-902303751"=U877</f>
        <v/>
      </c>
      <c r="R877">
        <f>G877-W877</f>
        <v/>
      </c>
      <c r="S877" s="36" t="n">
        <v>45419</v>
      </c>
      <c r="T877" t="inlineStr"/>
      <c r="U877" t="inlineStr">
        <is>
          <t>K005-901805913</t>
        </is>
      </c>
      <c r="V877" t="inlineStr">
        <is>
          <t>ស្តារ ខង់ខដ (ខេមបូឌា) ឯ.ក</t>
        </is>
      </c>
      <c r="W877" t="n">
        <v>0</v>
      </c>
      <c r="X877" t="n">
        <v>0</v>
      </c>
    </row>
    <row r="878">
      <c r="A878" t="n">
        <v>877</v>
      </c>
      <c r="B878" t="inlineStr">
        <is>
          <t>Export Administration Fee, Port Formality and Service Charge</t>
        </is>
      </c>
      <c r="C878" t="inlineStr">
        <is>
          <t>ឆាយ ដា ឡូយីស្ទីក</t>
        </is>
      </c>
      <c r="D878" t="inlineStr">
        <is>
          <t>L001-100063098</t>
        </is>
      </c>
      <c r="E878" t="inlineStr">
        <is>
          <t>2407010509</t>
        </is>
      </c>
      <c r="F878" t="inlineStr">
        <is>
          <t>24-07-2024</t>
        </is>
      </c>
      <c r="G878" t="n">
        <v>77622</v>
      </c>
      <c r="I878">
        <f>G878</f>
        <v/>
      </c>
      <c r="K878">
        <f>I878-G878</f>
        <v/>
      </c>
      <c r="M878" t="inlineStr">
        <is>
          <t>2407010509</t>
        </is>
      </c>
      <c r="N878" t="inlineStr">
        <is>
          <t>8353800</t>
        </is>
      </c>
      <c r="O878">
        <f>M878=N878</f>
        <v/>
      </c>
      <c r="P878">
        <f>AND(MONTH(F878)=MONTH(S878), YEAR(F878)=YEAR(S878))</f>
        <v/>
      </c>
      <c r="Q878">
        <f>"L001-902303751"=U878</f>
        <v/>
      </c>
      <c r="R878">
        <f>G878-W878</f>
        <v/>
      </c>
      <c r="S878" s="36" t="n">
        <v>45419</v>
      </c>
      <c r="T878" t="n">
        <v>83538</v>
      </c>
      <c r="U878" t="inlineStr">
        <is>
          <t>L001-107032791</t>
        </is>
      </c>
      <c r="V878" t="inlineStr">
        <is>
          <t>នីបផន អិចប្រេស (ខេមបូឌា) ខូ អិលធីឌី</t>
        </is>
      </c>
      <c r="W878" t="n">
        <v>83538</v>
      </c>
      <c r="X878" t="n">
        <v>0</v>
      </c>
    </row>
    <row r="879">
      <c r="A879" t="n">
        <v>878</v>
      </c>
      <c r="B879" t="inlineStr">
        <is>
          <t>Export Administration Fee, Port Formality and Service Charge</t>
        </is>
      </c>
      <c r="C879" t="inlineStr">
        <is>
          <t>ឆាយ ដា ឡូយីស្ទីក</t>
        </is>
      </c>
      <c r="D879" t="inlineStr">
        <is>
          <t>L001-100063098</t>
        </is>
      </c>
      <c r="E879" t="inlineStr">
        <is>
          <t>2407010560</t>
        </is>
      </c>
      <c r="F879" t="inlineStr">
        <is>
          <t>24-07-2024</t>
        </is>
      </c>
      <c r="G879" t="n">
        <v>77622</v>
      </c>
      <c r="I879">
        <f>G879</f>
        <v/>
      </c>
      <c r="K879">
        <f>I879-G879</f>
        <v/>
      </c>
      <c r="M879" t="inlineStr">
        <is>
          <t>2407010560</t>
        </is>
      </c>
      <c r="N879" t="inlineStr"/>
      <c r="O879">
        <f>M879=N879</f>
        <v/>
      </c>
      <c r="P879">
        <f>AND(MONTH(F879)=MONTH(S879), YEAR(F879)=YEAR(S879))</f>
        <v/>
      </c>
      <c r="Q879">
        <f>"L001-902303751"=U879</f>
        <v/>
      </c>
      <c r="R879">
        <f>G879-W879</f>
        <v/>
      </c>
      <c r="S879" s="36" t="n">
        <v>45427</v>
      </c>
      <c r="T879" t="inlineStr"/>
      <c r="U879" t="inlineStr">
        <is>
          <t>K002-901800477</t>
        </is>
      </c>
      <c r="V879" t="inlineStr">
        <is>
          <t>អាយធីអាយ អ៊ិនធើណេសិនណល ត្រេនស័្ពរថេសិន (ខេមបូឌា) ឯ.ក</t>
        </is>
      </c>
      <c r="W879" t="n">
        <v>0</v>
      </c>
      <c r="X879" t="n">
        <v>0</v>
      </c>
    </row>
    <row r="880">
      <c r="A880" t="n">
        <v>879</v>
      </c>
      <c r="B880" t="inlineStr">
        <is>
          <t>CFS CHARGES, BILL OF LADING FEE, THC CHARGES AND FCR FEE</t>
        </is>
      </c>
      <c r="C880" t="inlineStr">
        <is>
          <t>អ៊ិចស្ពែឌីធ័រ ខេមបូឌា អិលធីឌី</t>
        </is>
      </c>
      <c r="D880" t="inlineStr">
        <is>
          <t>L001-100045898</t>
        </is>
      </c>
      <c r="E880" t="inlineStr">
        <is>
          <t>TI-0281946</t>
        </is>
      </c>
      <c r="F880" t="inlineStr">
        <is>
          <t>25-07-2024</t>
        </is>
      </c>
      <c r="G880" t="n">
        <v>86813</v>
      </c>
      <c r="I880">
        <f>G880</f>
        <v/>
      </c>
      <c r="K880">
        <f>I880-G880</f>
        <v/>
      </c>
      <c r="M880" t="inlineStr">
        <is>
          <t>TI0281946</t>
        </is>
      </c>
      <c r="N880" t="inlineStr">
        <is>
          <t>8362000</t>
        </is>
      </c>
      <c r="O880">
        <f>M880=N880</f>
        <v/>
      </c>
      <c r="P880">
        <f>AND(MONTH(F880)=MONTH(S880), YEAR(F880)=YEAR(S880))</f>
        <v/>
      </c>
      <c r="Q880">
        <f>"L001-902303751"=U880</f>
        <v/>
      </c>
      <c r="R880">
        <f>G880-W880</f>
        <v/>
      </c>
      <c r="S880" s="36" t="n">
        <v>45427</v>
      </c>
      <c r="T880" t="n">
        <v>83620</v>
      </c>
      <c r="U880" t="inlineStr">
        <is>
          <t>K002-901800477</t>
        </is>
      </c>
      <c r="V880" t="inlineStr">
        <is>
          <t>អាយធីអាយ អ៊ិនធើណេសិនណល ត្រេនស័្ពរថេសិន (ខេមបូឌា) ឯ.ក</t>
        </is>
      </c>
      <c r="W880" t="n">
        <v>83620</v>
      </c>
      <c r="X880" t="n">
        <v>0</v>
      </c>
    </row>
    <row r="881">
      <c r="A881" t="n">
        <v>880</v>
      </c>
      <c r="B881" t="inlineStr">
        <is>
          <t>Documentation Origin, Handling Charges Origin, Overtime standby Fee, PLACI Fee and HAWB Transmission Fee</t>
        </is>
      </c>
      <c r="C881" t="inlineStr">
        <is>
          <t>ឌីប៊ី សេនឃើរ (ខេមបូឌា) លីមីធីត</t>
        </is>
      </c>
      <c r="D881" t="inlineStr">
        <is>
          <t>L001-107041723</t>
        </is>
      </c>
      <c r="E881" t="inlineStr">
        <is>
          <t>2400006057</t>
        </is>
      </c>
      <c r="F881" t="inlineStr">
        <is>
          <t>26-07-2024</t>
        </is>
      </c>
      <c r="G881" t="n">
        <v>70965</v>
      </c>
      <c r="I881">
        <f>G881</f>
        <v/>
      </c>
      <c r="K881">
        <f>I881-G881</f>
        <v/>
      </c>
      <c r="M881" t="inlineStr">
        <is>
          <t>2400006057</t>
        </is>
      </c>
      <c r="N881" t="inlineStr"/>
      <c r="O881">
        <f>M881=N881</f>
        <v/>
      </c>
      <c r="P881">
        <f>AND(MONTH(F881)=MONTH(S881), YEAR(F881)=YEAR(S881))</f>
        <v/>
      </c>
      <c r="Q881">
        <f>"L001-902303751"=U881</f>
        <v/>
      </c>
      <c r="R881">
        <f>G881-W881</f>
        <v/>
      </c>
      <c r="S881" s="36" t="n">
        <v>45441</v>
      </c>
      <c r="T881" t="inlineStr"/>
      <c r="U881" t="inlineStr">
        <is>
          <t>K005-100059945</t>
        </is>
      </c>
      <c r="V881" t="inlineStr">
        <is>
          <t>អ៊ែតវ៉ានស៍ គ្លរី ឡូជីស្ទីក (ខេមបូឌា) (អេ ជី អិល)</t>
        </is>
      </c>
      <c r="W881" t="n">
        <v>0</v>
      </c>
      <c r="X881" t="n">
        <v>0</v>
      </c>
    </row>
    <row r="882">
      <c r="A882" t="n">
        <v>881</v>
      </c>
      <c r="B882" t="inlineStr">
        <is>
          <t>Customs Clearance of LCL shipment, THC Charge of LCL, CFS Charge of LCL, Trucking Fee of LCL, Cargo Handling Fee and Bill Fee or Document Fee</t>
        </is>
      </c>
      <c r="C882" t="inlineStr">
        <is>
          <t>អេវើរស្តារ ស៊ីលែនឌែរ</t>
        </is>
      </c>
      <c r="D882" t="inlineStr">
        <is>
          <t>K002-100160492</t>
        </is>
      </c>
      <c r="E882" t="inlineStr">
        <is>
          <t>TI-2024-045</t>
        </is>
      </c>
      <c r="F882" t="inlineStr">
        <is>
          <t>29-07-2024</t>
        </is>
      </c>
      <c r="G882" t="n">
        <v>118671</v>
      </c>
      <c r="I882">
        <f>G882</f>
        <v/>
      </c>
      <c r="K882">
        <f>I882-G882</f>
        <v/>
      </c>
      <c r="M882" t="inlineStr">
        <is>
          <t>TI2024045</t>
        </is>
      </c>
      <c r="N882" t="inlineStr"/>
      <c r="O882">
        <f>M882=N882</f>
        <v/>
      </c>
      <c r="P882">
        <f>AND(MONTH(F882)=MONTH(S882), YEAR(F882)=YEAR(S882))</f>
        <v/>
      </c>
      <c r="Q882">
        <f>"L001-902303751"=U882</f>
        <v/>
      </c>
      <c r="R882">
        <f>G882-W882</f>
        <v/>
      </c>
      <c r="S882" s="36" t="n">
        <v>45429</v>
      </c>
      <c r="T882" t="inlineStr"/>
      <c r="U882" t="inlineStr">
        <is>
          <t>K003-901635943</t>
        </is>
      </c>
      <c r="V882" t="inlineStr">
        <is>
          <t>អ៊ីឃ្យូឡាញ វើលវ៉ាយដ៍ ឡូជីស្ទីក</t>
        </is>
      </c>
      <c r="W882" t="n">
        <v>0</v>
      </c>
      <c r="X882" t="n">
        <v>0</v>
      </c>
    </row>
    <row r="883">
      <c r="A883" t="n">
        <v>882</v>
      </c>
      <c r="B883" t="inlineStr">
        <is>
          <t>CFS HANDLING, CARRIER BL, DOCUMENT ASSEMBLY, TERMINAL HANDLING, HANDLING FEE, VGM WEIGHING FEE-CFS AND FUEL SURCHARGE</t>
        </is>
      </c>
      <c r="C883" t="inlineStr">
        <is>
          <t>អ៊ិចស្ពែឌីធ័រ ខេមបូឌា អិលធីឌី</t>
        </is>
      </c>
      <c r="D883" t="inlineStr">
        <is>
          <t>L001-100045898</t>
        </is>
      </c>
      <c r="E883" t="inlineStr">
        <is>
          <t>TI-0282369</t>
        </is>
      </c>
      <c r="F883" t="inlineStr">
        <is>
          <t>28-07-2024</t>
        </is>
      </c>
      <c r="G883" t="n">
        <v>568071</v>
      </c>
      <c r="I883">
        <f>G883</f>
        <v/>
      </c>
      <c r="K883">
        <f>I883-G883</f>
        <v/>
      </c>
      <c r="M883" t="inlineStr">
        <is>
          <t>TI0282369</t>
        </is>
      </c>
      <c r="N883" t="inlineStr">
        <is>
          <t>287020800</t>
        </is>
      </c>
      <c r="O883">
        <f>M883=N883</f>
        <v/>
      </c>
      <c r="P883">
        <f>AND(MONTH(F883)=MONTH(S883), YEAR(F883)=YEAR(S883))</f>
        <v/>
      </c>
      <c r="Q883">
        <f>"L001-902303751"=U883</f>
        <v/>
      </c>
      <c r="R883">
        <f>G883-W883</f>
        <v/>
      </c>
      <c r="S883" s="36" t="n">
        <v>45432</v>
      </c>
      <c r="T883" t="n">
        <v>2870208</v>
      </c>
      <c r="U883" t="inlineStr">
        <is>
          <t>K004-105012505</t>
        </is>
      </c>
      <c r="V883" t="inlineStr">
        <is>
          <t>អេស៊ាន ហ្វ្រេត (ខេមបូឌា)</t>
        </is>
      </c>
      <c r="W883" t="n">
        <v>2870208</v>
      </c>
      <c r="X883" t="n">
        <v>0</v>
      </c>
    </row>
    <row r="884">
      <c r="A884" t="n">
        <v>883</v>
      </c>
      <c r="B884" t="inlineStr">
        <is>
          <t>Customs Clearance Fee</t>
        </is>
      </c>
      <c r="C884" t="inlineStr">
        <is>
          <t>ត្រាយអ៊ែងហ្គល ឡូជីស្ទីក (ខេមបូឌា) ឯ.ក</t>
        </is>
      </c>
      <c r="D884" t="inlineStr">
        <is>
          <t>K010-902101743</t>
        </is>
      </c>
      <c r="E884" t="inlineStr">
        <is>
          <t>TAG-24-00502</t>
        </is>
      </c>
      <c r="F884" t="inlineStr">
        <is>
          <t>30-07-2024</t>
        </is>
      </c>
      <c r="G884" t="n">
        <v>8214</v>
      </c>
      <c r="I884">
        <f>G884</f>
        <v/>
      </c>
      <c r="K884">
        <f>I884-G884</f>
        <v/>
      </c>
      <c r="M884" t="inlineStr">
        <is>
          <t>TAG2400502</t>
        </is>
      </c>
      <c r="N884" t="inlineStr">
        <is>
          <t>9830400</t>
        </is>
      </c>
      <c r="O884">
        <f>M884=N884</f>
        <v/>
      </c>
      <c r="P884">
        <f>AND(MONTH(F884)=MONTH(S884), YEAR(F884)=YEAR(S884))</f>
        <v/>
      </c>
      <c r="Q884">
        <f>"L001-902303751"=U884</f>
        <v/>
      </c>
      <c r="R884">
        <f>G884-W884</f>
        <v/>
      </c>
      <c r="S884" s="36" t="n">
        <v>45427</v>
      </c>
      <c r="T884" t="n">
        <v>98304</v>
      </c>
      <c r="U884" t="inlineStr">
        <is>
          <t>L001-100045340</t>
        </is>
      </c>
      <c r="V884" t="inlineStr">
        <is>
          <t xml:space="preserve">ស៊ីវ៉ា អ៊ែរ អ៊ែន អូសៀន (ខេមបូឌា) ឯ.ក </t>
        </is>
      </c>
      <c r="W884" t="n">
        <v>98304</v>
      </c>
      <c r="X884" t="n">
        <v>0</v>
      </c>
    </row>
    <row r="885">
      <c r="A885" t="n">
        <v>884</v>
      </c>
      <c r="B885" t="inlineStr">
        <is>
          <t>Cargo Terminal</t>
        </is>
      </c>
      <c r="C885" t="inlineStr">
        <is>
          <t>សូស៊ីយេតេ កុងសេស្យូនែរ ដឺ ឡាអេរ៉ូព័រ</t>
        </is>
      </c>
      <c r="D885" t="inlineStr">
        <is>
          <t>L001-100047300</t>
        </is>
      </c>
      <c r="E885" t="inlineStr">
        <is>
          <t>2400-052767</t>
        </is>
      </c>
      <c r="F885" t="inlineStr">
        <is>
          <t>08-07-2024</t>
        </is>
      </c>
      <c r="G885" t="n">
        <v>1483</v>
      </c>
      <c r="I885">
        <f>G885</f>
        <v/>
      </c>
      <c r="K885">
        <f>I885-G885</f>
        <v/>
      </c>
      <c r="M885" t="inlineStr">
        <is>
          <t>2400052767</t>
        </is>
      </c>
      <c r="N885" t="inlineStr"/>
      <c r="O885">
        <f>M885=N885</f>
        <v/>
      </c>
      <c r="P885">
        <f>AND(MONTH(F885)=MONTH(S885), YEAR(F885)=YEAR(S885))</f>
        <v/>
      </c>
      <c r="Q885">
        <f>"L001-902303751"=U885</f>
        <v/>
      </c>
      <c r="R885">
        <f>G885-W885</f>
        <v/>
      </c>
      <c r="S885" s="36" t="n">
        <v>45427</v>
      </c>
      <c r="T885" t="inlineStr"/>
      <c r="U885" t="inlineStr">
        <is>
          <t>K005-901805913</t>
        </is>
      </c>
      <c r="V885" t="inlineStr">
        <is>
          <t>ស្តារ ខង់ខដ (ខេមបូឌា) ឯ.ក</t>
        </is>
      </c>
      <c r="W885" t="n">
        <v>0</v>
      </c>
      <c r="X885" t="n">
        <v>0</v>
      </c>
    </row>
    <row r="886">
      <c r="A886" t="n">
        <v>885</v>
      </c>
      <c r="B886" t="inlineStr">
        <is>
          <t>Customs Clearance Fee</t>
        </is>
      </c>
      <c r="C886" t="inlineStr">
        <is>
          <t>ត្រាយអ៊ែងហ្គល ឡូជីស្ទីក (ខេមបូឌា) ឯ.ក</t>
        </is>
      </c>
      <c r="D886" t="inlineStr">
        <is>
          <t>K010-902101743</t>
        </is>
      </c>
      <c r="E886" t="inlineStr">
        <is>
          <t>TAG-24-00456</t>
        </is>
      </c>
      <c r="F886" t="inlineStr">
        <is>
          <t>09-07-2024</t>
        </is>
      </c>
      <c r="G886" t="n">
        <v>8232</v>
      </c>
      <c r="I886">
        <f>G886</f>
        <v/>
      </c>
      <c r="K886">
        <f>I886-G886</f>
        <v/>
      </c>
      <c r="M886" t="inlineStr">
        <is>
          <t>TAG2400456</t>
        </is>
      </c>
      <c r="N886" t="inlineStr"/>
      <c r="O886">
        <f>M886=N886</f>
        <v/>
      </c>
      <c r="P886">
        <f>AND(MONTH(F886)=MONTH(S886), YEAR(F886)=YEAR(S886))</f>
        <v/>
      </c>
      <c r="Q886">
        <f>"L001-902303751"=U886</f>
        <v/>
      </c>
      <c r="R886">
        <f>G886-W886</f>
        <v/>
      </c>
      <c r="S886" s="36" t="n">
        <v>45427</v>
      </c>
      <c r="T886" t="inlineStr"/>
      <c r="U886" t="inlineStr">
        <is>
          <t>L001-107032791</t>
        </is>
      </c>
      <c r="V886" t="inlineStr">
        <is>
          <t>នីបផន អិចប្រេស (ខេមបូឌា) ខូ អិលធីឌី</t>
        </is>
      </c>
      <c r="W886" t="n">
        <v>0</v>
      </c>
      <c r="X886" t="n">
        <v>0</v>
      </c>
    </row>
    <row r="887">
      <c r="A887" t="n">
        <v>886</v>
      </c>
      <c r="B887" t="inlineStr">
        <is>
          <t>Cargo Terminal</t>
        </is>
      </c>
      <c r="C887" t="inlineStr">
        <is>
          <t>សូស៊ីយេតេ កុងសេស្យូនែរ ដឺ ឡាអេរ៉ូព័រ</t>
        </is>
      </c>
      <c r="D887" t="inlineStr">
        <is>
          <t>L001-100047300</t>
        </is>
      </c>
      <c r="E887" t="inlineStr">
        <is>
          <t>2400-052765</t>
        </is>
      </c>
      <c r="F887" t="inlineStr">
        <is>
          <t>08-07-2024</t>
        </is>
      </c>
      <c r="G887" t="n">
        <v>2734</v>
      </c>
      <c r="I887">
        <f>G887</f>
        <v/>
      </c>
      <c r="K887">
        <f>I887-G887</f>
        <v/>
      </c>
      <c r="M887" t="inlineStr">
        <is>
          <t>2400052765</t>
        </is>
      </c>
      <c r="N887" t="inlineStr"/>
      <c r="O887">
        <f>M887=N887</f>
        <v/>
      </c>
      <c r="P887">
        <f>AND(MONTH(F887)=MONTH(S887), YEAR(F887)=YEAR(S887))</f>
        <v/>
      </c>
      <c r="Q887">
        <f>"L001-902303751"=U887</f>
        <v/>
      </c>
      <c r="R887">
        <f>G887-W887</f>
        <v/>
      </c>
      <c r="S887" s="36" t="n">
        <v>45413</v>
      </c>
      <c r="T887" t="inlineStr"/>
      <c r="U887" t="inlineStr">
        <is>
          <t>L001-100045995</t>
        </is>
      </c>
      <c r="V887" t="inlineStr">
        <is>
          <t>ឌីអេចអិល ឡូជីស្ទីក (ខេមបូឌា)</t>
        </is>
      </c>
      <c r="W887" t="n">
        <v>0</v>
      </c>
      <c r="X887" t="n">
        <v>0</v>
      </c>
    </row>
    <row r="888">
      <c r="A888" t="n">
        <v>887</v>
      </c>
      <c r="B888" t="inlineStr">
        <is>
          <t>Customs Clearance Fee</t>
        </is>
      </c>
      <c r="C888" t="inlineStr">
        <is>
          <t>ត្រាយអ៊ែងហ្គល ឡូជីស្ទីក (ខេមបូឌា) ឯ.ក</t>
        </is>
      </c>
      <c r="D888" t="inlineStr">
        <is>
          <t>K010-902101743</t>
        </is>
      </c>
      <c r="E888" t="inlineStr">
        <is>
          <t>TAG-24-00457</t>
        </is>
      </c>
      <c r="F888" t="inlineStr">
        <is>
          <t>09-07-2024</t>
        </is>
      </c>
      <c r="G888" t="n">
        <v>8232</v>
      </c>
      <c r="I888">
        <f>G888</f>
        <v/>
      </c>
      <c r="K888">
        <f>I888-G888</f>
        <v/>
      </c>
      <c r="M888" t="inlineStr">
        <is>
          <t>TAG2400457</t>
        </is>
      </c>
      <c r="N888" t="inlineStr">
        <is>
          <t>20660300</t>
        </is>
      </c>
      <c r="O888">
        <f>M888=N888</f>
        <v/>
      </c>
      <c r="P888">
        <f>AND(MONTH(F888)=MONTH(S888), YEAR(F888)=YEAR(S888))</f>
        <v/>
      </c>
      <c r="Q888">
        <f>"L001-902303751"=U888</f>
        <v/>
      </c>
      <c r="R888">
        <f>G888-W888</f>
        <v/>
      </c>
      <c r="S888" s="36" t="n">
        <v>45419</v>
      </c>
      <c r="T888" t="n">
        <v>206603</v>
      </c>
      <c r="U888" t="inlineStr">
        <is>
          <t>L001-100074669</t>
        </is>
      </c>
      <c r="V888" t="inlineStr">
        <is>
          <t>ខេអិលអិន ហ្វ្រេត (ខេមបូឌា) ឯ.ក</t>
        </is>
      </c>
      <c r="W888" t="n">
        <v>206603</v>
      </c>
      <c r="X888" t="n">
        <v>0</v>
      </c>
    </row>
    <row r="889">
      <c r="A889" t="n">
        <v>888</v>
      </c>
      <c r="B889" t="inlineStr">
        <is>
          <t>Cargo Terminal</t>
        </is>
      </c>
      <c r="C889" t="inlineStr">
        <is>
          <t>សូស៊ីយេតេ កុងសេស្យូនែរ ដឺ ឡាអេរ៉ូព័រ</t>
        </is>
      </c>
      <c r="D889" t="inlineStr">
        <is>
          <t>L001-100047300</t>
        </is>
      </c>
      <c r="E889" t="inlineStr">
        <is>
          <t>2400-052766</t>
        </is>
      </c>
      <c r="F889" t="inlineStr">
        <is>
          <t>08-07-2024</t>
        </is>
      </c>
      <c r="G889" t="n">
        <v>6755</v>
      </c>
      <c r="I889">
        <f>G889</f>
        <v/>
      </c>
      <c r="K889">
        <f>I889-G889</f>
        <v/>
      </c>
      <c r="M889" t="inlineStr">
        <is>
          <t>2400052766</t>
        </is>
      </c>
      <c r="N889" t="inlineStr"/>
      <c r="O889">
        <f>M889=N889</f>
        <v/>
      </c>
      <c r="P889">
        <f>AND(MONTH(F889)=MONTH(S889), YEAR(F889)=YEAR(S889))</f>
        <v/>
      </c>
      <c r="Q889">
        <f>"L001-902303751"=U889</f>
        <v/>
      </c>
      <c r="R889">
        <f>G889-W889</f>
        <v/>
      </c>
      <c r="S889" s="36" t="n">
        <v>45439</v>
      </c>
      <c r="T889" t="inlineStr"/>
      <c r="U889" t="inlineStr">
        <is>
          <t>K005-901805913</t>
        </is>
      </c>
      <c r="V889" t="inlineStr">
        <is>
          <t>ស្តារ ខង់ខដ (ខេមបូឌា) ឯ.ក</t>
        </is>
      </c>
      <c r="W889" t="n">
        <v>0</v>
      </c>
      <c r="X889" t="n">
        <v>0</v>
      </c>
    </row>
    <row r="890">
      <c r="A890" t="n">
        <v>889</v>
      </c>
      <c r="B890" t="inlineStr">
        <is>
          <t>Customs Clearance Fee</t>
        </is>
      </c>
      <c r="C890" t="inlineStr">
        <is>
          <t>ត្រាយអ៊ែងហ្គល ឡូជីស្ទីក (ខេមបូឌា) ឯ.ក</t>
        </is>
      </c>
      <c r="D890" t="inlineStr">
        <is>
          <t>K010-902101743</t>
        </is>
      </c>
      <c r="E890" t="inlineStr">
        <is>
          <t>TAG-24-00458</t>
        </is>
      </c>
      <c r="F890" t="inlineStr">
        <is>
          <t>09-07-2024</t>
        </is>
      </c>
      <c r="G890" t="n">
        <v>8232</v>
      </c>
      <c r="I890">
        <f>G890</f>
        <v/>
      </c>
      <c r="K890">
        <f>I890-G890</f>
        <v/>
      </c>
      <c r="M890" t="inlineStr">
        <is>
          <t>TAG2400458</t>
        </is>
      </c>
      <c r="N890" t="inlineStr"/>
      <c r="O890">
        <f>M890=N890</f>
        <v/>
      </c>
      <c r="P890">
        <f>AND(MONTH(F890)=MONTH(S890), YEAR(F890)=YEAR(S890))</f>
        <v/>
      </c>
      <c r="Q890">
        <f>"L001-902303751"=U890</f>
        <v/>
      </c>
      <c r="R890">
        <f>G890-W890</f>
        <v/>
      </c>
      <c r="S890" s="36" t="n">
        <v>45432</v>
      </c>
      <c r="T890" t="inlineStr"/>
      <c r="U890" t="inlineStr">
        <is>
          <t>L001-104015799</t>
        </is>
      </c>
      <c r="V890" t="inlineStr">
        <is>
          <t>យូសេន ឡូជីស្ទីក (ខេមបូឌា) ខូ អិលធីឌី</t>
        </is>
      </c>
      <c r="W890" t="n">
        <v>0</v>
      </c>
      <c r="X890" t="n">
        <v>0</v>
      </c>
    </row>
    <row r="891">
      <c r="A891" t="n">
        <v>890</v>
      </c>
      <c r="B891" t="inlineStr">
        <is>
          <t>Cargo Terminal</t>
        </is>
      </c>
      <c r="C891" t="inlineStr">
        <is>
          <t>សូស៊ីយេតេ កុងសេស្យូនែរ ដឺ ឡាអេរ៉ូព័រ</t>
        </is>
      </c>
      <c r="D891" t="inlineStr">
        <is>
          <t>L001-100047300</t>
        </is>
      </c>
      <c r="E891" t="inlineStr">
        <is>
          <t>2400-053128</t>
        </is>
      </c>
      <c r="F891" t="inlineStr">
        <is>
          <t>09-07-2024</t>
        </is>
      </c>
      <c r="G891" t="n">
        <v>2503</v>
      </c>
      <c r="I891">
        <f>G891</f>
        <v/>
      </c>
      <c r="K891">
        <f>I891-G891</f>
        <v/>
      </c>
      <c r="M891" t="inlineStr">
        <is>
          <t>2400053128</t>
        </is>
      </c>
      <c r="N891" t="inlineStr">
        <is>
          <t>8602500</t>
        </is>
      </c>
      <c r="O891">
        <f>M891=N891</f>
        <v/>
      </c>
      <c r="P891">
        <f>AND(MONTH(F891)=MONTH(S891), YEAR(F891)=YEAR(S891))</f>
        <v/>
      </c>
      <c r="Q891">
        <f>"L001-902303751"=U891</f>
        <v/>
      </c>
      <c r="R891">
        <f>G891-W891</f>
        <v/>
      </c>
      <c r="S891" s="36" t="n">
        <v>45432</v>
      </c>
      <c r="T891" t="n">
        <v>86025</v>
      </c>
      <c r="U891" t="inlineStr">
        <is>
          <t>L001-100045340</t>
        </is>
      </c>
      <c r="V891" t="inlineStr">
        <is>
          <t xml:space="preserve">ស៊ីវ៉ា អ៊ែរ អ៊ែន អូសៀន (ខេមបូឌា) ឯ.ក </t>
        </is>
      </c>
      <c r="W891" t="n">
        <v>86025</v>
      </c>
      <c r="X891" t="n">
        <v>0</v>
      </c>
    </row>
    <row r="892">
      <c r="A892" t="n">
        <v>891</v>
      </c>
      <c r="B892" t="inlineStr">
        <is>
          <t>Customs Clearance Fee</t>
        </is>
      </c>
      <c r="C892" t="inlineStr">
        <is>
          <t>ត្រាយអ៊ែងហ្គល ឡូជីស្ទីក (ខេមបូឌា) ឯ.ក</t>
        </is>
      </c>
      <c r="D892" t="inlineStr">
        <is>
          <t>K010-902101743</t>
        </is>
      </c>
      <c r="E892" t="inlineStr">
        <is>
          <t>TAG-24-00459</t>
        </is>
      </c>
      <c r="F892" t="inlineStr">
        <is>
          <t>09-07-2024</t>
        </is>
      </c>
      <c r="G892" t="n">
        <v>8232</v>
      </c>
      <c r="I892">
        <f>G892</f>
        <v/>
      </c>
      <c r="K892">
        <f>I892-G892</f>
        <v/>
      </c>
      <c r="M892" t="inlineStr">
        <is>
          <t>TAG2400459</t>
        </is>
      </c>
      <c r="N892" t="inlineStr"/>
      <c r="O892">
        <f>M892=N892</f>
        <v/>
      </c>
      <c r="P892">
        <f>AND(MONTH(F892)=MONTH(S892), YEAR(F892)=YEAR(S892))</f>
        <v/>
      </c>
      <c r="Q892">
        <f>"L001-902303751"=U892</f>
        <v/>
      </c>
      <c r="R892">
        <f>G892-W892</f>
        <v/>
      </c>
      <c r="S892" s="36" t="n">
        <v>45427</v>
      </c>
      <c r="T892" t="inlineStr"/>
      <c r="U892" t="inlineStr">
        <is>
          <t>L001-107032791</t>
        </is>
      </c>
      <c r="V892" t="inlineStr">
        <is>
          <t>នីបផន អិចប្រេស (ខេមបូឌា) ខូ អិលធីឌី</t>
        </is>
      </c>
      <c r="W892" t="n">
        <v>0</v>
      </c>
      <c r="X892" t="n">
        <v>0</v>
      </c>
    </row>
    <row r="893">
      <c r="A893" t="n">
        <v>892</v>
      </c>
      <c r="B893" t="inlineStr">
        <is>
          <t>Cargo Terminal</t>
        </is>
      </c>
      <c r="C893" t="inlineStr">
        <is>
          <t>សូស៊ីយេតេ កុងសេស្យូនែរ ដឺ ឡាអេរ៉ូព័រ</t>
        </is>
      </c>
      <c r="D893" t="inlineStr">
        <is>
          <t>L001-100047300</t>
        </is>
      </c>
      <c r="E893" t="inlineStr">
        <is>
          <t>2400-053127</t>
        </is>
      </c>
      <c r="F893" t="inlineStr">
        <is>
          <t>09-07-2024</t>
        </is>
      </c>
      <c r="G893" t="n">
        <v>3061</v>
      </c>
      <c r="I893">
        <f>G893</f>
        <v/>
      </c>
      <c r="K893">
        <f>I893-G893</f>
        <v/>
      </c>
      <c r="M893" t="inlineStr">
        <is>
          <t>2400053127</t>
        </is>
      </c>
      <c r="N893" t="inlineStr"/>
      <c r="O893">
        <f>M893=N893</f>
        <v/>
      </c>
      <c r="P893">
        <f>AND(MONTH(F893)=MONTH(S893), YEAR(F893)=YEAR(S893))</f>
        <v/>
      </c>
      <c r="Q893">
        <f>"L001-902303751"=U893</f>
        <v/>
      </c>
      <c r="R893">
        <f>G893-W893</f>
        <v/>
      </c>
      <c r="S893" s="36" t="n">
        <v>45419</v>
      </c>
      <c r="T893" t="inlineStr"/>
      <c r="U893" t="inlineStr">
        <is>
          <t>L001-107032791</t>
        </is>
      </c>
      <c r="V893" t="inlineStr">
        <is>
          <t>នីបផន អិចប្រេស (ខេមបូឌា) ខូ អិលធីឌី</t>
        </is>
      </c>
      <c r="W893" t="n">
        <v>0</v>
      </c>
      <c r="X893" t="n">
        <v>0</v>
      </c>
    </row>
    <row r="894">
      <c r="A894" t="n">
        <v>893</v>
      </c>
      <c r="B894" t="inlineStr">
        <is>
          <t>Customs Clearance Fee</t>
        </is>
      </c>
      <c r="C894" t="inlineStr">
        <is>
          <t>ត្រាយអ៊ែងហ្គល ឡូជីស្ទីក (ខេមបូឌា) ឯ.ក</t>
        </is>
      </c>
      <c r="D894" t="inlineStr">
        <is>
          <t>K010-902101743</t>
        </is>
      </c>
      <c r="E894" t="inlineStr">
        <is>
          <t>TAG-24-00462</t>
        </is>
      </c>
      <c r="F894" t="inlineStr">
        <is>
          <t>11-07-2024</t>
        </is>
      </c>
      <c r="G894" t="n">
        <v>8220</v>
      </c>
      <c r="I894">
        <f>G894</f>
        <v/>
      </c>
      <c r="K894">
        <f>I894-G894</f>
        <v/>
      </c>
      <c r="M894" t="inlineStr">
        <is>
          <t>TAG2400462</t>
        </is>
      </c>
      <c r="N894" t="inlineStr">
        <is>
          <t>24066800</t>
        </is>
      </c>
      <c r="O894">
        <f>M894=N894</f>
        <v/>
      </c>
      <c r="P894">
        <f>AND(MONTH(F894)=MONTH(S894), YEAR(F894)=YEAR(S894))</f>
        <v/>
      </c>
      <c r="Q894">
        <f>"L001-902303751"=U894</f>
        <v/>
      </c>
      <c r="R894">
        <f>G894-W894</f>
        <v/>
      </c>
      <c r="S894" s="36" t="n">
        <v>45413</v>
      </c>
      <c r="T894" t="n">
        <v>240668</v>
      </c>
      <c r="U894" t="inlineStr">
        <is>
          <t>K009-107034735</t>
        </is>
      </c>
      <c r="V894" t="inlineStr">
        <is>
          <t>ស៊ីប៊ីជី ឡូជីស្ទីក (ខេមបូឌា)</t>
        </is>
      </c>
      <c r="W894" t="n">
        <v>240668</v>
      </c>
      <c r="X894" t="n">
        <v>0</v>
      </c>
    </row>
    <row r="895">
      <c r="A895" t="n">
        <v>894</v>
      </c>
      <c r="B895" t="inlineStr">
        <is>
          <t>Cargo Terminal</t>
        </is>
      </c>
      <c r="C895" t="inlineStr">
        <is>
          <t>សូស៊ីយេតេ កុងសេស្យូនែរ ដឺ ឡាអេរ៉ូព័រ</t>
        </is>
      </c>
      <c r="D895" t="inlineStr">
        <is>
          <t>L001-100047300</t>
        </is>
      </c>
      <c r="E895" t="inlineStr">
        <is>
          <t>2400-053798</t>
        </is>
      </c>
      <c r="F895" t="inlineStr">
        <is>
          <t>11-07-2024</t>
        </is>
      </c>
      <c r="G895" t="n">
        <v>2862</v>
      </c>
      <c r="I895">
        <f>G895</f>
        <v/>
      </c>
      <c r="K895">
        <f>I895-G895</f>
        <v/>
      </c>
      <c r="M895" t="inlineStr">
        <is>
          <t>2400053798</t>
        </is>
      </c>
      <c r="N895" t="inlineStr"/>
      <c r="O895">
        <f>M895=N895</f>
        <v/>
      </c>
      <c r="P895">
        <f>AND(MONTH(F895)=MONTH(S895), YEAR(F895)=YEAR(S895))</f>
        <v/>
      </c>
      <c r="Q895">
        <f>"L001-902303751"=U895</f>
        <v/>
      </c>
      <c r="R895">
        <f>G895-W895</f>
        <v/>
      </c>
      <c r="S895" s="36" t="n">
        <v>45439</v>
      </c>
      <c r="T895" t="inlineStr"/>
      <c r="U895" t="inlineStr">
        <is>
          <t>L001-100074669</t>
        </is>
      </c>
      <c r="V895" t="inlineStr">
        <is>
          <t>ខេអិលអិន ហ្វ្រេត (ខេមបូឌា) ឯ.ក</t>
        </is>
      </c>
      <c r="W895" t="n">
        <v>0</v>
      </c>
      <c r="X895" t="n">
        <v>0</v>
      </c>
    </row>
    <row r="896">
      <c r="A896" t="n">
        <v>895</v>
      </c>
      <c r="B896" t="inlineStr">
        <is>
          <t>Customs Clearance Fee</t>
        </is>
      </c>
      <c r="C896" t="inlineStr">
        <is>
          <t>ត្រាយអ៊ែងហ្គល ឡូជីស្ទីក (ខេមបូឌា) ឯ.ក</t>
        </is>
      </c>
      <c r="D896" t="inlineStr">
        <is>
          <t>K010-902101743</t>
        </is>
      </c>
      <c r="E896" t="inlineStr">
        <is>
          <t>TAG-24-00463</t>
        </is>
      </c>
      <c r="F896" t="inlineStr">
        <is>
          <t>12-07-2024</t>
        </is>
      </c>
      <c r="G896" t="n">
        <v>8212</v>
      </c>
      <c r="I896">
        <f>G896</f>
        <v/>
      </c>
      <c r="K896">
        <f>I896-G896</f>
        <v/>
      </c>
      <c r="M896" t="inlineStr">
        <is>
          <t>TAG2400463</t>
        </is>
      </c>
      <c r="N896" t="inlineStr"/>
      <c r="O896">
        <f>M896=N896</f>
        <v/>
      </c>
      <c r="P896">
        <f>AND(MONTH(F896)=MONTH(S896), YEAR(F896)=YEAR(S896))</f>
        <v/>
      </c>
      <c r="Q896">
        <f>"L001-902303751"=U896</f>
        <v/>
      </c>
      <c r="R896">
        <f>G896-W896</f>
        <v/>
      </c>
      <c r="S896" s="36" t="n">
        <v>45439</v>
      </c>
      <c r="T896" t="inlineStr"/>
      <c r="U896" t="inlineStr">
        <is>
          <t>L001-107032791</t>
        </is>
      </c>
      <c r="V896" t="inlineStr">
        <is>
          <t>នីបផន អិចប្រេស (ខេមបូឌា) ខូ អិលធីឌី</t>
        </is>
      </c>
      <c r="W896" t="n">
        <v>0</v>
      </c>
      <c r="X896" t="n">
        <v>0</v>
      </c>
    </row>
    <row r="897">
      <c r="A897" t="n">
        <v>896</v>
      </c>
      <c r="B897" t="inlineStr">
        <is>
          <t>Cargo Terminal</t>
        </is>
      </c>
      <c r="C897" t="inlineStr">
        <is>
          <t>សូស៊ីយេតេ កុងសេស្យូនែរ ដឺ ឡាអេរ៉ូព័រ</t>
        </is>
      </c>
      <c r="D897" t="inlineStr">
        <is>
          <t>L001-100047300</t>
        </is>
      </c>
      <c r="E897" t="inlineStr">
        <is>
          <t>2400-054129</t>
        </is>
      </c>
      <c r="F897" t="inlineStr">
        <is>
          <t>12-07-2024</t>
        </is>
      </c>
      <c r="G897" t="n">
        <v>4140</v>
      </c>
      <c r="I897">
        <f>G897</f>
        <v/>
      </c>
      <c r="K897">
        <f>I897-G897</f>
        <v/>
      </c>
      <c r="M897" t="inlineStr">
        <is>
          <t>2400054129</t>
        </is>
      </c>
      <c r="N897" t="inlineStr">
        <is>
          <t>11222800</t>
        </is>
      </c>
      <c r="O897">
        <f>M897=N897</f>
        <v/>
      </c>
      <c r="P897">
        <f>AND(MONTH(F897)=MONTH(S897), YEAR(F897)=YEAR(S897))</f>
        <v/>
      </c>
      <c r="Q897">
        <f>"L001-902303751"=U897</f>
        <v/>
      </c>
      <c r="R897">
        <f>G897-W897</f>
        <v/>
      </c>
      <c r="S897" s="36" t="n">
        <v>45439</v>
      </c>
      <c r="T897" t="n">
        <v>112228</v>
      </c>
      <c r="U897" t="inlineStr">
        <is>
          <t>L001-107032791</t>
        </is>
      </c>
      <c r="V897" t="inlineStr">
        <is>
          <t>នីបផន អិចប្រេស (ខេមបូឌា) ខូ អិលធីឌី</t>
        </is>
      </c>
      <c r="W897" t="n">
        <v>112228</v>
      </c>
      <c r="X897" t="n">
        <v>0</v>
      </c>
    </row>
    <row r="898">
      <c r="A898" t="n">
        <v>897</v>
      </c>
      <c r="B898" t="inlineStr">
        <is>
          <t>Customs Clearance Fee</t>
        </is>
      </c>
      <c r="C898" t="inlineStr">
        <is>
          <t>ត្រាយអ៊ែងហ្គល ឡូជីស្ទីក (ខេមបូឌា) ឯ.ក</t>
        </is>
      </c>
      <c r="D898" t="inlineStr">
        <is>
          <t>K010-902101743</t>
        </is>
      </c>
      <c r="E898" t="inlineStr">
        <is>
          <t>TAG-24-00464</t>
        </is>
      </c>
      <c r="F898" t="inlineStr">
        <is>
          <t>12-07-2024</t>
        </is>
      </c>
      <c r="G898" t="n">
        <v>8212</v>
      </c>
      <c r="I898">
        <f>G898</f>
        <v/>
      </c>
      <c r="K898">
        <f>I898-G898</f>
        <v/>
      </c>
      <c r="M898" t="inlineStr">
        <is>
          <t>TAG2400464</t>
        </is>
      </c>
      <c r="N898" t="inlineStr">
        <is>
          <t>8359900</t>
        </is>
      </c>
      <c r="O898">
        <f>M898=N898</f>
        <v/>
      </c>
      <c r="P898">
        <f>AND(MONTH(F898)=MONTH(S898), YEAR(F898)=YEAR(S898))</f>
        <v/>
      </c>
      <c r="Q898">
        <f>"L001-902303751"=U898</f>
        <v/>
      </c>
      <c r="R898">
        <f>G898-W898</f>
        <v/>
      </c>
      <c r="S898" s="36" t="n">
        <v>45429</v>
      </c>
      <c r="T898" t="n">
        <v>83599</v>
      </c>
      <c r="U898" t="inlineStr">
        <is>
          <t>K005-100099521</t>
        </is>
      </c>
      <c r="V898" t="inlineStr">
        <is>
          <t>ខាហ្គោផត (ខេមបូឌា)</t>
        </is>
      </c>
      <c r="W898" t="n">
        <v>83599</v>
      </c>
      <c r="X898" t="n">
        <v>0</v>
      </c>
    </row>
    <row r="899">
      <c r="A899" t="n">
        <v>898</v>
      </c>
      <c r="B899" t="inlineStr">
        <is>
          <t>Cargo Terminal</t>
        </is>
      </c>
      <c r="C899" t="inlineStr">
        <is>
          <t>សូស៊ីយេតេ កុងសេស្យូនែរ ដឺ ឡាអេរ៉ូព័រ</t>
        </is>
      </c>
      <c r="D899" t="inlineStr">
        <is>
          <t>L001-100047300</t>
        </is>
      </c>
      <c r="E899" t="inlineStr">
        <is>
          <t>2400-055463</t>
        </is>
      </c>
      <c r="F899" t="inlineStr">
        <is>
          <t>16-07-2024</t>
        </is>
      </c>
      <c r="G899" t="n">
        <v>2758</v>
      </c>
      <c r="I899">
        <f>G899</f>
        <v/>
      </c>
      <c r="K899">
        <f>I899-G899</f>
        <v/>
      </c>
      <c r="M899" t="inlineStr">
        <is>
          <t>2400055463</t>
        </is>
      </c>
      <c r="N899" t="inlineStr"/>
      <c r="O899">
        <f>M899=N899</f>
        <v/>
      </c>
      <c r="P899">
        <f>AND(MONTH(F899)=MONTH(S899), YEAR(F899)=YEAR(S899))</f>
        <v/>
      </c>
      <c r="Q899">
        <f>"L001-902303751"=U899</f>
        <v/>
      </c>
      <c r="R899">
        <f>G899-W899</f>
        <v/>
      </c>
      <c r="S899" s="36" t="n">
        <v>45432</v>
      </c>
      <c r="T899" t="inlineStr"/>
      <c r="U899" t="inlineStr">
        <is>
          <t>L001-107032791</t>
        </is>
      </c>
      <c r="V899" t="inlineStr">
        <is>
          <t>នីបផន អិចប្រេស (ខេមបូឌា) ខូ អិលធីឌី</t>
        </is>
      </c>
      <c r="W899" t="n">
        <v>0</v>
      </c>
      <c r="X899" t="n">
        <v>0</v>
      </c>
    </row>
    <row r="900">
      <c r="A900" t="n">
        <v>899</v>
      </c>
      <c r="B900" t="inlineStr">
        <is>
          <t>Customs Clearance Fee</t>
        </is>
      </c>
      <c r="C900" t="inlineStr">
        <is>
          <t>ត្រាយអ៊ែងហ្គល ឡូជីស្ទីក (ខេមបូឌា) ឯ.ក</t>
        </is>
      </c>
      <c r="D900" t="inlineStr">
        <is>
          <t>K010-902101743</t>
        </is>
      </c>
      <c r="E900" t="inlineStr">
        <is>
          <t>TAG-24-00481</t>
        </is>
      </c>
      <c r="F900" t="inlineStr">
        <is>
          <t>22-07-2024</t>
        </is>
      </c>
      <c r="G900" t="n">
        <v>8218</v>
      </c>
      <c r="I900">
        <f>G900</f>
        <v/>
      </c>
      <c r="K900">
        <f>I900-G900</f>
        <v/>
      </c>
      <c r="M900" t="inlineStr">
        <is>
          <t>TAG2400481</t>
        </is>
      </c>
      <c r="N900" t="inlineStr">
        <is>
          <t>11217300</t>
        </is>
      </c>
      <c r="O900">
        <f>M900=N900</f>
        <v/>
      </c>
      <c r="P900">
        <f>AND(MONTH(F900)=MONTH(S900), YEAR(F900)=YEAR(S900))</f>
        <v/>
      </c>
      <c r="Q900">
        <f>"L001-902303751"=U900</f>
        <v/>
      </c>
      <c r="R900">
        <f>G900-W900</f>
        <v/>
      </c>
      <c r="S900" s="36" t="n">
        <v>45427</v>
      </c>
      <c r="T900" t="n">
        <v>112173</v>
      </c>
      <c r="U900" t="inlineStr">
        <is>
          <t>L001-107032791</t>
        </is>
      </c>
      <c r="V900" t="inlineStr">
        <is>
          <t>នីបផន អិចប្រេស (ខេមបូឌា) ខូ អិលធីឌី</t>
        </is>
      </c>
      <c r="W900" t="n">
        <v>112173</v>
      </c>
      <c r="X900" t="n">
        <v>0</v>
      </c>
    </row>
    <row r="901">
      <c r="A901" t="n">
        <v>900</v>
      </c>
      <c r="B901" t="inlineStr">
        <is>
          <t>Cargo Terminal</t>
        </is>
      </c>
      <c r="C901" t="inlineStr">
        <is>
          <t>សូស៊ីយេតេ កុងសេស្យូនែរ ដឺ ឡាអេរ៉ូព័រ</t>
        </is>
      </c>
      <c r="D901" t="inlineStr">
        <is>
          <t>L001-100047300</t>
        </is>
      </c>
      <c r="E901" t="inlineStr">
        <is>
          <t>2400-055464</t>
        </is>
      </c>
      <c r="F901" t="inlineStr">
        <is>
          <t>16-07-2024</t>
        </is>
      </c>
      <c r="G901" t="n">
        <v>12516</v>
      </c>
      <c r="I901">
        <f>G901</f>
        <v/>
      </c>
      <c r="K901">
        <f>I901-G901</f>
        <v/>
      </c>
      <c r="M901" t="inlineStr">
        <is>
          <t>2400055464</t>
        </is>
      </c>
      <c r="N901" t="inlineStr">
        <is>
          <t>421151300</t>
        </is>
      </c>
      <c r="O901">
        <f>M901=N901</f>
        <v/>
      </c>
      <c r="P901">
        <f>AND(MONTH(F901)=MONTH(S901), YEAR(F901)=YEAR(S901))</f>
        <v/>
      </c>
      <c r="Q901">
        <f>"L001-902303751"=U901</f>
        <v/>
      </c>
      <c r="R901">
        <f>G901-W901</f>
        <v/>
      </c>
      <c r="S901" s="36" t="n">
        <v>45419</v>
      </c>
      <c r="T901" t="n">
        <v>4211513</v>
      </c>
      <c r="U901" t="inlineStr">
        <is>
          <t>K004-105012505</t>
        </is>
      </c>
      <c r="V901" t="inlineStr">
        <is>
          <t>អេស៊ាន ហ្វ្រេត (ខេមបូឌា)</t>
        </is>
      </c>
      <c r="W901" t="n">
        <v>4211513</v>
      </c>
      <c r="X901" t="n">
        <v>0</v>
      </c>
    </row>
    <row r="902">
      <c r="A902" t="n">
        <v>901</v>
      </c>
      <c r="B902" t="inlineStr">
        <is>
          <t>Customs Clearance Fee</t>
        </is>
      </c>
      <c r="C902" t="inlineStr">
        <is>
          <t>ត្រាយអ៊ែងហ្គល ឡូជីស្ទីក (ខេមបូឌា) ឯ.ក</t>
        </is>
      </c>
      <c r="D902" t="inlineStr">
        <is>
          <t>K010-902101743</t>
        </is>
      </c>
      <c r="E902" t="inlineStr">
        <is>
          <t>TAG-24-00482</t>
        </is>
      </c>
      <c r="F902" t="inlineStr">
        <is>
          <t>22-07-2024</t>
        </is>
      </c>
      <c r="G902" t="n">
        <v>8218</v>
      </c>
      <c r="I902">
        <f>G902</f>
        <v/>
      </c>
      <c r="K902">
        <f>I902-G902</f>
        <v/>
      </c>
      <c r="M902" t="inlineStr">
        <is>
          <t>TAG2400482</t>
        </is>
      </c>
      <c r="N902" t="inlineStr"/>
      <c r="O902">
        <f>M902=N902</f>
        <v/>
      </c>
      <c r="P902">
        <f>AND(MONTH(F902)=MONTH(S902), YEAR(F902)=YEAR(S902))</f>
        <v/>
      </c>
      <c r="Q902">
        <f>"L001-902303751"=U902</f>
        <v/>
      </c>
      <c r="R902">
        <f>G902-W902</f>
        <v/>
      </c>
      <c r="S902" s="36" t="n">
        <v>45419</v>
      </c>
      <c r="T902" t="inlineStr"/>
      <c r="U902" t="inlineStr">
        <is>
          <t>L001-107032791</t>
        </is>
      </c>
      <c r="V902" t="inlineStr">
        <is>
          <t>នីបផន អិចប្រេស (ខេមបូឌា) ខូ អិលធីឌី</t>
        </is>
      </c>
      <c r="W902" t="n">
        <v>0</v>
      </c>
      <c r="X902" t="n">
        <v>0</v>
      </c>
    </row>
    <row r="903">
      <c r="A903" t="n">
        <v>902</v>
      </c>
      <c r="B903" t="inlineStr">
        <is>
          <t>Cargo Terminal</t>
        </is>
      </c>
      <c r="C903" t="inlineStr">
        <is>
          <t>សូស៊ីយេតេ កុងសេស្យូនែរ ដឺ ឡាអេរ៉ូព័រ</t>
        </is>
      </c>
      <c r="D903" t="inlineStr">
        <is>
          <t>L001-100047300</t>
        </is>
      </c>
      <c r="E903" t="inlineStr">
        <is>
          <t>2400-055908</t>
        </is>
      </c>
      <c r="F903" t="inlineStr">
        <is>
          <t>18-07-2024</t>
        </is>
      </c>
      <c r="G903" t="n">
        <v>1411</v>
      </c>
      <c r="I903">
        <f>G903</f>
        <v/>
      </c>
      <c r="K903">
        <f>I903-G903</f>
        <v/>
      </c>
      <c r="M903" t="inlineStr">
        <is>
          <t>2400055908</t>
        </is>
      </c>
      <c r="N903" t="inlineStr">
        <is>
          <t>11467600</t>
        </is>
      </c>
      <c r="O903">
        <f>M903=N903</f>
        <v/>
      </c>
      <c r="P903">
        <f>AND(MONTH(F903)=MONTH(S903), YEAR(F903)=YEAR(S903))</f>
        <v/>
      </c>
      <c r="Q903">
        <f>"L001-902303751"=U903</f>
        <v/>
      </c>
      <c r="R903">
        <f>G903-W903</f>
        <v/>
      </c>
      <c r="S903" s="36" t="n">
        <v>45439</v>
      </c>
      <c r="T903" t="n">
        <v>114676</v>
      </c>
      <c r="U903" t="inlineStr">
        <is>
          <t>L001-100074669</t>
        </is>
      </c>
      <c r="V903" t="inlineStr">
        <is>
          <t>ខេអិលអិន ហ្វ្រេត (ខេមបូឌា) ឯ.ក</t>
        </is>
      </c>
      <c r="W903" t="n">
        <v>114676</v>
      </c>
      <c r="X903" t="n">
        <v>0</v>
      </c>
    </row>
    <row r="904">
      <c r="A904" t="n">
        <v>903</v>
      </c>
      <c r="B904" t="inlineStr">
        <is>
          <t>Customs Clearance Fee</t>
        </is>
      </c>
      <c r="C904" t="inlineStr">
        <is>
          <t>ត្រាយអ៊ែងហ្គល ឡូជីស្ទីក (ខេមបូឌា) ឯ.ក</t>
        </is>
      </c>
      <c r="D904" t="inlineStr">
        <is>
          <t>K010-902101743</t>
        </is>
      </c>
      <c r="E904" t="inlineStr">
        <is>
          <t>TAG-24-00484</t>
        </is>
      </c>
      <c r="F904" t="inlineStr">
        <is>
          <t>24-07-2024</t>
        </is>
      </c>
      <c r="G904" t="n">
        <v>8214</v>
      </c>
      <c r="I904">
        <f>G904</f>
        <v/>
      </c>
      <c r="K904">
        <f>I904-G904</f>
        <v/>
      </c>
      <c r="M904" t="inlineStr">
        <is>
          <t>TAG2400484</t>
        </is>
      </c>
      <c r="N904" t="inlineStr">
        <is>
          <t>8366100</t>
        </is>
      </c>
      <c r="O904">
        <f>M904=N904</f>
        <v/>
      </c>
      <c r="P904">
        <f>AND(MONTH(F904)=MONTH(S904), YEAR(F904)=YEAR(S904))</f>
        <v/>
      </c>
      <c r="Q904">
        <f>"L001-902303751"=U904</f>
        <v/>
      </c>
      <c r="R904">
        <f>G904-W904</f>
        <v/>
      </c>
      <c r="S904" s="36" t="n">
        <v>45439</v>
      </c>
      <c r="T904" t="n">
        <v>83661</v>
      </c>
      <c r="U904" t="inlineStr">
        <is>
          <t>K002-901800477</t>
        </is>
      </c>
      <c r="V904" t="inlineStr">
        <is>
          <t>អាយធីអាយ អ៊ិនធើណេសិនណល ត្រេនស័្ពរថេសិន (ខេមបូឌា) ឯ.ក</t>
        </is>
      </c>
      <c r="W904" t="n">
        <v>83661</v>
      </c>
      <c r="X904" t="n">
        <v>0</v>
      </c>
    </row>
    <row r="905">
      <c r="A905" t="n">
        <v>904</v>
      </c>
      <c r="B905" t="inlineStr">
        <is>
          <t>Cargo Terminal</t>
        </is>
      </c>
      <c r="C905" t="inlineStr">
        <is>
          <t>សូស៊ីយេតេ កុងសេស្យូនែរ ដឺ ឡាអេរ៉ូព័រ</t>
        </is>
      </c>
      <c r="D905" t="inlineStr">
        <is>
          <t>L001-100047300</t>
        </is>
      </c>
      <c r="E905" t="inlineStr">
        <is>
          <t>2400-057671</t>
        </is>
      </c>
      <c r="F905" t="inlineStr">
        <is>
          <t>23-07-2024</t>
        </is>
      </c>
      <c r="G905" t="n">
        <v>2398</v>
      </c>
      <c r="I905">
        <f>G905</f>
        <v/>
      </c>
      <c r="K905">
        <f>I905-G905</f>
        <v/>
      </c>
      <c r="M905" t="inlineStr">
        <is>
          <t>2400057671</t>
        </is>
      </c>
      <c r="N905" t="inlineStr"/>
      <c r="O905">
        <f>M905=N905</f>
        <v/>
      </c>
      <c r="P905">
        <f>AND(MONTH(F905)=MONTH(S905), YEAR(F905)=YEAR(S905))</f>
        <v/>
      </c>
      <c r="Q905">
        <f>"L001-902303751"=U905</f>
        <v/>
      </c>
      <c r="R905">
        <f>G905-W905</f>
        <v/>
      </c>
      <c r="S905" s="36" t="n">
        <v>45427</v>
      </c>
      <c r="T905" t="inlineStr"/>
      <c r="U905" t="inlineStr">
        <is>
          <t>L001-100045340</t>
        </is>
      </c>
      <c r="V905" t="inlineStr">
        <is>
          <t xml:space="preserve">ស៊ីវ៉ា អ៊ែរ អ៊ែន អូសៀន (ខេមបូឌា) ឯ.ក </t>
        </is>
      </c>
      <c r="W905" t="n">
        <v>0</v>
      </c>
      <c r="X905" t="n">
        <v>0</v>
      </c>
    </row>
    <row r="906">
      <c r="A906" t="n">
        <v>905</v>
      </c>
      <c r="B906" t="inlineStr">
        <is>
          <t>Customs Clearance Fee</t>
        </is>
      </c>
      <c r="C906" t="inlineStr">
        <is>
          <t>ត្រាយអ៊ែងហ្គល ឡូជីស្ទីក (ខេមបូឌា) ឯ.ក</t>
        </is>
      </c>
      <c r="D906" t="inlineStr">
        <is>
          <t>K010-902101743</t>
        </is>
      </c>
      <c r="E906" t="inlineStr">
        <is>
          <t>TAG-24-00485</t>
        </is>
      </c>
      <c r="F906" t="inlineStr">
        <is>
          <t>24-07-2024</t>
        </is>
      </c>
      <c r="G906" t="n">
        <v>8214</v>
      </c>
      <c r="I906">
        <f>G906</f>
        <v/>
      </c>
      <c r="K906">
        <f>I906-G906</f>
        <v/>
      </c>
      <c r="M906" t="inlineStr">
        <is>
          <t>TAG2400485</t>
        </is>
      </c>
      <c r="N906" t="inlineStr">
        <is>
          <t>8359900</t>
        </is>
      </c>
      <c r="O906">
        <f>M906=N906</f>
        <v/>
      </c>
      <c r="P906">
        <f>AND(MONTH(F906)=MONTH(S906), YEAR(F906)=YEAR(S906))</f>
        <v/>
      </c>
      <c r="Q906">
        <f>"L001-902303751"=U906</f>
        <v/>
      </c>
      <c r="R906">
        <f>G906-W906</f>
        <v/>
      </c>
      <c r="S906" s="36" t="n">
        <v>45429</v>
      </c>
      <c r="T906" t="n">
        <v>83599</v>
      </c>
      <c r="U906" t="inlineStr">
        <is>
          <t>K009-107034735</t>
        </is>
      </c>
      <c r="V906" t="inlineStr">
        <is>
          <t>ស៊ីប៊ីជី ឡូជីស្ទីក (ខេមបូឌា)</t>
        </is>
      </c>
      <c r="W906" t="n">
        <v>83599</v>
      </c>
      <c r="X906" t="n">
        <v>0</v>
      </c>
    </row>
    <row r="907">
      <c r="A907" t="n">
        <v>906</v>
      </c>
      <c r="B907" t="inlineStr">
        <is>
          <t>Cargo Terminal</t>
        </is>
      </c>
      <c r="C907" t="inlineStr">
        <is>
          <t>សូស៊ីយេតេ កុងសេស្យូនែរ ដឺ ឡាអេរ៉ូព័រ</t>
        </is>
      </c>
      <c r="D907" t="inlineStr">
        <is>
          <t>L001-100047300</t>
        </is>
      </c>
      <c r="E907" t="inlineStr">
        <is>
          <t>2400-057669</t>
        </is>
      </c>
      <c r="F907" t="inlineStr">
        <is>
          <t>23-07-2024</t>
        </is>
      </c>
      <c r="G907" t="n">
        <v>10976</v>
      </c>
      <c r="I907">
        <f>G907</f>
        <v/>
      </c>
      <c r="K907">
        <f>I907-G907</f>
        <v/>
      </c>
      <c r="M907" t="inlineStr">
        <is>
          <t>2400057669</t>
        </is>
      </c>
      <c r="N907" t="inlineStr"/>
      <c r="O907">
        <f>M907=N907</f>
        <v/>
      </c>
      <c r="P907">
        <f>AND(MONTH(F907)=MONTH(S907), YEAR(F907)=YEAR(S907))</f>
        <v/>
      </c>
      <c r="Q907">
        <f>"L001-902303751"=U907</f>
        <v/>
      </c>
      <c r="R907">
        <f>G907-W907</f>
        <v/>
      </c>
      <c r="S907" s="36" t="n">
        <v>45418</v>
      </c>
      <c r="T907" t="inlineStr"/>
      <c r="U907" t="inlineStr">
        <is>
          <t>K003-901635943</t>
        </is>
      </c>
      <c r="V907" t="inlineStr">
        <is>
          <t>អ៊ីឃ្យូឡាញ វើលវ៉ាយដ៍ ឡូជីស្ទីក</t>
        </is>
      </c>
      <c r="W907" t="n">
        <v>0</v>
      </c>
      <c r="X907" t="n">
        <v>0</v>
      </c>
    </row>
    <row r="908">
      <c r="A908" t="n">
        <v>907</v>
      </c>
      <c r="B908" t="inlineStr">
        <is>
          <t>Customs Clearance Fee</t>
        </is>
      </c>
      <c r="C908" t="inlineStr">
        <is>
          <t>ត្រាយអ៊ែងហ្គល ឡូជីស្ទីក (ខេមបូឌា) ឯ.ក</t>
        </is>
      </c>
      <c r="D908" t="inlineStr">
        <is>
          <t>K010-902101743</t>
        </is>
      </c>
      <c r="E908" t="inlineStr">
        <is>
          <t>TAG-24-00486</t>
        </is>
      </c>
      <c r="F908" t="inlineStr">
        <is>
          <t>24-07-2024</t>
        </is>
      </c>
      <c r="G908" t="n">
        <v>8214</v>
      </c>
      <c r="I908">
        <f>G908</f>
        <v/>
      </c>
      <c r="K908">
        <f>I908-G908</f>
        <v/>
      </c>
      <c r="M908" t="inlineStr">
        <is>
          <t>TAG2400486</t>
        </is>
      </c>
      <c r="N908" t="inlineStr"/>
      <c r="O908">
        <f>M908=N908</f>
        <v/>
      </c>
      <c r="P908">
        <f>AND(MONTH(F908)=MONTH(S908), YEAR(F908)=YEAR(S908))</f>
        <v/>
      </c>
      <c r="Q908">
        <f>"L001-902303751"=U908</f>
        <v/>
      </c>
      <c r="R908">
        <f>G908-W908</f>
        <v/>
      </c>
      <c r="S908" s="36" t="n">
        <v>45413</v>
      </c>
      <c r="T908" t="inlineStr"/>
      <c r="U908" t="inlineStr">
        <is>
          <t>L001-100045340</t>
        </is>
      </c>
      <c r="V908" t="inlineStr">
        <is>
          <t xml:space="preserve">ស៊ីវ៉ា អ៊ែរ អ៊ែន អូសៀន (ខេមបូឌា) ឯ.ក </t>
        </is>
      </c>
      <c r="W908" t="n">
        <v>0</v>
      </c>
      <c r="X908" t="n">
        <v>0</v>
      </c>
    </row>
    <row r="909">
      <c r="A909" t="n">
        <v>908</v>
      </c>
      <c r="B909" t="inlineStr">
        <is>
          <t>Cargo Terminal</t>
        </is>
      </c>
      <c r="C909" t="inlineStr">
        <is>
          <t>សូស៊ីយេតេ កុងសេស្យូនែរ ដឺ ឡាអេរ៉ូព័រ</t>
        </is>
      </c>
      <c r="D909" t="inlineStr">
        <is>
          <t>L001-100047300</t>
        </is>
      </c>
      <c r="E909" t="inlineStr">
        <is>
          <t>2400-057668</t>
        </is>
      </c>
      <c r="F909" t="inlineStr">
        <is>
          <t>23-07-2024</t>
        </is>
      </c>
      <c r="G909" t="n">
        <v>17549</v>
      </c>
      <c r="I909">
        <f>G909</f>
        <v/>
      </c>
      <c r="K909">
        <f>I909-G909</f>
        <v/>
      </c>
      <c r="M909" t="inlineStr">
        <is>
          <t>2400057668</t>
        </is>
      </c>
      <c r="N909" t="inlineStr">
        <is>
          <t>12639000</t>
        </is>
      </c>
      <c r="O909">
        <f>M909=N909</f>
        <v/>
      </c>
      <c r="P909">
        <f>AND(MONTH(F909)=MONTH(S909), YEAR(F909)=YEAR(S909))</f>
        <v/>
      </c>
      <c r="Q909">
        <f>"L001-902303751"=U909</f>
        <v/>
      </c>
      <c r="R909">
        <f>G909-W909</f>
        <v/>
      </c>
      <c r="S909" s="36" t="n">
        <v>45413</v>
      </c>
      <c r="T909" t="n">
        <v>126390</v>
      </c>
      <c r="U909" t="inlineStr">
        <is>
          <t>L001-100045340</t>
        </is>
      </c>
      <c r="V909" t="inlineStr">
        <is>
          <t xml:space="preserve">ស៊ីវ៉ា អ៊ែរ អ៊ែន អូសៀន (ខេមបូឌា) ឯ.ក </t>
        </is>
      </c>
      <c r="W909" t="n">
        <v>126390</v>
      </c>
      <c r="X909" t="n">
        <v>0</v>
      </c>
    </row>
    <row r="910">
      <c r="A910" t="n">
        <v>909</v>
      </c>
      <c r="B910" t="inlineStr">
        <is>
          <t>Customs Clearance Fee</t>
        </is>
      </c>
      <c r="C910" t="inlineStr">
        <is>
          <t>ត្រាយអ៊ែងហ្គល ឡូជីស្ទីក (ខេមបូឌា) ឯ.ក</t>
        </is>
      </c>
      <c r="D910" t="inlineStr">
        <is>
          <t>K010-902101743</t>
        </is>
      </c>
      <c r="E910" t="inlineStr">
        <is>
          <t>TAG-24-00487</t>
        </is>
      </c>
      <c r="F910" t="inlineStr">
        <is>
          <t>24-07-2024</t>
        </is>
      </c>
      <c r="G910" t="n">
        <v>8214</v>
      </c>
      <c r="I910">
        <f>G910</f>
        <v/>
      </c>
      <c r="K910">
        <f>I910-G910</f>
        <v/>
      </c>
      <c r="M910" t="inlineStr">
        <is>
          <t>TAG2400487</t>
        </is>
      </c>
      <c r="N910" t="inlineStr"/>
      <c r="O910">
        <f>M910=N910</f>
        <v/>
      </c>
      <c r="P910">
        <f>AND(MONTH(F910)=MONTH(S910), YEAR(F910)=YEAR(S910))</f>
        <v/>
      </c>
      <c r="Q910">
        <f>"L001-902303751"=U910</f>
        <v/>
      </c>
      <c r="R910">
        <f>G910-W910</f>
        <v/>
      </c>
      <c r="S910" s="36" t="n">
        <v>45413</v>
      </c>
      <c r="T910" t="inlineStr"/>
      <c r="U910" t="inlineStr">
        <is>
          <t>L001-100045995</t>
        </is>
      </c>
      <c r="V910" t="inlineStr">
        <is>
          <t>ឌីអេចអិល ឡូជីស្ទីក (ខេមបូឌា)</t>
        </is>
      </c>
      <c r="W910" t="n">
        <v>0</v>
      </c>
      <c r="X910" t="n">
        <v>0</v>
      </c>
    </row>
    <row r="911">
      <c r="A911" t="n">
        <v>910</v>
      </c>
      <c r="B911" t="inlineStr">
        <is>
          <t>Cargo Terminal</t>
        </is>
      </c>
      <c r="C911" t="inlineStr">
        <is>
          <t>សូស៊ីយេតេ កុងសេស្យូនែរ ដឺ ឡាអេរ៉ូព័រ</t>
        </is>
      </c>
      <c r="D911" t="inlineStr">
        <is>
          <t>L001-100047300</t>
        </is>
      </c>
      <c r="E911" t="inlineStr">
        <is>
          <t>2400-057667</t>
        </is>
      </c>
      <c r="F911" t="inlineStr">
        <is>
          <t>23-07-2024</t>
        </is>
      </c>
      <c r="G911" t="n">
        <v>11865</v>
      </c>
      <c r="I911">
        <f>G911</f>
        <v/>
      </c>
      <c r="K911">
        <f>I911-G911</f>
        <v/>
      </c>
      <c r="M911" t="inlineStr">
        <is>
          <t>2400057667</t>
        </is>
      </c>
      <c r="N911" t="inlineStr">
        <is>
          <t>11176000</t>
        </is>
      </c>
      <c r="O911">
        <f>M911=N911</f>
        <v/>
      </c>
      <c r="P911">
        <f>AND(MONTH(F911)=MONTH(S911), YEAR(F911)=YEAR(S911))</f>
        <v/>
      </c>
      <c r="Q911">
        <f>"L001-902303751"=U911</f>
        <v/>
      </c>
      <c r="R911">
        <f>G911-W911</f>
        <v/>
      </c>
      <c r="S911" s="36" t="n">
        <v>45413</v>
      </c>
      <c r="T911" t="n">
        <v>111760</v>
      </c>
      <c r="U911" t="inlineStr">
        <is>
          <t>L001-100045995</t>
        </is>
      </c>
      <c r="V911" t="inlineStr">
        <is>
          <t>ឌីអេចអិល ឡូជីស្ទីក (ខេមបូឌា)</t>
        </is>
      </c>
      <c r="W911" t="n">
        <v>111760</v>
      </c>
      <c r="X911" t="n">
        <v>0</v>
      </c>
    </row>
    <row r="912">
      <c r="A912" t="n">
        <v>911</v>
      </c>
      <c r="B912" t="inlineStr">
        <is>
          <t>Customs Clearance Fee</t>
        </is>
      </c>
      <c r="C912" t="inlineStr">
        <is>
          <t>ត្រាយអ៊ែងហ្គល ឡូជីស្ទីក (ខេមបូឌា) ឯ.ក</t>
        </is>
      </c>
      <c r="D912" t="inlineStr">
        <is>
          <t>K010-902101743</t>
        </is>
      </c>
      <c r="E912" t="inlineStr">
        <is>
          <t>TAG-24-00488</t>
        </is>
      </c>
      <c r="F912" t="inlineStr">
        <is>
          <t>24-07-2024</t>
        </is>
      </c>
      <c r="G912" t="n">
        <v>8214</v>
      </c>
      <c r="I912">
        <f>G912</f>
        <v/>
      </c>
      <c r="K912">
        <f>I912-G912</f>
        <v/>
      </c>
      <c r="M912" t="inlineStr">
        <is>
          <t>TAG2400488</t>
        </is>
      </c>
      <c r="N912" t="inlineStr">
        <is>
          <t>20680500</t>
        </is>
      </c>
      <c r="O912">
        <f>M912=N912</f>
        <v/>
      </c>
      <c r="P912">
        <f>AND(MONTH(F912)=MONTH(S912), YEAR(F912)=YEAR(S912))</f>
        <v/>
      </c>
      <c r="Q912">
        <f>"L001-902303751"=U912</f>
        <v/>
      </c>
      <c r="R912">
        <f>G912-W912</f>
        <v/>
      </c>
      <c r="S912" s="36" t="n">
        <v>45427</v>
      </c>
      <c r="T912" t="n">
        <v>206805</v>
      </c>
      <c r="U912" t="inlineStr">
        <is>
          <t>L001-100074669</t>
        </is>
      </c>
      <c r="V912" t="inlineStr">
        <is>
          <t>ខេអិលអិន ហ្វ្រេត (ខេមបូឌា) ឯ.ក</t>
        </is>
      </c>
      <c r="W912" t="n">
        <v>206805</v>
      </c>
      <c r="X912" t="n">
        <v>0</v>
      </c>
    </row>
    <row r="913">
      <c r="A913" t="n">
        <v>912</v>
      </c>
      <c r="B913" t="inlineStr">
        <is>
          <t>Cargo Terminal</t>
        </is>
      </c>
      <c r="C913" t="inlineStr">
        <is>
          <t>សូស៊ីយេតេ កុងសេស្យូនែរ ដឺ ឡាអេរ៉ូព័រ</t>
        </is>
      </c>
      <c r="D913" t="inlineStr">
        <is>
          <t>L001-100047300</t>
        </is>
      </c>
      <c r="E913" t="inlineStr">
        <is>
          <t>2400-057665</t>
        </is>
      </c>
      <c r="F913" t="inlineStr">
        <is>
          <t>23-07-2024</t>
        </is>
      </c>
      <c r="G913" t="n">
        <v>4272</v>
      </c>
      <c r="I913">
        <f>G913</f>
        <v/>
      </c>
      <c r="K913">
        <f>I913-G913</f>
        <v/>
      </c>
      <c r="M913" t="inlineStr">
        <is>
          <t>2400057665</t>
        </is>
      </c>
      <c r="N913" t="inlineStr">
        <is>
          <t>11233800</t>
        </is>
      </c>
      <c r="O913">
        <f>M913=N913</f>
        <v/>
      </c>
      <c r="P913">
        <f>AND(MONTH(F913)=MONTH(S913), YEAR(F913)=YEAR(S913))</f>
        <v/>
      </c>
      <c r="Q913">
        <f>"L001-902303751"=U913</f>
        <v/>
      </c>
      <c r="R913">
        <f>G913-W913</f>
        <v/>
      </c>
      <c r="S913" s="36" t="n">
        <v>45441</v>
      </c>
      <c r="T913" t="n">
        <v>112338</v>
      </c>
      <c r="U913" t="inlineStr">
        <is>
          <t>K005-100059945</t>
        </is>
      </c>
      <c r="V913" t="inlineStr">
        <is>
          <t>អ៊ែតវ៉ានស៍ គ្លរី ឡូជីស្ទីក (ខេមបូឌា) (អេ ជី អិល)</t>
        </is>
      </c>
      <c r="W913" t="n">
        <v>112338</v>
      </c>
      <c r="X913" t="n">
        <v>0</v>
      </c>
    </row>
    <row r="914">
      <c r="A914" t="n">
        <v>913</v>
      </c>
      <c r="B914" t="inlineStr">
        <is>
          <t>Customs Clearance Fee</t>
        </is>
      </c>
      <c r="C914" t="inlineStr">
        <is>
          <t>ត្រាយអ៊ែងហ្គល ឡូជីស្ទីក (ខេមបូឌា) ឯ.ក</t>
        </is>
      </c>
      <c r="D914" t="inlineStr">
        <is>
          <t>K010-902101743</t>
        </is>
      </c>
      <c r="E914" t="inlineStr">
        <is>
          <t>TAG-24-00455</t>
        </is>
      </c>
      <c r="F914" t="inlineStr">
        <is>
          <t>09-07-2024</t>
        </is>
      </c>
      <c r="G914" t="n">
        <v>8232</v>
      </c>
      <c r="I914">
        <f>G914</f>
        <v/>
      </c>
      <c r="K914">
        <f>I914-G914</f>
        <v/>
      </c>
      <c r="M914" t="inlineStr">
        <is>
          <t>TAG2400455</t>
        </is>
      </c>
      <c r="N914" t="inlineStr"/>
      <c r="O914">
        <f>M914=N914</f>
        <v/>
      </c>
      <c r="P914">
        <f>AND(MONTH(F914)=MONTH(S914), YEAR(F914)=YEAR(S914))</f>
        <v/>
      </c>
      <c r="Q914">
        <f>"L001-902303751"=U914</f>
        <v/>
      </c>
      <c r="R914">
        <f>G914-W914</f>
        <v/>
      </c>
      <c r="S914" s="36" t="n">
        <v>45439</v>
      </c>
      <c r="T914" t="inlineStr"/>
      <c r="U914" t="inlineStr">
        <is>
          <t>L001-107032791</t>
        </is>
      </c>
      <c r="V914" t="inlineStr">
        <is>
          <t>នីបផន អិចប្រេស (ខេមបូឌា) ខូ អិលធីឌី</t>
        </is>
      </c>
      <c r="W914" t="n">
        <v>0</v>
      </c>
      <c r="X914" t="n">
        <v>0</v>
      </c>
    </row>
    <row r="915">
      <c r="A915" t="n">
        <v>914</v>
      </c>
      <c r="B915" t="inlineStr">
        <is>
          <t>Cargo Terminal</t>
        </is>
      </c>
      <c r="C915" t="inlineStr">
        <is>
          <t>សូស៊ីយេតេ កុងសេស្យូនែរ ដឺ ឡាអេរ៉ូព័រ</t>
        </is>
      </c>
      <c r="D915" t="inlineStr">
        <is>
          <t>L001-100047300</t>
        </is>
      </c>
      <c r="E915" t="inlineStr">
        <is>
          <t>2400-051867</t>
        </is>
      </c>
      <c r="F915" t="inlineStr">
        <is>
          <t>05-07-2024</t>
        </is>
      </c>
      <c r="G915" t="n">
        <v>1119</v>
      </c>
      <c r="I915">
        <f>G915</f>
        <v/>
      </c>
      <c r="K915">
        <f>I915-G915</f>
        <v/>
      </c>
      <c r="M915" t="inlineStr">
        <is>
          <t>2400051867</t>
        </is>
      </c>
      <c r="N915" t="inlineStr"/>
      <c r="O915">
        <f>M915=N915</f>
        <v/>
      </c>
      <c r="P915">
        <f>AND(MONTH(F915)=MONTH(S915), YEAR(F915)=YEAR(S915))</f>
        <v/>
      </c>
      <c r="Q915">
        <f>"L001-902303751"=U915</f>
        <v/>
      </c>
      <c r="R915">
        <f>G915-W915</f>
        <v/>
      </c>
      <c r="S915" s="36" t="n">
        <v>45432</v>
      </c>
      <c r="T915" t="inlineStr"/>
      <c r="U915" t="inlineStr">
        <is>
          <t>L001-100045340</t>
        </is>
      </c>
      <c r="V915" t="inlineStr">
        <is>
          <t xml:space="preserve">ស៊ីវ៉ា អ៊ែរ អ៊ែន អូសៀន (ខេមបូឌា) ឯ.ក </t>
        </is>
      </c>
      <c r="W915" t="n">
        <v>0</v>
      </c>
      <c r="X915" t="n">
        <v>0</v>
      </c>
    </row>
    <row r="916">
      <c r="A916" t="n">
        <v>915</v>
      </c>
      <c r="B916" t="inlineStr">
        <is>
          <t>Customs Clearance Fee</t>
        </is>
      </c>
      <c r="C916" t="inlineStr">
        <is>
          <t>ត្រាយអ៊ែងហ្គល ឡូជីស្ទីក (ខេមបូឌា) ឯ.ក</t>
        </is>
      </c>
      <c r="D916" t="inlineStr">
        <is>
          <t>K010-902101743</t>
        </is>
      </c>
      <c r="E916" t="inlineStr">
        <is>
          <t>TAG-24-00454</t>
        </is>
      </c>
      <c r="F916" t="inlineStr">
        <is>
          <t>09-07-2024</t>
        </is>
      </c>
      <c r="G916" t="n">
        <v>8232</v>
      </c>
      <c r="I916">
        <f>G916</f>
        <v/>
      </c>
      <c r="K916">
        <f>I916-G916</f>
        <v/>
      </c>
      <c r="M916" t="inlineStr">
        <is>
          <t>TAG2400454</t>
        </is>
      </c>
      <c r="N916" t="inlineStr"/>
      <c r="O916">
        <f>M916=N916</f>
        <v/>
      </c>
      <c r="P916">
        <f>AND(MONTH(F916)=MONTH(S916), YEAR(F916)=YEAR(S916))</f>
        <v/>
      </c>
      <c r="Q916">
        <f>"L001-902303751"=U916</f>
        <v/>
      </c>
      <c r="R916">
        <f>G916-W916</f>
        <v/>
      </c>
      <c r="S916" s="36" t="n">
        <v>45429</v>
      </c>
      <c r="T916" t="inlineStr"/>
      <c r="U916" t="inlineStr">
        <is>
          <t>K005-100059945</t>
        </is>
      </c>
      <c r="V916" t="inlineStr">
        <is>
          <t>អ៊ែតវ៉ានស៍ គ្លរី ឡូជីស្ទីក (ខេមបូឌា) (អេ ជី អិល)</t>
        </is>
      </c>
      <c r="W916" t="n">
        <v>0</v>
      </c>
      <c r="X916" t="n">
        <v>0</v>
      </c>
    </row>
    <row r="917">
      <c r="A917" t="n">
        <v>916</v>
      </c>
      <c r="B917" t="inlineStr">
        <is>
          <t>Cargo Terminal</t>
        </is>
      </c>
      <c r="C917" t="inlineStr">
        <is>
          <t>សូស៊ីយេតេ កុងសេស្យូនែរ ដឺ ឡាអេរ៉ូព័រ</t>
        </is>
      </c>
      <c r="D917" t="inlineStr">
        <is>
          <t>L001-100047300</t>
        </is>
      </c>
      <c r="E917" t="inlineStr">
        <is>
          <t>2400-050950</t>
        </is>
      </c>
      <c r="F917" t="inlineStr">
        <is>
          <t>03-07-2024</t>
        </is>
      </c>
      <c r="G917" t="n">
        <v>1647</v>
      </c>
      <c r="I917">
        <f>G917</f>
        <v/>
      </c>
      <c r="K917">
        <f>I917-G917</f>
        <v/>
      </c>
      <c r="M917" t="inlineStr">
        <is>
          <t>2400050950</t>
        </is>
      </c>
      <c r="N917" t="inlineStr"/>
      <c r="O917">
        <f>M917=N917</f>
        <v/>
      </c>
      <c r="P917">
        <f>AND(MONTH(F917)=MONTH(S917), YEAR(F917)=YEAR(S917))</f>
        <v/>
      </c>
      <c r="Q917">
        <f>"L001-902303751"=U917</f>
        <v/>
      </c>
      <c r="R917">
        <f>G917-W917</f>
        <v/>
      </c>
      <c r="S917" s="36" t="n">
        <v>45427</v>
      </c>
      <c r="T917" t="inlineStr"/>
      <c r="U917" t="inlineStr">
        <is>
          <t>L001-107032791</t>
        </is>
      </c>
      <c r="V917" t="inlineStr">
        <is>
          <t>នីបផន អិចប្រេស (ខេមបូឌា) ខូ អិលធីឌី</t>
        </is>
      </c>
      <c r="W917" t="n">
        <v>0</v>
      </c>
      <c r="X917" t="n">
        <v>0</v>
      </c>
    </row>
    <row r="918">
      <c r="A918" t="n">
        <v>917</v>
      </c>
      <c r="B918" t="inlineStr">
        <is>
          <t>Delivery Fee</t>
        </is>
      </c>
      <c r="C918" t="inlineStr">
        <is>
          <t>សំអាង &amp; មករា ត្រេនស្ព័ត ឯ.ក</t>
        </is>
      </c>
      <c r="D918" t="inlineStr">
        <is>
          <t>K010-902204282</t>
        </is>
      </c>
      <c r="E918" t="inlineStr">
        <is>
          <t>202300074</t>
        </is>
      </c>
      <c r="F918" t="inlineStr">
        <is>
          <t>31-07-2024</t>
        </is>
      </c>
      <c r="G918" t="n">
        <v>984277</v>
      </c>
      <c r="I918">
        <f>G918</f>
        <v/>
      </c>
      <c r="K918">
        <f>I918-G918</f>
        <v/>
      </c>
      <c r="M918" t="inlineStr">
        <is>
          <t>202300074</t>
        </is>
      </c>
      <c r="N918" t="inlineStr"/>
      <c r="O918">
        <f>M918=N918</f>
        <v/>
      </c>
      <c r="P918">
        <f>AND(MONTH(F918)=MONTH(S918), YEAR(F918)=YEAR(S918))</f>
        <v/>
      </c>
      <c r="Q918">
        <f>"L001-902303751"=U918</f>
        <v/>
      </c>
      <c r="R918">
        <f>G918-W918</f>
        <v/>
      </c>
      <c r="S918" s="36" t="n">
        <v>45413</v>
      </c>
      <c r="T918" t="inlineStr"/>
      <c r="U918" t="inlineStr">
        <is>
          <t>L001-100045340</t>
        </is>
      </c>
      <c r="V918" t="inlineStr">
        <is>
          <t xml:space="preserve">ស៊ីវ៉ា អ៊ែរ អ៊ែន អូសៀន (ខេមបូឌា) ឯ.ក </t>
        </is>
      </c>
      <c r="W918" t="n">
        <v>0</v>
      </c>
      <c r="X918" t="n">
        <v>0</v>
      </c>
    </row>
    <row r="919">
      <c r="A919" t="n">
        <v>918</v>
      </c>
      <c r="B919" t="inlineStr">
        <is>
          <t>Monthly Tax Service for June 2024</t>
        </is>
      </c>
      <c r="C919" t="inlineStr">
        <is>
          <t>ខេឌី ខនសាល់ធេន ឯ.ក</t>
        </is>
      </c>
      <c r="D919" t="inlineStr">
        <is>
          <t>K005-901704277</t>
        </is>
      </c>
      <c r="E919" t="inlineStr">
        <is>
          <t>20240000862</t>
        </is>
      </c>
      <c r="F919" t="inlineStr">
        <is>
          <t>09-07-2024</t>
        </is>
      </c>
      <c r="G919" t="n">
        <v>102900</v>
      </c>
      <c r="I919">
        <f>G919</f>
        <v/>
      </c>
      <c r="K919">
        <f>I919-G919</f>
        <v/>
      </c>
      <c r="M919" t="inlineStr">
        <is>
          <t>20240000862</t>
        </is>
      </c>
      <c r="N919" t="inlineStr"/>
      <c r="O919">
        <f>M919=N919</f>
        <v/>
      </c>
      <c r="P919">
        <f>AND(MONTH(F919)=MONTH(S919), YEAR(F919)=YEAR(S919))</f>
        <v/>
      </c>
      <c r="Q919">
        <f>"L001-902303751"=U919</f>
        <v/>
      </c>
      <c r="R919">
        <f>G919-W919</f>
        <v/>
      </c>
      <c r="S919" s="36" t="n">
        <v>45427</v>
      </c>
      <c r="T919" t="inlineStr"/>
      <c r="U919" t="inlineStr">
        <is>
          <t>L001-100074669</t>
        </is>
      </c>
      <c r="V919" t="inlineStr">
        <is>
          <t>ខេអិលអិន ហ្វ្រេត (ខេមបូឌា) ឯ.ក</t>
        </is>
      </c>
      <c r="W919" t="n">
        <v>0</v>
      </c>
      <c r="X919" t="n">
        <v>0</v>
      </c>
    </row>
    <row r="920">
      <c r="A920" t="n">
        <v>919</v>
      </c>
      <c r="B920" t="inlineStr">
        <is>
          <t>Customs Clearance Fee</t>
        </is>
      </c>
      <c r="C920" t="inlineStr">
        <is>
          <t>ត្រាយអ៊ែងហ្គល ឡូជីស្ទីក (ខេមបូឌា) ឯ.ក</t>
        </is>
      </c>
      <c r="D920" t="inlineStr">
        <is>
          <t>K010-902101743</t>
        </is>
      </c>
      <c r="E920" t="inlineStr">
        <is>
          <t>TAG-24-00449</t>
        </is>
      </c>
      <c r="F920" t="inlineStr">
        <is>
          <t>08-07-2024</t>
        </is>
      </c>
      <c r="G920" t="n">
        <v>8238</v>
      </c>
      <c r="I920">
        <f>G920</f>
        <v/>
      </c>
      <c r="K920">
        <f>I920-G920</f>
        <v/>
      </c>
      <c r="M920" t="inlineStr">
        <is>
          <t>TAG2400449</t>
        </is>
      </c>
      <c r="N920" t="inlineStr">
        <is>
          <t>8362000</t>
        </is>
      </c>
      <c r="O920">
        <f>M920=N920</f>
        <v/>
      </c>
      <c r="P920">
        <f>AND(MONTH(F920)=MONTH(S920), YEAR(F920)=YEAR(S920))</f>
        <v/>
      </c>
      <c r="Q920">
        <f>"L001-902303751"=U920</f>
        <v/>
      </c>
      <c r="R920">
        <f>G920-W920</f>
        <v/>
      </c>
      <c r="S920" s="36" t="n">
        <v>45436</v>
      </c>
      <c r="T920" t="n">
        <v>83620</v>
      </c>
      <c r="U920" t="inlineStr">
        <is>
          <t>L001-100045995</t>
        </is>
      </c>
      <c r="V920" t="inlineStr">
        <is>
          <t>ឌីអេចអិល ឡូជីស្ទីក (ខេមបូឌា)</t>
        </is>
      </c>
      <c r="W920" t="n">
        <v>83620</v>
      </c>
      <c r="X920" t="n">
        <v>0</v>
      </c>
    </row>
    <row r="921">
      <c r="A921" t="n">
        <v>920</v>
      </c>
      <c r="B921" t="inlineStr">
        <is>
          <t>Customs Clearance Fee</t>
        </is>
      </c>
      <c r="C921" t="inlineStr">
        <is>
          <t>ត្រាយអ៊ែងហ្គល ឡូជីស្ទីក (ខេមបូឌា) ឯ.ក</t>
        </is>
      </c>
      <c r="D921" t="inlineStr">
        <is>
          <t>K010-902101743</t>
        </is>
      </c>
      <c r="E921" t="inlineStr">
        <is>
          <t>TAG-24-00450</t>
        </is>
      </c>
      <c r="F921" t="inlineStr">
        <is>
          <t>08-07-2024</t>
        </is>
      </c>
      <c r="G921" t="n">
        <v>8238</v>
      </c>
      <c r="I921">
        <f>G921</f>
        <v/>
      </c>
      <c r="K921">
        <f>I921-G921</f>
        <v/>
      </c>
      <c r="M921" t="inlineStr">
        <is>
          <t>TAG2400450</t>
        </is>
      </c>
      <c r="N921" t="inlineStr">
        <is>
          <t>11222800</t>
        </is>
      </c>
      <c r="O921">
        <f>M921=N921</f>
        <v/>
      </c>
      <c r="P921">
        <f>AND(MONTH(F921)=MONTH(S921), YEAR(F921)=YEAR(S921))</f>
        <v/>
      </c>
      <c r="Q921">
        <f>"L001-902303751"=U921</f>
        <v/>
      </c>
      <c r="R921">
        <f>G921-W921</f>
        <v/>
      </c>
      <c r="S921" s="36" t="n">
        <v>45439</v>
      </c>
      <c r="T921" t="n">
        <v>112228</v>
      </c>
      <c r="U921" t="inlineStr">
        <is>
          <t>L001-107041723</t>
        </is>
      </c>
      <c r="V921" t="inlineStr">
        <is>
          <t>ឌីប៊ី សេនឃើរ (ខេមបូឌា) លីមីធីត</t>
        </is>
      </c>
      <c r="W921" t="n">
        <v>112228</v>
      </c>
      <c r="X921" t="n">
        <v>0</v>
      </c>
    </row>
    <row r="922">
      <c r="A922" t="n">
        <v>921</v>
      </c>
      <c r="B922" t="inlineStr">
        <is>
          <t>Cargo Terminal</t>
        </is>
      </c>
      <c r="C922" t="inlineStr">
        <is>
          <t>សូស៊ីយេតេ កុងសេស្យូនែរ ដឺ ឡាអេរ៉ូព័រ</t>
        </is>
      </c>
      <c r="D922" t="inlineStr">
        <is>
          <t>L001-100047300</t>
        </is>
      </c>
      <c r="E922" t="inlineStr">
        <is>
          <t>2400-050949</t>
        </is>
      </c>
      <c r="F922" t="inlineStr">
        <is>
          <t>03-07-2024</t>
        </is>
      </c>
      <c r="G922" t="n">
        <v>824</v>
      </c>
      <c r="I922">
        <f>G922</f>
        <v/>
      </c>
      <c r="K922">
        <f>I922-G922</f>
        <v/>
      </c>
      <c r="M922" t="inlineStr">
        <is>
          <t>2400050949</t>
        </is>
      </c>
      <c r="N922" t="inlineStr">
        <is>
          <t>11467600</t>
        </is>
      </c>
      <c r="O922">
        <f>M922=N922</f>
        <v/>
      </c>
      <c r="P922">
        <f>AND(MONTH(F922)=MONTH(S922), YEAR(F922)=YEAR(S922))</f>
        <v/>
      </c>
      <c r="Q922">
        <f>"L001-902303751"=U922</f>
        <v/>
      </c>
      <c r="R922">
        <f>G922-W922</f>
        <v/>
      </c>
      <c r="S922" s="36" t="n">
        <v>45439</v>
      </c>
      <c r="T922" t="n">
        <v>114676</v>
      </c>
      <c r="U922" t="inlineStr">
        <is>
          <t>L001-104015799</t>
        </is>
      </c>
      <c r="V922" t="inlineStr">
        <is>
          <t>យូសេន ឡូជីស្ទីក (ខេមបូឌា) ខូ អិលធីឌី</t>
        </is>
      </c>
      <c r="W922" t="n">
        <v>114676</v>
      </c>
      <c r="X922" t="n">
        <v>0</v>
      </c>
    </row>
    <row r="923">
      <c r="A923" t="n">
        <v>922</v>
      </c>
      <c r="B923" t="inlineStr">
        <is>
          <t>Customs Clearance Fee</t>
        </is>
      </c>
      <c r="C923" t="inlineStr">
        <is>
          <t>ត្រាយអ៊ែងហ្គល ឡូជីស្ទីក (ខេមបូឌា) ឯ.ក</t>
        </is>
      </c>
      <c r="D923" t="inlineStr">
        <is>
          <t>K010-902101743</t>
        </is>
      </c>
      <c r="E923" t="inlineStr">
        <is>
          <t>TAG-24-00451</t>
        </is>
      </c>
      <c r="F923" t="inlineStr">
        <is>
          <t>08-07-2024</t>
        </is>
      </c>
      <c r="G923" t="n">
        <v>8238</v>
      </c>
      <c r="I923">
        <f>G923</f>
        <v/>
      </c>
      <c r="K923">
        <f>I923-G923</f>
        <v/>
      </c>
      <c r="M923" t="inlineStr">
        <is>
          <t>TAG2400451</t>
        </is>
      </c>
      <c r="N923" t="inlineStr">
        <is>
          <t>8357900</t>
        </is>
      </c>
      <c r="O923">
        <f>M923=N923</f>
        <v/>
      </c>
      <c r="P923">
        <f>AND(MONTH(F923)=MONTH(S923), YEAR(F923)=YEAR(S923))</f>
        <v/>
      </c>
      <c r="Q923">
        <f>"L001-902303751"=U923</f>
        <v/>
      </c>
      <c r="R923">
        <f>G923-W923</f>
        <v/>
      </c>
      <c r="S923" s="36" t="n">
        <v>45435</v>
      </c>
      <c r="T923" t="n">
        <v>83579</v>
      </c>
      <c r="U923" t="inlineStr">
        <is>
          <t>K003-901635943</t>
        </is>
      </c>
      <c r="V923" t="inlineStr">
        <is>
          <t>អ៊ីឃ្យូឡាញ វើលវ៉ាយដ៍ ឡូជីស្ទីក</t>
        </is>
      </c>
      <c r="W923" t="n">
        <v>83579</v>
      </c>
      <c r="X923" t="n">
        <v>0</v>
      </c>
    </row>
    <row r="924">
      <c r="A924" t="n">
        <v>923</v>
      </c>
      <c r="B924" t="inlineStr">
        <is>
          <t>Cargo Terminal</t>
        </is>
      </c>
      <c r="C924" t="inlineStr">
        <is>
          <t>សូស៊ីយេតេ កុងសេស្យូនែរ ដឺ ឡាអេរ៉ូព័រ</t>
        </is>
      </c>
      <c r="D924" t="inlineStr">
        <is>
          <t>L001-100047300</t>
        </is>
      </c>
      <c r="E924" t="inlineStr">
        <is>
          <t>2400-050948</t>
        </is>
      </c>
      <c r="F924" t="inlineStr">
        <is>
          <t>03-07-2024</t>
        </is>
      </c>
      <c r="G924" t="n">
        <v>891</v>
      </c>
      <c r="I924">
        <f>G924</f>
        <v/>
      </c>
      <c r="K924">
        <f>I924-G924</f>
        <v/>
      </c>
      <c r="M924" t="inlineStr">
        <is>
          <t>2400050948</t>
        </is>
      </c>
      <c r="N924" t="inlineStr">
        <is>
          <t>8366100</t>
        </is>
      </c>
      <c r="O924">
        <f>M924=N924</f>
        <v/>
      </c>
      <c r="P924">
        <f>AND(MONTH(F924)=MONTH(S924), YEAR(F924)=YEAR(S924))</f>
        <v/>
      </c>
      <c r="Q924">
        <f>"L001-902303751"=U924</f>
        <v/>
      </c>
      <c r="R924">
        <f>G924-W924</f>
        <v/>
      </c>
      <c r="S924" s="36" t="n">
        <v>45439</v>
      </c>
      <c r="T924" t="n">
        <v>83661</v>
      </c>
      <c r="U924" t="inlineStr">
        <is>
          <t>L001-107032791</t>
        </is>
      </c>
      <c r="V924" t="inlineStr">
        <is>
          <t>នីបផន អិចប្រេស (ខេមបូឌា) ខូ អិលធីឌី</t>
        </is>
      </c>
      <c r="W924" t="n">
        <v>83661</v>
      </c>
      <c r="X924" t="n">
        <v>0</v>
      </c>
    </row>
    <row r="925">
      <c r="A925" t="n">
        <v>924</v>
      </c>
      <c r="B925" t="inlineStr">
        <is>
          <t>Customs Clearance Fee</t>
        </is>
      </c>
      <c r="C925" t="inlineStr">
        <is>
          <t>ត្រាយអ៊ែងហ្គល ឡូជីស្ទីក (ខេមបូឌា) ឯ.ក</t>
        </is>
      </c>
      <c r="D925" t="inlineStr">
        <is>
          <t>K010-902101743</t>
        </is>
      </c>
      <c r="E925" t="inlineStr">
        <is>
          <t>TAG-24-00452</t>
        </is>
      </c>
      <c r="F925" t="inlineStr">
        <is>
          <t>08-07-2024</t>
        </is>
      </c>
      <c r="G925" t="n">
        <v>8238</v>
      </c>
      <c r="I925">
        <f>G925</f>
        <v/>
      </c>
      <c r="K925">
        <f>I925-G925</f>
        <v/>
      </c>
      <c r="M925" t="inlineStr">
        <is>
          <t>TAG2400452</t>
        </is>
      </c>
      <c r="N925" t="inlineStr"/>
      <c r="O925">
        <f>M925=N925</f>
        <v/>
      </c>
      <c r="P925">
        <f>AND(MONTH(F925)=MONTH(S925), YEAR(F925)=YEAR(S925))</f>
        <v/>
      </c>
      <c r="Q925">
        <f>"L001-902303751"=U925</f>
        <v/>
      </c>
      <c r="R925">
        <f>G925-W925</f>
        <v/>
      </c>
      <c r="S925" s="36" t="n">
        <v>45439</v>
      </c>
      <c r="T925" t="inlineStr"/>
      <c r="U925" t="inlineStr">
        <is>
          <t>L001-107032791</t>
        </is>
      </c>
      <c r="V925" t="inlineStr">
        <is>
          <t>នីបផន អិចប្រេស (ខេមបូឌា) ខូ អិលធីឌី</t>
        </is>
      </c>
      <c r="W925" t="n">
        <v>0</v>
      </c>
      <c r="X925" t="n">
        <v>0</v>
      </c>
    </row>
    <row r="926">
      <c r="A926" t="n">
        <v>925</v>
      </c>
      <c r="B926" t="inlineStr">
        <is>
          <t>Customs Clearance Fee</t>
        </is>
      </c>
      <c r="C926" t="inlineStr">
        <is>
          <t>ត្រាយអ៊ែងហ្គល ឡូជីស្ទីក (ខេមបូឌា) ឯ.ក</t>
        </is>
      </c>
      <c r="D926" t="inlineStr">
        <is>
          <t>K010-902101743</t>
        </is>
      </c>
      <c r="E926" t="inlineStr">
        <is>
          <t>TAG-24-00489</t>
        </is>
      </c>
      <c r="F926" t="inlineStr">
        <is>
          <t>24-07-2024</t>
        </is>
      </c>
      <c r="G926" t="n">
        <v>8214</v>
      </c>
      <c r="I926">
        <f>G926</f>
        <v/>
      </c>
      <c r="K926">
        <f>I926-G926</f>
        <v/>
      </c>
      <c r="M926" t="inlineStr">
        <is>
          <t>TAG2400489</t>
        </is>
      </c>
      <c r="N926" t="inlineStr">
        <is>
          <t>11456400</t>
        </is>
      </c>
      <c r="O926">
        <f>M926=N926</f>
        <v/>
      </c>
      <c r="P926">
        <f>AND(MONTH(F926)=MONTH(S926), YEAR(F926)=YEAR(S926))</f>
        <v/>
      </c>
      <c r="Q926">
        <f>"L001-902303751"=U926</f>
        <v/>
      </c>
      <c r="R926">
        <f>G926-W926</f>
        <v/>
      </c>
      <c r="S926" s="36" t="n">
        <v>45432</v>
      </c>
      <c r="T926" t="n">
        <v>114564</v>
      </c>
      <c r="U926" t="inlineStr">
        <is>
          <t>K005-901805913</t>
        </is>
      </c>
      <c r="V926" t="inlineStr">
        <is>
          <t>ស្តារ ខង់ខដ (ខេមបូឌា) ឯ.ក</t>
        </is>
      </c>
      <c r="W926" t="n">
        <v>114564</v>
      </c>
      <c r="X926" t="n">
        <v>0</v>
      </c>
    </row>
    <row r="927">
      <c r="A927" t="n">
        <v>926</v>
      </c>
      <c r="B927" t="inlineStr">
        <is>
          <t>Cargo Terminal</t>
        </is>
      </c>
      <c r="C927" t="inlineStr">
        <is>
          <t>សូស៊ីយេតេ កុងសេស្យូនែរ ដឺ ឡាអេរ៉ូព័រ</t>
        </is>
      </c>
      <c r="D927" t="inlineStr">
        <is>
          <t>L001-100047300</t>
        </is>
      </c>
      <c r="E927" t="inlineStr">
        <is>
          <t>2400-057670</t>
        </is>
      </c>
      <c r="F927" t="inlineStr">
        <is>
          <t>23-07-2024</t>
        </is>
      </c>
      <c r="G927" t="n">
        <v>1083</v>
      </c>
      <c r="I927">
        <f>G927</f>
        <v/>
      </c>
      <c r="K927">
        <f>I927-G927</f>
        <v/>
      </c>
      <c r="M927" t="inlineStr">
        <is>
          <t>2400057670</t>
        </is>
      </c>
      <c r="N927" t="inlineStr">
        <is>
          <t>11214500</t>
        </is>
      </c>
      <c r="O927">
        <f>M927=N927</f>
        <v/>
      </c>
      <c r="P927">
        <f>AND(MONTH(F927)=MONTH(S927), YEAR(F927)=YEAR(S927))</f>
        <v/>
      </c>
      <c r="Q927">
        <f>"L001-902303751"=U927</f>
        <v/>
      </c>
      <c r="R927">
        <f>G927-W927</f>
        <v/>
      </c>
      <c r="S927" s="36" t="n">
        <v>45429</v>
      </c>
      <c r="T927" t="n">
        <v>112145</v>
      </c>
      <c r="U927" t="inlineStr">
        <is>
          <t>K005-100059945</t>
        </is>
      </c>
      <c r="V927" t="inlineStr">
        <is>
          <t>អ៊ែតវ៉ានស៍ គ្លរី ឡូជីស្ទីក (ខេមបូឌា) (អេ ជី អិល)</t>
        </is>
      </c>
      <c r="W927" t="n">
        <v>112145</v>
      </c>
      <c r="X927" t="n">
        <v>0</v>
      </c>
    </row>
    <row r="928">
      <c r="A928" t="n">
        <v>927</v>
      </c>
      <c r="B928" t="inlineStr">
        <is>
          <t>Customs Clearance Fee</t>
        </is>
      </c>
      <c r="C928" t="inlineStr">
        <is>
          <t>ត្រាយអ៊ែងហ្គល ឡូជីស្ទីក (ខេមបូឌា) ឯ.ក</t>
        </is>
      </c>
      <c r="D928" t="inlineStr">
        <is>
          <t>K010-902101743</t>
        </is>
      </c>
      <c r="E928" t="inlineStr">
        <is>
          <t>TAG-24-00490</t>
        </is>
      </c>
      <c r="F928" t="inlineStr">
        <is>
          <t>24-07-2024</t>
        </is>
      </c>
      <c r="G928" t="n">
        <v>8214</v>
      </c>
      <c r="I928">
        <f>G928</f>
        <v/>
      </c>
      <c r="K928">
        <f>I928-G928</f>
        <v/>
      </c>
      <c r="M928" t="inlineStr">
        <is>
          <t>TAG2400490</t>
        </is>
      </c>
      <c r="N928" t="inlineStr"/>
      <c r="O928">
        <f>M928=N928</f>
        <v/>
      </c>
      <c r="P928">
        <f>AND(MONTH(F928)=MONTH(S928), YEAR(F928)=YEAR(S928))</f>
        <v/>
      </c>
      <c r="Q928">
        <f>"L001-902303751"=U928</f>
        <v/>
      </c>
      <c r="R928">
        <f>G928-W928</f>
        <v/>
      </c>
      <c r="S928" s="36" t="n">
        <v>45418</v>
      </c>
      <c r="T928" t="inlineStr"/>
      <c r="U928" t="inlineStr">
        <is>
          <t>L001-103007369</t>
        </is>
      </c>
      <c r="V928" t="inlineStr">
        <is>
          <t>អូរៀនថល ឡូជីស្ទីក &amp; ឌីស្ទ្រីប៊្យូសិន (ខេមបូឌា)</t>
        </is>
      </c>
      <c r="W928" t="n">
        <v>0</v>
      </c>
      <c r="X928" t="n">
        <v>0</v>
      </c>
    </row>
    <row r="929">
      <c r="A929" t="n">
        <v>928</v>
      </c>
      <c r="B929" t="inlineStr">
        <is>
          <t>Gate Fee Charges</t>
        </is>
      </c>
      <c r="C929" t="inlineStr">
        <is>
          <t>កំពង់ផែស្វយ័តភ្នំពេញ "ក.ស.ភ"</t>
        </is>
      </c>
      <c r="D929" t="inlineStr">
        <is>
          <t>L001-100044999</t>
        </is>
      </c>
      <c r="E929" t="inlineStr">
        <is>
          <t>INV20240746490</t>
        </is>
      </c>
      <c r="F929" t="inlineStr">
        <is>
          <t>18-07-2024</t>
        </is>
      </c>
      <c r="G929" t="n">
        <v>821</v>
      </c>
      <c r="I929">
        <f>G929</f>
        <v/>
      </c>
      <c r="K929">
        <f>I929-G929</f>
        <v/>
      </c>
      <c r="M929" t="inlineStr">
        <is>
          <t>INV20240746490</t>
        </is>
      </c>
      <c r="N929" t="inlineStr">
        <is>
          <t>9288700</t>
        </is>
      </c>
      <c r="O929">
        <f>M929=N929</f>
        <v/>
      </c>
      <c r="P929">
        <f>AND(MONTH(F929)=MONTH(S929), YEAR(F929)=YEAR(S929))</f>
        <v/>
      </c>
      <c r="Q929">
        <f>"L001-902303751"=U929</f>
        <v/>
      </c>
      <c r="R929">
        <f>G929-W929</f>
        <v/>
      </c>
      <c r="S929" s="36" t="n">
        <v>45418</v>
      </c>
      <c r="T929" t="n">
        <v>92887</v>
      </c>
      <c r="U929" t="inlineStr">
        <is>
          <t>L001-103007369</t>
        </is>
      </c>
      <c r="V929" t="inlineStr">
        <is>
          <t>អូរៀនថល ឡូជីស្ទីក &amp; ឌីស្ទ្រីប៊្យូសិន (ខេមបូឌា)</t>
        </is>
      </c>
      <c r="W929" t="n">
        <v>92887</v>
      </c>
      <c r="X929" t="n">
        <v>0</v>
      </c>
    </row>
    <row r="930">
      <c r="A930" t="n">
        <v>929</v>
      </c>
      <c r="B930" t="inlineStr">
        <is>
          <t>Cargo Terminal</t>
        </is>
      </c>
      <c r="C930" t="inlineStr">
        <is>
          <t>សូស៊ីយេតេ កុងសេស្យូនែរ ដឺ ឡាអេរ៉ូព័រ</t>
        </is>
      </c>
      <c r="D930" t="inlineStr">
        <is>
          <t>L001-100047300</t>
        </is>
      </c>
      <c r="E930" t="inlineStr">
        <is>
          <t>2400-053605</t>
        </is>
      </c>
      <c r="F930" t="inlineStr">
        <is>
          <t>11-07-2024</t>
        </is>
      </c>
      <c r="G930" t="n">
        <v>12659</v>
      </c>
      <c r="I930">
        <f>G930</f>
        <v/>
      </c>
      <c r="K930">
        <f>I930-G930</f>
        <v/>
      </c>
      <c r="M930" t="inlineStr">
        <is>
          <t>2400053605</t>
        </is>
      </c>
      <c r="N930" t="inlineStr"/>
      <c r="O930">
        <f>M930=N930</f>
        <v/>
      </c>
      <c r="P930">
        <f>AND(MONTH(F930)=MONTH(S930), YEAR(F930)=YEAR(S930))</f>
        <v/>
      </c>
      <c r="Q930">
        <f>"L001-902303751"=U930</f>
        <v/>
      </c>
      <c r="R930">
        <f>G930-W930</f>
        <v/>
      </c>
      <c r="S930" s="36" t="n">
        <v>45419</v>
      </c>
      <c r="T930" t="inlineStr"/>
      <c r="U930" t="inlineStr">
        <is>
          <t>L001-100074669</t>
        </is>
      </c>
      <c r="V930" t="inlineStr">
        <is>
          <t>ខេអិលអិន ហ្វ្រេត (ខេមបូឌា) ឯ.ក</t>
        </is>
      </c>
      <c r="W930" t="n">
        <v>0</v>
      </c>
      <c r="X930" t="n">
        <v>0</v>
      </c>
    </row>
    <row r="931">
      <c r="A931" t="n">
        <v>930</v>
      </c>
      <c r="B931" t="inlineStr">
        <is>
          <t>Doc Fee and Agency Fee</t>
        </is>
      </c>
      <c r="C931" t="inlineStr">
        <is>
          <t>អ៊ែតវ៉ានស៍ គ្លរី ឡូជីស្ទីក (ខេមបូឌា) (អេ ជី អិល)</t>
        </is>
      </c>
      <c r="D931" t="inlineStr">
        <is>
          <t>K005-100059945</t>
        </is>
      </c>
      <c r="E931" t="inlineStr">
        <is>
          <t>AGL2401039</t>
        </is>
      </c>
      <c r="F931" t="inlineStr">
        <is>
          <t>09-07-2024</t>
        </is>
      </c>
      <c r="G931" t="n">
        <v>45276</v>
      </c>
      <c r="I931">
        <f>G931</f>
        <v/>
      </c>
      <c r="K931">
        <f>I931-G931</f>
        <v/>
      </c>
      <c r="M931" t="inlineStr">
        <is>
          <t>AGL2401039</t>
        </is>
      </c>
      <c r="N931" t="inlineStr">
        <is>
          <t>8353800</t>
        </is>
      </c>
      <c r="O931">
        <f>M931=N931</f>
        <v/>
      </c>
      <c r="P931">
        <f>AND(MONTH(F931)=MONTH(S931), YEAR(F931)=YEAR(S931))</f>
        <v/>
      </c>
      <c r="Q931">
        <f>"L001-902303751"=U931</f>
        <v/>
      </c>
      <c r="R931">
        <f>G931-W931</f>
        <v/>
      </c>
      <c r="S931" s="36" t="n">
        <v>45419</v>
      </c>
      <c r="T931" t="n">
        <v>83538</v>
      </c>
      <c r="U931" t="inlineStr">
        <is>
          <t>L001-107032791</t>
        </is>
      </c>
      <c r="V931" t="inlineStr">
        <is>
          <t>នីបផន អិចប្រេស (ខេមបូឌា) ខូ អិលធីឌី</t>
        </is>
      </c>
      <c r="W931" t="n">
        <v>83538</v>
      </c>
      <c r="X931" t="n">
        <v>0</v>
      </c>
    </row>
    <row r="932">
      <c r="A932" t="n">
        <v>931</v>
      </c>
      <c r="B932" t="inlineStr">
        <is>
          <t>Customs Clearance Fee and Trucking Fee</t>
        </is>
      </c>
      <c r="C932" t="inlineStr">
        <is>
          <t>ត្រាយអ៊ែងហ្គល ឡូជីស្ទីក (ខេមបូឌា) ឯ.ក</t>
        </is>
      </c>
      <c r="D932" t="inlineStr">
        <is>
          <t>K010-902101743</t>
        </is>
      </c>
      <c r="E932" t="inlineStr">
        <is>
          <t>TAG-24-00461</t>
        </is>
      </c>
      <c r="F932" t="inlineStr">
        <is>
          <t>11-07-2024</t>
        </is>
      </c>
      <c r="G932" t="n">
        <v>28770</v>
      </c>
      <c r="I932">
        <f>G932</f>
        <v/>
      </c>
      <c r="K932">
        <f>I932-G932</f>
        <v/>
      </c>
      <c r="M932" t="inlineStr">
        <is>
          <t>TAG2400461</t>
        </is>
      </c>
      <c r="N932" t="inlineStr">
        <is>
          <t>8366100</t>
        </is>
      </c>
      <c r="O932">
        <f>M932=N932</f>
        <v/>
      </c>
      <c r="P932">
        <f>AND(MONTH(F932)=MONTH(S932), YEAR(F932)=YEAR(S932))</f>
        <v/>
      </c>
      <c r="Q932">
        <f>"L001-902303751"=U932</f>
        <v/>
      </c>
      <c r="R932">
        <f>G932-W932</f>
        <v/>
      </c>
      <c r="S932" s="36" t="n">
        <v>45439</v>
      </c>
      <c r="T932" t="n">
        <v>83661</v>
      </c>
      <c r="U932" t="inlineStr">
        <is>
          <t>L001-107032791</t>
        </is>
      </c>
      <c r="V932" t="inlineStr">
        <is>
          <t>នីបផន អិចប្រេស (ខេមបូឌា) ខូ អិលធីឌី</t>
        </is>
      </c>
      <c r="W932" t="n">
        <v>83661</v>
      </c>
      <c r="X932" t="n">
        <v>0</v>
      </c>
    </row>
    <row r="933">
      <c r="A933" t="n">
        <v>932</v>
      </c>
      <c r="B933" t="inlineStr">
        <is>
          <t>Customs Clearance Fee</t>
        </is>
      </c>
      <c r="C933" t="inlineStr">
        <is>
          <t>ត្រាយអ៊ែងហ្គល ឡូជីស្ទីក (ខេមបូឌា) ឯ.ក</t>
        </is>
      </c>
      <c r="D933" t="inlineStr">
        <is>
          <t>K010-902101743</t>
        </is>
      </c>
      <c r="E933" t="inlineStr">
        <is>
          <t>TAG-24-00475</t>
        </is>
      </c>
      <c r="F933" t="inlineStr">
        <is>
          <t>17-07-2024</t>
        </is>
      </c>
      <c r="G933" t="n">
        <v>8214</v>
      </c>
      <c r="I933">
        <f>G933</f>
        <v/>
      </c>
      <c r="K933">
        <f>I933-G933</f>
        <v/>
      </c>
      <c r="M933" t="inlineStr">
        <is>
          <t>TAG2400475</t>
        </is>
      </c>
      <c r="N933" t="inlineStr">
        <is>
          <t>11456400</t>
        </is>
      </c>
      <c r="O933">
        <f>M933=N933</f>
        <v/>
      </c>
      <c r="P933">
        <f>AND(MONTH(F933)=MONTH(S933), YEAR(F933)=YEAR(S933))</f>
        <v/>
      </c>
      <c r="Q933">
        <f>"L001-902303751"=U933</f>
        <v/>
      </c>
      <c r="R933">
        <f>G933-W933</f>
        <v/>
      </c>
      <c r="S933" s="36" t="n">
        <v>45432</v>
      </c>
      <c r="T933" t="n">
        <v>114564</v>
      </c>
      <c r="U933" t="inlineStr">
        <is>
          <t>L001-104015799</t>
        </is>
      </c>
      <c r="V933" t="inlineStr">
        <is>
          <t>យូសេន ឡូជីស្ទីក (ខេមបូឌា) ខូ អិលធីឌី</t>
        </is>
      </c>
      <c r="W933" t="n">
        <v>114564</v>
      </c>
      <c r="X933" t="n">
        <v>0</v>
      </c>
    </row>
    <row r="934">
      <c r="A934" t="n">
        <v>933</v>
      </c>
      <c r="B934" t="inlineStr">
        <is>
          <t>Terminal Handling Charge, EMF, Container Imbalance Charge, D/O Fee, Document Fee and Handling Charge</t>
        </is>
      </c>
      <c r="C934" t="inlineStr">
        <is>
          <t>ខេអិលអិន ហ្វ្រេត (ខេមបូឌា) ឯ.ក</t>
        </is>
      </c>
      <c r="D934" t="inlineStr">
        <is>
          <t>L001-100074669</t>
        </is>
      </c>
      <c r="E934" t="inlineStr">
        <is>
          <t>IVO10826</t>
        </is>
      </c>
      <c r="F934" t="inlineStr">
        <is>
          <t>17-07-2024</t>
        </is>
      </c>
      <c r="G934" t="n">
        <v>162843</v>
      </c>
      <c r="I934">
        <f>G934</f>
        <v/>
      </c>
      <c r="K934">
        <f>I934-G934</f>
        <v/>
      </c>
      <c r="M934" t="inlineStr">
        <is>
          <t>IVO10826</t>
        </is>
      </c>
      <c r="N934" t="inlineStr">
        <is>
          <t>8357900</t>
        </is>
      </c>
      <c r="O934">
        <f>M934=N934</f>
        <v/>
      </c>
      <c r="P934">
        <f>AND(MONTH(F934)=MONTH(S934), YEAR(F934)=YEAR(S934))</f>
        <v/>
      </c>
      <c r="Q934">
        <f>"L001-902303751"=U934</f>
        <v/>
      </c>
      <c r="R934">
        <f>G934-W934</f>
        <v/>
      </c>
      <c r="S934" s="36" t="n">
        <v>45432</v>
      </c>
      <c r="T934" t="n">
        <v>83579</v>
      </c>
      <c r="U934" t="inlineStr">
        <is>
          <t>L001-107032791</t>
        </is>
      </c>
      <c r="V934" t="inlineStr">
        <is>
          <t>នីបផន អិចប្រេស (ខេមបូឌា) ខូ អិលធីឌី</t>
        </is>
      </c>
      <c r="W934" t="n">
        <v>83579</v>
      </c>
      <c r="X934" t="n">
        <v>0</v>
      </c>
    </row>
    <row r="935">
      <c r="A935" t="n">
        <v>934</v>
      </c>
      <c r="B935" t="inlineStr">
        <is>
          <t>Customs Clearance Fee and Trucking Fee</t>
        </is>
      </c>
      <c r="C935" t="inlineStr">
        <is>
          <t>ត្រាយអ៊ែងហ្គល ឡូជីស្ទីក (ខេមបូឌា) ឯ.ក</t>
        </is>
      </c>
      <c r="D935" t="inlineStr">
        <is>
          <t>K010-902101743</t>
        </is>
      </c>
      <c r="E935" t="inlineStr">
        <is>
          <t>TAG-24-00471</t>
        </is>
      </c>
      <c r="F935" t="inlineStr">
        <is>
          <t>16-07-2024</t>
        </is>
      </c>
      <c r="G935" t="n">
        <v>28742</v>
      </c>
      <c r="I935">
        <f>G935</f>
        <v/>
      </c>
      <c r="K935">
        <f>I935-G935</f>
        <v/>
      </c>
      <c r="M935" t="inlineStr">
        <is>
          <t>TAG2400471</t>
        </is>
      </c>
      <c r="N935" t="inlineStr">
        <is>
          <t>8362000</t>
        </is>
      </c>
      <c r="O935">
        <f>M935=N935</f>
        <v/>
      </c>
      <c r="P935">
        <f>AND(MONTH(F935)=MONTH(S935), YEAR(F935)=YEAR(S935))</f>
        <v/>
      </c>
      <c r="Q935">
        <f>"L001-902303751"=U935</f>
        <v/>
      </c>
      <c r="R935">
        <f>G935-W935</f>
        <v/>
      </c>
      <c r="S935" s="36" t="n">
        <v>45427</v>
      </c>
      <c r="T935" t="n">
        <v>83620</v>
      </c>
      <c r="U935" t="inlineStr">
        <is>
          <t>L001-107032791</t>
        </is>
      </c>
      <c r="V935" t="inlineStr">
        <is>
          <t>នីបផន អិចប្រេស (ខេមបូឌា) ខូ អិលធីឌី</t>
        </is>
      </c>
      <c r="W935" t="n">
        <v>83620</v>
      </c>
      <c r="X935" t="n">
        <v>0</v>
      </c>
    </row>
    <row r="936">
      <c r="A936" t="n">
        <v>935</v>
      </c>
      <c r="B936" t="inlineStr">
        <is>
          <t>Cargo Terminal</t>
        </is>
      </c>
      <c r="C936" t="inlineStr">
        <is>
          <t>សូស៊ីយេតេ កុងសេស្យូនែរ ដឺ ឡាអេរ៉ូព័រ</t>
        </is>
      </c>
      <c r="D936" t="inlineStr">
        <is>
          <t>L001-100047300</t>
        </is>
      </c>
      <c r="E936" t="inlineStr">
        <is>
          <t>2400-055407</t>
        </is>
      </c>
      <c r="F936" t="inlineStr">
        <is>
          <t>16-07-2024</t>
        </is>
      </c>
      <c r="G936" t="n">
        <v>12811</v>
      </c>
      <c r="I936">
        <f>G936</f>
        <v/>
      </c>
      <c r="K936">
        <f>I936-G936</f>
        <v/>
      </c>
      <c r="M936" t="inlineStr">
        <is>
          <t>2400055407</t>
        </is>
      </c>
      <c r="N936" t="inlineStr">
        <is>
          <t>11206300</t>
        </is>
      </c>
      <c r="O936">
        <f>M936=N936</f>
        <v/>
      </c>
      <c r="P936">
        <f>AND(MONTH(F936)=MONTH(S936), YEAR(F936)=YEAR(S936))</f>
        <v/>
      </c>
      <c r="Q936">
        <f>"L001-902303751"=U936</f>
        <v/>
      </c>
      <c r="R936">
        <f>G936-W936</f>
        <v/>
      </c>
      <c r="S936" s="36" t="n">
        <v>45419</v>
      </c>
      <c r="T936" t="n">
        <v>112063</v>
      </c>
      <c r="U936" t="inlineStr">
        <is>
          <t>L001-107032791</t>
        </is>
      </c>
      <c r="V936" t="inlineStr">
        <is>
          <t>នីបផន អិចប្រេស (ខេមបូឌា) ខូ អិលធីឌី</t>
        </is>
      </c>
      <c r="W936" t="n">
        <v>112063</v>
      </c>
      <c r="X936" t="n">
        <v>0</v>
      </c>
    </row>
    <row r="937">
      <c r="A937" t="n">
        <v>936</v>
      </c>
      <c r="B937" t="inlineStr">
        <is>
          <t>Handling Fee and Doc Fee</t>
        </is>
      </c>
      <c r="C937" t="inlineStr">
        <is>
          <t>ទ្រូ ខមភែនៀន ឡូជីស្ទីក (ខេមបូឌា)</t>
        </is>
      </c>
      <c r="D937" t="inlineStr">
        <is>
          <t>K009-901605081</t>
        </is>
      </c>
      <c r="E937" t="inlineStr">
        <is>
          <t>TCLCAMAI2024-0085</t>
        </is>
      </c>
      <c r="F937" t="inlineStr">
        <is>
          <t>12-07-2024</t>
        </is>
      </c>
      <c r="G937" t="n">
        <v>34901</v>
      </c>
      <c r="I937">
        <f>G937</f>
        <v/>
      </c>
      <c r="K937">
        <f>I937-G937</f>
        <v/>
      </c>
      <c r="M937" t="inlineStr">
        <is>
          <t>TCLCAMAI20240085</t>
        </is>
      </c>
      <c r="N937" t="inlineStr"/>
      <c r="O937">
        <f>M937=N937</f>
        <v/>
      </c>
      <c r="P937">
        <f>AND(MONTH(F937)=MONTH(S937), YEAR(F937)=YEAR(S937))</f>
        <v/>
      </c>
      <c r="Q937">
        <f>"L001-902303751"=U937</f>
        <v/>
      </c>
      <c r="R937">
        <f>G937-W937</f>
        <v/>
      </c>
      <c r="S937" s="36" t="n">
        <v>45439</v>
      </c>
      <c r="T937" t="inlineStr"/>
      <c r="U937" t="inlineStr">
        <is>
          <t>L001-107041723</t>
        </is>
      </c>
      <c r="V937" t="inlineStr">
        <is>
          <t>ឌីប៊ី សេនឃើរ (ខេមបូឌា) លីមីធីត</t>
        </is>
      </c>
      <c r="W937" t="n">
        <v>0</v>
      </c>
      <c r="X937" t="n">
        <v>0</v>
      </c>
    </row>
    <row r="938">
      <c r="A938" t="n">
        <v>937</v>
      </c>
      <c r="B938" t="inlineStr">
        <is>
          <t>Customs Clearance Fee and Trucking Fee</t>
        </is>
      </c>
      <c r="C938" t="inlineStr">
        <is>
          <t>ត្រាយអ៊ែងហ្គល ឡូជីស្ទីក (ខេមបូឌា) ឯ.ក</t>
        </is>
      </c>
      <c r="D938" t="inlineStr">
        <is>
          <t>K010-902101743</t>
        </is>
      </c>
      <c r="E938" t="inlineStr">
        <is>
          <t>TAG-24-00468</t>
        </is>
      </c>
      <c r="F938" t="inlineStr">
        <is>
          <t>16-07-2024</t>
        </is>
      </c>
      <c r="G938" t="n">
        <v>28742</v>
      </c>
      <c r="I938">
        <f>G938</f>
        <v/>
      </c>
      <c r="K938">
        <f>I938-G938</f>
        <v/>
      </c>
      <c r="M938" t="inlineStr">
        <is>
          <t>TAG2400468</t>
        </is>
      </c>
      <c r="N938" t="inlineStr"/>
      <c r="O938">
        <f>M938=N938</f>
        <v/>
      </c>
      <c r="P938">
        <f>AND(MONTH(F938)=MONTH(S938), YEAR(F938)=YEAR(S938))</f>
        <v/>
      </c>
      <c r="Q938">
        <f>"L001-902303751"=U938</f>
        <v/>
      </c>
      <c r="R938">
        <f>G938-W938</f>
        <v/>
      </c>
      <c r="S938" s="36" t="n">
        <v>45441</v>
      </c>
      <c r="T938" t="inlineStr"/>
      <c r="U938" t="inlineStr">
        <is>
          <t>K005-100059945</t>
        </is>
      </c>
      <c r="V938" t="inlineStr">
        <is>
          <t>អ៊ែតវ៉ានស៍ គ្លរី ឡូជីស្ទីក (ខេមបូឌា) (អេ ជី អិល)</t>
        </is>
      </c>
      <c r="W938" t="n">
        <v>0</v>
      </c>
      <c r="X938" t="n">
        <v>0</v>
      </c>
    </row>
    <row r="939">
      <c r="A939" t="n">
        <v>938</v>
      </c>
      <c r="B939" t="inlineStr">
        <is>
          <t>Terminal Handling Charge, CFS Fee, Scanner Fee, CIC Fee, Agency Fee, D/O Fee, Documentation Fee, Handling Fee, Ex-Work Charge andOcen Freight Charge</t>
        </is>
      </c>
      <c r="C939" t="inlineStr">
        <is>
          <t>ភី.ដាប់បែលយូ. ស្កេនវែល ឡូជីស្ទីក (ខេមបូឌា)</t>
        </is>
      </c>
      <c r="D939" t="inlineStr">
        <is>
          <t>K002-107011379</t>
        </is>
      </c>
      <c r="E939" t="inlineStr">
        <is>
          <t>240700143</t>
        </is>
      </c>
      <c r="F939" t="inlineStr">
        <is>
          <t>16-07-2024</t>
        </is>
      </c>
      <c r="G939" t="n">
        <v>208421</v>
      </c>
      <c r="I939">
        <f>G939</f>
        <v/>
      </c>
      <c r="K939">
        <f>I939-G939</f>
        <v/>
      </c>
      <c r="M939" t="inlineStr">
        <is>
          <t>240700143</t>
        </is>
      </c>
      <c r="N939" t="inlineStr"/>
      <c r="O939">
        <f>M939=N939</f>
        <v/>
      </c>
      <c r="P939">
        <f>AND(MONTH(F939)=MONTH(S939), YEAR(F939)=YEAR(S939))</f>
        <v/>
      </c>
      <c r="Q939">
        <f>"L001-902303751"=U939</f>
        <v/>
      </c>
      <c r="R939">
        <f>G939-W939</f>
        <v/>
      </c>
      <c r="S939" s="36" t="n">
        <v>45439</v>
      </c>
      <c r="T939" t="inlineStr"/>
      <c r="U939" t="inlineStr">
        <is>
          <t>L001-107032791</t>
        </is>
      </c>
      <c r="V939" t="inlineStr">
        <is>
          <t>នីបផន អិចប្រេស (ខេមបូឌា) ខូ អិលធីឌី</t>
        </is>
      </c>
      <c r="W939" t="n">
        <v>0</v>
      </c>
      <c r="X939" t="n">
        <v>0</v>
      </c>
    </row>
    <row r="940">
      <c r="A940" t="n">
        <v>939</v>
      </c>
      <c r="B940" t="inlineStr">
        <is>
          <t>Customs Clearance Fee and Trucking Fee</t>
        </is>
      </c>
      <c r="C940" t="inlineStr">
        <is>
          <t>ត្រាយអ៊ែងហ្គល ឡូជីស្ទីក (ខេមបូឌា) ឯ.ក</t>
        </is>
      </c>
      <c r="D940" t="inlineStr">
        <is>
          <t>K010-902101743</t>
        </is>
      </c>
      <c r="E940" t="inlineStr">
        <is>
          <t>TAG-24-00472</t>
        </is>
      </c>
      <c r="F940" t="inlineStr">
        <is>
          <t>16-07-2024</t>
        </is>
      </c>
      <c r="G940" t="n">
        <v>28742</v>
      </c>
      <c r="I940">
        <f>G940</f>
        <v/>
      </c>
      <c r="K940">
        <f>I940-G940</f>
        <v/>
      </c>
      <c r="M940" t="inlineStr">
        <is>
          <t>TAG2400472</t>
        </is>
      </c>
      <c r="N940" t="inlineStr"/>
      <c r="O940">
        <f>M940=N940</f>
        <v/>
      </c>
      <c r="P940">
        <f>AND(MONTH(F940)=MONTH(S940), YEAR(F940)=YEAR(S940))</f>
        <v/>
      </c>
      <c r="Q940">
        <f>"L001-902303751"=U940</f>
        <v/>
      </c>
      <c r="R940">
        <f>G940-W940</f>
        <v/>
      </c>
      <c r="S940" s="36" t="n">
        <v>45432</v>
      </c>
      <c r="T940" t="inlineStr"/>
      <c r="U940" t="inlineStr">
        <is>
          <t>L001-107032791</t>
        </is>
      </c>
      <c r="V940" t="inlineStr">
        <is>
          <t>នីបផន អិចប្រេស (ខេមបូឌា) ខូ អិលធីឌី</t>
        </is>
      </c>
      <c r="W940" t="n">
        <v>0</v>
      </c>
      <c r="X940" t="n">
        <v>0</v>
      </c>
    </row>
    <row r="941">
      <c r="A941" t="n">
        <v>940</v>
      </c>
      <c r="B941" t="inlineStr">
        <is>
          <t>Customs Clearance Fee and Trucking Fee</t>
        </is>
      </c>
      <c r="C941" t="inlineStr">
        <is>
          <t>ត្រាយអ៊ែងហ្គល ឡូជីស្ទីក (ខេមបូឌា) ឯ.ក</t>
        </is>
      </c>
      <c r="D941" t="inlineStr">
        <is>
          <t>K010-902101743</t>
        </is>
      </c>
      <c r="E941" t="inlineStr">
        <is>
          <t>TAG-24-00460</t>
        </is>
      </c>
      <c r="F941" t="inlineStr">
        <is>
          <t>09-07-2024</t>
        </is>
      </c>
      <c r="G941" t="n">
        <v>28812</v>
      </c>
      <c r="I941">
        <f>G941</f>
        <v/>
      </c>
      <c r="K941">
        <f>I941-G941</f>
        <v/>
      </c>
      <c r="M941" t="inlineStr">
        <is>
          <t>TAG2400460</t>
        </is>
      </c>
      <c r="N941" t="inlineStr">
        <is>
          <t>8362000</t>
        </is>
      </c>
      <c r="O941">
        <f>M941=N941</f>
        <v/>
      </c>
      <c r="P941">
        <f>AND(MONTH(F941)=MONTH(S941), YEAR(F941)=YEAR(S941))</f>
        <v/>
      </c>
      <c r="Q941">
        <f>"L001-902303751"=U941</f>
        <v/>
      </c>
      <c r="R941">
        <f>G941-W941</f>
        <v/>
      </c>
      <c r="S941" s="36" t="n">
        <v>45427</v>
      </c>
      <c r="T941" t="n">
        <v>83620</v>
      </c>
      <c r="U941" t="inlineStr">
        <is>
          <t>L001-107032791</t>
        </is>
      </c>
      <c r="V941" t="inlineStr">
        <is>
          <t>នីបផន អិចប្រេស (ខេមបូឌា) ខូ អិលធីឌី</t>
        </is>
      </c>
      <c r="W941" t="n">
        <v>83620</v>
      </c>
      <c r="X941" t="n">
        <v>0</v>
      </c>
    </row>
    <row r="942">
      <c r="A942" t="n">
        <v>941</v>
      </c>
      <c r="B942" t="inlineStr">
        <is>
          <t>Cargo Terminal</t>
        </is>
      </c>
      <c r="C942" t="inlineStr">
        <is>
          <t>សូស៊ីយេតេ កុងសេស្យូនែរ ដឺ ឡាអេរ៉ូព័រ</t>
        </is>
      </c>
      <c r="D942" t="inlineStr">
        <is>
          <t>L001-100047300</t>
        </is>
      </c>
      <c r="E942" t="inlineStr">
        <is>
          <t>2400-055392</t>
        </is>
      </c>
      <c r="F942" t="inlineStr">
        <is>
          <t>16-07-2024</t>
        </is>
      </c>
      <c r="G942" t="n">
        <v>3415</v>
      </c>
      <c r="I942">
        <f>G942</f>
        <v/>
      </c>
      <c r="K942">
        <f>I942-G942</f>
        <v/>
      </c>
      <c r="M942" t="inlineStr">
        <is>
          <t>2400055392</t>
        </is>
      </c>
      <c r="N942" t="inlineStr"/>
      <c r="O942">
        <f>M942=N942</f>
        <v/>
      </c>
      <c r="P942">
        <f>AND(MONTH(F942)=MONTH(S942), YEAR(F942)=YEAR(S942))</f>
        <v/>
      </c>
      <c r="Q942">
        <f>"L001-902303751"=U942</f>
        <v/>
      </c>
      <c r="R942">
        <f>G942-W942</f>
        <v/>
      </c>
      <c r="S942" s="36" t="n">
        <v>45436</v>
      </c>
      <c r="T942" t="inlineStr"/>
      <c r="U942" t="inlineStr">
        <is>
          <t>L001-100045995</t>
        </is>
      </c>
      <c r="V942" t="inlineStr">
        <is>
          <t>ឌីអេចអិល ឡូជីស្ទីក (ខេមបូឌា)</t>
        </is>
      </c>
      <c r="W942" t="n">
        <v>0</v>
      </c>
      <c r="X942" t="n">
        <v>0</v>
      </c>
    </row>
    <row r="943">
      <c r="A943" t="n">
        <v>942</v>
      </c>
      <c r="B943" t="inlineStr">
        <is>
          <t>Airway Bill Fee and Handling Agency Fee</t>
        </is>
      </c>
      <c r="C943" t="inlineStr">
        <is>
          <t>ត្រេន ស្តារ ហ្រេ្វត</t>
        </is>
      </c>
      <c r="D943" t="inlineStr">
        <is>
          <t>L001-100011888</t>
        </is>
      </c>
      <c r="E943" t="inlineStr">
        <is>
          <t>PPTI24-08235</t>
        </is>
      </c>
      <c r="F943" t="inlineStr">
        <is>
          <t>11-07-2024</t>
        </is>
      </c>
      <c r="G943" t="n">
        <v>34935</v>
      </c>
      <c r="I943">
        <f>G943</f>
        <v/>
      </c>
      <c r="K943">
        <f>I943-G943</f>
        <v/>
      </c>
      <c r="M943" t="inlineStr">
        <is>
          <t>PPTI2408235</t>
        </is>
      </c>
      <c r="N943" t="inlineStr">
        <is>
          <t>2855300</t>
        </is>
      </c>
      <c r="O943">
        <f>M943=N943</f>
        <v/>
      </c>
      <c r="P943">
        <f>AND(MONTH(F943)=MONTH(S943), YEAR(F943)=YEAR(S943))</f>
        <v/>
      </c>
      <c r="Q943">
        <f>"L001-902303751"=U943</f>
        <v/>
      </c>
      <c r="R943">
        <f>G943-W943</f>
        <v/>
      </c>
      <c r="S943" s="36" t="n">
        <v>45436</v>
      </c>
      <c r="T943" t="n">
        <v>28553</v>
      </c>
      <c r="U943" t="inlineStr">
        <is>
          <t>L001-107032791</t>
        </is>
      </c>
      <c r="V943" t="inlineStr">
        <is>
          <t>នីបផន អិចប្រេស (ខេមបូឌា) ខូ អិលធីឌី</t>
        </is>
      </c>
      <c r="W943" t="n">
        <v>28553</v>
      </c>
      <c r="X943" t="n">
        <v>0</v>
      </c>
    </row>
    <row r="944">
      <c r="A944" t="n">
        <v>943</v>
      </c>
      <c r="B944" t="inlineStr">
        <is>
          <t>Customs Clearance Fee</t>
        </is>
      </c>
      <c r="C944" t="inlineStr">
        <is>
          <t>ត្រាយអ៊ែងហ្គល ឡូជីស្ទីក (ខេមបូឌា) ឯ.ក</t>
        </is>
      </c>
      <c r="D944" t="inlineStr">
        <is>
          <t>K010-902101743</t>
        </is>
      </c>
      <c r="E944" t="inlineStr">
        <is>
          <t>TAG-24-00470</t>
        </is>
      </c>
      <c r="F944" t="inlineStr">
        <is>
          <t>16-07-2024</t>
        </is>
      </c>
      <c r="G944" t="n">
        <v>8212</v>
      </c>
      <c r="I944">
        <f>G944</f>
        <v/>
      </c>
      <c r="K944">
        <f>I944-G944</f>
        <v/>
      </c>
      <c r="M944" t="inlineStr">
        <is>
          <t>TAG2400470</t>
        </is>
      </c>
      <c r="N944" t="inlineStr"/>
      <c r="O944">
        <f>M944=N944</f>
        <v/>
      </c>
      <c r="P944">
        <f>AND(MONTH(F944)=MONTH(S944), YEAR(F944)=YEAR(S944))</f>
        <v/>
      </c>
      <c r="Q944">
        <f>"L001-902303751"=U944</f>
        <v/>
      </c>
      <c r="R944">
        <f>G944-W944</f>
        <v/>
      </c>
      <c r="S944" s="36" t="n">
        <v>45435</v>
      </c>
      <c r="T944" t="inlineStr"/>
      <c r="U944" t="inlineStr">
        <is>
          <t>K003-901635943</t>
        </is>
      </c>
      <c r="V944" t="inlineStr">
        <is>
          <t>អ៊ីឃ្យូឡាញ វើលវ៉ាយដ៍ ឡូជីស្ទីក</t>
        </is>
      </c>
      <c r="W944" t="n">
        <v>0</v>
      </c>
      <c r="X944" t="n">
        <v>0</v>
      </c>
    </row>
    <row r="945">
      <c r="A945" t="n">
        <v>944</v>
      </c>
      <c r="B945" t="inlineStr">
        <is>
          <t>Customs Clearance Fee and Trucking Fee</t>
        </is>
      </c>
      <c r="C945" t="inlineStr">
        <is>
          <t>ត្រាយអ៊ែងហ្គល ឡូជីស្ទីក (ខេមបូឌា) ឯ.ក</t>
        </is>
      </c>
      <c r="D945" t="inlineStr">
        <is>
          <t>K010-902101743</t>
        </is>
      </c>
      <c r="E945" t="inlineStr">
        <is>
          <t>TAG-24-00499</t>
        </is>
      </c>
      <c r="F945" t="inlineStr">
        <is>
          <t>29-07-2024</t>
        </is>
      </c>
      <c r="G945" t="n">
        <v>69768</v>
      </c>
      <c r="I945">
        <f>G945</f>
        <v/>
      </c>
      <c r="K945">
        <f>I945-G945</f>
        <v/>
      </c>
      <c r="M945" t="inlineStr">
        <is>
          <t>TAG2400499</t>
        </is>
      </c>
      <c r="N945" t="inlineStr">
        <is>
          <t>11211800</t>
        </is>
      </c>
      <c r="O945">
        <f>M945=N945</f>
        <v/>
      </c>
      <c r="P945">
        <f>AND(MONTH(F945)=MONTH(S945), YEAR(F945)=YEAR(S945))</f>
        <v/>
      </c>
      <c r="Q945">
        <f>"L001-902303751"=U945</f>
        <v/>
      </c>
      <c r="R945">
        <f>G945-W945</f>
        <v/>
      </c>
      <c r="S945" s="36" t="n">
        <v>45435</v>
      </c>
      <c r="T945" t="n">
        <v>112118</v>
      </c>
      <c r="U945" t="inlineStr">
        <is>
          <t>K005-100059945</t>
        </is>
      </c>
      <c r="V945" t="inlineStr">
        <is>
          <t>អ៊ែតវ៉ានស៍ គ្លរី ឡូជីស្ទីក (ខេមបូឌា) (អេ ជី អិល)</t>
        </is>
      </c>
      <c r="W945" t="n">
        <v>112118</v>
      </c>
      <c r="X945" t="n">
        <v>0</v>
      </c>
    </row>
    <row r="946">
      <c r="A946" t="n">
        <v>945</v>
      </c>
      <c r="B946" t="inlineStr">
        <is>
          <t>LIFT-ON Charges 40" Full and Gate Fee Charges 40" Full</t>
        </is>
      </c>
      <c r="C946" t="inlineStr">
        <is>
          <t>កំពង់ផែស្វយ័តភ្នំពេញ "ក.ស.ភ"</t>
        </is>
      </c>
      <c r="D946" t="inlineStr">
        <is>
          <t>L001-100044999</t>
        </is>
      </c>
      <c r="E946" t="inlineStr">
        <is>
          <t>INV20240749402</t>
        </is>
      </c>
      <c r="F946" t="inlineStr">
        <is>
          <t>27-07-2024</t>
        </is>
      </c>
      <c r="G946" t="n">
        <v>28714</v>
      </c>
      <c r="I946">
        <f>G946</f>
        <v/>
      </c>
      <c r="K946">
        <f>I946-G946</f>
        <v/>
      </c>
      <c r="M946" t="inlineStr">
        <is>
          <t>INV20240749402</t>
        </is>
      </c>
      <c r="N946" t="inlineStr"/>
      <c r="O946">
        <f>M946=N946</f>
        <v/>
      </c>
      <c r="P946">
        <f>AND(MONTH(F946)=MONTH(S946), YEAR(F946)=YEAR(S946))</f>
        <v/>
      </c>
      <c r="Q946">
        <f>"L001-902303751"=U946</f>
        <v/>
      </c>
      <c r="R946">
        <f>G946-W946</f>
        <v/>
      </c>
      <c r="S946" s="36" t="n">
        <v>45432</v>
      </c>
      <c r="T946" t="inlineStr"/>
      <c r="U946" t="inlineStr">
        <is>
          <t>L001-100074669</t>
        </is>
      </c>
      <c r="V946" t="inlineStr">
        <is>
          <t>ខេអិលអិន ហ្វ្រេត (ខេមបូឌា) ឯ.ក</t>
        </is>
      </c>
      <c r="W946" t="n">
        <v>0</v>
      </c>
      <c r="X946" t="n">
        <v>0</v>
      </c>
    </row>
    <row r="947">
      <c r="A947" t="n">
        <v>946</v>
      </c>
      <c r="B947" t="inlineStr">
        <is>
          <t>THC, Doc Fee and Container Imbalance</t>
        </is>
      </c>
      <c r="C947" t="inlineStr">
        <is>
          <t>សាខាក្រុមហ៊ុន ជីម៉ាឌីប ស៊ីបភីង ខមភេនី លីមីធីត</t>
        </is>
      </c>
      <c r="D947" t="inlineStr">
        <is>
          <t>L001-901704777</t>
        </is>
      </c>
      <c r="E947" t="inlineStr">
        <is>
          <t>24-02622</t>
        </is>
      </c>
      <c r="F947" t="inlineStr">
        <is>
          <t>25-07-2024</t>
        </is>
      </c>
      <c r="G947" t="n">
        <v>137518</v>
      </c>
      <c r="I947">
        <f>G947</f>
        <v/>
      </c>
      <c r="K947">
        <f>I947-G947</f>
        <v/>
      </c>
      <c r="M947" t="inlineStr">
        <is>
          <t>2402622</t>
        </is>
      </c>
      <c r="N947" t="inlineStr"/>
      <c r="O947">
        <f>M947=N947</f>
        <v/>
      </c>
      <c r="P947">
        <f>AND(MONTH(F947)=MONTH(S947), YEAR(F947)=YEAR(S947))</f>
        <v/>
      </c>
      <c r="Q947">
        <f>"L001-902303751"=U947</f>
        <v/>
      </c>
      <c r="R947">
        <f>G947-W947</f>
        <v/>
      </c>
      <c r="S947" s="36" t="n">
        <v>45429</v>
      </c>
      <c r="T947" t="inlineStr"/>
      <c r="U947" t="inlineStr">
        <is>
          <t>K005-100099521</t>
        </is>
      </c>
      <c r="V947" t="inlineStr">
        <is>
          <t>ខាហ្គោផត (ខេមបូឌា)</t>
        </is>
      </c>
      <c r="W947" t="n">
        <v>0</v>
      </c>
      <c r="X947" t="n">
        <v>0</v>
      </c>
    </row>
    <row r="948">
      <c r="A948" t="n">
        <v>947</v>
      </c>
      <c r="B948" t="inlineStr">
        <is>
          <t>Customs Clearance Fee and Trucking Fee</t>
        </is>
      </c>
      <c r="C948" t="inlineStr">
        <is>
          <t>ត្រាយអ៊ែងហ្គល ឡូជីស្ទីក (ខេមបូឌា) ឯ.ក</t>
        </is>
      </c>
      <c r="D948" t="inlineStr">
        <is>
          <t>K010-902101743</t>
        </is>
      </c>
      <c r="E948" t="inlineStr">
        <is>
          <t>TAG-24-00497</t>
        </is>
      </c>
      <c r="F948" t="inlineStr">
        <is>
          <t>25-07-2024</t>
        </is>
      </c>
      <c r="G948" t="n">
        <v>28735</v>
      </c>
      <c r="I948">
        <f>G948</f>
        <v/>
      </c>
      <c r="K948">
        <f>I948-G948</f>
        <v/>
      </c>
      <c r="M948" t="inlineStr">
        <is>
          <t>TAG2400497</t>
        </is>
      </c>
      <c r="N948" t="inlineStr">
        <is>
          <t>8357900</t>
        </is>
      </c>
      <c r="O948">
        <f>M948=N948</f>
        <v/>
      </c>
      <c r="P948">
        <f>AND(MONTH(F948)=MONTH(S948), YEAR(F948)=YEAR(S948))</f>
        <v/>
      </c>
      <c r="Q948">
        <f>"L001-902303751"=U948</f>
        <v/>
      </c>
      <c r="R948">
        <f>G948-W948</f>
        <v/>
      </c>
      <c r="S948" s="36" t="n">
        <v>45432</v>
      </c>
      <c r="T948" t="n">
        <v>83579</v>
      </c>
      <c r="U948" t="inlineStr">
        <is>
          <t>L001-107032791</t>
        </is>
      </c>
      <c r="V948" t="inlineStr">
        <is>
          <t>នីបផន អិចប្រេស (ខេមបូឌា) ខូ អិលធីឌី</t>
        </is>
      </c>
      <c r="W948" t="n">
        <v>83579</v>
      </c>
      <c r="X948" t="n">
        <v>0</v>
      </c>
    </row>
    <row r="949">
      <c r="A949" t="n">
        <v>948</v>
      </c>
      <c r="B949" t="inlineStr">
        <is>
          <t>Cargo Terminal</t>
        </is>
      </c>
      <c r="C949" t="inlineStr">
        <is>
          <t>សូស៊ីយេតេ កុងសេស្យូនែរ ដឺ ឡាអេរ៉ូព័រ</t>
        </is>
      </c>
      <c r="D949" t="inlineStr">
        <is>
          <t>L001-100047300</t>
        </is>
      </c>
      <c r="E949" t="inlineStr">
        <is>
          <t>2400-058241</t>
        </is>
      </c>
      <c r="F949" t="inlineStr">
        <is>
          <t>25-07-2024</t>
        </is>
      </c>
      <c r="G949" t="n">
        <v>2530</v>
      </c>
      <c r="I949">
        <f>G949</f>
        <v/>
      </c>
      <c r="K949">
        <f>I949-G949</f>
        <v/>
      </c>
      <c r="M949" t="inlineStr">
        <is>
          <t>2400058241</t>
        </is>
      </c>
      <c r="N949" t="inlineStr"/>
      <c r="O949">
        <f>M949=N949</f>
        <v/>
      </c>
      <c r="P949">
        <f>AND(MONTH(F949)=MONTH(S949), YEAR(F949)=YEAR(S949))</f>
        <v/>
      </c>
      <c r="Q949">
        <f>"L001-902303751"=U949</f>
        <v/>
      </c>
      <c r="R949">
        <f>G949-W949</f>
        <v/>
      </c>
      <c r="S949" s="36" t="n">
        <v>45432</v>
      </c>
      <c r="T949" t="inlineStr"/>
      <c r="U949" t="inlineStr">
        <is>
          <t>L001-107032791</t>
        </is>
      </c>
      <c r="V949" t="inlineStr">
        <is>
          <t>នីបផន អិចប្រេស (ខេមបូឌា) ខូ អិលធីឌី</t>
        </is>
      </c>
      <c r="W949" t="n">
        <v>0</v>
      </c>
      <c r="X949" t="n">
        <v>0</v>
      </c>
    </row>
    <row r="950">
      <c r="A950" t="n">
        <v>949</v>
      </c>
      <c r="B950" t="inlineStr">
        <is>
          <t>Ariway bill fee and Handling Agency Fee</t>
        </is>
      </c>
      <c r="C950" t="inlineStr">
        <is>
          <t>ត្រេន ស្តារ ហ្រេ្វត</t>
        </is>
      </c>
      <c r="D950" t="inlineStr">
        <is>
          <t>L001-100011888</t>
        </is>
      </c>
      <c r="E950" t="inlineStr">
        <is>
          <t>PPTI24-09005</t>
        </is>
      </c>
      <c r="F950" t="inlineStr">
        <is>
          <t>24-07-2024</t>
        </is>
      </c>
      <c r="G950" t="n">
        <v>34910</v>
      </c>
      <c r="I950">
        <f>G950</f>
        <v/>
      </c>
      <c r="K950">
        <f>I950-G950</f>
        <v/>
      </c>
      <c r="M950" t="inlineStr">
        <is>
          <t>PPTI2409005</t>
        </is>
      </c>
      <c r="N950" t="inlineStr">
        <is>
          <t>11211800</t>
        </is>
      </c>
      <c r="O950">
        <f>M950=N950</f>
        <v/>
      </c>
      <c r="P950">
        <f>AND(MONTH(F950)=MONTH(S950), YEAR(F950)=YEAR(S950))</f>
        <v/>
      </c>
      <c r="Q950">
        <f>"L001-902303751"=U950</f>
        <v/>
      </c>
      <c r="R950">
        <f>G950-W950</f>
        <v/>
      </c>
      <c r="S950" s="36" t="n">
        <v>45432</v>
      </c>
      <c r="T950" t="n">
        <v>112118</v>
      </c>
      <c r="U950" t="inlineStr">
        <is>
          <t>L001-107032791</t>
        </is>
      </c>
      <c r="V950" t="inlineStr">
        <is>
          <t>នីបផន អិចប្រេស (ខេមបូឌា) ខូ អិលធីឌី</t>
        </is>
      </c>
      <c r="W950" t="n">
        <v>112118</v>
      </c>
      <c r="X950" t="n">
        <v>0</v>
      </c>
    </row>
    <row r="951">
      <c r="A951" t="n">
        <v>950</v>
      </c>
      <c r="B951" t="inlineStr">
        <is>
          <t>Handling Fee and Doc Fee</t>
        </is>
      </c>
      <c r="C951" t="inlineStr">
        <is>
          <t>ទ្រូ ខមភែនៀន ឡូជីស្ទីក (ខេមបូឌា)</t>
        </is>
      </c>
      <c r="D951" t="inlineStr">
        <is>
          <t>K009-901605081</t>
        </is>
      </c>
      <c r="E951" t="inlineStr">
        <is>
          <t>TCLCAMAI2024-0081</t>
        </is>
      </c>
      <c r="F951" t="inlineStr">
        <is>
          <t>09-07-2024</t>
        </is>
      </c>
      <c r="G951" t="n">
        <v>34986</v>
      </c>
      <c r="I951">
        <f>G951</f>
        <v/>
      </c>
      <c r="K951">
        <f>I951-G951</f>
        <v/>
      </c>
      <c r="M951" t="inlineStr">
        <is>
          <t>TCLCAMAI20240081</t>
        </is>
      </c>
      <c r="N951" t="inlineStr">
        <is>
          <t>107021300</t>
        </is>
      </c>
      <c r="O951">
        <f>M951=N951</f>
        <v/>
      </c>
      <c r="P951">
        <f>AND(MONTH(F951)=MONTH(S951), YEAR(F951)=YEAR(S951))</f>
        <v/>
      </c>
      <c r="Q951">
        <f>"L001-902303751"=U951</f>
        <v/>
      </c>
      <c r="R951">
        <f>G951-W951</f>
        <v/>
      </c>
      <c r="S951" s="36" t="n">
        <v>45428</v>
      </c>
      <c r="T951" t="n">
        <v>1070213</v>
      </c>
      <c r="U951" t="inlineStr">
        <is>
          <t>K004-105012505</t>
        </is>
      </c>
      <c r="V951" t="inlineStr">
        <is>
          <t>អេស៊ាន ហ្វ្រេត (ខេមបូឌា)</t>
        </is>
      </c>
      <c r="W951" t="n">
        <v>1070213</v>
      </c>
      <c r="X951" t="n">
        <v>0</v>
      </c>
    </row>
    <row r="952">
      <c r="A952" t="n">
        <v>951</v>
      </c>
      <c r="B952" t="inlineStr">
        <is>
          <t>Cargo Terminal</t>
        </is>
      </c>
      <c r="C952" t="inlineStr">
        <is>
          <t>សូស៊ីយេតេ កុងសេស្យូនែរ ដឺ ឡាអេរ៉ូព័រ</t>
        </is>
      </c>
      <c r="D952" t="inlineStr">
        <is>
          <t>L001-100047300</t>
        </is>
      </c>
      <c r="E952" t="inlineStr">
        <is>
          <t>2400-058021</t>
        </is>
      </c>
      <c r="F952" t="inlineStr">
        <is>
          <t>24-07-2024</t>
        </is>
      </c>
      <c r="G952" t="n">
        <v>31542</v>
      </c>
      <c r="I952">
        <f>G952</f>
        <v/>
      </c>
      <c r="K952">
        <f>I952-G952</f>
        <v/>
      </c>
      <c r="M952" t="inlineStr">
        <is>
          <t>2400058021</t>
        </is>
      </c>
      <c r="N952" t="inlineStr"/>
      <c r="O952">
        <f>M952=N952</f>
        <v/>
      </c>
      <c r="P952">
        <f>AND(MONTH(F952)=MONTH(S952), YEAR(F952)=YEAR(S952))</f>
        <v/>
      </c>
      <c r="Q952">
        <f>"L001-902303751"=U952</f>
        <v/>
      </c>
      <c r="R952">
        <f>G952-W952</f>
        <v/>
      </c>
      <c r="S952" s="36" t="n">
        <v>45435</v>
      </c>
      <c r="T952" t="inlineStr"/>
      <c r="U952" t="inlineStr">
        <is>
          <t>L001-107000385</t>
        </is>
      </c>
      <c r="V952" t="inlineStr">
        <is>
          <t>អិចស្ពោលាំងកា ហ្រ្វេត (ខេមបូឌា) លីមីធីត</t>
        </is>
      </c>
      <c r="W952" t="n">
        <v>0</v>
      </c>
      <c r="X952" t="n">
        <v>0</v>
      </c>
    </row>
    <row r="953">
      <c r="A953" t="n">
        <v>952</v>
      </c>
      <c r="B953" t="inlineStr">
        <is>
          <t>Cargo Terminal</t>
        </is>
      </c>
      <c r="C953" t="inlineStr">
        <is>
          <t>សូស៊ីយេតេ កុងសេស្យូនែរ ដឺ ឡាអេរ៉ូព័រ</t>
        </is>
      </c>
      <c r="D953" t="inlineStr">
        <is>
          <t>L001-100047300</t>
        </is>
      </c>
      <c r="E953" t="inlineStr">
        <is>
          <t>2400-055462</t>
        </is>
      </c>
      <c r="F953" t="inlineStr">
        <is>
          <t>16-07-2024</t>
        </is>
      </c>
      <c r="G953" t="n">
        <v>5618</v>
      </c>
      <c r="I953">
        <f>G953</f>
        <v/>
      </c>
      <c r="K953">
        <f>I953-G953</f>
        <v/>
      </c>
      <c r="M953" t="inlineStr">
        <is>
          <t>2400055462</t>
        </is>
      </c>
      <c r="N953" t="inlineStr"/>
      <c r="O953">
        <f>M953=N953</f>
        <v/>
      </c>
      <c r="P953">
        <f>AND(MONTH(F953)=MONTH(S953), YEAR(F953)=YEAR(S953))</f>
        <v/>
      </c>
      <c r="Q953">
        <f>"L001-902303751"=U953</f>
        <v/>
      </c>
      <c r="R953">
        <f>G953-W953</f>
        <v/>
      </c>
      <c r="S953" s="36" t="n">
        <v>45439</v>
      </c>
      <c r="T953" t="inlineStr"/>
      <c r="U953" t="inlineStr">
        <is>
          <t>L001-107032791</t>
        </is>
      </c>
      <c r="V953" t="inlineStr">
        <is>
          <t>នីបផន អិចប្រេស (ខេមបូឌា) ខូ អិលធីឌី</t>
        </is>
      </c>
      <c r="W953" t="n">
        <v>0</v>
      </c>
      <c r="X953" t="n">
        <v>0</v>
      </c>
    </row>
    <row r="954">
      <c r="A954" t="n">
        <v>953</v>
      </c>
      <c r="B954" t="inlineStr">
        <is>
          <t>Customs Clearance Fee</t>
        </is>
      </c>
      <c r="C954" t="inlineStr">
        <is>
          <t>ត្រាយអ៊ែងហ្គល ឡូជីស្ទីក (ខេមបូឌា) ឯ.ក</t>
        </is>
      </c>
      <c r="D954" t="inlineStr">
        <is>
          <t>K010-902101743</t>
        </is>
      </c>
      <c r="E954" t="inlineStr">
        <is>
          <t>TAG-24-00491</t>
        </is>
      </c>
      <c r="F954" t="inlineStr">
        <is>
          <t>24-07-2024</t>
        </is>
      </c>
      <c r="G954" t="n">
        <v>8214</v>
      </c>
      <c r="I954">
        <f>G954</f>
        <v/>
      </c>
      <c r="K954">
        <f>I954-G954</f>
        <v/>
      </c>
      <c r="M954" t="inlineStr">
        <is>
          <t>TAG2400491</t>
        </is>
      </c>
      <c r="N954" t="inlineStr">
        <is>
          <t>8366100</t>
        </is>
      </c>
      <c r="O954">
        <f>M954=N954</f>
        <v/>
      </c>
      <c r="P954">
        <f>AND(MONTH(F954)=MONTH(S954), YEAR(F954)=YEAR(S954))</f>
        <v/>
      </c>
      <c r="Q954">
        <f>"L001-902303751"=U954</f>
        <v/>
      </c>
      <c r="R954">
        <f>G954-W954</f>
        <v/>
      </c>
      <c r="S954" s="36" t="n">
        <v>45439</v>
      </c>
      <c r="T954" t="n">
        <v>83661</v>
      </c>
      <c r="U954" t="inlineStr">
        <is>
          <t>L001-107032791</t>
        </is>
      </c>
      <c r="V954" t="inlineStr">
        <is>
          <t>នីបផន អិចប្រេស (ខេមបូឌា) ខូ អិលធីឌី</t>
        </is>
      </c>
      <c r="W954" t="n">
        <v>83661</v>
      </c>
      <c r="X954" t="n">
        <v>0</v>
      </c>
    </row>
    <row r="955">
      <c r="A955" t="n">
        <v>954</v>
      </c>
      <c r="B955" t="inlineStr">
        <is>
          <t>Cargo Terminal</t>
        </is>
      </c>
      <c r="C955" t="inlineStr">
        <is>
          <t>សូស៊ីយេតេ កុងសេស្យូនែរ ដឺ ឡាអេរ៉ូព័រ</t>
        </is>
      </c>
      <c r="D955" t="inlineStr">
        <is>
          <t>L001-100047300</t>
        </is>
      </c>
      <c r="E955" t="inlineStr">
        <is>
          <t>2400-058020</t>
        </is>
      </c>
      <c r="F955" t="inlineStr">
        <is>
          <t>24-07-2024</t>
        </is>
      </c>
      <c r="G955" t="n">
        <v>2826</v>
      </c>
      <c r="I955">
        <f>G955</f>
        <v/>
      </c>
      <c r="K955">
        <f>I955-G955</f>
        <v/>
      </c>
      <c r="M955" t="inlineStr">
        <is>
          <t>2400058020</t>
        </is>
      </c>
      <c r="N955" t="inlineStr">
        <is>
          <t>8359900</t>
        </is>
      </c>
      <c r="O955">
        <f>M955=N955</f>
        <v/>
      </c>
      <c r="P955">
        <f>AND(MONTH(F955)=MONTH(S955), YEAR(F955)=YEAR(S955))</f>
        <v/>
      </c>
      <c r="Q955">
        <f>"L001-902303751"=U955</f>
        <v/>
      </c>
      <c r="R955">
        <f>G955-W955</f>
        <v/>
      </c>
      <c r="S955" s="36" t="n">
        <v>45429</v>
      </c>
      <c r="T955" t="n">
        <v>83599</v>
      </c>
      <c r="U955" t="inlineStr">
        <is>
          <t>K003-901635943</t>
        </is>
      </c>
      <c r="V955" t="inlineStr">
        <is>
          <t>អ៊ីឃ្យូឡាញ វើលវ៉ាយដ៍ ឡូជីស្ទីក</t>
        </is>
      </c>
      <c r="W955" t="n">
        <v>83599</v>
      </c>
      <c r="X955" t="n">
        <v>0</v>
      </c>
    </row>
    <row r="956">
      <c r="A956" t="n">
        <v>955</v>
      </c>
      <c r="B956" t="inlineStr">
        <is>
          <t>Customs Clearance Fee</t>
        </is>
      </c>
      <c r="C956" t="inlineStr">
        <is>
          <t>ត្រាយអ៊ែងហ្គល ឡូជីស្ទីក (ខេមបូឌា) ឯ.ក</t>
        </is>
      </c>
      <c r="D956" t="inlineStr">
        <is>
          <t>K010-902101743</t>
        </is>
      </c>
      <c r="E956" t="inlineStr">
        <is>
          <t>TAG-24-00492</t>
        </is>
      </c>
      <c r="F956" t="inlineStr">
        <is>
          <t>24-07-2024</t>
        </is>
      </c>
      <c r="G956" t="n">
        <v>8214</v>
      </c>
      <c r="I956">
        <f>G956</f>
        <v/>
      </c>
      <c r="K956">
        <f>I956-G956</f>
        <v/>
      </c>
      <c r="M956" t="inlineStr">
        <is>
          <t>TAG2400492</t>
        </is>
      </c>
      <c r="N956" t="inlineStr">
        <is>
          <t>8602500</t>
        </is>
      </c>
      <c r="O956">
        <f>M956=N956</f>
        <v/>
      </c>
      <c r="P956">
        <f>AND(MONTH(F956)=MONTH(S956), YEAR(F956)=YEAR(S956))</f>
        <v/>
      </c>
      <c r="Q956">
        <f>"L001-902303751"=U956</f>
        <v/>
      </c>
      <c r="R956">
        <f>G956-W956</f>
        <v/>
      </c>
      <c r="S956" s="36" t="n">
        <v>45432</v>
      </c>
      <c r="T956" t="n">
        <v>86025</v>
      </c>
      <c r="U956" t="inlineStr">
        <is>
          <t>L001-100045340</t>
        </is>
      </c>
      <c r="V956" t="inlineStr">
        <is>
          <t xml:space="preserve">ស៊ីវ៉ា អ៊ែរ អ៊ែន អូសៀន (ខេមបូឌា) ឯ.ក </t>
        </is>
      </c>
      <c r="W956" t="n">
        <v>86025</v>
      </c>
      <c r="X956" t="n">
        <v>0</v>
      </c>
    </row>
    <row r="957">
      <c r="A957" t="n">
        <v>956</v>
      </c>
      <c r="B957" t="inlineStr">
        <is>
          <t>Cargo Terminal</t>
        </is>
      </c>
      <c r="C957" t="inlineStr">
        <is>
          <t>សូស៊ីយេតេ កុងសេស្យូនែរ ដឺ ឡាអេរ៉ូព័រ</t>
        </is>
      </c>
      <c r="D957" t="inlineStr">
        <is>
          <t>L001-100047300</t>
        </is>
      </c>
      <c r="E957" t="inlineStr">
        <is>
          <t>2400-058022</t>
        </is>
      </c>
      <c r="F957" t="inlineStr">
        <is>
          <t>24-07-2024</t>
        </is>
      </c>
      <c r="G957" t="n">
        <v>3121</v>
      </c>
      <c r="I957">
        <f>G957</f>
        <v/>
      </c>
      <c r="K957">
        <f>I957-G957</f>
        <v/>
      </c>
      <c r="M957" t="inlineStr">
        <is>
          <t>2400058022</t>
        </is>
      </c>
      <c r="N957" t="inlineStr"/>
      <c r="O957">
        <f>M957=N957</f>
        <v/>
      </c>
      <c r="P957">
        <f>AND(MONTH(F957)=MONTH(S957), YEAR(F957)=YEAR(S957))</f>
        <v/>
      </c>
      <c r="Q957">
        <f>"L001-902303751"=U957</f>
        <v/>
      </c>
      <c r="R957">
        <f>G957-W957</f>
        <v/>
      </c>
      <c r="S957" s="36" t="n">
        <v>45432</v>
      </c>
      <c r="T957" t="inlineStr"/>
      <c r="U957" t="inlineStr">
        <is>
          <t>K005-901805913</t>
        </is>
      </c>
      <c r="V957" t="inlineStr">
        <is>
          <t>ស្តារ ខង់ខដ (ខេមបូឌា) ឯ.ក</t>
        </is>
      </c>
      <c r="W957" t="n">
        <v>0</v>
      </c>
      <c r="X957" t="n">
        <v>0</v>
      </c>
    </row>
    <row r="958">
      <c r="A958" t="n">
        <v>957</v>
      </c>
      <c r="B958" t="inlineStr">
        <is>
          <t>Customs Clearance Fee</t>
        </is>
      </c>
      <c r="C958" t="inlineStr">
        <is>
          <t>ត្រាយអ៊ែងហ្គល ឡូជីស្ទីក (ខេមបូឌា) ឯ.ក</t>
        </is>
      </c>
      <c r="D958" t="inlineStr">
        <is>
          <t>K010-902101743</t>
        </is>
      </c>
      <c r="E958" t="inlineStr">
        <is>
          <t>TAG-24-00496</t>
        </is>
      </c>
      <c r="F958" t="inlineStr">
        <is>
          <t>25-07-2024</t>
        </is>
      </c>
      <c r="G958" t="n">
        <v>8210</v>
      </c>
      <c r="I958">
        <f>G958</f>
        <v/>
      </c>
      <c r="K958">
        <f>I958-G958</f>
        <v/>
      </c>
      <c r="M958" t="inlineStr">
        <is>
          <t>TAG2400496</t>
        </is>
      </c>
      <c r="N958" t="inlineStr">
        <is>
          <t>11456400</t>
        </is>
      </c>
      <c r="O958">
        <f>M958=N958</f>
        <v/>
      </c>
      <c r="P958">
        <f>AND(MONTH(F958)=MONTH(S958), YEAR(F958)=YEAR(S958))</f>
        <v/>
      </c>
      <c r="Q958">
        <f>"L001-902303751"=U958</f>
        <v/>
      </c>
      <c r="R958">
        <f>G958-W958</f>
        <v/>
      </c>
      <c r="S958" s="36" t="n">
        <v>45432</v>
      </c>
      <c r="T958" t="n">
        <v>114564</v>
      </c>
      <c r="U958" t="inlineStr">
        <is>
          <t>K005-901805913</t>
        </is>
      </c>
      <c r="V958" t="inlineStr">
        <is>
          <t>ស្តារ ខង់ខដ (ខេមបូឌា) ឯ.ក</t>
        </is>
      </c>
      <c r="W958" t="n">
        <v>114564</v>
      </c>
      <c r="X958" t="n">
        <v>0</v>
      </c>
    </row>
    <row r="959">
      <c r="A959" t="n">
        <v>958</v>
      </c>
      <c r="B959" t="inlineStr">
        <is>
          <t>Cargo Terminal</t>
        </is>
      </c>
      <c r="C959" t="inlineStr">
        <is>
          <t>សូស៊ីយេតេ កុងសេស្យូនែរ ដឺ ឡាអេរ៉ូព័រ</t>
        </is>
      </c>
      <c r="D959" t="inlineStr">
        <is>
          <t>L001-100047300</t>
        </is>
      </c>
      <c r="E959" t="inlineStr">
        <is>
          <t>2400-058354</t>
        </is>
      </c>
      <c r="F959" t="inlineStr">
        <is>
          <t>26-07-2024</t>
        </is>
      </c>
      <c r="G959" t="n">
        <v>2886</v>
      </c>
      <c r="I959">
        <f>G959</f>
        <v/>
      </c>
      <c r="K959">
        <f>I959-G959</f>
        <v/>
      </c>
      <c r="M959" t="inlineStr">
        <is>
          <t>2400058354</t>
        </is>
      </c>
      <c r="N959" t="inlineStr"/>
      <c r="O959">
        <f>M959=N959</f>
        <v/>
      </c>
      <c r="P959">
        <f>AND(MONTH(F959)=MONTH(S959), YEAR(F959)=YEAR(S959))</f>
        <v/>
      </c>
      <c r="Q959">
        <f>"L001-902303751"=U959</f>
        <v/>
      </c>
      <c r="R959">
        <f>G959-W959</f>
        <v/>
      </c>
      <c r="S959" s="36" t="n">
        <v>45432</v>
      </c>
      <c r="T959" t="inlineStr"/>
      <c r="U959" t="inlineStr">
        <is>
          <t>K002-901800477</t>
        </is>
      </c>
      <c r="V959" t="inlineStr">
        <is>
          <t>អាយធីអាយ អ៊ិនធើណេសិនណល ត្រេនស័្ពរថេសិន (ខេមបូឌា) ឯ.ក</t>
        </is>
      </c>
      <c r="W959" t="n">
        <v>0</v>
      </c>
      <c r="X959" t="n">
        <v>0</v>
      </c>
    </row>
    <row r="960">
      <c r="A960" t="n">
        <v>959</v>
      </c>
      <c r="B960" t="inlineStr">
        <is>
          <t>Customs Clearance Fee</t>
        </is>
      </c>
      <c r="C960" t="inlineStr">
        <is>
          <t>ត្រាយអ៊ែងហ្គល ឡូជីស្ទីក (ខេមបូឌា) ឯ.ក</t>
        </is>
      </c>
      <c r="D960" t="inlineStr">
        <is>
          <t>K010-902101743</t>
        </is>
      </c>
      <c r="E960" t="inlineStr">
        <is>
          <t>TAG-24-00511</t>
        </is>
      </c>
      <c r="F960" t="inlineStr">
        <is>
          <t>30-07-2024</t>
        </is>
      </c>
      <c r="G960" t="n">
        <v>8214</v>
      </c>
      <c r="I960">
        <f>G960</f>
        <v/>
      </c>
      <c r="K960">
        <f>I960-G960</f>
        <v/>
      </c>
      <c r="M960" t="inlineStr">
        <is>
          <t>TAG2400511</t>
        </is>
      </c>
      <c r="N960" t="inlineStr"/>
      <c r="O960">
        <f>M960=N960</f>
        <v/>
      </c>
      <c r="P960">
        <f>AND(MONTH(F960)=MONTH(S960), YEAR(F960)=YEAR(S960))</f>
        <v/>
      </c>
      <c r="Q960">
        <f>"L001-902303751"=U960</f>
        <v/>
      </c>
      <c r="R960">
        <f>G960-W960</f>
        <v/>
      </c>
      <c r="S960" s="36" t="n">
        <v>45432</v>
      </c>
      <c r="T960" t="inlineStr"/>
      <c r="U960" t="inlineStr">
        <is>
          <t>L001-107032791</t>
        </is>
      </c>
      <c r="V960" t="inlineStr">
        <is>
          <t>នីបផន អិចប្រេស (ខេមបូឌា) ខូ អិលធីឌី</t>
        </is>
      </c>
      <c r="W960" t="n">
        <v>0</v>
      </c>
      <c r="X960" t="n">
        <v>0</v>
      </c>
    </row>
    <row r="961">
      <c r="A961" t="n">
        <v>960</v>
      </c>
      <c r="B961" t="inlineStr">
        <is>
          <t>Cargo Terminal</t>
        </is>
      </c>
      <c r="C961" t="inlineStr">
        <is>
          <t>សូស៊ីយេតេ កុងសេស្យូនែរ ដឺ ឡាអេរ៉ូព័រ</t>
        </is>
      </c>
      <c r="D961" t="inlineStr">
        <is>
          <t>L001-100047300</t>
        </is>
      </c>
      <c r="E961" t="inlineStr">
        <is>
          <t>2400-059564</t>
        </is>
      </c>
      <c r="F961" t="inlineStr">
        <is>
          <t>29-07-2024</t>
        </is>
      </c>
      <c r="G961" t="n">
        <v>28694</v>
      </c>
      <c r="I961">
        <f>G961</f>
        <v/>
      </c>
      <c r="K961">
        <f>I961-G961</f>
        <v/>
      </c>
      <c r="M961" t="inlineStr">
        <is>
          <t>2400059564</t>
        </is>
      </c>
      <c r="N961" t="inlineStr">
        <is>
          <t>8359900</t>
        </is>
      </c>
      <c r="O961">
        <f>M961=N961</f>
        <v/>
      </c>
      <c r="P961">
        <f>AND(MONTH(F961)=MONTH(S961), YEAR(F961)=YEAR(S961))</f>
        <v/>
      </c>
      <c r="Q961">
        <f>"L001-902303751"=U961</f>
        <v/>
      </c>
      <c r="R961">
        <f>G961-W961</f>
        <v/>
      </c>
      <c r="S961" s="36" t="n">
        <v>45429</v>
      </c>
      <c r="T961" t="n">
        <v>83599</v>
      </c>
      <c r="U961" t="inlineStr">
        <is>
          <t>K009-902002784</t>
        </is>
      </c>
      <c r="V961" t="inlineStr">
        <is>
          <t>ខាហ្គោលីង អ៊ិនធើណេសិនណល ឯ.ក</t>
        </is>
      </c>
      <c r="W961" t="n">
        <v>83599</v>
      </c>
      <c r="X961" t="n">
        <v>0</v>
      </c>
    </row>
    <row r="962">
      <c r="A962" t="n">
        <v>961</v>
      </c>
      <c r="B962" t="inlineStr">
        <is>
          <t>Customs Clearance Fee</t>
        </is>
      </c>
      <c r="C962" t="inlineStr">
        <is>
          <t>ត្រាយអ៊ែងហ្គល ឡូជីស្ទីក (ខេមបូឌា) ឯ.ក</t>
        </is>
      </c>
      <c r="D962" t="inlineStr">
        <is>
          <t>K010-902101743</t>
        </is>
      </c>
      <c r="E962" t="inlineStr">
        <is>
          <t>TAG-24-00512</t>
        </is>
      </c>
      <c r="F962" t="inlineStr">
        <is>
          <t>30-07-2024</t>
        </is>
      </c>
      <c r="G962" t="n">
        <v>8214</v>
      </c>
      <c r="I962">
        <f>G962</f>
        <v/>
      </c>
      <c r="K962">
        <f>I962-G962</f>
        <v/>
      </c>
      <c r="M962" t="inlineStr">
        <is>
          <t>TAG2400512</t>
        </is>
      </c>
      <c r="N962" t="inlineStr"/>
      <c r="O962">
        <f>M962=N962</f>
        <v/>
      </c>
      <c r="P962">
        <f>AND(MONTH(F962)=MONTH(S962), YEAR(F962)=YEAR(S962))</f>
        <v/>
      </c>
      <c r="Q962">
        <f>"L001-902303751"=U962</f>
        <v/>
      </c>
      <c r="R962">
        <f>G962-W962</f>
        <v/>
      </c>
      <c r="S962" s="36" t="n">
        <v>45427</v>
      </c>
      <c r="T962" t="inlineStr"/>
      <c r="U962" t="inlineStr">
        <is>
          <t>L001-107032791</t>
        </is>
      </c>
      <c r="V962" t="inlineStr">
        <is>
          <t>នីបផន អិចប្រេស (ខេមបូឌា) ខូ អិលធីឌី</t>
        </is>
      </c>
      <c r="W962" t="n">
        <v>0</v>
      </c>
      <c r="X962" t="n">
        <v>0</v>
      </c>
    </row>
    <row r="963">
      <c r="A963" t="n">
        <v>962</v>
      </c>
      <c r="B963" t="inlineStr">
        <is>
          <t>Cargo Terminal</t>
        </is>
      </c>
      <c r="C963" t="inlineStr">
        <is>
          <t>សូស៊ីយេតេ កុងសេស្យូនែរ ដឺ ឡាអេរ៉ូព័រ</t>
        </is>
      </c>
      <c r="D963" t="inlineStr">
        <is>
          <t>L001-100047300</t>
        </is>
      </c>
      <c r="E963" t="inlineStr">
        <is>
          <t>2400-059540</t>
        </is>
      </c>
      <c r="F963" t="inlineStr">
        <is>
          <t>29-07-2024</t>
        </is>
      </c>
      <c r="G963" t="n">
        <v>5123</v>
      </c>
      <c r="I963">
        <f>G963</f>
        <v/>
      </c>
      <c r="K963">
        <f>I963-G963</f>
        <v/>
      </c>
      <c r="M963" t="inlineStr">
        <is>
          <t>2400059540</t>
        </is>
      </c>
      <c r="N963" t="inlineStr">
        <is>
          <t>17803400</t>
        </is>
      </c>
      <c r="O963">
        <f>M963=N963</f>
        <v/>
      </c>
      <c r="P963">
        <f>AND(MONTH(F963)=MONTH(S963), YEAR(F963)=YEAR(S963))</f>
        <v/>
      </c>
      <c r="Q963">
        <f>"L001-902303751"=U963</f>
        <v/>
      </c>
      <c r="R963">
        <f>G963-W963</f>
        <v/>
      </c>
      <c r="S963" s="36" t="n">
        <v>45418</v>
      </c>
      <c r="T963" t="n">
        <v>178034</v>
      </c>
      <c r="U963" t="inlineStr">
        <is>
          <t>K003-901635943</t>
        </is>
      </c>
      <c r="V963" t="inlineStr">
        <is>
          <t>អ៊ីឃ្យូឡាញ វើលវ៉ាយដ៍ ឡូជីស្ទីក</t>
        </is>
      </c>
      <c r="W963" t="n">
        <v>178034</v>
      </c>
      <c r="X963" t="n">
        <v>0</v>
      </c>
    </row>
    <row r="964">
      <c r="A964" t="n">
        <v>963</v>
      </c>
      <c r="B964" t="inlineStr">
        <is>
          <t>Customs Clearance Fee</t>
        </is>
      </c>
      <c r="C964" t="inlineStr">
        <is>
          <t>ត្រាយអ៊ែងហ្គល ឡូជីស្ទីក (ខេមបូឌា) ឯ.ក</t>
        </is>
      </c>
      <c r="D964" t="inlineStr">
        <is>
          <t>K010-902101743</t>
        </is>
      </c>
      <c r="E964" t="inlineStr">
        <is>
          <t>TAG-24-00515</t>
        </is>
      </c>
      <c r="F964" t="inlineStr">
        <is>
          <t>31-07-2024</t>
        </is>
      </c>
      <c r="G964" t="n">
        <v>8216</v>
      </c>
      <c r="I964">
        <f>G964</f>
        <v/>
      </c>
      <c r="K964">
        <f>I964-G964</f>
        <v/>
      </c>
      <c r="M964" t="inlineStr">
        <is>
          <t>TAG2400515</t>
        </is>
      </c>
      <c r="N964" t="inlineStr">
        <is>
          <t>5486400</t>
        </is>
      </c>
      <c r="O964">
        <f>M964=N964</f>
        <v/>
      </c>
      <c r="P964">
        <f>AND(MONTH(F964)=MONTH(S964), YEAR(F964)=YEAR(S964))</f>
        <v/>
      </c>
      <c r="Q964">
        <f>"L001-902303751"=U964</f>
        <v/>
      </c>
      <c r="R964">
        <f>G964-W964</f>
        <v/>
      </c>
      <c r="S964" s="36" t="n">
        <v>45413</v>
      </c>
      <c r="T964" t="n">
        <v>54864</v>
      </c>
      <c r="U964" t="inlineStr">
        <is>
          <t>L001-100045340</t>
        </is>
      </c>
      <c r="V964" t="inlineStr">
        <is>
          <t xml:space="preserve">ស៊ីវ៉ា អ៊ែរ អ៊ែន អូសៀន (ខេមបូឌា) ឯ.ក </t>
        </is>
      </c>
      <c r="W964" t="n">
        <v>54864</v>
      </c>
      <c r="X964" t="n">
        <v>0</v>
      </c>
    </row>
    <row r="965">
      <c r="A965" t="n">
        <v>964</v>
      </c>
      <c r="B965" t="inlineStr">
        <is>
          <t>Cargo Terminal</t>
        </is>
      </c>
      <c r="C965" t="inlineStr">
        <is>
          <t>សូស៊ីយេតេ កុងសេស្យូនែរ ដឺ ឡាអេរ៉ូព័រ</t>
        </is>
      </c>
      <c r="D965" t="inlineStr">
        <is>
          <t>L001-100047300</t>
        </is>
      </c>
      <c r="E965" t="inlineStr">
        <is>
          <t>2400-053799</t>
        </is>
      </c>
      <c r="F965" t="inlineStr">
        <is>
          <t>11-07-2024</t>
        </is>
      </c>
      <c r="G965" t="n">
        <v>8220</v>
      </c>
      <c r="I965">
        <f>G965</f>
        <v/>
      </c>
      <c r="K965">
        <f>I965-G965</f>
        <v/>
      </c>
      <c r="M965" t="inlineStr">
        <is>
          <t>2400053799</t>
        </is>
      </c>
      <c r="N965" t="inlineStr">
        <is>
          <t>12597900</t>
        </is>
      </c>
      <c r="O965">
        <f>M965=N965</f>
        <v/>
      </c>
      <c r="P965">
        <f>AND(MONTH(F965)=MONTH(S965), YEAR(F965)=YEAR(S965))</f>
        <v/>
      </c>
      <c r="Q965">
        <f>"L001-902303751"=U965</f>
        <v/>
      </c>
      <c r="R965">
        <f>G965-W965</f>
        <v/>
      </c>
      <c r="S965" s="36" t="n">
        <v>45435</v>
      </c>
      <c r="T965" t="n">
        <v>125979</v>
      </c>
      <c r="U965" t="inlineStr">
        <is>
          <t>L001-107000385</t>
        </is>
      </c>
      <c r="V965" t="inlineStr">
        <is>
          <t>អិចស្ពោលាំងកា ហ្រ្វេត (ខេមបូឌា) លីមីធីត</t>
        </is>
      </c>
      <c r="W965" t="n">
        <v>125979</v>
      </c>
      <c r="X965" t="n">
        <v>0</v>
      </c>
    </row>
    <row r="966">
      <c r="A966" t="n">
        <v>965</v>
      </c>
      <c r="B966" t="inlineStr">
        <is>
          <t>Customs Clearance Fee</t>
        </is>
      </c>
      <c r="C966" t="inlineStr">
        <is>
          <t>ត្រាយអ៊ែងហ្គល ឡូជីស្ទីក (ខេមបូឌា) ឯ.ក</t>
        </is>
      </c>
      <c r="D966" t="inlineStr">
        <is>
          <t>K010-902101743</t>
        </is>
      </c>
      <c r="E966" t="inlineStr">
        <is>
          <t>TAG-24-00465</t>
        </is>
      </c>
      <c r="F966" t="inlineStr">
        <is>
          <t>16-07-2024</t>
        </is>
      </c>
      <c r="G966" t="n">
        <v>8212</v>
      </c>
      <c r="I966">
        <f>G966</f>
        <v/>
      </c>
      <c r="K966">
        <f>I966-G966</f>
        <v/>
      </c>
      <c r="M966" t="inlineStr">
        <is>
          <t>TAG2400465</t>
        </is>
      </c>
      <c r="N966" t="inlineStr"/>
      <c r="O966">
        <f>M966=N966</f>
        <v/>
      </c>
      <c r="P966">
        <f>AND(MONTH(F966)=MONTH(S966), YEAR(F966)=YEAR(S966))</f>
        <v/>
      </c>
      <c r="Q966">
        <f>"L001-902303751"=U966</f>
        <v/>
      </c>
      <c r="R966">
        <f>G966-W966</f>
        <v/>
      </c>
      <c r="S966" s="36" t="n">
        <v>45439</v>
      </c>
      <c r="T966" t="inlineStr"/>
      <c r="U966" t="inlineStr">
        <is>
          <t>K002-901800477</t>
        </is>
      </c>
      <c r="V966" t="inlineStr">
        <is>
          <t>អាយធីអាយ អ៊ិនធើណេសិនណល ត្រេនស័្ពរថេសិន (ខេមបូឌា) ឯ.ក</t>
        </is>
      </c>
      <c r="W966" t="n">
        <v>0</v>
      </c>
      <c r="X966" t="n">
        <v>0</v>
      </c>
    </row>
    <row r="967">
      <c r="A967" t="n">
        <v>966</v>
      </c>
      <c r="B967" t="inlineStr">
        <is>
          <t>Customs Clearance Fee</t>
        </is>
      </c>
      <c r="C967" t="inlineStr">
        <is>
          <t>ត្រាយអ៊ែងហ្គល ឡូជីស្ទីក (ខេមបូឌា) ឯ.ក</t>
        </is>
      </c>
      <c r="D967" t="inlineStr">
        <is>
          <t>K010-902101743</t>
        </is>
      </c>
      <c r="E967" t="inlineStr">
        <is>
          <t>TAG-24-00466</t>
        </is>
      </c>
      <c r="F967" t="inlineStr">
        <is>
          <t>08-07-2024</t>
        </is>
      </c>
      <c r="G967" t="n">
        <v>8238</v>
      </c>
      <c r="I967">
        <f>G967</f>
        <v/>
      </c>
      <c r="K967">
        <f>I967-G967</f>
        <v/>
      </c>
      <c r="M967" t="inlineStr">
        <is>
          <t>TAG2400466</t>
        </is>
      </c>
      <c r="N967" t="inlineStr">
        <is>
          <t>11467600</t>
        </is>
      </c>
      <c r="O967">
        <f>M967=N967</f>
        <v/>
      </c>
      <c r="P967">
        <f>AND(MONTH(F967)=MONTH(S967), YEAR(F967)=YEAR(S967))</f>
        <v/>
      </c>
      <c r="Q967">
        <f>"L001-902303751"=U967</f>
        <v/>
      </c>
      <c r="R967">
        <f>G967-W967</f>
        <v/>
      </c>
      <c r="S967" s="36" t="n">
        <v>45439</v>
      </c>
      <c r="T967" t="n">
        <v>114676</v>
      </c>
      <c r="U967" t="inlineStr">
        <is>
          <t>K005-901805913</t>
        </is>
      </c>
      <c r="V967" t="inlineStr">
        <is>
          <t>ស្តារ ខង់ខដ (ខេមបូឌា) ឯ.ក</t>
        </is>
      </c>
      <c r="W967" t="n">
        <v>114676</v>
      </c>
      <c r="X967" t="n">
        <v>0</v>
      </c>
    </row>
    <row r="968">
      <c r="A968" t="n">
        <v>967</v>
      </c>
      <c r="B968" t="inlineStr">
        <is>
          <t>Cargo Terminal</t>
        </is>
      </c>
      <c r="C968" t="inlineStr">
        <is>
          <t>សូស៊ីយេតេ កុងសេស្យូនែរ ដឺ ឡាអេរ៉ូព័រ</t>
        </is>
      </c>
      <c r="D968" t="inlineStr">
        <is>
          <t>L001-100047300</t>
        </is>
      </c>
      <c r="E968" t="inlineStr">
        <is>
          <t>2400-053079</t>
        </is>
      </c>
      <c r="F968" t="inlineStr">
        <is>
          <t>09-07-2024</t>
        </is>
      </c>
      <c r="G968" t="n">
        <v>22885</v>
      </c>
      <c r="I968">
        <f>G968</f>
        <v/>
      </c>
      <c r="K968">
        <f>I968-G968</f>
        <v/>
      </c>
      <c r="M968" t="inlineStr">
        <is>
          <t>2400053079</t>
        </is>
      </c>
      <c r="N968" t="inlineStr">
        <is>
          <t>20201000</t>
        </is>
      </c>
      <c r="O968">
        <f>M968=N968</f>
        <v/>
      </c>
      <c r="P968">
        <f>AND(MONTH(F968)=MONTH(S968), YEAR(F968)=YEAR(S968))</f>
        <v/>
      </c>
      <c r="Q968">
        <f>"L001-902303751"=U968</f>
        <v/>
      </c>
      <c r="R968">
        <f>G968-W968</f>
        <v/>
      </c>
      <c r="S968" s="36" t="n">
        <v>45439</v>
      </c>
      <c r="T968" t="n">
        <v>202010</v>
      </c>
      <c r="U968" t="inlineStr">
        <is>
          <t>L001-107032791</t>
        </is>
      </c>
      <c r="V968" t="inlineStr">
        <is>
          <t>នីបផន អិចប្រេស (ខេមបូឌា) ខូ អិលធីឌី</t>
        </is>
      </c>
      <c r="W968" t="n">
        <v>202010</v>
      </c>
      <c r="X968" t="n">
        <v>0</v>
      </c>
    </row>
    <row r="969">
      <c r="A969" t="n">
        <v>968</v>
      </c>
      <c r="B969" t="inlineStr">
        <is>
          <t>Cargo Terminal</t>
        </is>
      </c>
      <c r="C969" t="inlineStr">
        <is>
          <t>សូស៊ីយេតេ កុងសេស្យូនែរ ដឺ ឡាអេរ៉ូព័រ</t>
        </is>
      </c>
      <c r="D969" t="inlineStr">
        <is>
          <t>L001-100047300</t>
        </is>
      </c>
      <c r="E969" t="inlineStr">
        <is>
          <t>2400-055461</t>
        </is>
      </c>
      <c r="F969" t="inlineStr">
        <is>
          <t>16-07-2024</t>
        </is>
      </c>
      <c r="G969" t="n">
        <v>2266</v>
      </c>
      <c r="I969">
        <f>G969</f>
        <v/>
      </c>
      <c r="K969">
        <f>I969-G969</f>
        <v/>
      </c>
      <c r="M969" t="inlineStr">
        <is>
          <t>2400055461</t>
        </is>
      </c>
      <c r="N969" t="inlineStr">
        <is>
          <t>11222800</t>
        </is>
      </c>
      <c r="O969">
        <f>M969=N969</f>
        <v/>
      </c>
      <c r="P969">
        <f>AND(MONTH(F969)=MONTH(S969), YEAR(F969)=YEAR(S969))</f>
        <v/>
      </c>
      <c r="Q969">
        <f>"L001-902303751"=U969</f>
        <v/>
      </c>
      <c r="R969">
        <f>G969-W969</f>
        <v/>
      </c>
      <c r="S969" s="36" t="n">
        <v>45439</v>
      </c>
      <c r="T969" t="n">
        <v>112228</v>
      </c>
      <c r="U969" t="inlineStr">
        <is>
          <t>L001-107032791</t>
        </is>
      </c>
      <c r="V969" t="inlineStr">
        <is>
          <t>នីបផន អិចប្រេស (ខេមបូឌា) ខូ អិលធីឌី</t>
        </is>
      </c>
      <c r="W969" t="n">
        <v>112228</v>
      </c>
      <c r="X969" t="n">
        <v>0</v>
      </c>
    </row>
    <row r="970">
      <c r="A970" t="n">
        <v>969</v>
      </c>
      <c r="B970" t="inlineStr">
        <is>
          <t>Customs Clearance Fee</t>
        </is>
      </c>
      <c r="C970" t="inlineStr">
        <is>
          <t>ត្រាយអ៊ែងហ្គល ឡូជីស្ទីក (ខេមបូឌា) ឯ.ក</t>
        </is>
      </c>
      <c r="D970" t="inlineStr">
        <is>
          <t>K010-902101743</t>
        </is>
      </c>
      <c r="E970" t="inlineStr">
        <is>
          <t>TAG-24-00467</t>
        </is>
      </c>
      <c r="F970" t="inlineStr">
        <is>
          <t>16-07-2024</t>
        </is>
      </c>
      <c r="G970" t="n">
        <v>8212</v>
      </c>
      <c r="I970">
        <f>G970</f>
        <v/>
      </c>
      <c r="K970">
        <f>I970-G970</f>
        <v/>
      </c>
      <c r="M970" t="inlineStr">
        <is>
          <t>TAG2400467</t>
        </is>
      </c>
      <c r="N970" t="inlineStr"/>
      <c r="O970">
        <f>M970=N970</f>
        <v/>
      </c>
      <c r="P970">
        <f>AND(MONTH(F970)=MONTH(S970), YEAR(F970)=YEAR(S970))</f>
        <v/>
      </c>
      <c r="Q970">
        <f>"L001-902303751"=U970</f>
        <v/>
      </c>
      <c r="R970">
        <f>G970-W970</f>
        <v/>
      </c>
      <c r="S970" s="36" t="n">
        <v>45432</v>
      </c>
      <c r="T970" t="inlineStr"/>
      <c r="U970" t="inlineStr">
        <is>
          <t>K005-100099521</t>
        </is>
      </c>
      <c r="V970" t="inlineStr">
        <is>
          <t>ខាហ្គោផត (ខេមបូឌា)</t>
        </is>
      </c>
      <c r="W970" t="n">
        <v>0</v>
      </c>
      <c r="X970" t="n">
        <v>0</v>
      </c>
    </row>
    <row r="971">
      <c r="A971" t="n">
        <v>970</v>
      </c>
      <c r="B971" t="inlineStr">
        <is>
          <t>Terminal Handling Charge, EMF, 3 Party Trucking, Container Imbalance Charge, D/O Fee, Document Fee and Handling Charge</t>
        </is>
      </c>
      <c r="C971" t="inlineStr">
        <is>
          <t>ខេអិលអិន ហ្វ្រេត (ខេមបូឌា) ឯ.ក</t>
        </is>
      </c>
      <c r="D971" t="inlineStr">
        <is>
          <t>L001-100074669</t>
        </is>
      </c>
      <c r="E971" t="inlineStr">
        <is>
          <t>IVO10751</t>
        </is>
      </c>
      <c r="F971" t="inlineStr">
        <is>
          <t>01-07-2024</t>
        </is>
      </c>
      <c r="G971" t="n">
        <v>104856</v>
      </c>
      <c r="I971">
        <f>G971</f>
        <v/>
      </c>
      <c r="K971">
        <f>I971-G971</f>
        <v/>
      </c>
      <c r="M971" t="inlineStr">
        <is>
          <t>IVO10751</t>
        </is>
      </c>
      <c r="N971" t="inlineStr">
        <is>
          <t>11456400</t>
        </is>
      </c>
      <c r="O971">
        <f>M971=N971</f>
        <v/>
      </c>
      <c r="P971">
        <f>AND(MONTH(F971)=MONTH(S971), YEAR(F971)=YEAR(S971))</f>
        <v/>
      </c>
      <c r="Q971">
        <f>"L001-902303751"=U971</f>
        <v/>
      </c>
      <c r="R971">
        <f>G971-W971</f>
        <v/>
      </c>
      <c r="S971" s="36" t="n">
        <v>45432</v>
      </c>
      <c r="T971" t="n">
        <v>114564</v>
      </c>
      <c r="U971" t="inlineStr">
        <is>
          <t>L001-100074669</t>
        </is>
      </c>
      <c r="V971" t="inlineStr">
        <is>
          <t>ខេអិលអិន ហ្វ្រេត (ខេមបូឌា) ឯ.ក</t>
        </is>
      </c>
      <c r="W971" t="n">
        <v>114564</v>
      </c>
      <c r="X971" t="n">
        <v>0</v>
      </c>
    </row>
    <row r="972">
      <c r="A972" t="n">
        <v>971</v>
      </c>
      <c r="B972" t="inlineStr">
        <is>
          <t>Customs Clearance Fee</t>
        </is>
      </c>
      <c r="C972" t="inlineStr">
        <is>
          <t>ត្រាយអ៊ែងហ្គល ឡូជីស្ទីក (ខេមបូឌា) ឯ.ក</t>
        </is>
      </c>
      <c r="D972" t="inlineStr">
        <is>
          <t>K010-902101743</t>
        </is>
      </c>
      <c r="E972" t="inlineStr">
        <is>
          <t>TAG-24-00439</t>
        </is>
      </c>
      <c r="F972" t="inlineStr">
        <is>
          <t>01-07-2024</t>
        </is>
      </c>
      <c r="G972" t="n">
        <v>8224</v>
      </c>
      <c r="I972">
        <f>G972</f>
        <v/>
      </c>
      <c r="K972">
        <f>I972-G972</f>
        <v/>
      </c>
      <c r="M972" t="inlineStr">
        <is>
          <t>TAG2400439</t>
        </is>
      </c>
      <c r="N972" t="inlineStr">
        <is>
          <t>11456400</t>
        </is>
      </c>
      <c r="O972">
        <f>M972=N972</f>
        <v/>
      </c>
      <c r="P972">
        <f>AND(MONTH(F972)=MONTH(S972), YEAR(F972)=YEAR(S972))</f>
        <v/>
      </c>
      <c r="Q972">
        <f>"L001-902303751"=U972</f>
        <v/>
      </c>
      <c r="R972">
        <f>G972-W972</f>
        <v/>
      </c>
      <c r="S972" s="36" t="n">
        <v>45432</v>
      </c>
      <c r="T972" t="n">
        <v>114564</v>
      </c>
      <c r="U972" t="inlineStr">
        <is>
          <t>L001-104015799</t>
        </is>
      </c>
      <c r="V972" t="inlineStr">
        <is>
          <t>យូសេន ឡូជីស្ទីក (ខេមបូឌា) ខូ អិលធីឌី</t>
        </is>
      </c>
      <c r="W972" t="n">
        <v>114564</v>
      </c>
      <c r="X972" t="n">
        <v>0</v>
      </c>
    </row>
    <row r="973">
      <c r="A973" t="n">
        <v>972</v>
      </c>
      <c r="B973" t="inlineStr">
        <is>
          <t>Terminal Handling Charge, EMF, 3 Party Trucking, Container Imbalance Charge, D/O Fee, Document Fee and Handling Charge</t>
        </is>
      </c>
      <c r="C973" t="inlineStr">
        <is>
          <t>ខេអិលអិន ហ្វ្រេត (ខេមបូឌា) ឯ.ក</t>
        </is>
      </c>
      <c r="D973" t="inlineStr">
        <is>
          <t>L001-100074669</t>
        </is>
      </c>
      <c r="E973" t="inlineStr">
        <is>
          <t>IVO10760</t>
        </is>
      </c>
      <c r="F973" t="inlineStr">
        <is>
          <t>16-07-2024</t>
        </is>
      </c>
      <c r="G973" t="n">
        <v>104703</v>
      </c>
      <c r="I973">
        <f>G973</f>
        <v/>
      </c>
      <c r="K973">
        <f>I973-G973</f>
        <v/>
      </c>
      <c r="M973" t="inlineStr">
        <is>
          <t>IVO10760</t>
        </is>
      </c>
      <c r="N973" t="inlineStr"/>
      <c r="O973">
        <f>M973=N973</f>
        <v/>
      </c>
      <c r="P973">
        <f>AND(MONTH(F973)=MONTH(S973), YEAR(F973)=YEAR(S973))</f>
        <v/>
      </c>
      <c r="Q973">
        <f>"L001-902303751"=U973</f>
        <v/>
      </c>
      <c r="R973">
        <f>G973-W973</f>
        <v/>
      </c>
      <c r="S973" s="36" t="n">
        <v>45432</v>
      </c>
      <c r="T973" t="inlineStr"/>
      <c r="U973" t="inlineStr">
        <is>
          <t>L001-100045340</t>
        </is>
      </c>
      <c r="V973" t="inlineStr">
        <is>
          <t xml:space="preserve">ស៊ីវ៉ា អ៊ែរ អ៊ែន អូសៀន (ខេមបូឌា) ឯ.ក </t>
        </is>
      </c>
      <c r="W973" t="n">
        <v>0</v>
      </c>
      <c r="X973" t="n">
        <v>0</v>
      </c>
    </row>
    <row r="974">
      <c r="A974" t="n">
        <v>973</v>
      </c>
      <c r="B974" t="inlineStr">
        <is>
          <t>Customs Clearance Fee</t>
        </is>
      </c>
      <c r="C974" t="inlineStr">
        <is>
          <t>ត្រាយអ៊ែងហ្គល ឡូជីស្ទីក (ខេមបូឌា) ឯ.ក</t>
        </is>
      </c>
      <c r="D974" t="inlineStr">
        <is>
          <t>K010-902101743</t>
        </is>
      </c>
      <c r="E974" t="inlineStr">
        <is>
          <t>TAG-24-00446</t>
        </is>
      </c>
      <c r="F974" t="inlineStr">
        <is>
          <t>16-07-2024</t>
        </is>
      </c>
      <c r="G974" t="n">
        <v>8212</v>
      </c>
      <c r="I974">
        <f>G974</f>
        <v/>
      </c>
      <c r="K974">
        <f>I974-G974</f>
        <v/>
      </c>
      <c r="M974" t="inlineStr">
        <is>
          <t>TAG2400446</t>
        </is>
      </c>
      <c r="N974" t="inlineStr"/>
      <c r="O974">
        <f>M974=N974</f>
        <v/>
      </c>
      <c r="P974">
        <f>AND(MONTH(F974)=MONTH(S974), YEAR(F974)=YEAR(S974))</f>
        <v/>
      </c>
      <c r="Q974">
        <f>"L001-902303751"=U974</f>
        <v/>
      </c>
      <c r="R974">
        <f>G974-W974</f>
        <v/>
      </c>
      <c r="S974" s="36" t="n">
        <v>45427</v>
      </c>
      <c r="T974" t="inlineStr"/>
      <c r="U974" t="inlineStr">
        <is>
          <t>L001-107032791</t>
        </is>
      </c>
      <c r="V974" t="inlineStr">
        <is>
          <t>នីបផន អិចប្រេស (ខេមបូឌា) ខូ អិលធីឌី</t>
        </is>
      </c>
      <c r="W974" t="n">
        <v>0</v>
      </c>
      <c r="X974" t="n">
        <v>0</v>
      </c>
    </row>
    <row r="975">
      <c r="A975" t="n">
        <v>974</v>
      </c>
      <c r="B975" t="inlineStr">
        <is>
          <t>THC FEE, LCL Fee, Scanning Fee, Doc Fee, DO Fee, Agency Fee, CIC and Handling Fee</t>
        </is>
      </c>
      <c r="C975" t="inlineStr">
        <is>
          <t>គ្លូប៊ល ស៊ី &amp; លែន ឯ.ក</t>
        </is>
      </c>
      <c r="D975" t="inlineStr">
        <is>
          <t>K007-901702732</t>
        </is>
      </c>
      <c r="E975" t="inlineStr">
        <is>
          <t>PPTI24-07-044</t>
        </is>
      </c>
      <c r="F975" t="inlineStr">
        <is>
          <t>02-07-2024</t>
        </is>
      </c>
      <c r="G975" t="n">
        <v>88036</v>
      </c>
      <c r="I975">
        <f>G975</f>
        <v/>
      </c>
      <c r="K975">
        <f>I975-G975</f>
        <v/>
      </c>
      <c r="M975" t="inlineStr">
        <is>
          <t>PPTI2407044</t>
        </is>
      </c>
      <c r="N975" t="inlineStr">
        <is>
          <t>442313700</t>
        </is>
      </c>
      <c r="O975">
        <f>M975=N975</f>
        <v/>
      </c>
      <c r="P975">
        <f>AND(MONTH(F975)=MONTH(S975), YEAR(F975)=YEAR(S975))</f>
        <v/>
      </c>
      <c r="Q975">
        <f>"L001-902303751"=U975</f>
        <v/>
      </c>
      <c r="R975">
        <f>G975-W975</f>
        <v/>
      </c>
      <c r="S975" s="36" t="n">
        <v>45428</v>
      </c>
      <c r="T975" t="n">
        <v>4423137</v>
      </c>
      <c r="U975" t="inlineStr">
        <is>
          <t>K004-105012505</t>
        </is>
      </c>
      <c r="V975" t="inlineStr">
        <is>
          <t>អេស៊ាន ហ្វ្រេត (ខេមបូឌា)</t>
        </is>
      </c>
      <c r="W975" t="n">
        <v>4423137</v>
      </c>
      <c r="X975" t="n">
        <v>0</v>
      </c>
    </row>
    <row r="976">
      <c r="A976" t="n">
        <v>975</v>
      </c>
      <c r="B976" t="inlineStr">
        <is>
          <t>Charge from Warehouse/cy to trucks</t>
        </is>
      </c>
      <c r="C976" t="inlineStr">
        <is>
          <t>កំពង់ផែស្វយ័តក្រុងព្រះសីហនុ</t>
        </is>
      </c>
      <c r="D976" t="inlineStr">
        <is>
          <t>L001-100044638</t>
        </is>
      </c>
      <c r="E976" t="inlineStr">
        <is>
          <t>132505</t>
        </is>
      </c>
      <c r="F976" t="inlineStr">
        <is>
          <t>05-07-2024</t>
        </is>
      </c>
      <c r="G976" t="n">
        <v>629</v>
      </c>
      <c r="I976">
        <f>G976</f>
        <v/>
      </c>
      <c r="K976">
        <f>I976-G976</f>
        <v/>
      </c>
      <c r="M976" t="inlineStr">
        <is>
          <t>132505</t>
        </is>
      </c>
      <c r="N976" t="inlineStr">
        <is>
          <t>8353800</t>
        </is>
      </c>
      <c r="O976">
        <f>M976=N976</f>
        <v/>
      </c>
      <c r="P976">
        <f>AND(MONTH(F976)=MONTH(S976), YEAR(F976)=YEAR(S976))</f>
        <v/>
      </c>
      <c r="Q976">
        <f>"L001-902303751"=U976</f>
        <v/>
      </c>
      <c r="R976">
        <f>G976-W976</f>
        <v/>
      </c>
      <c r="S976" s="36" t="n">
        <v>45419</v>
      </c>
      <c r="T976" t="n">
        <v>83538</v>
      </c>
      <c r="U976" t="inlineStr">
        <is>
          <t>L001-107032791</t>
        </is>
      </c>
      <c r="V976" t="inlineStr">
        <is>
          <t>នីបផន អិចប្រេស (ខេមបូឌា) ខូ អិលធីឌី</t>
        </is>
      </c>
      <c r="W976" t="n">
        <v>83538</v>
      </c>
      <c r="X976" t="n">
        <v>0</v>
      </c>
    </row>
    <row r="977">
      <c r="A977" t="n">
        <v>976</v>
      </c>
      <c r="B977" t="inlineStr">
        <is>
          <t>Customs Clearance Fee and Trucking fee</t>
        </is>
      </c>
      <c r="C977" t="inlineStr">
        <is>
          <t>ត្រាយអ៊ែងហ្គល ឡូជីស្ទីក (ខេមបូឌា) ឯ.ក</t>
        </is>
      </c>
      <c r="D977" t="inlineStr">
        <is>
          <t>K010-902101743</t>
        </is>
      </c>
      <c r="E977" t="inlineStr">
        <is>
          <t>TAG-24-00444</t>
        </is>
      </c>
      <c r="F977" t="inlineStr">
        <is>
          <t>05-07-2024</t>
        </is>
      </c>
      <c r="G977" t="n">
        <v>32936</v>
      </c>
      <c r="I977">
        <f>G977</f>
        <v/>
      </c>
      <c r="K977">
        <f>I977-G977</f>
        <v/>
      </c>
      <c r="M977" t="inlineStr">
        <is>
          <t>TAG2400444</t>
        </is>
      </c>
      <c r="N977" t="inlineStr">
        <is>
          <t>20201000</t>
        </is>
      </c>
      <c r="O977">
        <f>M977=N977</f>
        <v/>
      </c>
      <c r="P977">
        <f>AND(MONTH(F977)=MONTH(S977), YEAR(F977)=YEAR(S977))</f>
        <v/>
      </c>
      <c r="Q977">
        <f>"L001-902303751"=U977</f>
        <v/>
      </c>
      <c r="R977">
        <f>G977-W977</f>
        <v/>
      </c>
      <c r="S977" s="36" t="n">
        <v>45439</v>
      </c>
      <c r="T977" t="n">
        <v>202010</v>
      </c>
      <c r="U977" t="inlineStr">
        <is>
          <t>K005-100150195</t>
        </is>
      </c>
      <c r="V977" t="inlineStr">
        <is>
          <t>អេស អ វី ស៊ី ហ្វ្រេត សឺវីស (ខេមបូឌា) ខូ អិលធីឌី</t>
        </is>
      </c>
      <c r="W977" t="n">
        <v>202010</v>
      </c>
      <c r="X977" t="n">
        <v>0</v>
      </c>
    </row>
    <row r="978">
      <c r="A978" t="n">
        <v>977</v>
      </c>
      <c r="B978" t="inlineStr">
        <is>
          <t>Shipping</t>
        </is>
      </c>
      <c r="C978" t="inlineStr">
        <is>
          <t>យូ អេហ្វ អេស គ្លូប៊ល អិចប្រេស ឡូជីស្ទីក</t>
        </is>
      </c>
      <c r="D978" t="inlineStr">
        <is>
          <t>K010-108005623</t>
        </is>
      </c>
      <c r="E978" t="inlineStr">
        <is>
          <t>UFS-00563</t>
        </is>
      </c>
      <c r="F978" t="inlineStr">
        <is>
          <t>28-08-2024</t>
        </is>
      </c>
      <c r="G978" t="n">
        <v>820877</v>
      </c>
      <c r="I978">
        <f>G978</f>
        <v/>
      </c>
      <c r="K978">
        <f>I978-G978</f>
        <v/>
      </c>
      <c r="M978" t="inlineStr">
        <is>
          <t>UFS00563</t>
        </is>
      </c>
      <c r="N978" t="inlineStr"/>
      <c r="O978">
        <f>M978=N978</f>
        <v/>
      </c>
      <c r="P978">
        <f>AND(MONTH(F978)=MONTH(S978), YEAR(F978)=YEAR(S978))</f>
        <v/>
      </c>
      <c r="Q978">
        <f>"L001-902303751"=U978</f>
        <v/>
      </c>
      <c r="R978">
        <f>G978-W978</f>
        <v/>
      </c>
      <c r="S978" s="36" t="n">
        <v>45439</v>
      </c>
      <c r="T978" t="inlineStr"/>
      <c r="U978" t="inlineStr">
        <is>
          <t>L001-107032791</t>
        </is>
      </c>
      <c r="V978" t="inlineStr">
        <is>
          <t>នីបផន អិចប្រេស (ខេមបូឌា) ខូ អិលធីឌី</t>
        </is>
      </c>
      <c r="W978" t="n">
        <v>0</v>
      </c>
      <c r="X978" t="n">
        <v>0</v>
      </c>
    </row>
    <row r="979">
      <c r="A979" t="n">
        <v>978</v>
      </c>
      <c r="B979" t="inlineStr">
        <is>
          <t>Rental Machine</t>
        </is>
      </c>
      <c r="C979" t="inlineStr">
        <is>
          <t>ក្លាក ហ៊ូ ឯ.ក</t>
        </is>
      </c>
      <c r="D979" t="inlineStr">
        <is>
          <t>K007-901639199</t>
        </is>
      </c>
      <c r="E979" t="inlineStr">
        <is>
          <t>IN1874</t>
        </is>
      </c>
      <c r="F979" t="inlineStr">
        <is>
          <t>31-08-2024</t>
        </is>
      </c>
      <c r="G979" t="n">
        <v>947999</v>
      </c>
      <c r="I979">
        <f>G979</f>
        <v/>
      </c>
      <c r="K979">
        <f>I979-G979</f>
        <v/>
      </c>
      <c r="M979" t="inlineStr">
        <is>
          <t>IN1874</t>
        </is>
      </c>
      <c r="N979" t="inlineStr"/>
      <c r="O979">
        <f>M979=N979</f>
        <v/>
      </c>
      <c r="P979">
        <f>AND(MONTH(F979)=MONTH(S979), YEAR(F979)=YEAR(S979))</f>
        <v/>
      </c>
      <c r="Q979">
        <f>"L001-902303751"=U979</f>
        <v/>
      </c>
      <c r="R979">
        <f>G979-W979</f>
        <v/>
      </c>
      <c r="S979" s="36" t="n">
        <v>45439</v>
      </c>
      <c r="T979" t="inlineStr"/>
      <c r="U979" t="inlineStr">
        <is>
          <t>L001-107032791</t>
        </is>
      </c>
      <c r="V979" t="inlineStr">
        <is>
          <t>នីបផន អិចប្រេស (ខេមបូឌា) ខូ អិលធីឌី</t>
        </is>
      </c>
      <c r="W979" t="n">
        <v>0</v>
      </c>
      <c r="X979" t="n">
        <v>0</v>
      </c>
    </row>
    <row r="980">
      <c r="A980" t="n">
        <v>979</v>
      </c>
      <c r="B980" t="inlineStr">
        <is>
          <t>Rental Machine</t>
        </is>
      </c>
      <c r="C980" t="inlineStr">
        <is>
          <t>ក្លាក ហ៊ូ ឯ.ក</t>
        </is>
      </c>
      <c r="D980" t="inlineStr">
        <is>
          <t>K007-901639199</t>
        </is>
      </c>
      <c r="E980" t="inlineStr">
        <is>
          <t>IN1878</t>
        </is>
      </c>
      <c r="F980" t="inlineStr">
        <is>
          <t>31-08-2024</t>
        </is>
      </c>
      <c r="G980" t="n">
        <v>257052</v>
      </c>
      <c r="I980">
        <f>G980</f>
        <v/>
      </c>
      <c r="K980">
        <f>I980-G980</f>
        <v/>
      </c>
      <c r="M980" t="inlineStr">
        <is>
          <t>IN1878</t>
        </is>
      </c>
      <c r="N980" t="inlineStr">
        <is>
          <t>11211800</t>
        </is>
      </c>
      <c r="O980">
        <f>M980=N980</f>
        <v/>
      </c>
      <c r="P980">
        <f>AND(MONTH(F980)=MONTH(S980), YEAR(F980)=YEAR(S980))</f>
        <v/>
      </c>
      <c r="Q980">
        <f>"L001-902303751"=U980</f>
        <v/>
      </c>
      <c r="R980">
        <f>G980-W980</f>
        <v/>
      </c>
      <c r="S980" s="36" t="n">
        <v>45432</v>
      </c>
      <c r="T980" t="n">
        <v>112118</v>
      </c>
      <c r="U980" t="inlineStr">
        <is>
          <t>K002-901800477</t>
        </is>
      </c>
      <c r="V980" t="inlineStr">
        <is>
          <t>អាយធីអាយ អ៊ិនធើណេសិនណល ត្រេនស័្ពរថេសិន (ខេមបូឌា) ឯ.ក</t>
        </is>
      </c>
      <c r="W980" t="n">
        <v>112118</v>
      </c>
      <c r="X980" t="n">
        <v>0</v>
      </c>
    </row>
    <row r="981">
      <c r="A981" t="n">
        <v>980</v>
      </c>
      <c r="B981" t="inlineStr">
        <is>
          <t>Rental Machine</t>
        </is>
      </c>
      <c r="C981" t="inlineStr">
        <is>
          <t>ក្លាក ហ៊ូ ឯ.ក</t>
        </is>
      </c>
      <c r="D981" t="inlineStr">
        <is>
          <t>K007-901639199</t>
        </is>
      </c>
      <c r="E981" t="inlineStr">
        <is>
          <t>IN1877</t>
        </is>
      </c>
      <c r="F981" t="inlineStr">
        <is>
          <t>31-08-2024</t>
        </is>
      </c>
      <c r="G981" t="n">
        <v>580313</v>
      </c>
      <c r="I981">
        <f>G981</f>
        <v/>
      </c>
      <c r="K981">
        <f>I981-G981</f>
        <v/>
      </c>
      <c r="M981" t="inlineStr">
        <is>
          <t>IN1877</t>
        </is>
      </c>
      <c r="N981" t="inlineStr"/>
      <c r="O981">
        <f>M981=N981</f>
        <v/>
      </c>
      <c r="P981">
        <f>AND(MONTH(F981)=MONTH(S981), YEAR(F981)=YEAR(S981))</f>
        <v/>
      </c>
      <c r="Q981">
        <f>"L001-902303751"=U981</f>
        <v/>
      </c>
      <c r="R981">
        <f>G981-W981</f>
        <v/>
      </c>
      <c r="S981" s="36" t="n">
        <v>45429</v>
      </c>
      <c r="T981" t="inlineStr"/>
      <c r="U981" t="inlineStr">
        <is>
          <t>K009-902002784</t>
        </is>
      </c>
      <c r="V981" t="inlineStr">
        <is>
          <t>ខាហ្គោលីង អ៊ិនធើណេសិនណល ឯ.ក</t>
        </is>
      </c>
      <c r="W981" t="n">
        <v>0</v>
      </c>
      <c r="X981" t="n">
        <v>0</v>
      </c>
    </row>
    <row r="982">
      <c r="A982" t="n">
        <v>981</v>
      </c>
      <c r="B982" t="inlineStr">
        <is>
          <t>Rental Machine</t>
        </is>
      </c>
      <c r="C982" t="inlineStr">
        <is>
          <t>ក្លាក ហ៊ូ ឯ.ក</t>
        </is>
      </c>
      <c r="D982" t="inlineStr">
        <is>
          <t>K007-901639199</t>
        </is>
      </c>
      <c r="E982" t="inlineStr">
        <is>
          <t>IN1876</t>
        </is>
      </c>
      <c r="F982" t="inlineStr">
        <is>
          <t>31-08-2024</t>
        </is>
      </c>
      <c r="G982" t="n">
        <v>128810</v>
      </c>
      <c r="I982">
        <f>G982</f>
        <v/>
      </c>
      <c r="K982">
        <f>I982-G982</f>
        <v/>
      </c>
      <c r="M982" t="inlineStr">
        <is>
          <t>IN1876</t>
        </is>
      </c>
      <c r="N982" t="inlineStr">
        <is>
          <t>11217300</t>
        </is>
      </c>
      <c r="O982">
        <f>M982=N982</f>
        <v/>
      </c>
      <c r="P982">
        <f>AND(MONTH(F982)=MONTH(S982), YEAR(F982)=YEAR(S982))</f>
        <v/>
      </c>
      <c r="Q982">
        <f>"L001-902303751"=U982</f>
        <v/>
      </c>
      <c r="R982">
        <f>G982-W982</f>
        <v/>
      </c>
      <c r="S982" s="36" t="n">
        <v>45427</v>
      </c>
      <c r="T982" t="n">
        <v>112173</v>
      </c>
      <c r="U982" t="inlineStr">
        <is>
          <t>L001-107032791</t>
        </is>
      </c>
      <c r="V982" t="inlineStr">
        <is>
          <t>នីបផន អិចប្រេស (ខេមបូឌា) ខូ អិលធីឌី</t>
        </is>
      </c>
      <c r="W982" t="n">
        <v>112173</v>
      </c>
      <c r="X982" t="n">
        <v>0</v>
      </c>
    </row>
    <row r="983">
      <c r="A983" t="n">
        <v>982</v>
      </c>
      <c r="B983" t="inlineStr">
        <is>
          <t>Rental Machine</t>
        </is>
      </c>
      <c r="C983" t="inlineStr">
        <is>
          <t>ក្លាក ហ៊ូ ឯ.ក</t>
        </is>
      </c>
      <c r="D983" t="inlineStr">
        <is>
          <t>K007-901639199</t>
        </is>
      </c>
      <c r="E983" t="inlineStr">
        <is>
          <t>IN1875</t>
        </is>
      </c>
      <c r="F983" t="inlineStr">
        <is>
          <t>31-08-2024</t>
        </is>
      </c>
      <c r="G983" t="n">
        <v>272428</v>
      </c>
      <c r="I983">
        <f>G983</f>
        <v/>
      </c>
      <c r="K983">
        <f>I983-G983</f>
        <v/>
      </c>
      <c r="M983" t="inlineStr">
        <is>
          <t>IN1875</t>
        </is>
      </c>
      <c r="N983" t="inlineStr">
        <is>
          <t>8598300</t>
        </is>
      </c>
      <c r="O983">
        <f>M983=N983</f>
        <v/>
      </c>
      <c r="P983">
        <f>AND(MONTH(F983)=MONTH(S983), YEAR(F983)=YEAR(S983))</f>
        <v/>
      </c>
      <c r="Q983">
        <f>"L001-902303751"=U983</f>
        <v/>
      </c>
      <c r="R983">
        <f>G983-W983</f>
        <v/>
      </c>
      <c r="S983" s="36" t="n">
        <v>45419</v>
      </c>
      <c r="T983" t="n">
        <v>85983</v>
      </c>
      <c r="U983" t="inlineStr">
        <is>
          <t>K005-901805913</t>
        </is>
      </c>
      <c r="V983" t="inlineStr">
        <is>
          <t>ស្តារ ខង់ខដ (ខេមបូឌា) ឯ.ក</t>
        </is>
      </c>
      <c r="W983" t="n">
        <v>85983</v>
      </c>
      <c r="X983" t="n">
        <v>0</v>
      </c>
    </row>
    <row r="984">
      <c r="A984" t="n">
        <v>983</v>
      </c>
      <c r="B984" t="inlineStr">
        <is>
          <t>Stationary</t>
        </is>
      </c>
      <c r="C984" t="inlineStr">
        <is>
          <t>ស៊ី &amp; ជី ត្រេឌីង ឯ.ក</t>
        </is>
      </c>
      <c r="D984" t="inlineStr">
        <is>
          <t>K010-902205065</t>
        </is>
      </c>
      <c r="E984" t="inlineStr">
        <is>
          <t>2024-0062</t>
        </is>
      </c>
      <c r="F984" t="inlineStr">
        <is>
          <t>23-08-2024</t>
        </is>
      </c>
      <c r="G984" t="n">
        <v>1505255</v>
      </c>
      <c r="I984">
        <f>G984</f>
        <v/>
      </c>
      <c r="K984">
        <f>I984-G984</f>
        <v/>
      </c>
      <c r="M984" t="inlineStr">
        <is>
          <t>20240062</t>
        </is>
      </c>
      <c r="N984" t="inlineStr"/>
      <c r="O984">
        <f>M984=N984</f>
        <v/>
      </c>
      <c r="P984">
        <f>AND(MONTH(F984)=MONTH(S984), YEAR(F984)=YEAR(S984))</f>
        <v/>
      </c>
      <c r="Q984">
        <f>"L001-902303751"=U984</f>
        <v/>
      </c>
      <c r="R984">
        <f>G984-W984</f>
        <v/>
      </c>
      <c r="S984" s="36" t="n">
        <v>45419</v>
      </c>
      <c r="T984" t="inlineStr"/>
      <c r="U984" t="inlineStr">
        <is>
          <t>L001-107032791</t>
        </is>
      </c>
      <c r="V984" t="inlineStr">
        <is>
          <t>នីបផន អិចប្រេស (ខេមបូឌា) ខូ អិលធីឌី</t>
        </is>
      </c>
      <c r="W984" t="n">
        <v>0</v>
      </c>
      <c r="X984" t="n">
        <v>0</v>
      </c>
    </row>
    <row r="985">
      <c r="A985" t="n">
        <v>984</v>
      </c>
      <c r="B985" t="inlineStr">
        <is>
          <t>Automatic cutting blade, Template and Sponge Strips</t>
        </is>
      </c>
      <c r="C985" t="inlineStr">
        <is>
          <t>យីស៊ូ ធេមផ្លេត ក្រាហ្វ ឯ.ក</t>
        </is>
      </c>
      <c r="D985" t="inlineStr">
        <is>
          <t>K010-902200360</t>
        </is>
      </c>
      <c r="E985" t="inlineStr">
        <is>
          <t>24-0161</t>
        </is>
      </c>
      <c r="F985" t="inlineStr">
        <is>
          <t>26-08-2024</t>
        </is>
      </c>
      <c r="G985" t="n">
        <v>1116154</v>
      </c>
      <c r="I985">
        <f>G985</f>
        <v/>
      </c>
      <c r="K985">
        <f>I985-G985</f>
        <v/>
      </c>
      <c r="M985" t="inlineStr">
        <is>
          <t>240161</t>
        </is>
      </c>
      <c r="N985" t="inlineStr"/>
      <c r="O985">
        <f>M985=N985</f>
        <v/>
      </c>
      <c r="P985">
        <f>AND(MONTH(F985)=MONTH(S985), YEAR(F985)=YEAR(S985))</f>
        <v/>
      </c>
      <c r="Q985">
        <f>"L001-902303751"=U985</f>
        <v/>
      </c>
      <c r="R985">
        <f>G985-W985</f>
        <v/>
      </c>
      <c r="S985" s="36" t="n">
        <v>45419</v>
      </c>
      <c r="T985" t="inlineStr"/>
      <c r="U985" t="inlineStr">
        <is>
          <t>L001-100045340</t>
        </is>
      </c>
      <c r="V985" t="inlineStr">
        <is>
          <t xml:space="preserve">ស៊ីវ៉ា អ៊ែរ អ៊ែន អូសៀន (ខេមបូឌា) ឯ.ក </t>
        </is>
      </c>
      <c r="W985" t="n">
        <v>0</v>
      </c>
      <c r="X985" t="n">
        <v>0</v>
      </c>
    </row>
    <row r="986">
      <c r="A986" t="n">
        <v>985</v>
      </c>
      <c r="B986" t="inlineStr">
        <is>
          <t>Non Woven Interlining</t>
        </is>
      </c>
      <c r="C986" t="inlineStr">
        <is>
          <t>ដេលី ហ្គាមេន អេកសេសឺរី</t>
        </is>
      </c>
      <c r="D986" t="inlineStr">
        <is>
          <t>L001-108012794</t>
        </is>
      </c>
      <c r="E986" t="inlineStr">
        <is>
          <t>00362</t>
        </is>
      </c>
      <c r="F986" t="inlineStr">
        <is>
          <t>30-08-2024</t>
        </is>
      </c>
      <c r="G986" t="n">
        <v>744865</v>
      </c>
      <c r="I986">
        <f>G986</f>
        <v/>
      </c>
      <c r="K986">
        <f>I986-G986</f>
        <v/>
      </c>
      <c r="M986" t="inlineStr">
        <is>
          <t>00362</t>
        </is>
      </c>
      <c r="N986" t="inlineStr">
        <is>
          <t>8448100</t>
        </is>
      </c>
      <c r="O986">
        <f>M986=N986</f>
        <v/>
      </c>
      <c r="P986">
        <f>AND(MONTH(F986)=MONTH(S986), YEAR(F986)=YEAR(S986))</f>
        <v/>
      </c>
      <c r="Q986">
        <f>"L001-902303751"=U986</f>
        <v/>
      </c>
      <c r="R986">
        <f>G986-W986</f>
        <v/>
      </c>
      <c r="S986" s="36" t="n">
        <v>45460</v>
      </c>
      <c r="T986" t="n">
        <v>84481</v>
      </c>
      <c r="U986" t="inlineStr">
        <is>
          <t>L001-107032791</t>
        </is>
      </c>
      <c r="V986" t="inlineStr">
        <is>
          <t>នីបផន អិចប្រេស (ខេមបូឌា) ខូ អិលធីឌី</t>
        </is>
      </c>
      <c r="W986" t="n">
        <v>84481</v>
      </c>
      <c r="X986" t="n">
        <v>0</v>
      </c>
    </row>
    <row r="987">
      <c r="A987" t="n">
        <v>986</v>
      </c>
      <c r="B987" t="inlineStr">
        <is>
          <t>Thread</t>
        </is>
      </c>
      <c r="C987" t="inlineStr">
        <is>
          <t>គ្លូប៊ល សុីលីន ហ្គាមុិន អេកសេសឺរី ឯ.ក</t>
        </is>
      </c>
      <c r="D987" t="inlineStr">
        <is>
          <t>L001-902200857</t>
        </is>
      </c>
      <c r="E987" t="inlineStr">
        <is>
          <t>000607</t>
        </is>
      </c>
      <c r="F987" t="inlineStr">
        <is>
          <t>26-08-2024</t>
        </is>
      </c>
      <c r="G987" t="n">
        <v>449847</v>
      </c>
      <c r="I987">
        <f>G987</f>
        <v/>
      </c>
      <c r="K987">
        <f>I987-G987</f>
        <v/>
      </c>
      <c r="M987" t="inlineStr">
        <is>
          <t>000607</t>
        </is>
      </c>
      <c r="N987" t="inlineStr"/>
      <c r="O987">
        <f>M987=N987</f>
        <v/>
      </c>
      <c r="P987">
        <f>AND(MONTH(F987)=MONTH(S987), YEAR(F987)=YEAR(S987))</f>
        <v/>
      </c>
      <c r="Q987">
        <f>"L001-902303751"=U987</f>
        <v/>
      </c>
      <c r="R987">
        <f>G987-W987</f>
        <v/>
      </c>
      <c r="S987" s="36" t="n">
        <v>45460</v>
      </c>
      <c r="T987" t="inlineStr"/>
      <c r="U987" t="inlineStr">
        <is>
          <t>L001-107032791</t>
        </is>
      </c>
      <c r="V987" t="inlineStr">
        <is>
          <t>នីបផន អិចប្រេស (ខេមបូឌា) ខូ អិលធីឌី</t>
        </is>
      </c>
      <c r="W987" t="n">
        <v>0</v>
      </c>
      <c r="X987" t="n">
        <v>0</v>
      </c>
    </row>
    <row r="988">
      <c r="A988" t="n">
        <v>987</v>
      </c>
      <c r="B988" t="inlineStr">
        <is>
          <t>Thread</t>
        </is>
      </c>
      <c r="C988" t="inlineStr">
        <is>
          <t>គ្លូប៊ល សុីលីន ហ្គាមុិន អេកសេសឺរី ឯ.ក</t>
        </is>
      </c>
      <c r="D988" t="inlineStr">
        <is>
          <t>L001-902200857</t>
        </is>
      </c>
      <c r="E988" t="inlineStr">
        <is>
          <t>000616</t>
        </is>
      </c>
      <c r="F988" t="inlineStr">
        <is>
          <t>26-08-2024</t>
        </is>
      </c>
      <c r="G988" t="n">
        <v>212212</v>
      </c>
      <c r="I988">
        <f>G988</f>
        <v/>
      </c>
      <c r="K988">
        <f>I988-G988</f>
        <v/>
      </c>
      <c r="M988" t="inlineStr">
        <is>
          <t>000616</t>
        </is>
      </c>
      <c r="N988" t="inlineStr"/>
      <c r="O988">
        <f>M988=N988</f>
        <v/>
      </c>
      <c r="P988">
        <f>AND(MONTH(F988)=MONTH(S988), YEAR(F988)=YEAR(S988))</f>
        <v/>
      </c>
      <c r="Q988">
        <f>"L001-902303751"=U988</f>
        <v/>
      </c>
      <c r="R988">
        <f>G988-W988</f>
        <v/>
      </c>
      <c r="S988" s="36" t="n">
        <v>45460</v>
      </c>
      <c r="T988" t="inlineStr"/>
      <c r="U988" t="inlineStr">
        <is>
          <t>L001-107032791</t>
        </is>
      </c>
      <c r="V988" t="inlineStr">
        <is>
          <t>នីបផន អិចប្រេស (ខេមបូឌា) ខូ អិលធីឌី</t>
        </is>
      </c>
      <c r="W988" t="n">
        <v>0</v>
      </c>
      <c r="X988" t="n">
        <v>0</v>
      </c>
    </row>
    <row r="989">
      <c r="A989" t="n">
        <v>988</v>
      </c>
      <c r="B989" t="inlineStr">
        <is>
          <t>Hardware</t>
        </is>
      </c>
      <c r="C989" t="inlineStr">
        <is>
          <t>ភ្នំពេញ ថប វើលដ៍ ខនស្ត្រាក់សិន &amp; អេនជីនារីង ឯ.ក</t>
        </is>
      </c>
      <c r="D989" t="inlineStr">
        <is>
          <t>K005-901638261</t>
        </is>
      </c>
      <c r="E989" t="inlineStr">
        <is>
          <t>000023</t>
        </is>
      </c>
      <c r="F989" t="inlineStr">
        <is>
          <t>28-08-2024</t>
        </is>
      </c>
      <c r="G989" t="n">
        <v>149634</v>
      </c>
      <c r="I989">
        <f>G989</f>
        <v/>
      </c>
      <c r="K989">
        <f>I989-G989</f>
        <v/>
      </c>
      <c r="M989" t="inlineStr">
        <is>
          <t>000023</t>
        </is>
      </c>
      <c r="N989" t="inlineStr"/>
      <c r="O989">
        <f>M989=N989</f>
        <v/>
      </c>
      <c r="P989">
        <f>AND(MONTH(F989)=MONTH(S989), YEAR(F989)=YEAR(S989))</f>
        <v/>
      </c>
      <c r="Q989">
        <f>"L001-902303751"=U989</f>
        <v/>
      </c>
      <c r="R989">
        <f>G989-W989</f>
        <v/>
      </c>
      <c r="S989" s="36" t="n">
        <v>45460</v>
      </c>
      <c r="T989" t="inlineStr"/>
      <c r="U989" t="inlineStr">
        <is>
          <t>L001-100045995</t>
        </is>
      </c>
      <c r="V989" t="inlineStr">
        <is>
          <t>ឌីអេចអិល ឡូជីស្ទីក (ខេមបូឌា)</t>
        </is>
      </c>
      <c r="W989" t="n">
        <v>0</v>
      </c>
      <c r="X989" t="n">
        <v>0</v>
      </c>
    </row>
    <row r="990">
      <c r="A990" t="n">
        <v>989</v>
      </c>
      <c r="B990" t="inlineStr">
        <is>
          <t>Forklift parts and repair fee</t>
        </is>
      </c>
      <c r="C990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990" t="inlineStr">
        <is>
          <t>L001-901906721</t>
        </is>
      </c>
      <c r="E990" t="inlineStr">
        <is>
          <t>TI-0281</t>
        </is>
      </c>
      <c r="F990" t="inlineStr">
        <is>
          <t>19-08-2024</t>
        </is>
      </c>
      <c r="G990" t="n">
        <v>147155</v>
      </c>
      <c r="I990">
        <f>G990</f>
        <v/>
      </c>
      <c r="K990">
        <f>I990-G990</f>
        <v/>
      </c>
      <c r="M990" t="inlineStr">
        <is>
          <t>TI0281</t>
        </is>
      </c>
      <c r="N990" t="inlineStr"/>
      <c r="O990">
        <f>M990=N990</f>
        <v/>
      </c>
      <c r="P990">
        <f>AND(MONTH(F990)=MONTH(S990), YEAR(F990)=YEAR(S990))</f>
        <v/>
      </c>
      <c r="Q990">
        <f>"L001-902303751"=U990</f>
        <v/>
      </c>
      <c r="R990">
        <f>G990-W990</f>
        <v/>
      </c>
      <c r="S990" s="36" t="n">
        <v>45460</v>
      </c>
      <c r="T990" t="inlineStr"/>
      <c r="U990" t="inlineStr">
        <is>
          <t>L001-100074669</t>
        </is>
      </c>
      <c r="V990" t="inlineStr">
        <is>
          <t>ខេអិលអិន ហ្វ្រេត (ខេមបូឌា) ឯ.ក</t>
        </is>
      </c>
      <c r="W990" t="n">
        <v>0</v>
      </c>
      <c r="X990" t="n">
        <v>0</v>
      </c>
    </row>
    <row r="991">
      <c r="A991" t="n">
        <v>990</v>
      </c>
      <c r="B991" t="inlineStr">
        <is>
          <t>Thread</t>
        </is>
      </c>
      <c r="C991" t="inlineStr">
        <is>
          <t>គ្លូប៊ល សុីលីន ហ្គាមុិន អេកសេសឺរី ឯ.ក</t>
        </is>
      </c>
      <c r="D991" t="inlineStr">
        <is>
          <t>L001-902200857</t>
        </is>
      </c>
      <c r="E991" t="inlineStr">
        <is>
          <t>000608</t>
        </is>
      </c>
      <c r="F991" t="inlineStr">
        <is>
          <t>26-08-2024</t>
        </is>
      </c>
      <c r="G991" t="n">
        <v>12341</v>
      </c>
      <c r="I991">
        <f>G991</f>
        <v/>
      </c>
      <c r="K991">
        <f>I991-G991</f>
        <v/>
      </c>
      <c r="M991" t="inlineStr">
        <is>
          <t>000608</t>
        </is>
      </c>
      <c r="N991" t="inlineStr">
        <is>
          <t>11580000</t>
        </is>
      </c>
      <c r="O991">
        <f>M991=N991</f>
        <v/>
      </c>
      <c r="P991">
        <f>AND(MONTH(F991)=MONTH(S991), YEAR(F991)=YEAR(S991))</f>
        <v/>
      </c>
      <c r="Q991">
        <f>"L001-902303751"=U991</f>
        <v/>
      </c>
      <c r="R991">
        <f>G991-W991</f>
        <v/>
      </c>
      <c r="S991" s="36" t="n">
        <v>45467</v>
      </c>
      <c r="T991" t="n">
        <v>115800</v>
      </c>
      <c r="U991" t="inlineStr">
        <is>
          <t>L001-100045340</t>
        </is>
      </c>
      <c r="V991" t="inlineStr">
        <is>
          <t xml:space="preserve">ស៊ីវ៉ា អ៊ែរ អ៊ែន អូសៀន (ខេមបូឌា) ឯ.ក </t>
        </is>
      </c>
      <c r="W991" t="n">
        <v>115800</v>
      </c>
      <c r="X991" t="n">
        <v>0</v>
      </c>
    </row>
    <row r="992">
      <c r="A992" t="n">
        <v>991</v>
      </c>
      <c r="B992" t="inlineStr">
        <is>
          <t>Rental Machine</t>
        </is>
      </c>
      <c r="C992" t="inlineStr">
        <is>
          <t>ក្លាក ហ៊ូ ឯ.ក</t>
        </is>
      </c>
      <c r="D992" t="inlineStr">
        <is>
          <t>K007-901639199</t>
        </is>
      </c>
      <c r="E992" t="inlineStr">
        <is>
          <t>IN1786</t>
        </is>
      </c>
      <c r="F992" t="inlineStr">
        <is>
          <t>24-08-2024</t>
        </is>
      </c>
      <c r="G992" t="n">
        <v>79619</v>
      </c>
      <c r="I992">
        <f>G992</f>
        <v/>
      </c>
      <c r="K992">
        <f>I992-G992</f>
        <v/>
      </c>
      <c r="M992" t="inlineStr">
        <is>
          <t>IN1786</t>
        </is>
      </c>
      <c r="N992" t="inlineStr">
        <is>
          <t>23695800</t>
        </is>
      </c>
      <c r="O992">
        <f>M992=N992</f>
        <v/>
      </c>
      <c r="P992">
        <f>AND(MONTH(F992)=MONTH(S992), YEAR(F992)=YEAR(S992))</f>
        <v/>
      </c>
      <c r="Q992">
        <f>"L001-902303751"=U992</f>
        <v/>
      </c>
      <c r="R992">
        <f>G992-W992</f>
        <v/>
      </c>
      <c r="S992" s="36" t="n">
        <v>45467</v>
      </c>
      <c r="T992" t="n">
        <v>236958</v>
      </c>
      <c r="U992" t="inlineStr">
        <is>
          <t>L001-107032791</t>
        </is>
      </c>
      <c r="V992" t="inlineStr">
        <is>
          <t>នីបផន អិចប្រេស (ខេមបូឌា) ខូ អិលធីឌី</t>
        </is>
      </c>
      <c r="W992" t="n">
        <v>236958</v>
      </c>
      <c r="X992" t="n">
        <v>0</v>
      </c>
    </row>
    <row r="993">
      <c r="A993" t="n">
        <v>992</v>
      </c>
      <c r="B993" t="inlineStr">
        <is>
          <t>Rental Machine</t>
        </is>
      </c>
      <c r="C993" t="inlineStr">
        <is>
          <t>ក្លាក ហ៊ូ ឯ.ក</t>
        </is>
      </c>
      <c r="D993" t="inlineStr">
        <is>
          <t>K007-901639199</t>
        </is>
      </c>
      <c r="E993" t="inlineStr">
        <is>
          <t>IN1781</t>
        </is>
      </c>
      <c r="F993" t="inlineStr">
        <is>
          <t>24-08-2024</t>
        </is>
      </c>
      <c r="G993" t="n">
        <v>1325138</v>
      </c>
      <c r="I993">
        <f>G993</f>
        <v/>
      </c>
      <c r="K993">
        <f>I993-G993</f>
        <v/>
      </c>
      <c r="M993" t="inlineStr">
        <is>
          <t>IN1781</t>
        </is>
      </c>
      <c r="N993" t="inlineStr">
        <is>
          <t>8448100</t>
        </is>
      </c>
      <c r="O993">
        <f>M993=N993</f>
        <v/>
      </c>
      <c r="P993">
        <f>AND(MONTH(F993)=MONTH(S993), YEAR(F993)=YEAR(S993))</f>
        <v/>
      </c>
      <c r="Q993">
        <f>"L001-902303751"=U993</f>
        <v/>
      </c>
      <c r="R993">
        <f>G993-W993</f>
        <v/>
      </c>
      <c r="S993" s="36" t="n">
        <v>45467</v>
      </c>
      <c r="T993" t="n">
        <v>84481</v>
      </c>
      <c r="U993" t="inlineStr">
        <is>
          <t>L001-107032791</t>
        </is>
      </c>
      <c r="V993" t="inlineStr">
        <is>
          <t>នីបផន អិចប្រេស (ខេមបូឌា) ខូ អិលធីឌី</t>
        </is>
      </c>
      <c r="W993" t="n">
        <v>84481</v>
      </c>
      <c r="X993" t="n">
        <v>0</v>
      </c>
    </row>
    <row r="994">
      <c r="A994" t="n">
        <v>993</v>
      </c>
      <c r="B994" t="inlineStr">
        <is>
          <t>Rental Machine</t>
        </is>
      </c>
      <c r="C994" t="inlineStr">
        <is>
          <t>ក្លាក ហ៊ូ ឯ.ក</t>
        </is>
      </c>
      <c r="D994" t="inlineStr">
        <is>
          <t>K007-901639199</t>
        </is>
      </c>
      <c r="E994" t="inlineStr">
        <is>
          <t>IN1782</t>
        </is>
      </c>
      <c r="F994" t="inlineStr">
        <is>
          <t>24-08-2024</t>
        </is>
      </c>
      <c r="G994" t="n">
        <v>284789</v>
      </c>
      <c r="I994">
        <f>G994</f>
        <v/>
      </c>
      <c r="K994">
        <f>I994-G994</f>
        <v/>
      </c>
      <c r="M994" t="inlineStr">
        <is>
          <t>IN1782</t>
        </is>
      </c>
      <c r="N994" t="inlineStr">
        <is>
          <t>11313500</t>
        </is>
      </c>
      <c r="O994">
        <f>M994=N994</f>
        <v/>
      </c>
      <c r="P994">
        <f>AND(MONTH(F994)=MONTH(S994), YEAR(F994)=YEAR(S994))</f>
        <v/>
      </c>
      <c r="Q994">
        <f>"L001-902303751"=U994</f>
        <v/>
      </c>
      <c r="R994">
        <f>G994-W994</f>
        <v/>
      </c>
      <c r="S994" s="36" t="n">
        <v>45453</v>
      </c>
      <c r="T994" t="n">
        <v>113135</v>
      </c>
      <c r="U994" t="inlineStr">
        <is>
          <t>K005-100150195</t>
        </is>
      </c>
      <c r="V994" t="inlineStr">
        <is>
          <t>អេស អ វី ស៊ី ហ្វ្រេត សឺវីស (ខេមបូឌា) ខូ អិលធីឌី</t>
        </is>
      </c>
      <c r="W994" t="n">
        <v>113135</v>
      </c>
      <c r="X994" t="n">
        <v>0</v>
      </c>
    </row>
    <row r="995">
      <c r="A995" t="n">
        <v>994</v>
      </c>
      <c r="B995" t="inlineStr">
        <is>
          <t>Rental Machine</t>
        </is>
      </c>
      <c r="C995" t="inlineStr">
        <is>
          <t>ក្លាក ហ៊ូ ឯ.ក</t>
        </is>
      </c>
      <c r="D995" t="inlineStr">
        <is>
          <t>K007-901639199</t>
        </is>
      </c>
      <c r="E995" t="inlineStr">
        <is>
          <t>IN1777</t>
        </is>
      </c>
      <c r="F995" t="inlineStr">
        <is>
          <t>24-08-2024</t>
        </is>
      </c>
      <c r="G995" t="n">
        <v>67370</v>
      </c>
      <c r="I995">
        <f>G995</f>
        <v/>
      </c>
      <c r="K995">
        <f>I995-G995</f>
        <v/>
      </c>
      <c r="M995" t="inlineStr">
        <is>
          <t>IN1777</t>
        </is>
      </c>
      <c r="N995" t="inlineStr"/>
      <c r="O995">
        <f>M995=N995</f>
        <v/>
      </c>
      <c r="P995">
        <f>AND(MONTH(F995)=MONTH(S995), YEAR(F995)=YEAR(S995))</f>
        <v/>
      </c>
      <c r="Q995">
        <f>"L001-902303751"=U995</f>
        <v/>
      </c>
      <c r="R995">
        <f>G995-W995</f>
        <v/>
      </c>
      <c r="S995" s="36" t="n">
        <v>45453</v>
      </c>
      <c r="T995" t="inlineStr"/>
      <c r="U995" t="inlineStr">
        <is>
          <t>K005-100150195</t>
        </is>
      </c>
      <c r="V995" t="inlineStr">
        <is>
          <t>អេស អ វី ស៊ី ហ្វ្រេត សឺវីស (ខេមបូឌា) ខូ អិលធីឌី</t>
        </is>
      </c>
      <c r="W995" t="n">
        <v>0</v>
      </c>
      <c r="X995" t="n">
        <v>0</v>
      </c>
    </row>
    <row r="996">
      <c r="A996" t="n">
        <v>995</v>
      </c>
      <c r="B996" t="inlineStr">
        <is>
          <t>Rental Machine</t>
        </is>
      </c>
      <c r="C996" t="inlineStr">
        <is>
          <t>ក្លាក ហ៊ូ ឯ.ក</t>
        </is>
      </c>
      <c r="D996" t="inlineStr">
        <is>
          <t>K007-901639199</t>
        </is>
      </c>
      <c r="E996" t="inlineStr">
        <is>
          <t>IN1778</t>
        </is>
      </c>
      <c r="F996" t="inlineStr">
        <is>
          <t>24-08-2024</t>
        </is>
      </c>
      <c r="G996" t="n">
        <v>79619</v>
      </c>
      <c r="I996">
        <f>G996</f>
        <v/>
      </c>
      <c r="K996">
        <f>I996-G996</f>
        <v/>
      </c>
      <c r="M996" t="inlineStr">
        <is>
          <t>IN1778</t>
        </is>
      </c>
      <c r="N996" t="inlineStr">
        <is>
          <t>9914700</t>
        </is>
      </c>
      <c r="O996">
        <f>M996=N996</f>
        <v/>
      </c>
      <c r="P996">
        <f>AND(MONTH(F996)=MONTH(S996), YEAR(F996)=YEAR(S996))</f>
        <v/>
      </c>
      <c r="Q996">
        <f>"L001-902303751"=U996</f>
        <v/>
      </c>
      <c r="R996">
        <f>G996-W996</f>
        <v/>
      </c>
      <c r="S996" s="36" t="n">
        <v>45453</v>
      </c>
      <c r="T996" t="n">
        <v>99147</v>
      </c>
      <c r="U996" t="inlineStr">
        <is>
          <t>L001-100045340</t>
        </is>
      </c>
      <c r="V996" t="inlineStr">
        <is>
          <t xml:space="preserve">ស៊ីវ៉ា អ៊ែរ អ៊ែន អូសៀន (ខេមបូឌា) ឯ.ក </t>
        </is>
      </c>
      <c r="W996" t="n">
        <v>99147</v>
      </c>
      <c r="X996" t="n">
        <v>0</v>
      </c>
    </row>
    <row r="997">
      <c r="A997" t="n">
        <v>996</v>
      </c>
      <c r="B997" t="inlineStr">
        <is>
          <t>Rental Machine</t>
        </is>
      </c>
      <c r="C997" t="inlineStr">
        <is>
          <t>ក្លាក ហ៊ូ ឯ.ក</t>
        </is>
      </c>
      <c r="D997" t="inlineStr">
        <is>
          <t>K007-901639199</t>
        </is>
      </c>
      <c r="E997" t="inlineStr">
        <is>
          <t>IN1780</t>
        </is>
      </c>
      <c r="F997" t="inlineStr">
        <is>
          <t>24-08-2024</t>
        </is>
      </c>
      <c r="G997" t="n">
        <v>79112</v>
      </c>
      <c r="I997">
        <f>G997</f>
        <v/>
      </c>
      <c r="K997">
        <f>I997-G997</f>
        <v/>
      </c>
      <c r="M997" t="inlineStr">
        <is>
          <t>IN1780</t>
        </is>
      </c>
      <c r="N997" t="inlineStr"/>
      <c r="O997">
        <f>M997=N997</f>
        <v/>
      </c>
      <c r="P997">
        <f>AND(MONTH(F997)=MONTH(S997), YEAR(F997)=YEAR(S997))</f>
        <v/>
      </c>
      <c r="Q997">
        <f>"L001-902303751"=U997</f>
        <v/>
      </c>
      <c r="R997">
        <f>G997-W997</f>
        <v/>
      </c>
      <c r="S997" s="36" t="n">
        <v>45453</v>
      </c>
      <c r="T997" t="inlineStr"/>
      <c r="U997" t="inlineStr">
        <is>
          <t>L001-100045340</t>
        </is>
      </c>
      <c r="V997" t="inlineStr">
        <is>
          <t xml:space="preserve">ស៊ីវ៉ា អ៊ែរ អ៊ែន អូសៀន (ខេមបូឌា) ឯ.ក </t>
        </is>
      </c>
      <c r="W997" t="n">
        <v>0</v>
      </c>
      <c r="X997" t="n">
        <v>0</v>
      </c>
    </row>
    <row r="998">
      <c r="A998" t="n">
        <v>997</v>
      </c>
      <c r="B998" t="inlineStr">
        <is>
          <t>Rental Machine</t>
        </is>
      </c>
      <c r="C998" t="inlineStr">
        <is>
          <t>ក្លាក ហ៊ូ ឯ.ក</t>
        </is>
      </c>
      <c r="D998" t="inlineStr">
        <is>
          <t>K007-901639199</t>
        </is>
      </c>
      <c r="E998" t="inlineStr">
        <is>
          <t>IN1784</t>
        </is>
      </c>
      <c r="F998" t="inlineStr">
        <is>
          <t>24-08-2024</t>
        </is>
      </c>
      <c r="G998" t="n">
        <v>145763</v>
      </c>
      <c r="I998">
        <f>G998</f>
        <v/>
      </c>
      <c r="K998">
        <f>I998-G998</f>
        <v/>
      </c>
      <c r="M998" t="inlineStr">
        <is>
          <t>IN1784</t>
        </is>
      </c>
      <c r="N998" t="inlineStr">
        <is>
          <t>29415100</t>
        </is>
      </c>
      <c r="O998">
        <f>M998=N998</f>
        <v/>
      </c>
      <c r="P998">
        <f>AND(MONTH(F998)=MONTH(S998), YEAR(F998)=YEAR(S998))</f>
        <v/>
      </c>
      <c r="Q998">
        <f>"L001-902303751"=U998</f>
        <v/>
      </c>
      <c r="R998">
        <f>G998-W998</f>
        <v/>
      </c>
      <c r="S998" s="36" t="n">
        <v>45453</v>
      </c>
      <c r="T998" t="n">
        <v>294151</v>
      </c>
      <c r="U998" t="inlineStr">
        <is>
          <t>L001-100045995</t>
        </is>
      </c>
      <c r="V998" t="inlineStr">
        <is>
          <t>ឌីអេចអិល ឡូជីស្ទីក (ខេមបូឌា)</t>
        </is>
      </c>
      <c r="W998" t="n">
        <v>294151</v>
      </c>
      <c r="X998" t="n">
        <v>0</v>
      </c>
    </row>
    <row r="999">
      <c r="A999" t="n">
        <v>998</v>
      </c>
      <c r="B999" t="inlineStr">
        <is>
          <t>Rental Machine</t>
        </is>
      </c>
      <c r="C999" t="inlineStr">
        <is>
          <t>ក្លាក ហ៊ូ ឯ.ក</t>
        </is>
      </c>
      <c r="D999" t="inlineStr">
        <is>
          <t>K007-901639199</t>
        </is>
      </c>
      <c r="E999" t="inlineStr">
        <is>
          <t>IN1779</t>
        </is>
      </c>
      <c r="F999" t="inlineStr">
        <is>
          <t>24-08-2024</t>
        </is>
      </c>
      <c r="G999" t="n">
        <v>79619</v>
      </c>
      <c r="I999">
        <f>G999</f>
        <v/>
      </c>
      <c r="K999">
        <f>I999-G999</f>
        <v/>
      </c>
      <c r="M999" t="inlineStr">
        <is>
          <t>IN1779</t>
        </is>
      </c>
      <c r="N999" t="inlineStr"/>
      <c r="O999">
        <f>M999=N999</f>
        <v/>
      </c>
      <c r="P999">
        <f>AND(MONTH(F999)=MONTH(S999), YEAR(F999)=YEAR(S999))</f>
        <v/>
      </c>
      <c r="Q999">
        <f>"L001-902303751"=U999</f>
        <v/>
      </c>
      <c r="R999">
        <f>G999-W999</f>
        <v/>
      </c>
      <c r="S999" s="36" t="n">
        <v>45446</v>
      </c>
      <c r="T999" t="inlineStr"/>
      <c r="U999" t="inlineStr">
        <is>
          <t>L001-107032791</t>
        </is>
      </c>
      <c r="V999" t="inlineStr">
        <is>
          <t>នីបផន អិចប្រេស (ខេមបូឌា) ខូ អិលធីឌី</t>
        </is>
      </c>
      <c r="W999" t="n">
        <v>0</v>
      </c>
      <c r="X999" t="n">
        <v>0</v>
      </c>
    </row>
    <row r="1000">
      <c r="A1000" t="n">
        <v>999</v>
      </c>
      <c r="B1000" t="inlineStr">
        <is>
          <t>Rental Machine</t>
        </is>
      </c>
      <c r="C1000" t="inlineStr">
        <is>
          <t>ក្លាក ហ៊ូ ឯ.ក</t>
        </is>
      </c>
      <c r="D1000" t="inlineStr">
        <is>
          <t>K007-901639199</t>
        </is>
      </c>
      <c r="E1000" t="inlineStr">
        <is>
          <t>IN1783</t>
        </is>
      </c>
      <c r="F1000" t="inlineStr">
        <is>
          <t>24-08-2024</t>
        </is>
      </c>
      <c r="G1000" t="n">
        <v>303909</v>
      </c>
      <c r="I1000">
        <f>G1000</f>
        <v/>
      </c>
      <c r="K1000">
        <f>I1000-G1000</f>
        <v/>
      </c>
      <c r="M1000" t="inlineStr">
        <is>
          <t>IN1783</t>
        </is>
      </c>
      <c r="N1000" t="inlineStr">
        <is>
          <t>11272300</t>
        </is>
      </c>
      <c r="O1000">
        <f>M1000=N1000</f>
        <v/>
      </c>
      <c r="P1000">
        <f>AND(MONTH(F1000)=MONTH(S1000), YEAR(F1000)=YEAR(S1000))</f>
        <v/>
      </c>
      <c r="Q1000">
        <f>"L001-902303751"=U1000</f>
        <v/>
      </c>
      <c r="R1000">
        <f>G1000-W1000</f>
        <v/>
      </c>
      <c r="S1000" s="36" t="n">
        <v>45446</v>
      </c>
      <c r="T1000" t="n">
        <v>112723</v>
      </c>
      <c r="U1000" t="inlineStr">
        <is>
          <t>L001-100045995</t>
        </is>
      </c>
      <c r="V1000" t="inlineStr">
        <is>
          <t>ឌីអេចអិល ឡូជីស្ទីក (ខេមបូឌា)</t>
        </is>
      </c>
      <c r="W1000" t="n">
        <v>112723</v>
      </c>
      <c r="X1000" t="n">
        <v>0</v>
      </c>
    </row>
    <row r="1001">
      <c r="A1001" t="n">
        <v>1000</v>
      </c>
      <c r="B1001" t="inlineStr">
        <is>
          <t>Monthly Security for August 2024</t>
        </is>
      </c>
      <c r="C1001" t="inlineStr">
        <is>
          <t>អិល.ប៊ី.អិល.អេច ស៊ីឃ្យូរឹធី ឯ.ក</t>
        </is>
      </c>
      <c r="D1001" t="inlineStr">
        <is>
          <t>K010-902202247</t>
        </is>
      </c>
      <c r="E1001" t="inlineStr">
        <is>
          <t>L.B.L.H00022</t>
        </is>
      </c>
      <c r="F1001" t="inlineStr">
        <is>
          <t>26-08-2024</t>
        </is>
      </c>
      <c r="G1001" t="n">
        <v>612150</v>
      </c>
      <c r="I1001">
        <f>G1001</f>
        <v/>
      </c>
      <c r="K1001">
        <f>I1001-G1001</f>
        <v/>
      </c>
      <c r="M1001" t="inlineStr">
        <is>
          <t>LBLH00022</t>
        </is>
      </c>
      <c r="N1001" t="inlineStr">
        <is>
          <t>8448100</t>
        </is>
      </c>
      <c r="O1001">
        <f>M1001=N1001</f>
        <v/>
      </c>
      <c r="P1001">
        <f>AND(MONTH(F1001)=MONTH(S1001), YEAR(F1001)=YEAR(S1001))</f>
        <v/>
      </c>
      <c r="Q1001">
        <f>"L001-902303751"=U1001</f>
        <v/>
      </c>
      <c r="R1001">
        <f>G1001-W1001</f>
        <v/>
      </c>
      <c r="S1001" s="36" t="n">
        <v>45460</v>
      </c>
      <c r="T1001" t="n">
        <v>84481</v>
      </c>
      <c r="U1001" t="inlineStr">
        <is>
          <t>L001-107032791</t>
        </is>
      </c>
      <c r="V1001" t="inlineStr">
        <is>
          <t>នីបផន អិចប្រេស (ខេមបូឌា) ខូ អិលធីឌី</t>
        </is>
      </c>
      <c r="W1001" t="n">
        <v>84481</v>
      </c>
      <c r="X1001" t="n">
        <v>0</v>
      </c>
    </row>
    <row r="1002">
      <c r="A1002" t="n">
        <v>1001</v>
      </c>
      <c r="B1002" t="inlineStr">
        <is>
          <t>Monthly Security for August 2024</t>
        </is>
      </c>
      <c r="C1002" t="inlineStr">
        <is>
          <t>អិល.ប៊ី.អិល.អេច ស៊ីឃ្យូរឹធី ឯ.ក</t>
        </is>
      </c>
      <c r="D1002" t="inlineStr">
        <is>
          <t>K010-902202247</t>
        </is>
      </c>
      <c r="E1002" t="inlineStr">
        <is>
          <t>L.B.L.H00008</t>
        </is>
      </c>
      <c r="F1002" t="inlineStr">
        <is>
          <t>26-08-2024</t>
        </is>
      </c>
      <c r="G1002" t="n">
        <v>1493646</v>
      </c>
      <c r="I1002">
        <f>G1002</f>
        <v/>
      </c>
      <c r="K1002">
        <f>I1002-G1002</f>
        <v/>
      </c>
      <c r="M1002" t="inlineStr">
        <is>
          <t>LBLH00008</t>
        </is>
      </c>
      <c r="N1002" t="inlineStr">
        <is>
          <t>8448100</t>
        </is>
      </c>
      <c r="O1002">
        <f>M1002=N1002</f>
        <v/>
      </c>
      <c r="P1002">
        <f>AND(MONTH(F1002)=MONTH(S1002), YEAR(F1002)=YEAR(S1002))</f>
        <v/>
      </c>
      <c r="Q1002">
        <f>"L001-902303751"=U1002</f>
        <v/>
      </c>
      <c r="R1002">
        <f>G1002-W1002</f>
        <v/>
      </c>
      <c r="S1002" s="36" t="n">
        <v>45467</v>
      </c>
      <c r="T1002" t="n">
        <v>84481</v>
      </c>
      <c r="U1002" t="inlineStr">
        <is>
          <t>L001-100045995</t>
        </is>
      </c>
      <c r="V1002" t="inlineStr">
        <is>
          <t>ឌីអេចអិល ឡូជីស្ទីក (ខេមបូឌា)</t>
        </is>
      </c>
      <c r="W1002" t="n">
        <v>84481</v>
      </c>
      <c r="X1002" t="n">
        <v>0</v>
      </c>
    </row>
    <row r="1003">
      <c r="A1003" t="n">
        <v>1002</v>
      </c>
      <c r="B1003" t="inlineStr">
        <is>
          <t>Pest Control Service</t>
        </is>
      </c>
      <c r="C1003" t="inlineStr">
        <is>
          <t>ជីស៊ី ផេស ខិនត្រូល ឯ.ក</t>
        </is>
      </c>
      <c r="D1003" t="inlineStr">
        <is>
          <t>K004-902104767</t>
        </is>
      </c>
      <c r="E1003" t="inlineStr">
        <is>
          <t>2024-00016-1</t>
        </is>
      </c>
      <c r="F1003" t="inlineStr">
        <is>
          <t>17-08-2024</t>
        </is>
      </c>
      <c r="G1003" t="n">
        <v>262272</v>
      </c>
      <c r="I1003">
        <f>G1003</f>
        <v/>
      </c>
      <c r="K1003">
        <f>I1003-G1003</f>
        <v/>
      </c>
      <c r="M1003" t="inlineStr">
        <is>
          <t>2024000161</t>
        </is>
      </c>
      <c r="N1003" t="inlineStr"/>
      <c r="O1003">
        <f>M1003=N1003</f>
        <v/>
      </c>
      <c r="P1003">
        <f>AND(MONTH(F1003)=MONTH(S1003), YEAR(F1003)=YEAR(S1003))</f>
        <v/>
      </c>
      <c r="Q1003">
        <f>"L001-902303751"=U1003</f>
        <v/>
      </c>
      <c r="R1003">
        <f>G1003-W1003</f>
        <v/>
      </c>
      <c r="S1003" s="36" t="n">
        <v>45467</v>
      </c>
      <c r="T1003" t="inlineStr"/>
      <c r="U1003" t="inlineStr">
        <is>
          <t>L001-107032791</t>
        </is>
      </c>
      <c r="V1003" t="inlineStr">
        <is>
          <t>នីបផន អិចប្រេស (ខេមបូឌា) ខូ អិលធីឌី</t>
        </is>
      </c>
      <c r="W1003" t="n">
        <v>0</v>
      </c>
      <c r="X1003" t="n">
        <v>0</v>
      </c>
    </row>
    <row r="1004">
      <c r="A1004" t="n">
        <v>1003</v>
      </c>
      <c r="B1004" t="inlineStr">
        <is>
          <t>Transportation Fee</t>
        </is>
      </c>
      <c r="C1004" t="inlineStr">
        <is>
          <t>សំអាង &amp; មករា ត្រេនស្ព័ត ឯ.ក</t>
        </is>
      </c>
      <c r="D1004" t="inlineStr">
        <is>
          <t>K010-902204282</t>
        </is>
      </c>
      <c r="E1004" t="inlineStr">
        <is>
          <t>NO202300087</t>
        </is>
      </c>
      <c r="F1004" t="inlineStr">
        <is>
          <t>31-08-2024</t>
        </is>
      </c>
      <c r="G1004" t="n">
        <v>1567016</v>
      </c>
      <c r="I1004">
        <f>G1004</f>
        <v/>
      </c>
      <c r="K1004">
        <f>I1004-G1004</f>
        <v/>
      </c>
      <c r="M1004" t="inlineStr">
        <is>
          <t>NO202300087</t>
        </is>
      </c>
      <c r="N1004" t="inlineStr"/>
      <c r="O1004">
        <f>M1004=N1004</f>
        <v/>
      </c>
      <c r="P1004">
        <f>AND(MONTH(F1004)=MONTH(S1004), YEAR(F1004)=YEAR(S1004))</f>
        <v/>
      </c>
      <c r="Q1004">
        <f>"L001-902303751"=U1004</f>
        <v/>
      </c>
      <c r="R1004">
        <f>G1004-W1004</f>
        <v/>
      </c>
      <c r="S1004" s="36" t="n">
        <v>45467</v>
      </c>
      <c r="T1004" t="inlineStr"/>
      <c r="U1004" t="inlineStr">
        <is>
          <t>K003-901635943</t>
        </is>
      </c>
      <c r="V1004" t="inlineStr">
        <is>
          <t>អ៊ីឃ្យូឡាញ វើលវ៉ាយដ៍ ឡូជីស្ទីក</t>
        </is>
      </c>
      <c r="W1004" t="n">
        <v>0</v>
      </c>
      <c r="X1004" t="n">
        <v>0</v>
      </c>
    </row>
    <row r="1005">
      <c r="A1005" t="n">
        <v>1004</v>
      </c>
      <c r="B1005" t="inlineStr">
        <is>
          <t>Cargo Terminal</t>
        </is>
      </c>
      <c r="C1005" t="inlineStr">
        <is>
          <t>សូស៊ីយេតេ កុងសេស្យូនែរ ដឺ ឡាអេរ៉ូព័រ</t>
        </is>
      </c>
      <c r="D1005" t="inlineStr">
        <is>
          <t>L001-100047300</t>
        </is>
      </c>
      <c r="E1005" t="inlineStr">
        <is>
          <t>2400-068068</t>
        </is>
      </c>
      <c r="F1005" t="inlineStr">
        <is>
          <t>25-08-2024</t>
        </is>
      </c>
      <c r="G1005" t="n">
        <v>947</v>
      </c>
      <c r="I1005">
        <f>G1005</f>
        <v/>
      </c>
      <c r="K1005">
        <f>I1005-G1005</f>
        <v/>
      </c>
      <c r="M1005" t="inlineStr">
        <is>
          <t>2400068068</t>
        </is>
      </c>
      <c r="N1005" t="inlineStr"/>
      <c r="O1005">
        <f>M1005=N1005</f>
        <v/>
      </c>
      <c r="P1005">
        <f>AND(MONTH(F1005)=MONTH(S1005), YEAR(F1005)=YEAR(S1005))</f>
        <v/>
      </c>
      <c r="Q1005">
        <f>"L001-902303751"=U1005</f>
        <v/>
      </c>
      <c r="R1005">
        <f>G1005-W1005</f>
        <v/>
      </c>
      <c r="S1005" s="36" t="n">
        <v>45453</v>
      </c>
      <c r="T1005" t="inlineStr"/>
      <c r="U1005" t="inlineStr">
        <is>
          <t>L001-107032791</t>
        </is>
      </c>
      <c r="V1005" t="inlineStr">
        <is>
          <t>នីបផន អិចប្រេស (ខេមបូឌា) ខូ អិលធីឌី</t>
        </is>
      </c>
      <c r="W1005" t="n">
        <v>0</v>
      </c>
      <c r="X1005" t="n">
        <v>0</v>
      </c>
    </row>
    <row r="1006">
      <c r="A1006" t="n">
        <v>1005</v>
      </c>
      <c r="B1006" t="inlineStr">
        <is>
          <t>Customs Clearance Fee</t>
        </is>
      </c>
      <c r="C1006" t="inlineStr">
        <is>
          <t>ត្រាយអ៊ែងហ្គល ឡូជីស្ទីក (ខេមបូឌា) ឯ.ក</t>
        </is>
      </c>
      <c r="D1006" t="inlineStr">
        <is>
          <t>K010-902101743</t>
        </is>
      </c>
      <c r="E1006" t="inlineStr">
        <is>
          <t>TAG-24-00586</t>
        </is>
      </c>
      <c r="F1006" t="inlineStr">
        <is>
          <t>28-08-2024</t>
        </is>
      </c>
      <c r="G1006" t="n">
        <v>8132</v>
      </c>
      <c r="I1006">
        <f>G1006</f>
        <v/>
      </c>
      <c r="K1006">
        <f>I1006-G1006</f>
        <v/>
      </c>
      <c r="M1006" t="inlineStr">
        <is>
          <t>TAG2400586</t>
        </is>
      </c>
      <c r="N1006" t="inlineStr">
        <is>
          <t>8403000</t>
        </is>
      </c>
      <c r="O1006">
        <f>M1006=N1006</f>
        <v/>
      </c>
      <c r="P1006">
        <f>AND(MONTH(F1006)=MONTH(S1006), YEAR(F1006)=YEAR(S1006))</f>
        <v/>
      </c>
      <c r="Q1006">
        <f>"L001-902303751"=U1006</f>
        <v/>
      </c>
      <c r="R1006">
        <f>G1006-W1006</f>
        <v/>
      </c>
      <c r="S1006" s="36" t="n">
        <v>45446</v>
      </c>
      <c r="T1006" t="n">
        <v>84030</v>
      </c>
      <c r="U1006" t="inlineStr">
        <is>
          <t>L001-107032791</t>
        </is>
      </c>
      <c r="V1006" t="inlineStr">
        <is>
          <t>នីបផន អិចប្រេស (ខេមបូឌា) ខូ អិលធីឌី</t>
        </is>
      </c>
      <c r="W1006" t="n">
        <v>84030</v>
      </c>
      <c r="X1006" t="n">
        <v>0</v>
      </c>
    </row>
    <row r="1007">
      <c r="A1007" t="n">
        <v>1006</v>
      </c>
      <c r="B1007" t="inlineStr">
        <is>
          <t>Cargo Terminal</t>
        </is>
      </c>
      <c r="C1007" t="inlineStr">
        <is>
          <t>សូស៊ីយេតេ កុងសេស្យូនែរ ដឺ ឡាអេរ៉ូព័រ</t>
        </is>
      </c>
      <c r="D1007" t="inlineStr">
        <is>
          <t>L001-100047300</t>
        </is>
      </c>
      <c r="E1007" t="inlineStr">
        <is>
          <t>2400-066597</t>
        </is>
      </c>
      <c r="F1007" t="inlineStr">
        <is>
          <t>20-08-2024</t>
        </is>
      </c>
      <c r="G1007" t="n">
        <v>17669</v>
      </c>
      <c r="I1007">
        <f>G1007</f>
        <v/>
      </c>
      <c r="K1007">
        <f>I1007-G1007</f>
        <v/>
      </c>
      <c r="M1007" t="inlineStr">
        <is>
          <t>2400066597</t>
        </is>
      </c>
      <c r="N1007" t="inlineStr">
        <is>
          <t>11313500</t>
        </is>
      </c>
      <c r="O1007">
        <f>M1007=N1007</f>
        <v/>
      </c>
      <c r="P1007">
        <f>AND(MONTH(F1007)=MONTH(S1007), YEAR(F1007)=YEAR(S1007))</f>
        <v/>
      </c>
      <c r="Q1007">
        <f>"L001-902303751"=U1007</f>
        <v/>
      </c>
      <c r="R1007">
        <f>G1007-W1007</f>
        <v/>
      </c>
      <c r="S1007" s="36" t="n">
        <v>45453</v>
      </c>
      <c r="T1007" t="n">
        <v>113135</v>
      </c>
      <c r="U1007" t="inlineStr">
        <is>
          <t>L001-107032791</t>
        </is>
      </c>
      <c r="V1007" t="inlineStr">
        <is>
          <t>នីបផន អិចប្រេស (ខេមបូឌា) ខូ អិលធីឌី</t>
        </is>
      </c>
      <c r="W1007" t="n">
        <v>113135</v>
      </c>
      <c r="X1007" t="n">
        <v>0</v>
      </c>
    </row>
    <row r="1008">
      <c r="A1008" t="n">
        <v>1007</v>
      </c>
      <c r="B1008" t="inlineStr">
        <is>
          <t>Customs Clearance Fee</t>
        </is>
      </c>
      <c r="C1008" t="inlineStr">
        <is>
          <t>ត្រាយអ៊ែងហ្គល ឡូជីស្ទីក (ខេមបូឌា) ឯ.ក</t>
        </is>
      </c>
      <c r="D1008" t="inlineStr">
        <is>
          <t>K010-902101743</t>
        </is>
      </c>
      <c r="E1008" t="inlineStr">
        <is>
          <t>TAG-24-00581</t>
        </is>
      </c>
      <c r="F1008" t="inlineStr">
        <is>
          <t>28-08-2024</t>
        </is>
      </c>
      <c r="G1008" t="n">
        <v>8132</v>
      </c>
      <c r="I1008">
        <f>G1008</f>
        <v/>
      </c>
      <c r="K1008">
        <f>I1008-G1008</f>
        <v/>
      </c>
      <c r="M1008" t="inlineStr">
        <is>
          <t>TAG2400581</t>
        </is>
      </c>
      <c r="N1008" t="inlineStr">
        <is>
          <t>1233000</t>
        </is>
      </c>
      <c r="O1008">
        <f>M1008=N1008</f>
        <v/>
      </c>
      <c r="P1008">
        <f>AND(MONTH(F1008)=MONTH(S1008), YEAR(F1008)=YEAR(S1008))</f>
        <v/>
      </c>
      <c r="Q1008">
        <f>"L001-902303751"=U1008</f>
        <v/>
      </c>
      <c r="R1008">
        <f>G1008-W1008</f>
        <v/>
      </c>
      <c r="S1008" s="36" t="n">
        <v>45469</v>
      </c>
      <c r="T1008" t="n">
        <v>12330</v>
      </c>
      <c r="U1008" t="inlineStr">
        <is>
          <t>K004-105012505</t>
        </is>
      </c>
      <c r="V1008" t="inlineStr">
        <is>
          <t>អេស៊ាន ហ្វ្រេត (ខេមបូឌា)</t>
        </is>
      </c>
      <c r="W1008" t="n">
        <v>12330</v>
      </c>
      <c r="X1008" t="n">
        <v>0</v>
      </c>
    </row>
    <row r="1009">
      <c r="A1009" t="n">
        <v>1008</v>
      </c>
      <c r="B1009" t="inlineStr">
        <is>
          <t>Cargo Terminal</t>
        </is>
      </c>
      <c r="C1009" t="inlineStr">
        <is>
          <t>សូស៊ីយេតេ កុងសេស្យូនែរ ដឺ ឡាអេរ៉ូព័រ</t>
        </is>
      </c>
      <c r="D1009" t="inlineStr">
        <is>
          <t>L001-100047300</t>
        </is>
      </c>
      <c r="E1009" t="inlineStr">
        <is>
          <t>2400-065094</t>
        </is>
      </c>
      <c r="F1009" t="inlineStr">
        <is>
          <t>15-08-2024</t>
        </is>
      </c>
      <c r="G1009" t="n">
        <v>19618</v>
      </c>
      <c r="I1009">
        <f>G1009</f>
        <v/>
      </c>
      <c r="K1009">
        <f>I1009-G1009</f>
        <v/>
      </c>
      <c r="M1009" t="inlineStr">
        <is>
          <t>2400065094</t>
        </is>
      </c>
      <c r="N1009" t="inlineStr">
        <is>
          <t>11332800</t>
        </is>
      </c>
      <c r="O1009">
        <f>M1009=N1009</f>
        <v/>
      </c>
      <c r="P1009">
        <f>AND(MONTH(F1009)=MONTH(S1009), YEAR(F1009)=YEAR(S1009))</f>
        <v/>
      </c>
      <c r="Q1009">
        <f>"L001-902303751"=U1009</f>
        <v/>
      </c>
      <c r="R1009">
        <f>G1009-W1009</f>
        <v/>
      </c>
      <c r="S1009" s="36" t="n">
        <v>45460</v>
      </c>
      <c r="T1009" t="n">
        <v>113328</v>
      </c>
      <c r="U1009" t="inlineStr">
        <is>
          <t>L001-107032791</t>
        </is>
      </c>
      <c r="V1009" t="inlineStr">
        <is>
          <t>នីបផន អិចប្រេស (ខេមបូឌា) ខូ អិលធីឌី</t>
        </is>
      </c>
      <c r="W1009" t="n">
        <v>113328</v>
      </c>
      <c r="X1009" t="n">
        <v>0</v>
      </c>
    </row>
    <row r="1010">
      <c r="A1010" t="n">
        <v>1009</v>
      </c>
      <c r="B1010" t="inlineStr">
        <is>
          <t>Customs Clearance Fee</t>
        </is>
      </c>
      <c r="C1010" t="inlineStr">
        <is>
          <t>ត្រាយអ៊ែងហ្គល ឡូជីស្ទីក (ខេមបូឌា) ឯ.ក</t>
        </is>
      </c>
      <c r="D1010" t="inlineStr">
        <is>
          <t>K010-902101743</t>
        </is>
      </c>
      <c r="E1010" t="inlineStr">
        <is>
          <t>TAG-24-00565</t>
        </is>
      </c>
      <c r="F1010" t="inlineStr">
        <is>
          <t>20-08-2024</t>
        </is>
      </c>
      <c r="G1010" t="n">
        <v>8180</v>
      </c>
      <c r="I1010">
        <f>G1010</f>
        <v/>
      </c>
      <c r="K1010">
        <f>I1010-G1010</f>
        <v/>
      </c>
      <c r="M1010" t="inlineStr">
        <is>
          <t>TAG2400565</t>
        </is>
      </c>
      <c r="N1010" t="inlineStr"/>
      <c r="O1010">
        <f>M1010=N1010</f>
        <v/>
      </c>
      <c r="P1010">
        <f>AND(MONTH(F1010)=MONTH(S1010), YEAR(F1010)=YEAR(S1010))</f>
        <v/>
      </c>
      <c r="Q1010">
        <f>"L001-902303751"=U1010</f>
        <v/>
      </c>
      <c r="R1010">
        <f>G1010-W1010</f>
        <v/>
      </c>
      <c r="S1010" s="36" t="n">
        <v>45460</v>
      </c>
      <c r="T1010" t="inlineStr"/>
      <c r="U1010" t="inlineStr">
        <is>
          <t>L001-100011888</t>
        </is>
      </c>
      <c r="V1010" t="inlineStr">
        <is>
          <t>ត្រេន ស្តារ ហ្រេ្វត</t>
        </is>
      </c>
      <c r="W1010" t="n">
        <v>0</v>
      </c>
      <c r="X1010" t="n">
        <v>0</v>
      </c>
    </row>
    <row r="1011">
      <c r="A1011" t="n">
        <v>1010</v>
      </c>
      <c r="B1011" t="inlineStr">
        <is>
          <t>Cargo Terminal</t>
        </is>
      </c>
      <c r="C1011" t="inlineStr">
        <is>
          <t>សូស៊ីយេតេ កុងសេស្យូនែរ ដឺ ឡាអេរ៉ូព័រ</t>
        </is>
      </c>
      <c r="D1011" t="inlineStr">
        <is>
          <t>L001-100047300</t>
        </is>
      </c>
      <c r="E1011" t="inlineStr">
        <is>
          <t>2400-064954</t>
        </is>
      </c>
      <c r="F1011" t="inlineStr">
        <is>
          <t>15-08-2024</t>
        </is>
      </c>
      <c r="G1011" t="n">
        <v>819</v>
      </c>
      <c r="I1011">
        <f>G1011</f>
        <v/>
      </c>
      <c r="K1011">
        <f>I1011-G1011</f>
        <v/>
      </c>
      <c r="M1011" t="inlineStr">
        <is>
          <t>2400064954</t>
        </is>
      </c>
      <c r="N1011" t="inlineStr">
        <is>
          <t>8448100</t>
        </is>
      </c>
      <c r="O1011">
        <f>M1011=N1011</f>
        <v/>
      </c>
      <c r="P1011">
        <f>AND(MONTH(F1011)=MONTH(S1011), YEAR(F1011)=YEAR(S1011))</f>
        <v/>
      </c>
      <c r="Q1011">
        <f>"L001-902303751"=U1011</f>
        <v/>
      </c>
      <c r="R1011">
        <f>G1011-W1011</f>
        <v/>
      </c>
      <c r="S1011" s="36" t="n">
        <v>45467</v>
      </c>
      <c r="T1011" t="n">
        <v>84481</v>
      </c>
      <c r="U1011" t="inlineStr">
        <is>
          <t>L001-107032791</t>
        </is>
      </c>
      <c r="V1011" t="inlineStr">
        <is>
          <t>នីបផន អិចប្រេស (ខេមបូឌា) ខូ អិលធីឌី</t>
        </is>
      </c>
      <c r="W1011" t="n">
        <v>84481</v>
      </c>
      <c r="X1011" t="n">
        <v>0</v>
      </c>
    </row>
    <row r="1012">
      <c r="A1012" t="n">
        <v>1011</v>
      </c>
      <c r="B1012" t="inlineStr">
        <is>
          <t>Customs Clearance Fee</t>
        </is>
      </c>
      <c r="C1012" t="inlineStr">
        <is>
          <t>ត្រាយអ៊ែងហ្គល ឡូជីស្ទីក (ខេមបូឌា) ឯ.ក</t>
        </is>
      </c>
      <c r="D1012" t="inlineStr">
        <is>
          <t>K010-902101743</t>
        </is>
      </c>
      <c r="E1012" t="inlineStr">
        <is>
          <t>TAG-24-00564</t>
        </is>
      </c>
      <c r="F1012" t="inlineStr">
        <is>
          <t>20-08-2024</t>
        </is>
      </c>
      <c r="G1012" t="n">
        <v>8180</v>
      </c>
      <c r="I1012">
        <f>G1012</f>
        <v/>
      </c>
      <c r="K1012">
        <f>I1012-G1012</f>
        <v/>
      </c>
      <c r="M1012" t="inlineStr">
        <is>
          <t>TAG2400564</t>
        </is>
      </c>
      <c r="N1012" t="inlineStr">
        <is>
          <t>11332800</t>
        </is>
      </c>
      <c r="O1012">
        <f>M1012=N1012</f>
        <v/>
      </c>
      <c r="P1012">
        <f>AND(MONTH(F1012)=MONTH(S1012), YEAR(F1012)=YEAR(S1012))</f>
        <v/>
      </c>
      <c r="Q1012">
        <f>"L001-902303751"=U1012</f>
        <v/>
      </c>
      <c r="R1012">
        <f>G1012-W1012</f>
        <v/>
      </c>
      <c r="S1012" s="36" t="n">
        <v>45467</v>
      </c>
      <c r="T1012" t="n">
        <v>113328</v>
      </c>
      <c r="U1012" t="inlineStr">
        <is>
          <t>L001-107032791</t>
        </is>
      </c>
      <c r="V1012" t="inlineStr">
        <is>
          <t>នីបផន អិចប្រេស (ខេមបូឌា) ខូ អិលធីឌី</t>
        </is>
      </c>
      <c r="W1012" t="n">
        <v>113328</v>
      </c>
      <c r="X1012" t="n">
        <v>0</v>
      </c>
    </row>
    <row r="1013">
      <c r="A1013" t="n">
        <v>1012</v>
      </c>
      <c r="B1013" t="inlineStr">
        <is>
          <t>Cargo Terminal</t>
        </is>
      </c>
      <c r="C1013" t="inlineStr">
        <is>
          <t>សូស៊ីយេតេ កុងសេស្យូនែរ ដឺ ឡាអេរ៉ូព័រ</t>
        </is>
      </c>
      <c r="D1013" t="inlineStr">
        <is>
          <t>L001-100047300</t>
        </is>
      </c>
      <c r="E1013" t="inlineStr">
        <is>
          <t>2400-064765</t>
        </is>
      </c>
      <c r="F1013" t="inlineStr">
        <is>
          <t>14-08-2024</t>
        </is>
      </c>
      <c r="G1013" t="n">
        <v>12797</v>
      </c>
      <c r="I1013">
        <f>G1013</f>
        <v/>
      </c>
      <c r="K1013">
        <f>I1013-G1013</f>
        <v/>
      </c>
      <c r="M1013" t="inlineStr">
        <is>
          <t>2400064765</t>
        </is>
      </c>
      <c r="N1013" t="inlineStr">
        <is>
          <t>1648000</t>
        </is>
      </c>
      <c r="O1013">
        <f>M1013=N1013</f>
        <v/>
      </c>
      <c r="P1013">
        <f>AND(MONTH(F1013)=MONTH(S1013), YEAR(F1013)=YEAR(S1013))</f>
        <v/>
      </c>
      <c r="Q1013">
        <f>"L001-902303751"=U1013</f>
        <v/>
      </c>
      <c r="R1013">
        <f>G1013-W1013</f>
        <v/>
      </c>
      <c r="S1013" s="36" t="n">
        <v>45462</v>
      </c>
      <c r="T1013" t="n">
        <v>16480</v>
      </c>
      <c r="U1013" t="inlineStr">
        <is>
          <t>L001-100045995</t>
        </is>
      </c>
      <c r="V1013" t="inlineStr">
        <is>
          <t>ឌីអេចអិល ឡូជីស្ទីក (ខេមបូឌា)</t>
        </is>
      </c>
      <c r="W1013" t="n">
        <v>16480</v>
      </c>
      <c r="X1013" t="n">
        <v>0</v>
      </c>
    </row>
    <row r="1014">
      <c r="A1014" t="n">
        <v>1013</v>
      </c>
      <c r="B1014" t="inlineStr">
        <is>
          <t>Customs Clearance Fee</t>
        </is>
      </c>
      <c r="C1014" t="inlineStr">
        <is>
          <t>ត្រាយអ៊ែងហ្គល ឡូជីស្ទីក (ខេមបូឌា) ឯ.ក</t>
        </is>
      </c>
      <c r="D1014" t="inlineStr">
        <is>
          <t>K010-902101743</t>
        </is>
      </c>
      <c r="E1014" t="inlineStr">
        <is>
          <t>TAG-24-00563</t>
        </is>
      </c>
      <c r="F1014" t="inlineStr">
        <is>
          <t>20-08-2024</t>
        </is>
      </c>
      <c r="G1014" t="n">
        <v>8180</v>
      </c>
      <c r="I1014">
        <f>G1014</f>
        <v/>
      </c>
      <c r="K1014">
        <f>I1014-G1014</f>
        <v/>
      </c>
      <c r="M1014" t="inlineStr">
        <is>
          <t>TAG2400563</t>
        </is>
      </c>
      <c r="N1014" t="inlineStr">
        <is>
          <t>11272300</t>
        </is>
      </c>
      <c r="O1014">
        <f>M1014=N1014</f>
        <v/>
      </c>
      <c r="P1014">
        <f>AND(MONTH(F1014)=MONTH(S1014), YEAR(F1014)=YEAR(S1014))</f>
        <v/>
      </c>
      <c r="Q1014">
        <f>"L001-902303751"=U1014</f>
        <v/>
      </c>
      <c r="R1014">
        <f>G1014-W1014</f>
        <v/>
      </c>
      <c r="S1014" s="36" t="n">
        <v>45446</v>
      </c>
      <c r="T1014" t="n">
        <v>112723</v>
      </c>
      <c r="U1014" t="inlineStr">
        <is>
          <t>L001-107032791</t>
        </is>
      </c>
      <c r="V1014" t="inlineStr">
        <is>
          <t>នីបផន អិចប្រេស (ខេមបូឌា) ខូ អិលធីឌី</t>
        </is>
      </c>
      <c r="W1014" t="n">
        <v>112723</v>
      </c>
      <c r="X1014" t="n">
        <v>0</v>
      </c>
    </row>
    <row r="1015">
      <c r="A1015" t="n">
        <v>1014</v>
      </c>
      <c r="B1015" t="inlineStr">
        <is>
          <t>Customs Clearance Fee</t>
        </is>
      </c>
      <c r="C1015" t="inlineStr">
        <is>
          <t>ត្រាយអ៊ែងហ្គល ឡូជីស្ទីក (ខេមបូឌា) ឯ.ក</t>
        </is>
      </c>
      <c r="D1015" t="inlineStr">
        <is>
          <t>K010-902101743</t>
        </is>
      </c>
      <c r="E1015" t="inlineStr">
        <is>
          <t>TAG-24-00587</t>
        </is>
      </c>
      <c r="F1015" t="inlineStr">
        <is>
          <t>28-08-2024</t>
        </is>
      </c>
      <c r="G1015" t="n">
        <v>8132</v>
      </c>
      <c r="I1015">
        <f>G1015</f>
        <v/>
      </c>
      <c r="K1015">
        <f>I1015-G1015</f>
        <v/>
      </c>
      <c r="M1015" t="inlineStr">
        <is>
          <t>TAG2400587</t>
        </is>
      </c>
      <c r="N1015" t="inlineStr"/>
      <c r="O1015">
        <f>M1015=N1015</f>
        <v/>
      </c>
      <c r="P1015">
        <f>AND(MONTH(F1015)=MONTH(S1015), YEAR(F1015)=YEAR(S1015))</f>
        <v/>
      </c>
      <c r="Q1015">
        <f>"L001-902303751"=U1015</f>
        <v/>
      </c>
      <c r="R1015">
        <f>G1015-W1015</f>
        <v/>
      </c>
      <c r="S1015" s="36" t="n">
        <v>45446</v>
      </c>
      <c r="T1015" t="inlineStr"/>
      <c r="U1015" t="inlineStr">
        <is>
          <t>L001-107032791</t>
        </is>
      </c>
      <c r="V1015" t="inlineStr">
        <is>
          <t>នីបផន អិចប្រេស (ខេមបូឌា) ខូ អិលធីឌី</t>
        </is>
      </c>
      <c r="W1015" t="n">
        <v>0</v>
      </c>
      <c r="X1015" t="n">
        <v>0</v>
      </c>
    </row>
    <row r="1016">
      <c r="A1016" t="n">
        <v>1015</v>
      </c>
      <c r="B1016" t="inlineStr">
        <is>
          <t>Cargo Terminal</t>
        </is>
      </c>
      <c r="C1016" t="inlineStr">
        <is>
          <t>សូស៊ីយេតេ កុងសេស្យូនែរ ដឺ ឡាអេរ៉ូព័រ</t>
        </is>
      </c>
      <c r="D1016" t="inlineStr">
        <is>
          <t>L001-100047300</t>
        </is>
      </c>
      <c r="E1016" t="inlineStr">
        <is>
          <t>2400-068070</t>
        </is>
      </c>
      <c r="F1016" t="inlineStr">
        <is>
          <t>25-08-2024</t>
        </is>
      </c>
      <c r="G1016" t="n">
        <v>3396</v>
      </c>
      <c r="I1016">
        <f>G1016</f>
        <v/>
      </c>
      <c r="K1016">
        <f>I1016-G1016</f>
        <v/>
      </c>
      <c r="M1016" t="inlineStr">
        <is>
          <t>2400068070</t>
        </is>
      </c>
      <c r="N1016" t="inlineStr"/>
      <c r="O1016">
        <f>M1016=N1016</f>
        <v/>
      </c>
      <c r="P1016">
        <f>AND(MONTH(F1016)=MONTH(S1016), YEAR(F1016)=YEAR(S1016))</f>
        <v/>
      </c>
      <c r="Q1016">
        <f>"L001-902303751"=U1016</f>
        <v/>
      </c>
      <c r="R1016">
        <f>G1016-W1016</f>
        <v/>
      </c>
      <c r="S1016" s="36" t="n">
        <v>45446</v>
      </c>
      <c r="T1016" t="inlineStr"/>
      <c r="U1016" t="inlineStr">
        <is>
          <t>L001-100045995</t>
        </is>
      </c>
      <c r="V1016" t="inlineStr">
        <is>
          <t>ឌីអេចអិល ឡូជីស្ទីក (ខេមបូឌា)</t>
        </is>
      </c>
      <c r="W1016" t="n">
        <v>0</v>
      </c>
      <c r="X1016" t="n">
        <v>0</v>
      </c>
    </row>
    <row r="1017">
      <c r="A1017" t="n">
        <v>1016</v>
      </c>
      <c r="B1017" t="inlineStr">
        <is>
          <t>Customs Clearance Fee</t>
        </is>
      </c>
      <c r="C1017" t="inlineStr">
        <is>
          <t>ត្រាយអ៊ែងហ្គល ឡូជីស្ទីក (ខេមបូឌា) ឯ.ក</t>
        </is>
      </c>
      <c r="D1017" t="inlineStr">
        <is>
          <t>K010-902101743</t>
        </is>
      </c>
      <c r="E1017" t="inlineStr">
        <is>
          <t>TAG-24-00589</t>
        </is>
      </c>
      <c r="F1017" t="inlineStr">
        <is>
          <t>28-08-2024</t>
        </is>
      </c>
      <c r="G1017" t="n">
        <v>8132</v>
      </c>
      <c r="I1017">
        <f>G1017</f>
        <v/>
      </c>
      <c r="K1017">
        <f>I1017-G1017</f>
        <v/>
      </c>
      <c r="M1017" t="inlineStr">
        <is>
          <t>TAG2400589</t>
        </is>
      </c>
      <c r="N1017" t="inlineStr">
        <is>
          <t>8448100</t>
        </is>
      </c>
      <c r="O1017">
        <f>M1017=N1017</f>
        <v/>
      </c>
      <c r="P1017">
        <f>AND(MONTH(F1017)=MONTH(S1017), YEAR(F1017)=YEAR(S1017))</f>
        <v/>
      </c>
      <c r="Q1017">
        <f>"L001-902303751"=U1017</f>
        <v/>
      </c>
      <c r="R1017">
        <f>G1017-W1017</f>
        <v/>
      </c>
      <c r="S1017" s="36" t="n">
        <v>45460</v>
      </c>
      <c r="T1017" t="n">
        <v>84481</v>
      </c>
      <c r="U1017" t="inlineStr">
        <is>
          <t>L001-100011888</t>
        </is>
      </c>
      <c r="V1017" t="inlineStr">
        <is>
          <t>ត្រេន ស្តារ ហ្រេ្វត</t>
        </is>
      </c>
      <c r="W1017" t="n">
        <v>84481</v>
      </c>
      <c r="X1017" t="n">
        <v>0</v>
      </c>
    </row>
    <row r="1018">
      <c r="A1018" t="n">
        <v>1017</v>
      </c>
      <c r="B1018" t="inlineStr">
        <is>
          <t>Customs Clearance Fee</t>
        </is>
      </c>
      <c r="C1018" t="inlineStr">
        <is>
          <t>ត្រាយអ៊ែងហ្គល ឡូជីស្ទីក (ខេមបូឌា) ឯ.ក</t>
        </is>
      </c>
      <c r="D1018" t="inlineStr">
        <is>
          <t>K010-902101743</t>
        </is>
      </c>
      <c r="E1018" t="inlineStr">
        <is>
          <t>TAG-24-00608</t>
        </is>
      </c>
      <c r="F1018" t="inlineStr">
        <is>
          <t>31-08-2024</t>
        </is>
      </c>
      <c r="G1018" t="n">
        <v>8114</v>
      </c>
      <c r="I1018">
        <f>G1018</f>
        <v/>
      </c>
      <c r="K1018">
        <f>I1018-G1018</f>
        <v/>
      </c>
      <c r="M1018" t="inlineStr">
        <is>
          <t>TAG2400608</t>
        </is>
      </c>
      <c r="N1018" t="inlineStr">
        <is>
          <t>11580000</t>
        </is>
      </c>
      <c r="O1018">
        <f>M1018=N1018</f>
        <v/>
      </c>
      <c r="P1018">
        <f>AND(MONTH(F1018)=MONTH(S1018), YEAR(F1018)=YEAR(S1018))</f>
        <v/>
      </c>
      <c r="Q1018">
        <f>"L001-902303751"=U1018</f>
        <v/>
      </c>
      <c r="R1018">
        <f>G1018-W1018</f>
        <v/>
      </c>
      <c r="S1018" s="36" t="n">
        <v>45460</v>
      </c>
      <c r="T1018" t="n">
        <v>115800</v>
      </c>
      <c r="U1018" t="inlineStr">
        <is>
          <t>K005-901805913</t>
        </is>
      </c>
      <c r="V1018" t="inlineStr">
        <is>
          <t>ស្តារ ខង់ខដ (ខេមបូឌា) ឯ.ក</t>
        </is>
      </c>
      <c r="W1018" t="n">
        <v>115800</v>
      </c>
      <c r="X1018" t="n">
        <v>0</v>
      </c>
    </row>
    <row r="1019">
      <c r="A1019" t="n">
        <v>1018</v>
      </c>
      <c r="B1019" t="inlineStr">
        <is>
          <t>Cargo Terminal</t>
        </is>
      </c>
      <c r="C1019" t="inlineStr">
        <is>
          <t>សូស៊ីយេតេ កុងសេស្យូនែរ ដឺ ឡាអេរ៉ូព័រ</t>
        </is>
      </c>
      <c r="D1019" t="inlineStr">
        <is>
          <t>L001-100047300</t>
        </is>
      </c>
      <c r="E1019" t="inlineStr">
        <is>
          <t>2400-066551</t>
        </is>
      </c>
      <c r="F1019" t="inlineStr">
        <is>
          <t>20-08-2024</t>
        </is>
      </c>
      <c r="G1019" t="n">
        <v>3175</v>
      </c>
      <c r="I1019">
        <f>G1019</f>
        <v/>
      </c>
      <c r="K1019">
        <f>I1019-G1019</f>
        <v/>
      </c>
      <c r="M1019" t="inlineStr">
        <is>
          <t>2400066551</t>
        </is>
      </c>
      <c r="N1019" t="inlineStr"/>
      <c r="O1019">
        <f>M1019=N1019</f>
        <v/>
      </c>
      <c r="P1019">
        <f>AND(MONTH(F1019)=MONTH(S1019), YEAR(F1019)=YEAR(S1019))</f>
        <v/>
      </c>
      <c r="Q1019">
        <f>"L001-902303751"=U1019</f>
        <v/>
      </c>
      <c r="R1019">
        <f>G1019-W1019</f>
        <v/>
      </c>
      <c r="S1019" s="36" t="n">
        <v>45460</v>
      </c>
      <c r="T1019" t="inlineStr"/>
      <c r="U1019" t="inlineStr">
        <is>
          <t>L001-107032791</t>
        </is>
      </c>
      <c r="V1019" t="inlineStr">
        <is>
          <t>នីបផន អិចប្រេស (ខេមបូឌា) ខូ អិលធីឌី</t>
        </is>
      </c>
      <c r="W1019" t="n">
        <v>0</v>
      </c>
      <c r="X1019" t="n">
        <v>0</v>
      </c>
    </row>
    <row r="1020">
      <c r="A1020" t="n">
        <v>1019</v>
      </c>
      <c r="B1020" t="inlineStr">
        <is>
          <t>Customs Clearance Fee</t>
        </is>
      </c>
      <c r="C1020" t="inlineStr">
        <is>
          <t>ត្រាយអ៊ែងហ្គល ឡូជីស្ទីក (ខេមបូឌា) ឯ.ក</t>
        </is>
      </c>
      <c r="D1020" t="inlineStr">
        <is>
          <t>K010-902101743</t>
        </is>
      </c>
      <c r="E1020" t="inlineStr">
        <is>
          <t>TAG-24-00597</t>
        </is>
      </c>
      <c r="F1020" t="inlineStr">
        <is>
          <t>29-08-2024</t>
        </is>
      </c>
      <c r="G1020" t="n">
        <v>8122</v>
      </c>
      <c r="I1020">
        <f>G1020</f>
        <v/>
      </c>
      <c r="K1020">
        <f>I1020-G1020</f>
        <v/>
      </c>
      <c r="M1020" t="inlineStr">
        <is>
          <t>TAG2400597</t>
        </is>
      </c>
      <c r="N1020" t="inlineStr"/>
      <c r="O1020">
        <f>M1020=N1020</f>
        <v/>
      </c>
      <c r="P1020">
        <f>AND(MONTH(F1020)=MONTH(S1020), YEAR(F1020)=YEAR(S1020))</f>
        <v/>
      </c>
      <c r="Q1020">
        <f>"L001-902303751"=U1020</f>
        <v/>
      </c>
      <c r="R1020">
        <f>G1020-W1020</f>
        <v/>
      </c>
      <c r="S1020" s="36" t="n">
        <v>45467</v>
      </c>
      <c r="T1020" t="inlineStr"/>
      <c r="U1020" t="inlineStr">
        <is>
          <t>L001-107032791</t>
        </is>
      </c>
      <c r="V1020" t="inlineStr">
        <is>
          <t>នីបផន អិចប្រេស (ខេមបូឌា) ខូ អិលធីឌី</t>
        </is>
      </c>
      <c r="W1020" t="n">
        <v>0</v>
      </c>
      <c r="X1020" t="n">
        <v>0</v>
      </c>
    </row>
    <row r="1021">
      <c r="A1021" t="n">
        <v>1020</v>
      </c>
      <c r="B1021" t="inlineStr">
        <is>
          <t>Cargo Terminal</t>
        </is>
      </c>
      <c r="C1021" t="inlineStr">
        <is>
          <t>សូស៊ីយេតេ កុងសេស្យូនែរ ដឺ ឡាអេរ៉ូព័រ</t>
        </is>
      </c>
      <c r="D1021" t="inlineStr">
        <is>
          <t>L001-100047300</t>
        </is>
      </c>
      <c r="E1021" t="inlineStr">
        <is>
          <t>2400-066550</t>
        </is>
      </c>
      <c r="F1021" t="inlineStr">
        <is>
          <t>20-08-2024</t>
        </is>
      </c>
      <c r="G1021" t="n">
        <v>14103</v>
      </c>
      <c r="I1021">
        <f>G1021</f>
        <v/>
      </c>
      <c r="K1021">
        <f>I1021-G1021</f>
        <v/>
      </c>
      <c r="M1021" t="inlineStr">
        <is>
          <t>2400066550</t>
        </is>
      </c>
      <c r="N1021" t="inlineStr"/>
      <c r="O1021">
        <f>M1021=N1021</f>
        <v/>
      </c>
      <c r="P1021">
        <f>AND(MONTH(F1021)=MONTH(S1021), YEAR(F1021)=YEAR(S1021))</f>
        <v/>
      </c>
      <c r="Q1021">
        <f>"L001-902303751"=U1021</f>
        <v/>
      </c>
      <c r="R1021">
        <f>G1021-W1021</f>
        <v/>
      </c>
      <c r="S1021" s="36" t="n">
        <v>45453</v>
      </c>
      <c r="T1021" t="inlineStr"/>
      <c r="U1021" t="inlineStr">
        <is>
          <t>K003-901635943</t>
        </is>
      </c>
      <c r="V1021" t="inlineStr">
        <is>
          <t>អ៊ីឃ្យូឡាញ វើលវ៉ាយដ៍ ឡូជីស្ទីក</t>
        </is>
      </c>
      <c r="W1021" t="n">
        <v>0</v>
      </c>
      <c r="X1021" t="n">
        <v>0</v>
      </c>
    </row>
    <row r="1022">
      <c r="A1022" t="n">
        <v>1021</v>
      </c>
      <c r="B1022" t="inlineStr">
        <is>
          <t>Customs Clearance Fee</t>
        </is>
      </c>
      <c r="C1022" t="inlineStr">
        <is>
          <t>ត្រាយអ៊ែងហ្គល ឡូជីស្ទីក (ខេមបូឌា) ឯ.ក</t>
        </is>
      </c>
      <c r="D1022" t="inlineStr">
        <is>
          <t>K010-902101743</t>
        </is>
      </c>
      <c r="E1022" t="inlineStr">
        <is>
          <t>TAG-24-00596</t>
        </is>
      </c>
      <c r="F1022" t="inlineStr">
        <is>
          <t>29-08-2024</t>
        </is>
      </c>
      <c r="G1022" t="n">
        <v>8122</v>
      </c>
      <c r="I1022">
        <f>G1022</f>
        <v/>
      </c>
      <c r="K1022">
        <f>I1022-G1022</f>
        <v/>
      </c>
      <c r="M1022" t="inlineStr">
        <is>
          <t>TAG2400596</t>
        </is>
      </c>
      <c r="N1022" t="inlineStr"/>
      <c r="O1022">
        <f>M1022=N1022</f>
        <v/>
      </c>
      <c r="P1022">
        <f>AND(MONTH(F1022)=MONTH(S1022), YEAR(F1022)=YEAR(S1022))</f>
        <v/>
      </c>
      <c r="Q1022">
        <f>"L001-902303751"=U1022</f>
        <v/>
      </c>
      <c r="R1022">
        <f>G1022-W1022</f>
        <v/>
      </c>
      <c r="S1022" s="36" t="n">
        <v>45453</v>
      </c>
      <c r="T1022" t="inlineStr"/>
      <c r="U1022" t="inlineStr">
        <is>
          <t>L001-107032791</t>
        </is>
      </c>
      <c r="V1022" t="inlineStr">
        <is>
          <t>នីបផន អិចប្រេស (ខេមបូឌា) ខូ អិលធីឌី</t>
        </is>
      </c>
      <c r="W1022" t="n">
        <v>0</v>
      </c>
      <c r="X1022" t="n">
        <v>0</v>
      </c>
    </row>
    <row r="1023">
      <c r="A1023" t="n">
        <v>1022</v>
      </c>
      <c r="B1023" t="inlineStr">
        <is>
          <t>Cargo Terminal</t>
        </is>
      </c>
      <c r="C1023" t="inlineStr">
        <is>
          <t>សូស៊ីយេតេ កុងសេស្យូនែរ ដឺ ឡាអេរ៉ូព័រ</t>
        </is>
      </c>
      <c r="D1023" t="inlineStr">
        <is>
          <t>L001-100047300</t>
        </is>
      </c>
      <c r="E1023" t="inlineStr">
        <is>
          <t>2400-066578</t>
        </is>
      </c>
      <c r="F1023" t="inlineStr">
        <is>
          <t>20-08-2024</t>
        </is>
      </c>
      <c r="G1023" t="n">
        <v>8637</v>
      </c>
      <c r="I1023">
        <f>G1023</f>
        <v/>
      </c>
      <c r="K1023">
        <f>I1023-G1023</f>
        <v/>
      </c>
      <c r="M1023" t="inlineStr">
        <is>
          <t>2400066578</t>
        </is>
      </c>
      <c r="N1023" t="inlineStr"/>
      <c r="O1023">
        <f>M1023=N1023</f>
        <v/>
      </c>
      <c r="P1023">
        <f>AND(MONTH(F1023)=MONTH(S1023), YEAR(F1023)=YEAR(S1023))</f>
        <v/>
      </c>
      <c r="Q1023">
        <f>"L001-902303751"=U1023</f>
        <v/>
      </c>
      <c r="R1023">
        <f>G1023-W1023</f>
        <v/>
      </c>
      <c r="S1023" s="36" t="n">
        <v>45453</v>
      </c>
      <c r="T1023" t="inlineStr"/>
      <c r="U1023" t="inlineStr">
        <is>
          <t>L001-107032791</t>
        </is>
      </c>
      <c r="V1023" t="inlineStr">
        <is>
          <t>នីបផន អិចប្រេស (ខេមបូឌា) ខូ អិលធីឌី</t>
        </is>
      </c>
      <c r="W1023" t="n">
        <v>0</v>
      </c>
      <c r="X1023" t="n">
        <v>0</v>
      </c>
    </row>
    <row r="1024">
      <c r="A1024" t="n">
        <v>1023</v>
      </c>
      <c r="B1024" t="inlineStr">
        <is>
          <t>Customs Clearance Fee</t>
        </is>
      </c>
      <c r="C1024" t="inlineStr">
        <is>
          <t>ត្រាយអ៊ែងហ្គល ឡូជីស្ទីក (ខេមបូឌា) ឯ.ក</t>
        </is>
      </c>
      <c r="D1024" t="inlineStr">
        <is>
          <t>K010-902101743</t>
        </is>
      </c>
      <c r="E1024" t="inlineStr">
        <is>
          <t>TAG-24-00595</t>
        </is>
      </c>
      <c r="F1024" t="inlineStr">
        <is>
          <t>29-08-2024</t>
        </is>
      </c>
      <c r="G1024" t="n">
        <v>8122</v>
      </c>
      <c r="I1024">
        <f>G1024</f>
        <v/>
      </c>
      <c r="K1024">
        <f>I1024-G1024</f>
        <v/>
      </c>
      <c r="M1024" t="inlineStr">
        <is>
          <t>TAG2400595</t>
        </is>
      </c>
      <c r="N1024" t="inlineStr">
        <is>
          <t>11313500</t>
        </is>
      </c>
      <c r="O1024">
        <f>M1024=N1024</f>
        <v/>
      </c>
      <c r="P1024">
        <f>AND(MONTH(F1024)=MONTH(S1024), YEAR(F1024)=YEAR(S1024))</f>
        <v/>
      </c>
      <c r="Q1024">
        <f>"L001-902303751"=U1024</f>
        <v/>
      </c>
      <c r="R1024">
        <f>G1024-W1024</f>
        <v/>
      </c>
      <c r="S1024" s="36" t="n">
        <v>45453</v>
      </c>
      <c r="T1024" t="n">
        <v>113135</v>
      </c>
      <c r="U1024" t="inlineStr">
        <is>
          <t>L001-100045995</t>
        </is>
      </c>
      <c r="V1024" t="inlineStr">
        <is>
          <t>ឌីអេចអិល ឡូជីស្ទីក (ខេមបូឌា)</t>
        </is>
      </c>
      <c r="W1024" t="n">
        <v>113135</v>
      </c>
      <c r="X1024" t="n">
        <v>0</v>
      </c>
    </row>
    <row r="1025">
      <c r="A1025" t="n">
        <v>1024</v>
      </c>
      <c r="B1025" t="inlineStr">
        <is>
          <t>Cargo Terminal</t>
        </is>
      </c>
      <c r="C1025" t="inlineStr">
        <is>
          <t>សូស៊ីយេតេ កុងសេស្យូនែរ ដឺ ឡាអេរ៉ូព័រ</t>
        </is>
      </c>
      <c r="D1025" t="inlineStr">
        <is>
          <t>L001-100047300</t>
        </is>
      </c>
      <c r="E1025" t="inlineStr">
        <is>
          <t>2400-066935</t>
        </is>
      </c>
      <c r="F1025" t="inlineStr">
        <is>
          <t>21-08-2024</t>
        </is>
      </c>
      <c r="G1025" t="n">
        <v>3336</v>
      </c>
      <c r="I1025">
        <f>G1025</f>
        <v/>
      </c>
      <c r="K1025">
        <f>I1025-G1025</f>
        <v/>
      </c>
      <c r="M1025" t="inlineStr">
        <is>
          <t>2400066935</t>
        </is>
      </c>
      <c r="N1025" t="inlineStr">
        <is>
          <t>47267900</t>
        </is>
      </c>
      <c r="O1025">
        <f>M1025=N1025</f>
        <v/>
      </c>
      <c r="P1025">
        <f>AND(MONTH(F1025)=MONTH(S1025), YEAR(F1025)=YEAR(S1025))</f>
        <v/>
      </c>
      <c r="Q1025">
        <f>"L001-902303751"=U1025</f>
        <v/>
      </c>
      <c r="R1025">
        <f>G1025-W1025</f>
        <v/>
      </c>
      <c r="S1025" s="36" t="n">
        <v>45460</v>
      </c>
      <c r="T1025" t="n">
        <v>472679</v>
      </c>
      <c r="U1025" t="inlineStr">
        <is>
          <t>L001-100074669</t>
        </is>
      </c>
      <c r="V1025" t="inlineStr">
        <is>
          <t>ខេអិលអិន ហ្វ្រេត (ខេមបូឌា) ឯ.ក</t>
        </is>
      </c>
      <c r="W1025" t="n">
        <v>472679</v>
      </c>
      <c r="X1025" t="n">
        <v>0</v>
      </c>
    </row>
    <row r="1026">
      <c r="A1026" t="n">
        <v>1025</v>
      </c>
      <c r="B1026" t="inlineStr">
        <is>
          <t>Customs Clearance Fee</t>
        </is>
      </c>
      <c r="C1026" t="inlineStr">
        <is>
          <t>ត្រាយអ៊ែងហ្គល ឡូជីស្ទីក (ខេមបូឌា) ឯ.ក</t>
        </is>
      </c>
      <c r="D1026" t="inlineStr">
        <is>
          <t>K010-902101743</t>
        </is>
      </c>
      <c r="E1026" t="inlineStr">
        <is>
          <t>TAG-24-00594</t>
        </is>
      </c>
      <c r="F1026" t="inlineStr">
        <is>
          <t>29-08-2024</t>
        </is>
      </c>
      <c r="G1026" t="n">
        <v>8122</v>
      </c>
      <c r="I1026">
        <f>G1026</f>
        <v/>
      </c>
      <c r="K1026">
        <f>I1026-G1026</f>
        <v/>
      </c>
      <c r="M1026" t="inlineStr">
        <is>
          <t>TAG2400594</t>
        </is>
      </c>
      <c r="N1026" t="inlineStr"/>
      <c r="O1026">
        <f>M1026=N1026</f>
        <v/>
      </c>
      <c r="P1026">
        <f>AND(MONTH(F1026)=MONTH(S1026), YEAR(F1026)=YEAR(S1026))</f>
        <v/>
      </c>
      <c r="Q1026">
        <f>"L001-902303751"=U1026</f>
        <v/>
      </c>
      <c r="R1026">
        <f>G1026-W1026</f>
        <v/>
      </c>
      <c r="S1026" s="36" t="n">
        <v>45467</v>
      </c>
      <c r="T1026" t="inlineStr"/>
      <c r="U1026" t="inlineStr">
        <is>
          <t>L001-107032791</t>
        </is>
      </c>
      <c r="V1026" t="inlineStr">
        <is>
          <t>នីបផន អិចប្រេស (ខេមបូឌា) ខូ អិលធីឌី</t>
        </is>
      </c>
      <c r="W1026" t="n">
        <v>0</v>
      </c>
      <c r="X1026" t="n">
        <v>0</v>
      </c>
    </row>
    <row r="1027">
      <c r="A1027" t="n">
        <v>1026</v>
      </c>
      <c r="B1027" t="inlineStr">
        <is>
          <t>Cargo Terminal</t>
        </is>
      </c>
      <c r="C1027" t="inlineStr">
        <is>
          <t>សូស៊ីយេតេ កុងសេស្យូនែរ ដឺ ឡាអេរ៉ូព័រ</t>
        </is>
      </c>
      <c r="D1027" t="inlineStr">
        <is>
          <t>L001-100047300</t>
        </is>
      </c>
      <c r="E1027" t="inlineStr">
        <is>
          <t>2400-068066</t>
        </is>
      </c>
      <c r="F1027" t="inlineStr">
        <is>
          <t>25-08-2024</t>
        </is>
      </c>
      <c r="G1027" t="n">
        <v>9866</v>
      </c>
      <c r="I1027">
        <f>G1027</f>
        <v/>
      </c>
      <c r="K1027">
        <f>I1027-G1027</f>
        <v/>
      </c>
      <c r="M1027" t="inlineStr">
        <is>
          <t>2400068066</t>
        </is>
      </c>
      <c r="N1027" t="inlineStr">
        <is>
          <t>35935100</t>
        </is>
      </c>
      <c r="O1027">
        <f>M1027=N1027</f>
        <v/>
      </c>
      <c r="P1027">
        <f>AND(MONTH(F1027)=MONTH(S1027), YEAR(F1027)=YEAR(S1027))</f>
        <v/>
      </c>
      <c r="Q1027">
        <f>"L001-902303751"=U1027</f>
        <v/>
      </c>
      <c r="R1027">
        <f>G1027-W1027</f>
        <v/>
      </c>
      <c r="S1027" s="36" t="n">
        <v>45467</v>
      </c>
      <c r="T1027" t="n">
        <v>359351</v>
      </c>
      <c r="U1027" t="inlineStr">
        <is>
          <t>K004-105012505</t>
        </is>
      </c>
      <c r="V1027" t="inlineStr">
        <is>
          <t>អេស៊ាន ហ្វ្រេត (ខេមបូឌា)</t>
        </is>
      </c>
      <c r="W1027" t="n">
        <v>359351</v>
      </c>
      <c r="X1027" t="n">
        <v>0</v>
      </c>
    </row>
    <row r="1028">
      <c r="A1028" t="n">
        <v>1027</v>
      </c>
      <c r="B1028" t="inlineStr">
        <is>
          <t>Cargo Terminal</t>
        </is>
      </c>
      <c r="C1028" t="inlineStr">
        <is>
          <t>សូស៊ីយេតេ កុងសេស្យូនែរ ដឺ ឡាអេរ៉ូព័រ</t>
        </is>
      </c>
      <c r="D1028" t="inlineStr">
        <is>
          <t>L001-100047300</t>
        </is>
      </c>
      <c r="E1028" t="inlineStr">
        <is>
          <t>2400-064766</t>
        </is>
      </c>
      <c r="F1028" t="inlineStr">
        <is>
          <t>14-08-2024</t>
        </is>
      </c>
      <c r="G1028" t="n">
        <v>9034</v>
      </c>
      <c r="I1028">
        <f>G1028</f>
        <v/>
      </c>
      <c r="K1028">
        <f>I1028-G1028</f>
        <v/>
      </c>
      <c r="M1028" t="inlineStr">
        <is>
          <t>2400064766</t>
        </is>
      </c>
      <c r="N1028" t="inlineStr">
        <is>
          <t>18008800</t>
        </is>
      </c>
      <c r="O1028">
        <f>M1028=N1028</f>
        <v/>
      </c>
      <c r="P1028">
        <f>AND(MONTH(F1028)=MONTH(S1028), YEAR(F1028)=YEAR(S1028))</f>
        <v/>
      </c>
      <c r="Q1028">
        <f>"L001-902303751"=U1028</f>
        <v/>
      </c>
      <c r="R1028">
        <f>G1028-W1028</f>
        <v/>
      </c>
      <c r="S1028" s="36" t="n">
        <v>45467</v>
      </c>
      <c r="T1028" t="n">
        <v>180088</v>
      </c>
      <c r="U1028" t="inlineStr">
        <is>
          <t>L001-100045340</t>
        </is>
      </c>
      <c r="V1028" t="inlineStr">
        <is>
          <t xml:space="preserve">ស៊ីវ៉ា អ៊ែរ អ៊ែន អូសៀន (ខេមបូឌា) ឯ.ក </t>
        </is>
      </c>
      <c r="W1028" t="n">
        <v>180088</v>
      </c>
      <c r="X1028" t="n">
        <v>0</v>
      </c>
    </row>
    <row r="1029">
      <c r="A1029" t="n">
        <v>1028</v>
      </c>
      <c r="B1029" t="inlineStr">
        <is>
          <t>Customs Clearance Fee</t>
        </is>
      </c>
      <c r="C1029" t="inlineStr">
        <is>
          <t>ត្រាយអ៊ែងហ្គល ឡូជីស្ទីក (ខេមបូឌា) ឯ.ក</t>
        </is>
      </c>
      <c r="D1029" t="inlineStr">
        <is>
          <t>K010-902101743</t>
        </is>
      </c>
      <c r="E1029" t="inlineStr">
        <is>
          <t>TAG-24-00562</t>
        </is>
      </c>
      <c r="F1029" t="inlineStr">
        <is>
          <t>20-08-2024</t>
        </is>
      </c>
      <c r="G1029" t="n">
        <v>8180</v>
      </c>
      <c r="I1029">
        <f>G1029</f>
        <v/>
      </c>
      <c r="K1029">
        <f>I1029-G1029</f>
        <v/>
      </c>
      <c r="M1029" t="inlineStr">
        <is>
          <t>TAG2400562</t>
        </is>
      </c>
      <c r="N1029" t="inlineStr">
        <is>
          <t>9914700</t>
        </is>
      </c>
      <c r="O1029">
        <f>M1029=N1029</f>
        <v/>
      </c>
      <c r="P1029">
        <f>AND(MONTH(F1029)=MONTH(S1029), YEAR(F1029)=YEAR(S1029))</f>
        <v/>
      </c>
      <c r="Q1029">
        <f>"L001-902303751"=U1029</f>
        <v/>
      </c>
      <c r="R1029">
        <f>G1029-W1029</f>
        <v/>
      </c>
      <c r="S1029" s="36" t="n">
        <v>45453</v>
      </c>
      <c r="T1029" t="n">
        <v>99147</v>
      </c>
      <c r="U1029" t="inlineStr">
        <is>
          <t>K003-901635943</t>
        </is>
      </c>
      <c r="V1029" t="inlineStr">
        <is>
          <t>អ៊ីឃ្យូឡាញ វើលវ៉ាយដ៍ ឡូជីស្ទីក</t>
        </is>
      </c>
      <c r="W1029" t="n">
        <v>99147</v>
      </c>
      <c r="X1029" t="n">
        <v>0</v>
      </c>
    </row>
    <row r="1030">
      <c r="A1030" t="n">
        <v>1029</v>
      </c>
      <c r="B1030" t="inlineStr">
        <is>
          <t>Cargo Terminal</t>
        </is>
      </c>
      <c r="C1030" t="inlineStr">
        <is>
          <t>សូស៊ីយេតេ កុងសេស្យូនែរ ដឺ ឡាអេរ៉ូព័រ</t>
        </is>
      </c>
      <c r="D1030" t="inlineStr">
        <is>
          <t>L001-100047300</t>
        </is>
      </c>
      <c r="E1030" t="inlineStr">
        <is>
          <t>2400-062035</t>
        </is>
      </c>
      <c r="F1030" t="inlineStr">
        <is>
          <t>06-08-2024</t>
        </is>
      </c>
      <c r="G1030" t="n">
        <v>822</v>
      </c>
      <c r="I1030">
        <f>G1030</f>
        <v/>
      </c>
      <c r="K1030">
        <f>I1030-G1030</f>
        <v/>
      </c>
      <c r="M1030" t="inlineStr">
        <is>
          <t>2400062035</t>
        </is>
      </c>
      <c r="N1030" t="inlineStr"/>
      <c r="O1030">
        <f>M1030=N1030</f>
        <v/>
      </c>
      <c r="P1030">
        <f>AND(MONTH(F1030)=MONTH(S1030), YEAR(F1030)=YEAR(S1030))</f>
        <v/>
      </c>
      <c r="Q1030">
        <f>"L001-902303751"=U1030</f>
        <v/>
      </c>
      <c r="R1030">
        <f>G1030-W1030</f>
        <v/>
      </c>
      <c r="S1030" s="36" t="n">
        <v>45453</v>
      </c>
      <c r="T1030" t="inlineStr"/>
      <c r="U1030" t="inlineStr">
        <is>
          <t>L001-107032791</t>
        </is>
      </c>
      <c r="V1030" t="inlineStr">
        <is>
          <t>នីបផន អិចប្រេស (ខេមបូឌា) ខូ អិលធីឌី</t>
        </is>
      </c>
      <c r="W1030" t="n">
        <v>0</v>
      </c>
      <c r="X1030" t="n">
        <v>0</v>
      </c>
    </row>
    <row r="1031">
      <c r="A1031" t="n">
        <v>1030</v>
      </c>
      <c r="B1031" t="inlineStr">
        <is>
          <t>Customs Clearance Fee</t>
        </is>
      </c>
      <c r="C1031" t="inlineStr">
        <is>
          <t>ត្រាយអ៊ែងហ្គល ឡូជីស្ទីក (ខេមបូឌា) ឯ.ក</t>
        </is>
      </c>
      <c r="D1031" t="inlineStr">
        <is>
          <t>K010-902101743</t>
        </is>
      </c>
      <c r="E1031" t="inlineStr">
        <is>
          <t>TAG-24-00529</t>
        </is>
      </c>
      <c r="F1031" t="inlineStr">
        <is>
          <t>07-08-2024</t>
        </is>
      </c>
      <c r="G1031" t="n">
        <v>8216</v>
      </c>
      <c r="I1031">
        <f>G1031</f>
        <v/>
      </c>
      <c r="K1031">
        <f>I1031-G1031</f>
        <v/>
      </c>
      <c r="M1031" t="inlineStr">
        <is>
          <t>TAG2400529</t>
        </is>
      </c>
      <c r="N1031" t="inlineStr"/>
      <c r="O1031">
        <f>M1031=N1031</f>
        <v/>
      </c>
      <c r="P1031">
        <f>AND(MONTH(F1031)=MONTH(S1031), YEAR(F1031)=YEAR(S1031))</f>
        <v/>
      </c>
      <c r="Q1031">
        <f>"L001-902303751"=U1031</f>
        <v/>
      </c>
      <c r="R1031">
        <f>G1031-W1031</f>
        <v/>
      </c>
      <c r="S1031" s="36" t="n">
        <v>45453</v>
      </c>
      <c r="T1031" t="inlineStr"/>
      <c r="U1031" t="inlineStr">
        <is>
          <t>L001-100045995</t>
        </is>
      </c>
      <c r="V1031" t="inlineStr">
        <is>
          <t>ឌីអេចអិល ឡូជីស្ទីក (ខេមបូឌា)</t>
        </is>
      </c>
      <c r="W1031" t="n">
        <v>0</v>
      </c>
      <c r="X1031" t="n">
        <v>0</v>
      </c>
    </row>
    <row r="1032">
      <c r="A1032" t="n">
        <v>1031</v>
      </c>
      <c r="B1032" t="inlineStr">
        <is>
          <t>Cargo Terminal</t>
        </is>
      </c>
      <c r="C1032" t="inlineStr">
        <is>
          <t>សូស៊ីយេតេ កុងសេស្យូនែរ ដឺ ឡាអេរ៉ូព័រ</t>
        </is>
      </c>
      <c r="D1032" t="inlineStr">
        <is>
          <t>L001-100047300</t>
        </is>
      </c>
      <c r="E1032" t="inlineStr">
        <is>
          <t>2400-062405</t>
        </is>
      </c>
      <c r="F1032" t="inlineStr">
        <is>
          <t>07-08-2024</t>
        </is>
      </c>
      <c r="G1032" t="n">
        <v>8873</v>
      </c>
      <c r="I1032">
        <f>G1032</f>
        <v/>
      </c>
      <c r="K1032">
        <f>I1032-G1032</f>
        <v/>
      </c>
      <c r="M1032" t="inlineStr">
        <is>
          <t>2400062405</t>
        </is>
      </c>
      <c r="N1032" t="inlineStr">
        <is>
          <t>1646000</t>
        </is>
      </c>
      <c r="O1032">
        <f>M1032=N1032</f>
        <v/>
      </c>
      <c r="P1032">
        <f>AND(MONTH(F1032)=MONTH(S1032), YEAR(F1032)=YEAR(S1032))</f>
        <v/>
      </c>
      <c r="Q1032">
        <f>"L001-902303751"=U1032</f>
        <v/>
      </c>
      <c r="R1032">
        <f>G1032-W1032</f>
        <v/>
      </c>
      <c r="S1032" s="36" t="n">
        <v>45468</v>
      </c>
      <c r="T1032" t="n">
        <v>16460</v>
      </c>
      <c r="U1032" t="inlineStr">
        <is>
          <t>L001-100074669</t>
        </is>
      </c>
      <c r="V1032" t="inlineStr">
        <is>
          <t>ខេអិលអិន ហ្វ្រេត (ខេមបូឌា) ឯ.ក</t>
        </is>
      </c>
      <c r="W1032" t="n">
        <v>16460</v>
      </c>
      <c r="X1032" t="n">
        <v>0</v>
      </c>
    </row>
    <row r="1033">
      <c r="A1033" t="n">
        <v>1032</v>
      </c>
      <c r="B1033" t="inlineStr">
        <is>
          <t>Customs Clearance Fee</t>
        </is>
      </c>
      <c r="C1033" t="inlineStr">
        <is>
          <t>ត្រាយអ៊ែងហ្គល ឡូជីស្ទីក (ខេមបូឌា) ឯ.ក</t>
        </is>
      </c>
      <c r="D1033" t="inlineStr">
        <is>
          <t>K010-902101743</t>
        </is>
      </c>
      <c r="E1033" t="inlineStr">
        <is>
          <t>TAG-24-00528</t>
        </is>
      </c>
      <c r="F1033" t="inlineStr">
        <is>
          <t>07-08-2024</t>
        </is>
      </c>
      <c r="G1033" t="n">
        <v>8216</v>
      </c>
      <c r="I1033">
        <f>G1033</f>
        <v/>
      </c>
      <c r="K1033">
        <f>I1033-G1033</f>
        <v/>
      </c>
      <c r="M1033" t="inlineStr">
        <is>
          <t>TAG2400528</t>
        </is>
      </c>
      <c r="N1033" t="inlineStr">
        <is>
          <t>20399000</t>
        </is>
      </c>
      <c r="O1033">
        <f>M1033=N1033</f>
        <v/>
      </c>
      <c r="P1033">
        <f>AND(MONTH(F1033)=MONTH(S1033), YEAR(F1033)=YEAR(S1033))</f>
        <v/>
      </c>
      <c r="Q1033">
        <f>"L001-902303751"=U1033</f>
        <v/>
      </c>
      <c r="R1033">
        <f>G1033-W1033</f>
        <v/>
      </c>
      <c r="S1033" s="36" t="n">
        <v>45460</v>
      </c>
      <c r="T1033" t="n">
        <v>203990</v>
      </c>
      <c r="U1033" t="inlineStr">
        <is>
          <t>L001-107032791</t>
        </is>
      </c>
      <c r="V1033" t="inlineStr">
        <is>
          <t>នីបផន អិចប្រេស (ខេមបូឌា) ខូ អិលធីឌី</t>
        </is>
      </c>
      <c r="W1033" t="n">
        <v>203990</v>
      </c>
      <c r="X1033" t="n">
        <v>0</v>
      </c>
    </row>
    <row r="1034">
      <c r="A1034" t="n">
        <v>1033</v>
      </c>
      <c r="B1034" t="inlineStr">
        <is>
          <t>Cargo Terminal</t>
        </is>
      </c>
      <c r="C1034" t="inlineStr">
        <is>
          <t>សូស៊ីយេតេ កុងសេស្យូនែរ ដឺ ឡាអេរ៉ូព័រ</t>
        </is>
      </c>
      <c r="D1034" t="inlineStr">
        <is>
          <t>L001-100047300</t>
        </is>
      </c>
      <c r="E1034" t="inlineStr">
        <is>
          <t>2400-061314</t>
        </is>
      </c>
      <c r="F1034" t="inlineStr">
        <is>
          <t>03-08-2024</t>
        </is>
      </c>
      <c r="G1034" t="n">
        <v>12160</v>
      </c>
      <c r="I1034">
        <f>G1034</f>
        <v/>
      </c>
      <c r="K1034">
        <f>I1034-G1034</f>
        <v/>
      </c>
      <c r="M1034" t="inlineStr">
        <is>
          <t>2400061314</t>
        </is>
      </c>
      <c r="N1034" t="inlineStr"/>
      <c r="O1034">
        <f>M1034=N1034</f>
        <v/>
      </c>
      <c r="P1034">
        <f>AND(MONTH(F1034)=MONTH(S1034), YEAR(F1034)=YEAR(S1034))</f>
        <v/>
      </c>
      <c r="Q1034">
        <f>"L001-902303751"=U1034</f>
        <v/>
      </c>
      <c r="R1034">
        <f>G1034-W1034</f>
        <v/>
      </c>
      <c r="S1034" s="36" t="n">
        <v>45460</v>
      </c>
      <c r="T1034" t="inlineStr"/>
      <c r="U1034" t="inlineStr">
        <is>
          <t>L001-107032791</t>
        </is>
      </c>
      <c r="V1034" t="inlineStr">
        <is>
          <t>នីបផន អិចប្រេស (ខេមបូឌា) ខូ អិលធីឌី</t>
        </is>
      </c>
      <c r="W1034" t="n">
        <v>0</v>
      </c>
      <c r="X1034" t="n">
        <v>0</v>
      </c>
    </row>
    <row r="1035">
      <c r="A1035" t="n">
        <v>1034</v>
      </c>
      <c r="B1035" t="inlineStr">
        <is>
          <t>Customs Clearance Fee</t>
        </is>
      </c>
      <c r="C1035" t="inlineStr">
        <is>
          <t>ត្រាយអ៊ែងហ្គល ឡូជីស្ទីក (ខេមបូឌា) ឯ.ក</t>
        </is>
      </c>
      <c r="D1035" t="inlineStr">
        <is>
          <t>K010-902101743</t>
        </is>
      </c>
      <c r="E1035" t="inlineStr">
        <is>
          <t>TAG-24-00524</t>
        </is>
      </c>
      <c r="F1035" t="inlineStr">
        <is>
          <t>06-08-2024</t>
        </is>
      </c>
      <c r="G1035" t="n">
        <v>8218</v>
      </c>
      <c r="I1035">
        <f>G1035</f>
        <v/>
      </c>
      <c r="K1035">
        <f>I1035-G1035</f>
        <v/>
      </c>
      <c r="M1035" t="inlineStr">
        <is>
          <t>TAG2400524</t>
        </is>
      </c>
      <c r="N1035" t="inlineStr"/>
      <c r="O1035">
        <f>M1035=N1035</f>
        <v/>
      </c>
      <c r="P1035">
        <f>AND(MONTH(F1035)=MONTH(S1035), YEAR(F1035)=YEAR(S1035))</f>
        <v/>
      </c>
      <c r="Q1035">
        <f>"L001-902303751"=U1035</f>
        <v/>
      </c>
      <c r="R1035">
        <f>G1035-W1035</f>
        <v/>
      </c>
      <c r="S1035" s="36" t="n">
        <v>45460</v>
      </c>
      <c r="T1035" t="inlineStr"/>
      <c r="U1035" t="inlineStr">
        <is>
          <t>L001-107032791</t>
        </is>
      </c>
      <c r="V1035" t="inlineStr">
        <is>
          <t>នីបផន អិចប្រេស (ខេមបូឌា) ខូ អិលធីឌី</t>
        </is>
      </c>
      <c r="W1035" t="n">
        <v>0</v>
      </c>
      <c r="X1035" t="n">
        <v>0</v>
      </c>
    </row>
    <row r="1036">
      <c r="A1036" t="n">
        <v>1035</v>
      </c>
      <c r="B1036" t="inlineStr">
        <is>
          <t>Cargo Terminal</t>
        </is>
      </c>
      <c r="C1036" t="inlineStr">
        <is>
          <t>សូស៊ីយេតេ កុងសេស្យូនែរ ដឺ ឡាអេរ៉ូព័រ</t>
        </is>
      </c>
      <c r="D1036" t="inlineStr">
        <is>
          <t>L001-100047300</t>
        </is>
      </c>
      <c r="E1036" t="inlineStr">
        <is>
          <t>2400-061312</t>
        </is>
      </c>
      <c r="F1036" t="inlineStr">
        <is>
          <t>03-08-2024</t>
        </is>
      </c>
      <c r="G1036" t="n">
        <v>7921</v>
      </c>
      <c r="I1036">
        <f>G1036</f>
        <v/>
      </c>
      <c r="K1036">
        <f>I1036-G1036</f>
        <v/>
      </c>
      <c r="M1036" t="inlineStr">
        <is>
          <t>2400061312</t>
        </is>
      </c>
      <c r="N1036" t="inlineStr">
        <is>
          <t>8695300</t>
        </is>
      </c>
      <c r="O1036">
        <f>M1036=N1036</f>
        <v/>
      </c>
      <c r="P1036">
        <f>AND(MONTH(F1036)=MONTH(S1036), YEAR(F1036)=YEAR(S1036))</f>
        <v/>
      </c>
      <c r="Q1036">
        <f>"L001-902303751"=U1036</f>
        <v/>
      </c>
      <c r="R1036">
        <f>G1036-W1036</f>
        <v/>
      </c>
      <c r="S1036" s="36" t="n">
        <v>45467</v>
      </c>
      <c r="T1036" t="n">
        <v>86953</v>
      </c>
      <c r="U1036" t="inlineStr">
        <is>
          <t>K005-901805913</t>
        </is>
      </c>
      <c r="V1036" t="inlineStr">
        <is>
          <t>ស្តារ ខង់ខដ (ខេមបូឌា) ឯ.ក</t>
        </is>
      </c>
      <c r="W1036" t="n">
        <v>86953</v>
      </c>
      <c r="X1036" t="n">
        <v>0</v>
      </c>
    </row>
    <row r="1037">
      <c r="A1037" t="n">
        <v>1036</v>
      </c>
      <c r="B1037" t="inlineStr">
        <is>
          <t>Customs Clearance Fee</t>
        </is>
      </c>
      <c r="C1037" t="inlineStr">
        <is>
          <t>ត្រាយអ៊ែងហ្គល ឡូជីស្ទីក (ខេមបូឌា) ឯ.ក</t>
        </is>
      </c>
      <c r="D1037" t="inlineStr">
        <is>
          <t>K010-902101743</t>
        </is>
      </c>
      <c r="E1037" t="inlineStr">
        <is>
          <t>TAG-24-00523</t>
        </is>
      </c>
      <c r="F1037" t="inlineStr">
        <is>
          <t>06-08-2024</t>
        </is>
      </c>
      <c r="G1037" t="n">
        <v>8218</v>
      </c>
      <c r="I1037">
        <f>G1037</f>
        <v/>
      </c>
      <c r="K1037">
        <f>I1037-G1037</f>
        <v/>
      </c>
      <c r="M1037" t="inlineStr">
        <is>
          <t>TAG2400523</t>
        </is>
      </c>
      <c r="N1037" t="inlineStr">
        <is>
          <t>8448100</t>
        </is>
      </c>
      <c r="O1037">
        <f>M1037=N1037</f>
        <v/>
      </c>
      <c r="P1037">
        <f>AND(MONTH(F1037)=MONTH(S1037), YEAR(F1037)=YEAR(S1037))</f>
        <v/>
      </c>
      <c r="Q1037">
        <f>"L001-902303751"=U1037</f>
        <v/>
      </c>
      <c r="R1037">
        <f>G1037-W1037</f>
        <v/>
      </c>
      <c r="S1037" s="36" t="n">
        <v>45467</v>
      </c>
      <c r="T1037" t="n">
        <v>84481</v>
      </c>
      <c r="U1037" t="inlineStr">
        <is>
          <t>L001-100045995</t>
        </is>
      </c>
      <c r="V1037" t="inlineStr">
        <is>
          <t>ឌីអេចអិល ឡូជីស្ទីក (ខេមបូឌា)</t>
        </is>
      </c>
      <c r="W1037" t="n">
        <v>84481</v>
      </c>
      <c r="X1037" t="n">
        <v>0</v>
      </c>
    </row>
    <row r="1038">
      <c r="A1038" t="n">
        <v>1037</v>
      </c>
      <c r="B1038" t="inlineStr">
        <is>
          <t>Cargo Terminal</t>
        </is>
      </c>
      <c r="C1038" t="inlineStr">
        <is>
          <t>សូស៊ីយេតេ កុងសេស្យូនែរ ដឺ ឡាអេរ៉ូព័រ</t>
        </is>
      </c>
      <c r="D1038" t="inlineStr">
        <is>
          <t>L001-100047300</t>
        </is>
      </c>
      <c r="E1038" t="inlineStr">
        <is>
          <t>2400-061230</t>
        </is>
      </c>
      <c r="F1038" t="inlineStr">
        <is>
          <t>03-08-2024</t>
        </is>
      </c>
      <c r="G1038" t="n">
        <v>5389</v>
      </c>
      <c r="I1038">
        <f>G1038</f>
        <v/>
      </c>
      <c r="K1038">
        <f>I1038-G1038</f>
        <v/>
      </c>
      <c r="M1038" t="inlineStr">
        <is>
          <t>2400061230</t>
        </is>
      </c>
      <c r="N1038" t="inlineStr">
        <is>
          <t>11272300</t>
        </is>
      </c>
      <c r="O1038">
        <f>M1038=N1038</f>
        <v/>
      </c>
      <c r="P1038">
        <f>AND(MONTH(F1038)=MONTH(S1038), YEAR(F1038)=YEAR(S1038))</f>
        <v/>
      </c>
      <c r="Q1038">
        <f>"L001-902303751"=U1038</f>
        <v/>
      </c>
      <c r="R1038">
        <f>G1038-W1038</f>
        <v/>
      </c>
      <c r="S1038" s="36" t="n">
        <v>45446</v>
      </c>
      <c r="T1038" t="n">
        <v>112723</v>
      </c>
      <c r="U1038" t="inlineStr">
        <is>
          <t>L001-107032791</t>
        </is>
      </c>
      <c r="V1038" t="inlineStr">
        <is>
          <t>នីបផន អិចប្រេស (ខេមបូឌា) ខូ អិលធីឌី</t>
        </is>
      </c>
      <c r="W1038" t="n">
        <v>112723</v>
      </c>
      <c r="X1038" t="n">
        <v>0</v>
      </c>
    </row>
    <row r="1039">
      <c r="A1039" t="n">
        <v>1038</v>
      </c>
      <c r="B1039" t="inlineStr">
        <is>
          <t>Customs Clearance Fee</t>
        </is>
      </c>
      <c r="C1039" t="inlineStr">
        <is>
          <t>ត្រាយអ៊ែងហ្គល ឡូជីស្ទីក (ខេមបូឌា) ឯ.ក</t>
        </is>
      </c>
      <c r="D1039" t="inlineStr">
        <is>
          <t>K010-902101743</t>
        </is>
      </c>
      <c r="E1039" t="inlineStr">
        <is>
          <t>TAG-24-00522</t>
        </is>
      </c>
      <c r="F1039" t="inlineStr">
        <is>
          <t>06-08-2024</t>
        </is>
      </c>
      <c r="G1039" t="n">
        <v>8218</v>
      </c>
      <c r="I1039">
        <f>G1039</f>
        <v/>
      </c>
      <c r="K1039">
        <f>I1039-G1039</f>
        <v/>
      </c>
      <c r="M1039" t="inlineStr">
        <is>
          <t>TAG2400522</t>
        </is>
      </c>
      <c r="N1039" t="inlineStr"/>
      <c r="O1039">
        <f>M1039=N1039</f>
        <v/>
      </c>
      <c r="P1039">
        <f>AND(MONTH(F1039)=MONTH(S1039), YEAR(F1039)=YEAR(S1039))</f>
        <v/>
      </c>
      <c r="Q1039">
        <f>"L001-902303751"=U1039</f>
        <v/>
      </c>
      <c r="R1039">
        <f>G1039-W1039</f>
        <v/>
      </c>
      <c r="S1039" s="36" t="n">
        <v>45446</v>
      </c>
      <c r="T1039" t="inlineStr"/>
      <c r="U1039" t="inlineStr">
        <is>
          <t>K002-901800477</t>
        </is>
      </c>
      <c r="V1039" t="inlineStr">
        <is>
          <t>អាយធីអាយ អ៊ិនធើណេសិនណល ត្រេនស័្ពរថេសិន (ខេមបូឌា) ឯ.ក</t>
        </is>
      </c>
      <c r="W1039" t="n">
        <v>0</v>
      </c>
      <c r="X1039" t="n">
        <v>0</v>
      </c>
    </row>
    <row r="1040">
      <c r="A1040" t="n">
        <v>1039</v>
      </c>
      <c r="B1040" t="inlineStr">
        <is>
          <t>Cargo Terminal</t>
        </is>
      </c>
      <c r="C1040" t="inlineStr">
        <is>
          <t>សូស៊ីយេតេ កុងសេស្យូនែរ ដឺ ឡាអេរ៉ូព័រ</t>
        </is>
      </c>
      <c r="D1040" t="inlineStr">
        <is>
          <t>L001-100047300</t>
        </is>
      </c>
      <c r="E1040" t="inlineStr">
        <is>
          <t>2400-061228</t>
        </is>
      </c>
      <c r="F1040" t="inlineStr">
        <is>
          <t>03-08-2024</t>
        </is>
      </c>
      <c r="G1040" t="n">
        <v>31714</v>
      </c>
      <c r="I1040">
        <f>G1040</f>
        <v/>
      </c>
      <c r="K1040">
        <f>I1040-G1040</f>
        <v/>
      </c>
      <c r="M1040" t="inlineStr">
        <is>
          <t>2400061228</t>
        </is>
      </c>
      <c r="N1040" t="inlineStr">
        <is>
          <t>11272300</t>
        </is>
      </c>
      <c r="O1040">
        <f>M1040=N1040</f>
        <v/>
      </c>
      <c r="P1040">
        <f>AND(MONTH(F1040)=MONTH(S1040), YEAR(F1040)=YEAR(S1040))</f>
        <v/>
      </c>
      <c r="Q1040">
        <f>"L001-902303751"=U1040</f>
        <v/>
      </c>
      <c r="R1040">
        <f>G1040-W1040</f>
        <v/>
      </c>
      <c r="S1040" s="36" t="n">
        <v>45446</v>
      </c>
      <c r="T1040" t="n">
        <v>112723</v>
      </c>
      <c r="U1040" t="inlineStr">
        <is>
          <t>L001-107041723</t>
        </is>
      </c>
      <c r="V1040" t="inlineStr">
        <is>
          <t>ឌីប៊ី សេនឃើរ (ខេមបូឌា) លីមីធីត</t>
        </is>
      </c>
      <c r="W1040" t="n">
        <v>112723</v>
      </c>
      <c r="X1040" t="n">
        <v>0</v>
      </c>
    </row>
    <row r="1041">
      <c r="A1041" t="n">
        <v>1040</v>
      </c>
      <c r="B1041" t="inlineStr">
        <is>
          <t>Customs Clearance Fee</t>
        </is>
      </c>
      <c r="C1041" t="inlineStr">
        <is>
          <t>ត្រាយអ៊ែងហ្គល ឡូជីស្ទីក (ខេមបូឌា) ឯ.ក</t>
        </is>
      </c>
      <c r="D1041" t="inlineStr">
        <is>
          <t>K010-902101743</t>
        </is>
      </c>
      <c r="E1041" t="inlineStr">
        <is>
          <t>TAG-24-00530</t>
        </is>
      </c>
      <c r="F1041" t="inlineStr">
        <is>
          <t>07-08-2024</t>
        </is>
      </c>
      <c r="G1041" t="n">
        <v>8216</v>
      </c>
      <c r="I1041">
        <f>G1041</f>
        <v/>
      </c>
      <c r="K1041">
        <f>I1041-G1041</f>
        <v/>
      </c>
      <c r="M1041" t="inlineStr">
        <is>
          <t>TAG2400530</t>
        </is>
      </c>
      <c r="N1041" t="inlineStr">
        <is>
          <t>8403000</t>
        </is>
      </c>
      <c r="O1041">
        <f>M1041=N1041</f>
        <v/>
      </c>
      <c r="P1041">
        <f>AND(MONTH(F1041)=MONTH(S1041), YEAR(F1041)=YEAR(S1041))</f>
        <v/>
      </c>
      <c r="Q1041">
        <f>"L001-902303751"=U1041</f>
        <v/>
      </c>
      <c r="R1041">
        <f>G1041-W1041</f>
        <v/>
      </c>
      <c r="S1041" s="36" t="n">
        <v>45446</v>
      </c>
      <c r="T1041" t="n">
        <v>84030</v>
      </c>
      <c r="U1041" t="inlineStr">
        <is>
          <t>L001-100011888</t>
        </is>
      </c>
      <c r="V1041" t="inlineStr">
        <is>
          <t>ត្រេន ស្តារ ហ្រេ្វត</t>
        </is>
      </c>
      <c r="W1041" t="n">
        <v>84030</v>
      </c>
      <c r="X1041" t="n">
        <v>0</v>
      </c>
    </row>
    <row r="1042">
      <c r="A1042" t="n">
        <v>1041</v>
      </c>
      <c r="B1042" t="inlineStr">
        <is>
          <t>Cargo Terminal</t>
        </is>
      </c>
      <c r="C1042" t="inlineStr">
        <is>
          <t>សូស៊ីយេតេ កុងសេស្យូនែរ ដឺ ឡាអេរ៉ូព័រ</t>
        </is>
      </c>
      <c r="D1042" t="inlineStr">
        <is>
          <t>L001-100047300</t>
        </is>
      </c>
      <c r="E1042" t="inlineStr">
        <is>
          <t>2400-064878</t>
        </is>
      </c>
      <c r="F1042" t="inlineStr">
        <is>
          <t>15-08-2024</t>
        </is>
      </c>
      <c r="G1042" t="n">
        <v>10775</v>
      </c>
      <c r="I1042">
        <f>G1042</f>
        <v/>
      </c>
      <c r="K1042">
        <f>I1042-G1042</f>
        <v/>
      </c>
      <c r="M1042" t="inlineStr">
        <is>
          <t>2400064878</t>
        </is>
      </c>
      <c r="N1042" t="inlineStr">
        <is>
          <t>17514300</t>
        </is>
      </c>
      <c r="O1042">
        <f>M1042=N1042</f>
        <v/>
      </c>
      <c r="P1042">
        <f>AND(MONTH(F1042)=MONTH(S1042), YEAR(F1042)=YEAR(S1042))</f>
        <v/>
      </c>
      <c r="Q1042">
        <f>"L001-902303751"=U1042</f>
        <v/>
      </c>
      <c r="R1042">
        <f>G1042-W1042</f>
        <v/>
      </c>
      <c r="S1042" s="36" t="n">
        <v>45460</v>
      </c>
      <c r="T1042" t="n">
        <v>175143</v>
      </c>
      <c r="U1042" t="inlineStr">
        <is>
          <t>L001-100045995</t>
        </is>
      </c>
      <c r="V1042" t="inlineStr">
        <is>
          <t>ឌីអេចអិល ឡូជីស្ទីក (ខេមបូឌា)</t>
        </is>
      </c>
      <c r="W1042" t="n">
        <v>175143</v>
      </c>
      <c r="X1042" t="n">
        <v>0</v>
      </c>
    </row>
    <row r="1043">
      <c r="A1043" t="n">
        <v>1042</v>
      </c>
      <c r="B1043" t="inlineStr">
        <is>
          <t>Customs Clearance Fee</t>
        </is>
      </c>
      <c r="C1043" t="inlineStr">
        <is>
          <t>ត្រាយអ៊ែងហ្គល ឡូជីស្ទីក (ខេមបូឌា) ឯ.ក</t>
        </is>
      </c>
      <c r="D1043" t="inlineStr">
        <is>
          <t>K010-902101743</t>
        </is>
      </c>
      <c r="E1043" t="inlineStr">
        <is>
          <t>TAG-24-00561</t>
        </is>
      </c>
      <c r="F1043" t="inlineStr">
        <is>
          <t>20-08-2024</t>
        </is>
      </c>
      <c r="G1043" t="n">
        <v>8180</v>
      </c>
      <c r="I1043">
        <f>G1043</f>
        <v/>
      </c>
      <c r="K1043">
        <f>I1043-G1043</f>
        <v/>
      </c>
      <c r="M1043" t="inlineStr">
        <is>
          <t>TAG2400561</t>
        </is>
      </c>
      <c r="N1043" t="inlineStr">
        <is>
          <t>11332800</t>
        </is>
      </c>
      <c r="O1043">
        <f>M1043=N1043</f>
        <v/>
      </c>
      <c r="P1043">
        <f>AND(MONTH(F1043)=MONTH(S1043), YEAR(F1043)=YEAR(S1043))</f>
        <v/>
      </c>
      <c r="Q1043">
        <f>"L001-902303751"=U1043</f>
        <v/>
      </c>
      <c r="R1043">
        <f>G1043-W1043</f>
        <v/>
      </c>
      <c r="S1043" s="36" t="n">
        <v>45460</v>
      </c>
      <c r="T1043" t="n">
        <v>113328</v>
      </c>
      <c r="U1043" t="inlineStr">
        <is>
          <t>L001-107032791</t>
        </is>
      </c>
      <c r="V1043" t="inlineStr">
        <is>
          <t>នីបផន អិចប្រេស (ខេមបូឌា) ខូ អិលធីឌី</t>
        </is>
      </c>
      <c r="W1043" t="n">
        <v>113328</v>
      </c>
      <c r="X1043" t="n">
        <v>0</v>
      </c>
    </row>
    <row r="1044">
      <c r="A1044" t="n">
        <v>1043</v>
      </c>
      <c r="B1044" t="inlineStr">
        <is>
          <t>Cargo Terminal</t>
        </is>
      </c>
      <c r="C1044" t="inlineStr">
        <is>
          <t>សូស៊ីយេតេ កុងសេស្យូនែរ ដឺ ឡាអេរ៉ូព័រ</t>
        </is>
      </c>
      <c r="D1044" t="inlineStr">
        <is>
          <t>L001-100047300</t>
        </is>
      </c>
      <c r="E1044" t="inlineStr">
        <is>
          <t>2400-063230</t>
        </is>
      </c>
      <c r="F1044" t="inlineStr">
        <is>
          <t>09-08-2024</t>
        </is>
      </c>
      <c r="G1044" t="n">
        <v>1968</v>
      </c>
      <c r="I1044">
        <f>G1044</f>
        <v/>
      </c>
      <c r="K1044">
        <f>I1044-G1044</f>
        <v/>
      </c>
      <c r="M1044" t="inlineStr">
        <is>
          <t>2400063230</t>
        </is>
      </c>
      <c r="N1044" t="inlineStr"/>
      <c r="O1044">
        <f>M1044=N1044</f>
        <v/>
      </c>
      <c r="P1044">
        <f>AND(MONTH(F1044)=MONTH(S1044), YEAR(F1044)=YEAR(S1044))</f>
        <v/>
      </c>
      <c r="Q1044">
        <f>"L001-902303751"=U1044</f>
        <v/>
      </c>
      <c r="R1044">
        <f>G1044-W1044</f>
        <v/>
      </c>
      <c r="S1044" s="36" t="n">
        <v>45460</v>
      </c>
      <c r="T1044" t="inlineStr"/>
      <c r="U1044" t="inlineStr">
        <is>
          <t>L001-107032791</t>
        </is>
      </c>
      <c r="V1044" t="inlineStr">
        <is>
          <t>នីបផន អិចប្រេស (ខេមបូឌា) ខូ អិលធីឌី</t>
        </is>
      </c>
      <c r="W1044" t="n">
        <v>0</v>
      </c>
      <c r="X1044" t="n">
        <v>0</v>
      </c>
    </row>
    <row r="1045">
      <c r="A1045" t="n">
        <v>1044</v>
      </c>
      <c r="B1045" t="inlineStr">
        <is>
          <t>Customs Clearance Fee</t>
        </is>
      </c>
      <c r="C1045" t="inlineStr">
        <is>
          <t>ត្រាយអ៊ែងហ្គល ឡូជីស្ទីក (ខេមបូឌា) ឯ.ក</t>
        </is>
      </c>
      <c r="D1045" t="inlineStr">
        <is>
          <t>K010-902101743</t>
        </is>
      </c>
      <c r="E1045" t="inlineStr">
        <is>
          <t>TAG-24-00537</t>
        </is>
      </c>
      <c r="F1045" t="inlineStr">
        <is>
          <t>09-08-2024</t>
        </is>
      </c>
      <c r="G1045" t="n">
        <v>8200</v>
      </c>
      <c r="I1045">
        <f>G1045</f>
        <v/>
      </c>
      <c r="K1045">
        <f>I1045-G1045</f>
        <v/>
      </c>
      <c r="M1045" t="inlineStr">
        <is>
          <t>TAG2400537</t>
        </is>
      </c>
      <c r="N1045" t="inlineStr">
        <is>
          <t>8448100</t>
        </is>
      </c>
      <c r="O1045">
        <f>M1045=N1045</f>
        <v/>
      </c>
      <c r="P1045">
        <f>AND(MONTH(F1045)=MONTH(S1045), YEAR(F1045)=YEAR(S1045))</f>
        <v/>
      </c>
      <c r="Q1045">
        <f>"L001-902303751"=U1045</f>
        <v/>
      </c>
      <c r="R1045">
        <f>G1045-W1045</f>
        <v/>
      </c>
      <c r="S1045" s="36" t="n">
        <v>45467</v>
      </c>
      <c r="T1045" t="n">
        <v>84481</v>
      </c>
      <c r="U1045" t="inlineStr">
        <is>
          <t>L001-107032791</t>
        </is>
      </c>
      <c r="V1045" t="inlineStr">
        <is>
          <t>នីបផន អិចប្រេស (ខេមបូឌា) ខូ អិលធីឌី</t>
        </is>
      </c>
      <c r="W1045" t="n">
        <v>84481</v>
      </c>
      <c r="X1045" t="n">
        <v>0</v>
      </c>
    </row>
    <row r="1046">
      <c r="A1046" t="n">
        <v>1045</v>
      </c>
      <c r="B1046" t="inlineStr">
        <is>
          <t>Cargo Terminal</t>
        </is>
      </c>
      <c r="C1046" t="inlineStr">
        <is>
          <t>សូស៊ីយេតេ កុងសេស្យូនែរ ដឺ ឡាអេរ៉ូព័រ</t>
        </is>
      </c>
      <c r="D1046" t="inlineStr">
        <is>
          <t>L001-100047300</t>
        </is>
      </c>
      <c r="E1046" t="inlineStr">
        <is>
          <t>2400-061988</t>
        </is>
      </c>
      <c r="F1046" t="inlineStr">
        <is>
          <t>06-08-2024</t>
        </is>
      </c>
      <c r="G1046" t="n">
        <v>7363</v>
      </c>
      <c r="I1046">
        <f>G1046</f>
        <v/>
      </c>
      <c r="K1046">
        <f>I1046-G1046</f>
        <v/>
      </c>
      <c r="M1046" t="inlineStr">
        <is>
          <t>2400061988</t>
        </is>
      </c>
      <c r="N1046" t="inlineStr"/>
      <c r="O1046">
        <f>M1046=N1046</f>
        <v/>
      </c>
      <c r="P1046">
        <f>AND(MONTH(F1046)=MONTH(S1046), YEAR(F1046)=YEAR(S1046))</f>
        <v/>
      </c>
      <c r="Q1046">
        <f>"L001-902303751"=U1046</f>
        <v/>
      </c>
      <c r="R1046">
        <f>G1046-W1046</f>
        <v/>
      </c>
      <c r="S1046" s="36" t="n">
        <v>45453</v>
      </c>
      <c r="T1046" t="inlineStr"/>
      <c r="U1046" t="inlineStr">
        <is>
          <t>L001-107032791</t>
        </is>
      </c>
      <c r="V1046" t="inlineStr">
        <is>
          <t>នីបផន អិចប្រេស (ខេមបូឌា) ខូ អិលធីឌី</t>
        </is>
      </c>
      <c r="W1046" t="n">
        <v>0</v>
      </c>
      <c r="X1046" t="n">
        <v>0</v>
      </c>
    </row>
    <row r="1047">
      <c r="A1047" t="n">
        <v>1046</v>
      </c>
      <c r="B1047" t="inlineStr">
        <is>
          <t>Customs Clearance Fee</t>
        </is>
      </c>
      <c r="C1047" t="inlineStr">
        <is>
          <t>ត្រាយអ៊ែងហ្គល ឡូជីស្ទីក (ខេមបូឌា) ឯ.ក</t>
        </is>
      </c>
      <c r="D1047" t="inlineStr">
        <is>
          <t>K010-902101743</t>
        </is>
      </c>
      <c r="E1047" t="inlineStr">
        <is>
          <t>TAG-24-00533</t>
        </is>
      </c>
      <c r="F1047" t="inlineStr">
        <is>
          <t>07-08-2024</t>
        </is>
      </c>
      <c r="G1047" t="n">
        <v>8216</v>
      </c>
      <c r="I1047">
        <f>G1047</f>
        <v/>
      </c>
      <c r="K1047">
        <f>I1047-G1047</f>
        <v/>
      </c>
      <c r="M1047" t="inlineStr">
        <is>
          <t>TAG2400533</t>
        </is>
      </c>
      <c r="N1047" t="inlineStr">
        <is>
          <t>8403000</t>
        </is>
      </c>
      <c r="O1047">
        <f>M1047=N1047</f>
        <v/>
      </c>
      <c r="P1047">
        <f>AND(MONTH(F1047)=MONTH(S1047), YEAR(F1047)=YEAR(S1047))</f>
        <v/>
      </c>
      <c r="Q1047">
        <f>"L001-902303751"=U1047</f>
        <v/>
      </c>
      <c r="R1047">
        <f>G1047-W1047</f>
        <v/>
      </c>
      <c r="S1047" s="36" t="n">
        <v>45446</v>
      </c>
      <c r="T1047" t="n">
        <v>84030</v>
      </c>
      <c r="U1047" t="inlineStr">
        <is>
          <t>L001-100045995</t>
        </is>
      </c>
      <c r="V1047" t="inlineStr">
        <is>
          <t>ឌីអេចអិល ឡូជីស្ទីក (ខេមបូឌា)</t>
        </is>
      </c>
      <c r="W1047" t="n">
        <v>84030</v>
      </c>
      <c r="X1047" t="n">
        <v>0</v>
      </c>
    </row>
    <row r="1048">
      <c r="A1048" t="n">
        <v>1047</v>
      </c>
      <c r="B1048" t="inlineStr">
        <is>
          <t>Cargo Terminal</t>
        </is>
      </c>
      <c r="C1048" t="inlineStr">
        <is>
          <t>សូស៊ីយេតេ កុងសេស្យូនែរ ដឺ ឡាអេរ៉ូព័រ</t>
        </is>
      </c>
      <c r="D1048" t="inlineStr">
        <is>
          <t>L001-100047300</t>
        </is>
      </c>
      <c r="E1048" t="inlineStr">
        <is>
          <t>2400-061990</t>
        </is>
      </c>
      <c r="F1048" t="inlineStr">
        <is>
          <t>06-08-2024</t>
        </is>
      </c>
      <c r="G1048" t="n">
        <v>2040</v>
      </c>
      <c r="I1048">
        <f>G1048</f>
        <v/>
      </c>
      <c r="K1048">
        <f>I1048-G1048</f>
        <v/>
      </c>
      <c r="M1048" t="inlineStr">
        <is>
          <t>2400061990</t>
        </is>
      </c>
      <c r="N1048" t="inlineStr"/>
      <c r="O1048">
        <f>M1048=N1048</f>
        <v/>
      </c>
      <c r="P1048">
        <f>AND(MONTH(F1048)=MONTH(S1048), YEAR(F1048)=YEAR(S1048))</f>
        <v/>
      </c>
      <c r="Q1048">
        <f>"L001-902303751"=U1048</f>
        <v/>
      </c>
      <c r="R1048">
        <f>G1048-W1048</f>
        <v/>
      </c>
      <c r="S1048" s="36" t="n">
        <v>45446</v>
      </c>
      <c r="T1048" t="inlineStr"/>
      <c r="U1048" t="inlineStr">
        <is>
          <t>L001-100045995</t>
        </is>
      </c>
      <c r="V1048" t="inlineStr">
        <is>
          <t>ឌីអេចអិល ឡូជីស្ទីក (ខេមបូឌា)</t>
        </is>
      </c>
      <c r="W1048" t="n">
        <v>0</v>
      </c>
      <c r="X1048" t="n">
        <v>0</v>
      </c>
    </row>
    <row r="1049">
      <c r="A1049" t="n">
        <v>1048</v>
      </c>
      <c r="B1049" t="inlineStr">
        <is>
          <t>Customs Clearance Fee</t>
        </is>
      </c>
      <c r="C1049" t="inlineStr">
        <is>
          <t>ត្រាយអ៊ែងហ្គល ឡូជីស្ទីក (ខេមបូឌា) ឯ.ក</t>
        </is>
      </c>
      <c r="D1049" t="inlineStr">
        <is>
          <t>K010-902101743</t>
        </is>
      </c>
      <c r="E1049" t="inlineStr">
        <is>
          <t>TAG-24-00532</t>
        </is>
      </c>
      <c r="F1049" t="inlineStr">
        <is>
          <t>07-08-2024</t>
        </is>
      </c>
      <c r="G1049" t="n">
        <v>8216</v>
      </c>
      <c r="I1049">
        <f>G1049</f>
        <v/>
      </c>
      <c r="K1049">
        <f>I1049-G1049</f>
        <v/>
      </c>
      <c r="M1049" t="inlineStr">
        <is>
          <t>TAG2400532</t>
        </is>
      </c>
      <c r="N1049" t="inlineStr"/>
      <c r="O1049">
        <f>M1049=N1049</f>
        <v/>
      </c>
      <c r="P1049">
        <f>AND(MONTH(F1049)=MONTH(S1049), YEAR(F1049)=YEAR(S1049))</f>
        <v/>
      </c>
      <c r="Q1049">
        <f>"L001-902303751"=U1049</f>
        <v/>
      </c>
      <c r="R1049">
        <f>G1049-W1049</f>
        <v/>
      </c>
      <c r="S1049" s="36" t="n">
        <v>45467</v>
      </c>
      <c r="T1049" t="inlineStr"/>
      <c r="U1049" t="inlineStr">
        <is>
          <t>L001-107032791</t>
        </is>
      </c>
      <c r="V1049" t="inlineStr">
        <is>
          <t>នីបផន អិចប្រេស (ខេមបូឌា) ខូ អិលធីឌី</t>
        </is>
      </c>
      <c r="W1049" t="n">
        <v>0</v>
      </c>
      <c r="X1049" t="n">
        <v>0</v>
      </c>
    </row>
    <row r="1050">
      <c r="A1050" t="n">
        <v>1049</v>
      </c>
      <c r="B1050" t="inlineStr">
        <is>
          <t>Cargo Terminal</t>
        </is>
      </c>
      <c r="C1050" t="inlineStr">
        <is>
          <t>សូស៊ីយេតេ កុងសេស្យូនែរ ដឺ ឡាអេរ៉ូព័រ</t>
        </is>
      </c>
      <c r="D1050" t="inlineStr">
        <is>
          <t>L001-100047300</t>
        </is>
      </c>
      <c r="E1050" t="inlineStr">
        <is>
          <t>2400-061989</t>
        </is>
      </c>
      <c r="F1050" t="inlineStr">
        <is>
          <t>06-08-2024</t>
        </is>
      </c>
      <c r="G1050" t="n">
        <v>19492</v>
      </c>
      <c r="I1050">
        <f>G1050</f>
        <v/>
      </c>
      <c r="K1050">
        <f>I1050-G1050</f>
        <v/>
      </c>
      <c r="M1050" t="inlineStr">
        <is>
          <t>2400061989</t>
        </is>
      </c>
      <c r="N1050" t="inlineStr"/>
      <c r="O1050">
        <f>M1050=N1050</f>
        <v/>
      </c>
      <c r="P1050">
        <f>AND(MONTH(F1050)=MONTH(S1050), YEAR(F1050)=YEAR(S1050))</f>
        <v/>
      </c>
      <c r="Q1050">
        <f>"L001-902303751"=U1050</f>
        <v/>
      </c>
      <c r="R1050">
        <f>G1050-W1050</f>
        <v/>
      </c>
      <c r="S1050" s="36" t="n">
        <v>45467</v>
      </c>
      <c r="T1050" t="inlineStr"/>
      <c r="U1050" t="inlineStr">
        <is>
          <t>L001-107032791</t>
        </is>
      </c>
      <c r="V1050" t="inlineStr">
        <is>
          <t>នីបផន អិចប្រេស (ខេមបូឌា) ខូ អិលធីឌី</t>
        </is>
      </c>
      <c r="W1050" t="n">
        <v>0</v>
      </c>
      <c r="X1050" t="n">
        <v>0</v>
      </c>
    </row>
    <row r="1051">
      <c r="A1051" t="n">
        <v>1050</v>
      </c>
      <c r="B1051" t="inlineStr">
        <is>
          <t>Customs Clearance Fee</t>
        </is>
      </c>
      <c r="C1051" t="inlineStr">
        <is>
          <t>ត្រាយអ៊ែងហ្គល ឡូជីស្ទីក (ខេមបូឌា) ឯ.ក</t>
        </is>
      </c>
      <c r="D1051" t="inlineStr">
        <is>
          <t>K010-902101743</t>
        </is>
      </c>
      <c r="E1051" t="inlineStr">
        <is>
          <t>TAG-24-00531</t>
        </is>
      </c>
      <c r="F1051" t="inlineStr">
        <is>
          <t>07-08-2024</t>
        </is>
      </c>
      <c r="G1051" t="n">
        <v>8216</v>
      </c>
      <c r="I1051">
        <f>G1051</f>
        <v/>
      </c>
      <c r="K1051">
        <f>I1051-G1051</f>
        <v/>
      </c>
      <c r="M1051" t="inlineStr">
        <is>
          <t>TAG2400531</t>
        </is>
      </c>
      <c r="N1051" t="inlineStr"/>
      <c r="O1051">
        <f>M1051=N1051</f>
        <v/>
      </c>
      <c r="P1051">
        <f>AND(MONTH(F1051)=MONTH(S1051), YEAR(F1051)=YEAR(S1051))</f>
        <v/>
      </c>
      <c r="Q1051">
        <f>"L001-902303751"=U1051</f>
        <v/>
      </c>
      <c r="R1051">
        <f>G1051-W1051</f>
        <v/>
      </c>
      <c r="S1051" s="36" t="n">
        <v>45453</v>
      </c>
      <c r="T1051" t="inlineStr"/>
      <c r="U1051" t="inlineStr">
        <is>
          <t>K005-901805913</t>
        </is>
      </c>
      <c r="V1051" t="inlineStr">
        <is>
          <t>ស្តារ ខង់ខដ (ខេមបូឌា) ឯ.ក</t>
        </is>
      </c>
      <c r="W1051" t="n">
        <v>0</v>
      </c>
      <c r="X1051" t="n">
        <v>0</v>
      </c>
    </row>
    <row r="1052">
      <c r="A1052" t="n">
        <v>1051</v>
      </c>
      <c r="B1052" t="inlineStr">
        <is>
          <t>Cargo Terminal</t>
        </is>
      </c>
      <c r="C1052" t="inlineStr">
        <is>
          <t>សូស៊ីយេតេ កុងសេស្យូនែរ ដឺ ឡាអេរ៉ូព័រ</t>
        </is>
      </c>
      <c r="D1052" t="inlineStr">
        <is>
          <t>L001-100047300</t>
        </is>
      </c>
      <c r="E1052" t="inlineStr">
        <is>
          <t>2400-061987</t>
        </is>
      </c>
      <c r="F1052" t="inlineStr">
        <is>
          <t>06-08-2024</t>
        </is>
      </c>
      <c r="G1052" t="n">
        <v>4964</v>
      </c>
      <c r="I1052">
        <f>G1052</f>
        <v/>
      </c>
      <c r="K1052">
        <f>I1052-G1052</f>
        <v/>
      </c>
      <c r="M1052" t="inlineStr">
        <is>
          <t>2400061987</t>
        </is>
      </c>
      <c r="N1052" t="inlineStr">
        <is>
          <t>8433700</t>
        </is>
      </c>
      <c r="O1052">
        <f>M1052=N1052</f>
        <v/>
      </c>
      <c r="P1052">
        <f>AND(MONTH(F1052)=MONTH(S1052), YEAR(F1052)=YEAR(S1052))</f>
        <v/>
      </c>
      <c r="Q1052">
        <f>"L001-902303751"=U1052</f>
        <v/>
      </c>
      <c r="R1052">
        <f>G1052-W1052</f>
        <v/>
      </c>
      <c r="S1052" s="36" t="n">
        <v>45453</v>
      </c>
      <c r="T1052" t="n">
        <v>84337</v>
      </c>
      <c r="U1052" t="inlineStr">
        <is>
          <t>L001-107032791</t>
        </is>
      </c>
      <c r="V1052" t="inlineStr">
        <is>
          <t>នីបផន អិចប្រេស (ខេមបូឌា) ខូ អិលធីឌី</t>
        </is>
      </c>
      <c r="W1052" t="n">
        <v>84337</v>
      </c>
      <c r="X1052" t="n">
        <v>0</v>
      </c>
    </row>
    <row r="1053">
      <c r="A1053" t="n">
        <v>1052</v>
      </c>
      <c r="B1053" t="inlineStr">
        <is>
          <t>Customs Clearance Fee</t>
        </is>
      </c>
      <c r="C1053" t="inlineStr">
        <is>
          <t>ត្រាយអ៊ែងហ្គល ឡូជីស្ទីក (ខេមបូឌា) ឯ.ក</t>
        </is>
      </c>
      <c r="D1053" t="inlineStr">
        <is>
          <t>K010-902101743</t>
        </is>
      </c>
      <c r="E1053" t="inlineStr">
        <is>
          <t>TAG-24-00609</t>
        </is>
      </c>
      <c r="F1053" t="inlineStr">
        <is>
          <t>31-08-2024</t>
        </is>
      </c>
      <c r="G1053" t="n">
        <v>8114</v>
      </c>
      <c r="I1053">
        <f>G1053</f>
        <v/>
      </c>
      <c r="K1053">
        <f>I1053-G1053</f>
        <v/>
      </c>
      <c r="M1053" t="inlineStr">
        <is>
          <t>TAG2400609</t>
        </is>
      </c>
      <c r="N1053" t="inlineStr">
        <is>
          <t>8680500</t>
        </is>
      </c>
      <c r="O1053">
        <f>M1053=N1053</f>
        <v/>
      </c>
      <c r="P1053">
        <f>AND(MONTH(F1053)=MONTH(S1053), YEAR(F1053)=YEAR(S1053))</f>
        <v/>
      </c>
      <c r="Q1053">
        <f>"L001-902303751"=U1053</f>
        <v/>
      </c>
      <c r="R1053">
        <f>G1053-W1053</f>
        <v/>
      </c>
      <c r="S1053" s="36" t="n">
        <v>45453</v>
      </c>
      <c r="T1053" t="n">
        <v>86805</v>
      </c>
      <c r="U1053" t="inlineStr">
        <is>
          <t>K005-901805913</t>
        </is>
      </c>
      <c r="V1053" t="inlineStr">
        <is>
          <t>ស្តារ ខង់ខដ (ខេមបូឌា) ឯ.ក</t>
        </is>
      </c>
      <c r="W1053" t="n">
        <v>86805</v>
      </c>
      <c r="X1053" t="n">
        <v>0</v>
      </c>
    </row>
    <row r="1054">
      <c r="A1054" t="n">
        <v>1053</v>
      </c>
      <c r="B1054" t="inlineStr">
        <is>
          <t>Monthly Charge of Photo Copier from 06/07/2024-06/08/2024</t>
        </is>
      </c>
      <c r="C1054" t="inlineStr">
        <is>
          <t>វី.អាយ.អេស ខភៀ ឯ.ក</t>
        </is>
      </c>
      <c r="D1054" t="inlineStr">
        <is>
          <t>K007-901705195</t>
        </is>
      </c>
      <c r="E1054" t="inlineStr">
        <is>
          <t>RNT240822</t>
        </is>
      </c>
      <c r="F1054" t="inlineStr">
        <is>
          <t>06-08-2024</t>
        </is>
      </c>
      <c r="G1054" t="n">
        <v>57526</v>
      </c>
      <c r="I1054">
        <f>G1054</f>
        <v/>
      </c>
      <c r="K1054">
        <f>I1054-G1054</f>
        <v/>
      </c>
      <c r="M1054" t="inlineStr">
        <is>
          <t>RNT240822</t>
        </is>
      </c>
      <c r="N1054" t="inlineStr"/>
      <c r="O1054">
        <f>M1054=N1054</f>
        <v/>
      </c>
      <c r="P1054">
        <f>AND(MONTH(F1054)=MONTH(S1054), YEAR(F1054)=YEAR(S1054))</f>
        <v/>
      </c>
      <c r="Q1054">
        <f>"L001-902303751"=U1054</f>
        <v/>
      </c>
      <c r="R1054">
        <f>G1054-W1054</f>
        <v/>
      </c>
      <c r="S1054" s="36" t="n">
        <v>45453</v>
      </c>
      <c r="T1054" t="inlineStr"/>
      <c r="U1054" t="inlineStr">
        <is>
          <t>K005-100150195</t>
        </is>
      </c>
      <c r="V1054" t="inlineStr">
        <is>
          <t>អេស អ វី ស៊ី ហ្វ្រេត សឺវីស (ខេមបូឌា) ខូ អិលធីឌី</t>
        </is>
      </c>
      <c r="W1054" t="n">
        <v>0</v>
      </c>
      <c r="X1054" t="n">
        <v>0</v>
      </c>
    </row>
    <row r="1055">
      <c r="A1055" t="n">
        <v>1054</v>
      </c>
      <c r="B1055" t="inlineStr">
        <is>
          <t>Monthly Charge of Photo Copier from 06/07/2024-06/08/2024</t>
        </is>
      </c>
      <c r="C1055" t="inlineStr">
        <is>
          <t>វី.អាយ.អេស ខភៀ ឯ.ក</t>
        </is>
      </c>
      <c r="D1055" t="inlineStr">
        <is>
          <t>K007-901705195</t>
        </is>
      </c>
      <c r="E1055" t="inlineStr">
        <is>
          <t>RNT240825</t>
        </is>
      </c>
      <c r="F1055" t="inlineStr">
        <is>
          <t>06-08-2024</t>
        </is>
      </c>
      <c r="G1055" t="n">
        <v>57526</v>
      </c>
      <c r="I1055">
        <f>G1055</f>
        <v/>
      </c>
      <c r="K1055">
        <f>I1055-G1055</f>
        <v/>
      </c>
      <c r="M1055" t="inlineStr">
        <is>
          <t>RNT240825</t>
        </is>
      </c>
      <c r="N1055" t="inlineStr">
        <is>
          <t>17484500</t>
        </is>
      </c>
      <c r="O1055">
        <f>M1055=N1055</f>
        <v/>
      </c>
      <c r="P1055">
        <f>AND(MONTH(F1055)=MONTH(S1055), YEAR(F1055)=YEAR(S1055))</f>
        <v/>
      </c>
      <c r="Q1055">
        <f>"L001-902303751"=U1055</f>
        <v/>
      </c>
      <c r="R1055">
        <f>G1055-W1055</f>
        <v/>
      </c>
      <c r="S1055" s="36" t="n">
        <v>45453</v>
      </c>
      <c r="T1055" t="n">
        <v>174845</v>
      </c>
      <c r="U1055" t="inlineStr">
        <is>
          <t>L001-107032791</t>
        </is>
      </c>
      <c r="V1055" t="inlineStr">
        <is>
          <t>នីបផន អិចប្រេស (ខេមបូឌា) ខូ អិលធីឌី</t>
        </is>
      </c>
      <c r="W1055" t="n">
        <v>174845</v>
      </c>
      <c r="X1055" t="n">
        <v>0</v>
      </c>
    </row>
    <row r="1056">
      <c r="A1056" t="n">
        <v>1055</v>
      </c>
      <c r="B1056" t="inlineStr">
        <is>
          <t>Monthly Charge of Photo Copier from 06/07/2024-06/08/2024</t>
        </is>
      </c>
      <c r="C1056" t="inlineStr">
        <is>
          <t>វី.អាយ.អេស ខភៀ ឯ.ក</t>
        </is>
      </c>
      <c r="D1056" t="inlineStr">
        <is>
          <t>K007-901705195</t>
        </is>
      </c>
      <c r="E1056" t="inlineStr">
        <is>
          <t>RNT240824</t>
        </is>
      </c>
      <c r="F1056" t="inlineStr">
        <is>
          <t>06-08-2024</t>
        </is>
      </c>
      <c r="G1056" t="n">
        <v>28763</v>
      </c>
      <c r="I1056">
        <f>G1056</f>
        <v/>
      </c>
      <c r="K1056">
        <f>I1056-G1056</f>
        <v/>
      </c>
      <c r="M1056" t="inlineStr">
        <is>
          <t>RNT240824</t>
        </is>
      </c>
      <c r="N1056" t="inlineStr"/>
      <c r="O1056">
        <f>M1056=N1056</f>
        <v/>
      </c>
      <c r="P1056">
        <f>AND(MONTH(F1056)=MONTH(S1056), YEAR(F1056)=YEAR(S1056))</f>
        <v/>
      </c>
      <c r="Q1056">
        <f>"L001-902303751"=U1056</f>
        <v/>
      </c>
      <c r="R1056">
        <f>G1056-W1056</f>
        <v/>
      </c>
      <c r="S1056" s="36" t="n">
        <v>45453</v>
      </c>
      <c r="T1056" t="inlineStr"/>
      <c r="U1056" t="inlineStr">
        <is>
          <t>L001-100045995</t>
        </is>
      </c>
      <c r="V1056" t="inlineStr">
        <is>
          <t>ឌីអេចអិល ឡូជីស្ទីក (ខេមបូឌា)</t>
        </is>
      </c>
      <c r="W1056" t="n">
        <v>0</v>
      </c>
      <c r="X1056" t="n">
        <v>0</v>
      </c>
    </row>
    <row r="1057">
      <c r="A1057" t="n">
        <v>1056</v>
      </c>
      <c r="B1057" t="inlineStr">
        <is>
          <t>Monthly Charge of Photo Copier from 06/07/2024-06/08/2024</t>
        </is>
      </c>
      <c r="C1057" t="inlineStr">
        <is>
          <t>វី.អាយ.អេស ខភៀ ឯ.ក</t>
        </is>
      </c>
      <c r="D1057" t="inlineStr">
        <is>
          <t>K007-901705195</t>
        </is>
      </c>
      <c r="E1057" t="inlineStr">
        <is>
          <t>RNT240823</t>
        </is>
      </c>
      <c r="F1057" t="inlineStr">
        <is>
          <t>06-08-2024</t>
        </is>
      </c>
      <c r="G1057" t="n">
        <v>26709</v>
      </c>
      <c r="I1057">
        <f>G1057</f>
        <v/>
      </c>
      <c r="K1057">
        <f>I1057-G1057</f>
        <v/>
      </c>
      <c r="M1057" t="inlineStr">
        <is>
          <t>RNT240823</t>
        </is>
      </c>
      <c r="N1057" t="inlineStr"/>
      <c r="O1057">
        <f>M1057=N1057</f>
        <v/>
      </c>
      <c r="P1057">
        <f>AND(MONTH(F1057)=MONTH(S1057), YEAR(F1057)=YEAR(S1057))</f>
        <v/>
      </c>
      <c r="Q1057">
        <f>"L001-902303751"=U1057</f>
        <v/>
      </c>
      <c r="R1057">
        <f>G1057-W1057</f>
        <v/>
      </c>
      <c r="S1057" s="36" t="n">
        <v>45453</v>
      </c>
      <c r="T1057" t="inlineStr"/>
      <c r="U1057" t="inlineStr">
        <is>
          <t>L001-100045995</t>
        </is>
      </c>
      <c r="V1057" t="inlineStr">
        <is>
          <t>ឌីអេចអិល ឡូជីស្ទីក (ខេមបូឌា)</t>
        </is>
      </c>
      <c r="W1057" t="n">
        <v>0</v>
      </c>
      <c r="X1057" t="n">
        <v>0</v>
      </c>
    </row>
    <row r="1058">
      <c r="A1058" t="n">
        <v>1057</v>
      </c>
      <c r="B1058" t="inlineStr">
        <is>
          <t>THC Fee, CFS Fee, Documents Fee, Handling Fee, Customs Clearance Fee, Trucking Fee, Bunker Adjustment Factor and B/L Surrender Fee</t>
        </is>
      </c>
      <c r="C1058" t="inlineStr">
        <is>
          <t>អាយធីអាយ អ៊ិនធើណេសិនណល ត្រេនស័្ពរថេសិន (ខេមបូឌា) ឯ.ក</t>
        </is>
      </c>
      <c r="D1058" t="inlineStr">
        <is>
          <t>K002-901800477</t>
        </is>
      </c>
      <c r="E1058" t="inlineStr">
        <is>
          <t>CAM243667</t>
        </is>
      </c>
      <c r="F1058" t="inlineStr">
        <is>
          <t>16-08-2024</t>
        </is>
      </c>
      <c r="G1058" t="n">
        <v>134414</v>
      </c>
      <c r="I1058">
        <f>G1058</f>
        <v/>
      </c>
      <c r="K1058">
        <f>I1058-G1058</f>
        <v/>
      </c>
      <c r="M1058" t="inlineStr">
        <is>
          <t>CAM243667</t>
        </is>
      </c>
      <c r="N1058" t="inlineStr">
        <is>
          <t>8403000</t>
        </is>
      </c>
      <c r="O1058">
        <f>M1058=N1058</f>
        <v/>
      </c>
      <c r="P1058">
        <f>AND(MONTH(F1058)=MONTH(S1058), YEAR(F1058)=YEAR(S1058))</f>
        <v/>
      </c>
      <c r="Q1058">
        <f>"L001-902303751"=U1058</f>
        <v/>
      </c>
      <c r="R1058">
        <f>G1058-W1058</f>
        <v/>
      </c>
      <c r="S1058" s="36" t="n">
        <v>45446</v>
      </c>
      <c r="T1058" t="n">
        <v>84030</v>
      </c>
      <c r="U1058" t="inlineStr">
        <is>
          <t>L001-107032791</t>
        </is>
      </c>
      <c r="V1058" t="inlineStr">
        <is>
          <t>នីបផន អិចប្រេស (ខេមបូឌា) ខូ អិលធីឌី</t>
        </is>
      </c>
      <c r="W1058" t="n">
        <v>84030</v>
      </c>
      <c r="X1058" t="n">
        <v>0</v>
      </c>
    </row>
    <row r="1059">
      <c r="A1059" t="n">
        <v>1058</v>
      </c>
      <c r="B1059" t="inlineStr">
        <is>
          <t>Export Administration Fee, Port Fomality, Service Charge</t>
        </is>
      </c>
      <c r="C1059" t="inlineStr">
        <is>
          <t>ឆាយ ដា ឡូយីស្ទីក</t>
        </is>
      </c>
      <c r="D1059" t="inlineStr">
        <is>
          <t>L001-100063098</t>
        </is>
      </c>
      <c r="E1059" t="inlineStr">
        <is>
          <t>2408011438</t>
        </is>
      </c>
      <c r="F1059" t="inlineStr">
        <is>
          <t>07-08-2024</t>
        </is>
      </c>
      <c r="G1059" t="n">
        <v>77641</v>
      </c>
      <c r="I1059">
        <f>G1059</f>
        <v/>
      </c>
      <c r="K1059">
        <f>I1059-G1059</f>
        <v/>
      </c>
      <c r="M1059" t="inlineStr">
        <is>
          <t>2408011438</t>
        </is>
      </c>
      <c r="N1059" t="inlineStr"/>
      <c r="O1059">
        <f>M1059=N1059</f>
        <v/>
      </c>
      <c r="P1059">
        <f>AND(MONTH(F1059)=MONTH(S1059), YEAR(F1059)=YEAR(S1059))</f>
        <v/>
      </c>
      <c r="Q1059">
        <f>"L001-902303751"=U1059</f>
        <v/>
      </c>
      <c r="R1059">
        <f>G1059-W1059</f>
        <v/>
      </c>
      <c r="S1059" s="36" t="n">
        <v>45446</v>
      </c>
      <c r="T1059" t="inlineStr"/>
      <c r="U1059" t="inlineStr">
        <is>
          <t>K005-901805913</t>
        </is>
      </c>
      <c r="V1059" t="inlineStr">
        <is>
          <t>ស្តារ ខង់ខដ (ខេមបូឌា) ឯ.ក</t>
        </is>
      </c>
      <c r="W1059" t="n">
        <v>0</v>
      </c>
      <c r="X1059" t="n">
        <v>0</v>
      </c>
    </row>
    <row r="1060">
      <c r="A1060" t="n">
        <v>1059</v>
      </c>
      <c r="B1060" t="inlineStr">
        <is>
          <t>Monthly Charge of Photo Copier from 06/07/2024-06/08/2024</t>
        </is>
      </c>
      <c r="C1060" t="inlineStr">
        <is>
          <t>វី.អាយ.អេស ខភៀ ឯ.ក</t>
        </is>
      </c>
      <c r="D1060" t="inlineStr">
        <is>
          <t>K007-901705195</t>
        </is>
      </c>
      <c r="E1060" t="inlineStr">
        <is>
          <t>RNT240826</t>
        </is>
      </c>
      <c r="F1060" t="inlineStr">
        <is>
          <t>06-08-2024</t>
        </is>
      </c>
      <c r="G1060" t="n">
        <v>28763</v>
      </c>
      <c r="I1060">
        <f>G1060</f>
        <v/>
      </c>
      <c r="K1060">
        <f>I1060-G1060</f>
        <v/>
      </c>
      <c r="M1060" t="inlineStr">
        <is>
          <t>RNT240826</t>
        </is>
      </c>
      <c r="N1060" t="inlineStr">
        <is>
          <t>11518200</t>
        </is>
      </c>
      <c r="O1060">
        <f>M1060=N1060</f>
        <v/>
      </c>
      <c r="P1060">
        <f>AND(MONTH(F1060)=MONTH(S1060), YEAR(F1060)=YEAR(S1060))</f>
        <v/>
      </c>
      <c r="Q1060">
        <f>"L001-902303751"=U1060</f>
        <v/>
      </c>
      <c r="R1060">
        <f>G1060-W1060</f>
        <v/>
      </c>
      <c r="S1060" s="36" t="n">
        <v>45446</v>
      </c>
      <c r="T1060" t="n">
        <v>115182</v>
      </c>
      <c r="U1060" t="inlineStr">
        <is>
          <t>K005-901805913</t>
        </is>
      </c>
      <c r="V1060" t="inlineStr">
        <is>
          <t>ស្តារ ខង់ខដ (ខេមបូឌា) ឯ.ក</t>
        </is>
      </c>
      <c r="W1060" t="n">
        <v>115182</v>
      </c>
      <c r="X1060" t="n">
        <v>0</v>
      </c>
    </row>
    <row r="1061">
      <c r="A1061" t="n">
        <v>1060</v>
      </c>
      <c r="B1061" t="inlineStr">
        <is>
          <t>Customs Clearance Fee</t>
        </is>
      </c>
      <c r="C1061" t="inlineStr">
        <is>
          <t>ត្រាយអ៊ែងហ្គល ឡូជីស្ទីក (ខេមបូឌា) ឯ.ក</t>
        </is>
      </c>
      <c r="D1061" t="inlineStr">
        <is>
          <t>K010-902101743</t>
        </is>
      </c>
      <c r="E1061" t="inlineStr">
        <is>
          <t>TAG-24-00610</t>
        </is>
      </c>
      <c r="F1061" t="inlineStr">
        <is>
          <t>31-08-2024</t>
        </is>
      </c>
      <c r="G1061" t="n">
        <v>8114</v>
      </c>
      <c r="I1061">
        <f>G1061</f>
        <v/>
      </c>
      <c r="K1061">
        <f>I1061-G1061</f>
        <v/>
      </c>
      <c r="M1061" t="inlineStr">
        <is>
          <t>TAG2400610</t>
        </is>
      </c>
      <c r="N1061" t="inlineStr"/>
      <c r="O1061">
        <f>M1061=N1061</f>
        <v/>
      </c>
      <c r="P1061">
        <f>AND(MONTH(F1061)=MONTH(S1061), YEAR(F1061)=YEAR(S1061))</f>
        <v/>
      </c>
      <c r="Q1061">
        <f>"L001-902303751"=U1061</f>
        <v/>
      </c>
      <c r="R1061">
        <f>G1061-W1061</f>
        <v/>
      </c>
      <c r="S1061" s="36" t="n">
        <v>45446</v>
      </c>
      <c r="T1061" t="inlineStr"/>
      <c r="U1061" t="inlineStr">
        <is>
          <t>L001-107041723</t>
        </is>
      </c>
      <c r="V1061" t="inlineStr">
        <is>
          <t>ឌីប៊ី សេនឃើរ (ខេមបូឌា) លីមីធីត</t>
        </is>
      </c>
      <c r="W1061" t="n">
        <v>0</v>
      </c>
      <c r="X1061" t="n">
        <v>0</v>
      </c>
    </row>
    <row r="1062">
      <c r="A1062" t="n">
        <v>1061</v>
      </c>
      <c r="B1062" t="inlineStr">
        <is>
          <t>Canceled audit fee from SGS</t>
        </is>
      </c>
      <c r="C1062" t="inlineStr">
        <is>
          <t>អេសជីអេស (ខេមបូឌា) លីមីធីត</t>
        </is>
      </c>
      <c r="D1062" t="inlineStr">
        <is>
          <t>L001-107030519</t>
        </is>
      </c>
      <c r="E1062" t="inlineStr">
        <is>
          <t>10037274</t>
        </is>
      </c>
      <c r="F1062" t="inlineStr">
        <is>
          <t>01-08-2024</t>
        </is>
      </c>
      <c r="G1062" t="n">
        <v>137241</v>
      </c>
      <c r="I1062">
        <f>G1062</f>
        <v/>
      </c>
      <c r="K1062">
        <f>I1062-G1062</f>
        <v/>
      </c>
      <c r="M1062" t="inlineStr">
        <is>
          <t>10037274</t>
        </is>
      </c>
      <c r="N1062" t="inlineStr"/>
      <c r="O1062">
        <f>M1062=N1062</f>
        <v/>
      </c>
      <c r="P1062">
        <f>AND(MONTH(F1062)=MONTH(S1062), YEAR(F1062)=YEAR(S1062))</f>
        <v/>
      </c>
      <c r="Q1062">
        <f>"L001-902303751"=U1062</f>
        <v/>
      </c>
      <c r="R1062">
        <f>G1062-W1062</f>
        <v/>
      </c>
      <c r="S1062" s="36" t="n">
        <v>45446</v>
      </c>
      <c r="T1062" t="inlineStr"/>
      <c r="U1062" t="inlineStr">
        <is>
          <t>L001-107032791</t>
        </is>
      </c>
      <c r="V1062" t="inlineStr">
        <is>
          <t>នីបផន អិចប្រេស (ខេមបូឌា) ខូ អិលធីឌី</t>
        </is>
      </c>
      <c r="W1062" t="n">
        <v>0</v>
      </c>
      <c r="X1062" t="n">
        <v>0</v>
      </c>
    </row>
    <row r="1063">
      <c r="A1063" t="n">
        <v>1062</v>
      </c>
      <c r="B1063" t="inlineStr">
        <is>
          <t>Export Administration Fee, Port Fomality and Service Charge</t>
        </is>
      </c>
      <c r="C1063" t="inlineStr">
        <is>
          <t>ឆាយ ដា ឡូយីស្ទីក</t>
        </is>
      </c>
      <c r="D1063" t="inlineStr">
        <is>
          <t>L001-100063098</t>
        </is>
      </c>
      <c r="E1063" t="inlineStr">
        <is>
          <t>2408011873</t>
        </is>
      </c>
      <c r="F1063" t="inlineStr">
        <is>
          <t>14-08-2024</t>
        </is>
      </c>
      <c r="G1063" t="n">
        <v>77320</v>
      </c>
      <c r="I1063">
        <f>G1063</f>
        <v/>
      </c>
      <c r="K1063">
        <f>I1063-G1063</f>
        <v/>
      </c>
      <c r="M1063" t="inlineStr">
        <is>
          <t>2408011873</t>
        </is>
      </c>
      <c r="N1063" t="inlineStr"/>
      <c r="O1063">
        <f>M1063=N1063</f>
        <v/>
      </c>
      <c r="P1063">
        <f>AND(MONTH(F1063)=MONTH(S1063), YEAR(F1063)=YEAR(S1063))</f>
        <v/>
      </c>
      <c r="Q1063">
        <f>"L001-902303751"=U1063</f>
        <v/>
      </c>
      <c r="R1063">
        <f>G1063-W1063</f>
        <v/>
      </c>
      <c r="S1063" s="36" t="n">
        <v>45467</v>
      </c>
      <c r="T1063" t="inlineStr"/>
      <c r="U1063" t="inlineStr">
        <is>
          <t>L001-100045340</t>
        </is>
      </c>
      <c r="V1063" t="inlineStr">
        <is>
          <t xml:space="preserve">ស៊ីវ៉ា អ៊ែរ អ៊ែន អូសៀន (ខេមបូឌា) ឯ.ក </t>
        </is>
      </c>
      <c r="W1063" t="n">
        <v>0</v>
      </c>
      <c r="X1063" t="n">
        <v>0</v>
      </c>
    </row>
    <row r="1064">
      <c r="A1064" t="n">
        <v>1063</v>
      </c>
      <c r="B1064" t="inlineStr">
        <is>
          <t>EXPORT CUSTOM CLEARANCE PNH/LZC/00901</t>
        </is>
      </c>
      <c r="C1064" t="inlineStr">
        <is>
          <t>អ៊ីឃ្យូឡាញ វើលវ៉ាយដ៍ ឡូជីស្ទីក</t>
        </is>
      </c>
      <c r="D1064" t="inlineStr">
        <is>
          <t>K003-901635943</t>
        </is>
      </c>
      <c r="E1064" t="inlineStr">
        <is>
          <t>PPTI24/004021</t>
        </is>
      </c>
      <c r="F1064" t="inlineStr">
        <is>
          <t>06-08-2024</t>
        </is>
      </c>
      <c r="G1064" t="n">
        <v>65728</v>
      </c>
      <c r="I1064">
        <f>G1064</f>
        <v/>
      </c>
      <c r="K1064">
        <f>I1064-G1064</f>
        <v/>
      </c>
      <c r="M1064" t="inlineStr">
        <is>
          <t>PPTI24004021</t>
        </is>
      </c>
      <c r="N1064" t="inlineStr">
        <is>
          <t>11332800</t>
        </is>
      </c>
      <c r="O1064">
        <f>M1064=N1064</f>
        <v/>
      </c>
      <c r="P1064">
        <f>AND(MONTH(F1064)=MONTH(S1064), YEAR(F1064)=YEAR(S1064))</f>
        <v/>
      </c>
      <c r="Q1064">
        <f>"L001-902303751"=U1064</f>
        <v/>
      </c>
      <c r="R1064">
        <f>G1064-W1064</f>
        <v/>
      </c>
      <c r="S1064" s="36" t="n">
        <v>45460</v>
      </c>
      <c r="T1064" t="n">
        <v>113328</v>
      </c>
      <c r="U1064" t="inlineStr">
        <is>
          <t>L001-100045995</t>
        </is>
      </c>
      <c r="V1064" t="inlineStr">
        <is>
          <t>ឌីអេចអិល ឡូជីស្ទីក (ខេមបូឌា)</t>
        </is>
      </c>
      <c r="W1064" t="n">
        <v>113328</v>
      </c>
      <c r="X1064" t="n">
        <v>0</v>
      </c>
    </row>
    <row r="1065">
      <c r="A1065" t="n">
        <v>1064</v>
      </c>
      <c r="B1065" t="inlineStr">
        <is>
          <t>Customs Clearance Fee</t>
        </is>
      </c>
      <c r="C1065" t="inlineStr">
        <is>
          <t>ត្រាយអ៊ែងហ្គល ឡូជីស្ទីក (ខេមបូឌា) ឯ.ក</t>
        </is>
      </c>
      <c r="D1065" t="inlineStr">
        <is>
          <t>K010-902101743</t>
        </is>
      </c>
      <c r="E1065" t="inlineStr">
        <is>
          <t>TAG-24-00617</t>
        </is>
      </c>
      <c r="F1065" t="inlineStr">
        <is>
          <t>31-08-2024</t>
        </is>
      </c>
      <c r="G1065" t="n">
        <v>8114</v>
      </c>
      <c r="I1065">
        <f>G1065</f>
        <v/>
      </c>
      <c r="K1065">
        <f>I1065-G1065</f>
        <v/>
      </c>
      <c r="M1065" t="inlineStr">
        <is>
          <t>TAG2400617</t>
        </is>
      </c>
      <c r="N1065" t="inlineStr">
        <is>
          <t>11332800</t>
        </is>
      </c>
      <c r="O1065">
        <f>M1065=N1065</f>
        <v/>
      </c>
      <c r="P1065">
        <f>AND(MONTH(F1065)=MONTH(S1065), YEAR(F1065)=YEAR(S1065))</f>
        <v/>
      </c>
      <c r="Q1065">
        <f>"L001-902303751"=U1065</f>
        <v/>
      </c>
      <c r="R1065">
        <f>G1065-W1065</f>
        <v/>
      </c>
      <c r="S1065" s="36" t="n">
        <v>45460</v>
      </c>
      <c r="T1065" t="n">
        <v>113328</v>
      </c>
      <c r="U1065" t="inlineStr">
        <is>
          <t>L001-100045995</t>
        </is>
      </c>
      <c r="V1065" t="inlineStr">
        <is>
          <t>ឌីអេចអិល ឡូជីស្ទីក (ខេមបូឌា)</t>
        </is>
      </c>
      <c r="W1065" t="n">
        <v>113328</v>
      </c>
      <c r="X1065" t="n">
        <v>0</v>
      </c>
    </row>
    <row r="1066">
      <c r="A1066" t="n">
        <v>1065</v>
      </c>
      <c r="B1066" t="inlineStr">
        <is>
          <t>Cargo Terminal</t>
        </is>
      </c>
      <c r="C1066" t="inlineStr">
        <is>
          <t>សូស៊ីយេតេ កុងសេស្យូនែរ ដឺ ឡាអេរ៉ូព័រ</t>
        </is>
      </c>
      <c r="D1066" t="inlineStr">
        <is>
          <t>L001-100047300</t>
        </is>
      </c>
      <c r="E1066" t="inlineStr">
        <is>
          <t>2400-068731</t>
        </is>
      </c>
      <c r="F1066" t="inlineStr">
        <is>
          <t>27-08-2024</t>
        </is>
      </c>
      <c r="G1066" t="n">
        <v>10236</v>
      </c>
      <c r="I1066">
        <f>G1066</f>
        <v/>
      </c>
      <c r="K1066">
        <f>I1066-G1066</f>
        <v/>
      </c>
      <c r="M1066" t="inlineStr">
        <is>
          <t>2400068731</t>
        </is>
      </c>
      <c r="N1066" t="inlineStr">
        <is>
          <t>8448100</t>
        </is>
      </c>
      <c r="O1066">
        <f>M1066=N1066</f>
        <v/>
      </c>
      <c r="P1066">
        <f>AND(MONTH(F1066)=MONTH(S1066), YEAR(F1066)=YEAR(S1066))</f>
        <v/>
      </c>
      <c r="Q1066">
        <f>"L001-902303751"=U1066</f>
        <v/>
      </c>
      <c r="R1066">
        <f>G1066-W1066</f>
        <v/>
      </c>
      <c r="S1066" s="36" t="n">
        <v>45460</v>
      </c>
      <c r="T1066" t="n">
        <v>84481</v>
      </c>
      <c r="U1066" t="inlineStr">
        <is>
          <t>L001-100045995</t>
        </is>
      </c>
      <c r="V1066" t="inlineStr">
        <is>
          <t>ឌីអេចអិល ឡូជីស្ទីក (ខេមបូឌា)</t>
        </is>
      </c>
      <c r="W1066" t="n">
        <v>84481</v>
      </c>
      <c r="X1066" t="n">
        <v>0</v>
      </c>
    </row>
    <row r="1067">
      <c r="A1067" t="n">
        <v>1066</v>
      </c>
      <c r="B1067" t="inlineStr">
        <is>
          <t>Customs Clearance Fee</t>
        </is>
      </c>
      <c r="C1067" t="inlineStr">
        <is>
          <t>ត្រាយអ៊ែងហ្គល ឡូជីស្ទីក (ខេមបូឌា) ឯ.ក</t>
        </is>
      </c>
      <c r="D1067" t="inlineStr">
        <is>
          <t>K010-902101743</t>
        </is>
      </c>
      <c r="E1067" t="inlineStr">
        <is>
          <t>TAG-24-00616</t>
        </is>
      </c>
      <c r="F1067" t="inlineStr">
        <is>
          <t>31-08-2024</t>
        </is>
      </c>
      <c r="G1067" t="n">
        <v>8114</v>
      </c>
      <c r="I1067">
        <f>G1067</f>
        <v/>
      </c>
      <c r="K1067">
        <f>I1067-G1067</f>
        <v/>
      </c>
      <c r="M1067" t="inlineStr">
        <is>
          <t>TAG2400616</t>
        </is>
      </c>
      <c r="N1067" t="inlineStr"/>
      <c r="O1067">
        <f>M1067=N1067</f>
        <v/>
      </c>
      <c r="P1067">
        <f>AND(MONTH(F1067)=MONTH(S1067), YEAR(F1067)=YEAR(S1067))</f>
        <v/>
      </c>
      <c r="Q1067">
        <f>"L001-902303751"=U1067</f>
        <v/>
      </c>
      <c r="R1067">
        <f>G1067-W1067</f>
        <v/>
      </c>
      <c r="S1067" s="36" t="n">
        <v>45467</v>
      </c>
      <c r="T1067" t="inlineStr"/>
      <c r="U1067" t="inlineStr">
        <is>
          <t>L001-107032791</t>
        </is>
      </c>
      <c r="V1067" t="inlineStr">
        <is>
          <t>នីបផន អិចប្រេស (ខេមបូឌា) ខូ អិលធីឌី</t>
        </is>
      </c>
      <c r="W1067" t="n">
        <v>0</v>
      </c>
      <c r="X1067" t="n">
        <v>0</v>
      </c>
    </row>
    <row r="1068">
      <c r="A1068" t="n">
        <v>1067</v>
      </c>
      <c r="B1068" t="inlineStr">
        <is>
          <t>Cargo Terminal</t>
        </is>
      </c>
      <c r="C1068" t="inlineStr">
        <is>
          <t>សូស៊ីយេតេ កុងសេស្យូនែរ ដឺ ឡាអេរ៉ូព័រ</t>
        </is>
      </c>
      <c r="D1068" t="inlineStr">
        <is>
          <t>L001-100047300</t>
        </is>
      </c>
      <c r="E1068" t="inlineStr">
        <is>
          <t>2400-068735</t>
        </is>
      </c>
      <c r="F1068" t="inlineStr">
        <is>
          <t>27-08-2024</t>
        </is>
      </c>
      <c r="G1068" t="n">
        <v>32504</v>
      </c>
      <c r="I1068">
        <f>G1068</f>
        <v/>
      </c>
      <c r="K1068">
        <f>I1068-G1068</f>
        <v/>
      </c>
      <c r="M1068" t="inlineStr">
        <is>
          <t>2400068735</t>
        </is>
      </c>
      <c r="N1068" t="inlineStr"/>
      <c r="O1068">
        <f>M1068=N1068</f>
        <v/>
      </c>
      <c r="P1068">
        <f>AND(MONTH(F1068)=MONTH(S1068), YEAR(F1068)=YEAR(S1068))</f>
        <v/>
      </c>
      <c r="Q1068">
        <f>"L001-902303751"=U1068</f>
        <v/>
      </c>
      <c r="R1068">
        <f>G1068-W1068</f>
        <v/>
      </c>
      <c r="S1068" s="36" t="n">
        <v>45467</v>
      </c>
      <c r="T1068" t="inlineStr"/>
      <c r="U1068" t="inlineStr">
        <is>
          <t>L001-107032791</t>
        </is>
      </c>
      <c r="V1068" t="inlineStr">
        <is>
          <t>នីបផន អិចប្រេស (ខេមបូឌា) ខូ អិលធីឌី</t>
        </is>
      </c>
      <c r="W1068" t="n">
        <v>0</v>
      </c>
      <c r="X1068" t="n">
        <v>0</v>
      </c>
    </row>
    <row r="1069">
      <c r="A1069" t="n">
        <v>1068</v>
      </c>
      <c r="B1069" t="inlineStr">
        <is>
          <t>Customs Clearance Fee</t>
        </is>
      </c>
      <c r="C1069" t="inlineStr">
        <is>
          <t>ត្រាយអ៊ែងហ្គល ឡូជីស្ទីក (ខេមបូឌា) ឯ.ក</t>
        </is>
      </c>
      <c r="D1069" t="inlineStr">
        <is>
          <t>K010-902101743</t>
        </is>
      </c>
      <c r="E1069" t="inlineStr">
        <is>
          <t>TAG-24-00615</t>
        </is>
      </c>
      <c r="F1069" t="inlineStr">
        <is>
          <t>31-08-2024</t>
        </is>
      </c>
      <c r="G1069" t="n">
        <v>8114</v>
      </c>
      <c r="I1069">
        <f>G1069</f>
        <v/>
      </c>
      <c r="K1069">
        <f>I1069-G1069</f>
        <v/>
      </c>
      <c r="M1069" t="inlineStr">
        <is>
          <t>TAG2400615</t>
        </is>
      </c>
      <c r="N1069" t="inlineStr"/>
      <c r="O1069">
        <f>M1069=N1069</f>
        <v/>
      </c>
      <c r="P1069">
        <f>AND(MONTH(F1069)=MONTH(S1069), YEAR(F1069)=YEAR(S1069))</f>
        <v/>
      </c>
      <c r="Q1069">
        <f>"L001-902303751"=U1069</f>
        <v/>
      </c>
      <c r="R1069">
        <f>G1069-W1069</f>
        <v/>
      </c>
      <c r="S1069" s="36" t="n">
        <v>45467</v>
      </c>
      <c r="T1069" t="inlineStr"/>
      <c r="U1069" t="inlineStr">
        <is>
          <t>L001-107032791</t>
        </is>
      </c>
      <c r="V1069" t="inlineStr">
        <is>
          <t>នីបផន អិចប្រេស (ខេមបូឌា) ខូ អិលធីឌី</t>
        </is>
      </c>
      <c r="W1069" t="n">
        <v>0</v>
      </c>
      <c r="X1069" t="n">
        <v>0</v>
      </c>
    </row>
    <row r="1070">
      <c r="A1070" t="n">
        <v>1069</v>
      </c>
      <c r="B1070" t="inlineStr">
        <is>
          <t>Cargo Terminal</t>
        </is>
      </c>
      <c r="C1070" t="inlineStr">
        <is>
          <t>សូស៊ីយេតេ កុងសេស្យូនែរ ដឺ ឡាអេរ៉ូព័រ</t>
        </is>
      </c>
      <c r="D1070" t="inlineStr">
        <is>
          <t>L001-100047300</t>
        </is>
      </c>
      <c r="E1070" t="inlineStr">
        <is>
          <t>2400-069083</t>
        </is>
      </c>
      <c r="F1070" t="inlineStr">
        <is>
          <t>28-08-2024</t>
        </is>
      </c>
      <c r="G1070" t="n">
        <v>4783</v>
      </c>
      <c r="I1070">
        <f>G1070</f>
        <v/>
      </c>
      <c r="K1070">
        <f>I1070-G1070</f>
        <v/>
      </c>
      <c r="M1070" t="inlineStr">
        <is>
          <t>2400069083</t>
        </is>
      </c>
      <c r="N1070" t="inlineStr">
        <is>
          <t>23448500</t>
        </is>
      </c>
      <c r="O1070">
        <f>M1070=N1070</f>
        <v/>
      </c>
      <c r="P1070">
        <f>AND(MONTH(F1070)=MONTH(S1070), YEAR(F1070)=YEAR(S1070))</f>
        <v/>
      </c>
      <c r="Q1070">
        <f>"L001-902303751"=U1070</f>
        <v/>
      </c>
      <c r="R1070">
        <f>G1070-W1070</f>
        <v/>
      </c>
      <c r="S1070" s="36" t="n">
        <v>45467</v>
      </c>
      <c r="T1070" t="n">
        <v>234485</v>
      </c>
      <c r="U1070" t="inlineStr">
        <is>
          <t>K004-105012505</t>
        </is>
      </c>
      <c r="V1070" t="inlineStr">
        <is>
          <t>អេស៊ាន ហ្វ្រេត (ខេមបូឌា)</t>
        </is>
      </c>
      <c r="W1070" t="n">
        <v>234485</v>
      </c>
      <c r="X1070" t="n">
        <v>0</v>
      </c>
    </row>
    <row r="1071">
      <c r="A1071" t="n">
        <v>1070</v>
      </c>
      <c r="B1071" t="inlineStr">
        <is>
          <t>Customs Clearance Fee</t>
        </is>
      </c>
      <c r="C1071" t="inlineStr">
        <is>
          <t>ត្រាយអ៊ែងហ្គល ឡូជីស្ទីក (ខេមបូឌា) ឯ.ក</t>
        </is>
      </c>
      <c r="D1071" t="inlineStr">
        <is>
          <t>K010-902101743</t>
        </is>
      </c>
      <c r="E1071" t="inlineStr">
        <is>
          <t>TAG-24-00614</t>
        </is>
      </c>
      <c r="F1071" t="inlineStr">
        <is>
          <t>31-08-2024</t>
        </is>
      </c>
      <c r="G1071" t="n">
        <v>8114</v>
      </c>
      <c r="I1071">
        <f>G1071</f>
        <v/>
      </c>
      <c r="K1071">
        <f>I1071-G1071</f>
        <v/>
      </c>
      <c r="M1071" t="inlineStr">
        <is>
          <t>TAG2400614</t>
        </is>
      </c>
      <c r="N1071" t="inlineStr">
        <is>
          <t>8433700</t>
        </is>
      </c>
      <c r="O1071">
        <f>M1071=N1071</f>
        <v/>
      </c>
      <c r="P1071">
        <f>AND(MONTH(F1071)=MONTH(S1071), YEAR(F1071)=YEAR(S1071))</f>
        <v/>
      </c>
      <c r="Q1071">
        <f>"L001-902303751"=U1071</f>
        <v/>
      </c>
      <c r="R1071">
        <f>G1071-W1071</f>
        <v/>
      </c>
      <c r="S1071" s="36" t="n">
        <v>45453</v>
      </c>
      <c r="T1071" t="n">
        <v>84337</v>
      </c>
      <c r="U1071" t="inlineStr">
        <is>
          <t>L001-100011888</t>
        </is>
      </c>
      <c r="V1071" t="inlineStr">
        <is>
          <t>ត្រេន ស្តារ ហ្រេ្វត</t>
        </is>
      </c>
      <c r="W1071" t="n">
        <v>84337</v>
      </c>
      <c r="X1071" t="n">
        <v>0</v>
      </c>
    </row>
    <row r="1072">
      <c r="A1072" t="n">
        <v>1071</v>
      </c>
      <c r="B1072" t="inlineStr">
        <is>
          <t>Cargo Terminal</t>
        </is>
      </c>
      <c r="C1072" t="inlineStr">
        <is>
          <t>សូស៊ីយេតេ កុងសេស្យូនែរ ដឺ ឡាអេរ៉ូព័រ</t>
        </is>
      </c>
      <c r="D1072" t="inlineStr">
        <is>
          <t>L001-100047300</t>
        </is>
      </c>
      <c r="E1072" t="inlineStr">
        <is>
          <t>2400-069540</t>
        </is>
      </c>
      <c r="F1072" t="inlineStr">
        <is>
          <t>30-08-2024</t>
        </is>
      </c>
      <c r="G1072" t="n">
        <v>13890</v>
      </c>
      <c r="I1072">
        <f>G1072</f>
        <v/>
      </c>
      <c r="K1072">
        <f>I1072-G1072</f>
        <v/>
      </c>
      <c r="M1072" t="inlineStr">
        <is>
          <t>2400069540</t>
        </is>
      </c>
      <c r="N1072" t="inlineStr"/>
      <c r="O1072">
        <f>M1072=N1072</f>
        <v/>
      </c>
      <c r="P1072">
        <f>AND(MONTH(F1072)=MONTH(S1072), YEAR(F1072)=YEAR(S1072))</f>
        <v/>
      </c>
      <c r="Q1072">
        <f>"L001-902303751"=U1072</f>
        <v/>
      </c>
      <c r="R1072">
        <f>G1072-W1072</f>
        <v/>
      </c>
      <c r="S1072" s="36" t="n">
        <v>45453</v>
      </c>
      <c r="T1072" t="inlineStr"/>
      <c r="U1072" t="inlineStr">
        <is>
          <t>L001-107032791</t>
        </is>
      </c>
      <c r="V1072" t="inlineStr">
        <is>
          <t>នីបផន អិចប្រេស (ខេមបូឌា) ខូ អិលធីឌី</t>
        </is>
      </c>
      <c r="W1072" t="n">
        <v>0</v>
      </c>
      <c r="X1072" t="n">
        <v>0</v>
      </c>
    </row>
    <row r="1073">
      <c r="A1073" t="n">
        <v>1072</v>
      </c>
      <c r="B1073" t="inlineStr">
        <is>
          <t>Customs Clearance Fee</t>
        </is>
      </c>
      <c r="C1073" t="inlineStr">
        <is>
          <t>ត្រាយអ៊ែងហ្គល ឡូជីស្ទីក (ខេមបូឌា) ឯ.ក</t>
        </is>
      </c>
      <c r="D1073" t="inlineStr">
        <is>
          <t>K010-902101743</t>
        </is>
      </c>
      <c r="E1073" t="inlineStr">
        <is>
          <t>TAG-24-00612</t>
        </is>
      </c>
      <c r="F1073" t="inlineStr">
        <is>
          <t>31-08-2024</t>
        </is>
      </c>
      <c r="G1073" t="n">
        <v>8114</v>
      </c>
      <c r="I1073">
        <f>G1073</f>
        <v/>
      </c>
      <c r="K1073">
        <f>I1073-G1073</f>
        <v/>
      </c>
      <c r="M1073" t="inlineStr">
        <is>
          <t>TAG2400612</t>
        </is>
      </c>
      <c r="N1073" t="inlineStr"/>
      <c r="O1073">
        <f>M1073=N1073</f>
        <v/>
      </c>
      <c r="P1073">
        <f>AND(MONTH(F1073)=MONTH(S1073), YEAR(F1073)=YEAR(S1073))</f>
        <v/>
      </c>
      <c r="Q1073">
        <f>"L001-902303751"=U1073</f>
        <v/>
      </c>
      <c r="R1073">
        <f>G1073-W1073</f>
        <v/>
      </c>
      <c r="S1073" s="36" t="n">
        <v>45453</v>
      </c>
      <c r="T1073" t="inlineStr"/>
      <c r="U1073" t="inlineStr">
        <is>
          <t>L001-107032791</t>
        </is>
      </c>
      <c r="V1073" t="inlineStr">
        <is>
          <t>នីបផន អិចប្រេស (ខេមបូឌា) ខូ អិលធីឌី</t>
        </is>
      </c>
      <c r="W1073" t="n">
        <v>0</v>
      </c>
      <c r="X1073" t="n">
        <v>0</v>
      </c>
    </row>
    <row r="1074">
      <c r="A1074" t="n">
        <v>1073</v>
      </c>
      <c r="B1074" t="inlineStr">
        <is>
          <t>Cargo Terminal</t>
        </is>
      </c>
      <c r="C1074" t="inlineStr">
        <is>
          <t>សូស៊ីយេតេ កុងសេស្យូនែរ ដឺ ឡាអេរ៉ូព័រ</t>
        </is>
      </c>
      <c r="D1074" t="inlineStr">
        <is>
          <t>L001-100047300</t>
        </is>
      </c>
      <c r="E1074" t="inlineStr">
        <is>
          <t>2400-068730</t>
        </is>
      </c>
      <c r="F1074" t="inlineStr">
        <is>
          <t>27-08-2024</t>
        </is>
      </c>
      <c r="G1074" t="n">
        <v>14900</v>
      </c>
      <c r="I1074">
        <f>G1074</f>
        <v/>
      </c>
      <c r="K1074">
        <f>I1074-G1074</f>
        <v/>
      </c>
      <c r="M1074" t="inlineStr">
        <is>
          <t>2400068730</t>
        </is>
      </c>
      <c r="N1074" t="inlineStr">
        <is>
          <t>11313500</t>
        </is>
      </c>
      <c r="O1074">
        <f>M1074=N1074</f>
        <v/>
      </c>
      <c r="P1074">
        <f>AND(MONTH(F1074)=MONTH(S1074), YEAR(F1074)=YEAR(S1074))</f>
        <v/>
      </c>
      <c r="Q1074">
        <f>"L001-902303751"=U1074</f>
        <v/>
      </c>
      <c r="R1074">
        <f>G1074-W1074</f>
        <v/>
      </c>
      <c r="S1074" s="36" t="n">
        <v>45453</v>
      </c>
      <c r="T1074" t="n">
        <v>113135</v>
      </c>
      <c r="U1074" t="inlineStr">
        <is>
          <t>L001-107032791</t>
        </is>
      </c>
      <c r="V1074" t="inlineStr">
        <is>
          <t>នីបផន អិចប្រេស (ខេមបូឌា) ខូ អិលធីឌី</t>
        </is>
      </c>
      <c r="W1074" t="n">
        <v>113135</v>
      </c>
      <c r="X1074" t="n">
        <v>0</v>
      </c>
    </row>
    <row r="1075">
      <c r="A1075" t="n">
        <v>1074</v>
      </c>
      <c r="B1075" t="inlineStr">
        <is>
          <t>Customs Clearance Fee</t>
        </is>
      </c>
      <c r="C1075" t="inlineStr">
        <is>
          <t>ត្រាយអ៊ែងហ្គល ឡូជីស្ទីក (ខេមបូឌា) ឯ.ក</t>
        </is>
      </c>
      <c r="D1075" t="inlineStr">
        <is>
          <t>K010-902101743</t>
        </is>
      </c>
      <c r="E1075" t="inlineStr">
        <is>
          <t>TAG-24-00618</t>
        </is>
      </c>
      <c r="F1075" t="inlineStr">
        <is>
          <t>31-08-2024</t>
        </is>
      </c>
      <c r="G1075" t="n">
        <v>8114</v>
      </c>
      <c r="I1075">
        <f>G1075</f>
        <v/>
      </c>
      <c r="K1075">
        <f>I1075-G1075</f>
        <v/>
      </c>
      <c r="M1075" t="inlineStr">
        <is>
          <t>TAG2400618</t>
        </is>
      </c>
      <c r="N1075" t="inlineStr"/>
      <c r="O1075">
        <f>M1075=N1075</f>
        <v/>
      </c>
      <c r="P1075">
        <f>AND(MONTH(F1075)=MONTH(S1075), YEAR(F1075)=YEAR(S1075))</f>
        <v/>
      </c>
      <c r="Q1075">
        <f>"L001-902303751"=U1075</f>
        <v/>
      </c>
      <c r="R1075">
        <f>G1075-W1075</f>
        <v/>
      </c>
      <c r="S1075" s="36" t="n">
        <v>45453</v>
      </c>
      <c r="T1075" t="inlineStr"/>
      <c r="U1075" t="inlineStr">
        <is>
          <t>K005-901805913</t>
        </is>
      </c>
      <c r="V1075" t="inlineStr">
        <is>
          <t>ស្តារ ខង់ខដ (ខេមបូឌា) ឯ.ក</t>
        </is>
      </c>
      <c r="W1075" t="n">
        <v>0</v>
      </c>
      <c r="X1075" t="n">
        <v>0</v>
      </c>
    </row>
    <row r="1076">
      <c r="A1076" t="n">
        <v>1075</v>
      </c>
      <c r="B1076" t="inlineStr">
        <is>
          <t>Cargo Terminal</t>
        </is>
      </c>
      <c r="C1076" t="inlineStr">
        <is>
          <t>សូស៊ីយេតេ កុងសេស្យូនែរ ដឺ ឡាអេរ៉ូព័រ</t>
        </is>
      </c>
      <c r="D1076" t="inlineStr">
        <is>
          <t>L001-100047300</t>
        </is>
      </c>
      <c r="E1076" t="inlineStr">
        <is>
          <t>2400-068734</t>
        </is>
      </c>
      <c r="F1076" t="inlineStr">
        <is>
          <t>27-08-2024</t>
        </is>
      </c>
      <c r="G1076" t="n">
        <v>13759</v>
      </c>
      <c r="I1076">
        <f>G1076</f>
        <v/>
      </c>
      <c r="K1076">
        <f>I1076-G1076</f>
        <v/>
      </c>
      <c r="M1076" t="inlineStr">
        <is>
          <t>2400068734</t>
        </is>
      </c>
      <c r="N1076" t="inlineStr"/>
      <c r="O1076">
        <f>M1076=N1076</f>
        <v/>
      </c>
      <c r="P1076">
        <f>AND(MONTH(F1076)=MONTH(S1076), YEAR(F1076)=YEAR(S1076))</f>
        <v/>
      </c>
      <c r="Q1076">
        <f>"L001-902303751"=U1076</f>
        <v/>
      </c>
      <c r="R1076">
        <f>G1076-W1076</f>
        <v/>
      </c>
      <c r="S1076" s="36" t="n">
        <v>45446</v>
      </c>
      <c r="T1076" t="inlineStr"/>
      <c r="U1076" t="inlineStr">
        <is>
          <t>L001-107032791</t>
        </is>
      </c>
      <c r="V1076" t="inlineStr">
        <is>
          <t>នីបផន អិចប្រេស (ខេមបូឌា) ខូ អិលធីឌី</t>
        </is>
      </c>
      <c r="W1076" t="n">
        <v>0</v>
      </c>
      <c r="X1076" t="n">
        <v>0</v>
      </c>
    </row>
    <row r="1077">
      <c r="A1077" t="n">
        <v>1076</v>
      </c>
      <c r="B1077" t="inlineStr">
        <is>
          <t>Customs Clearance Fee</t>
        </is>
      </c>
      <c r="C1077" t="inlineStr">
        <is>
          <t>ត្រាយអ៊ែងហ្គល ឡូជីស្ទីក (ខេមបូឌា) ឯ.ក</t>
        </is>
      </c>
      <c r="D1077" t="inlineStr">
        <is>
          <t>K010-902101743</t>
        </is>
      </c>
      <c r="E1077" t="inlineStr">
        <is>
          <t>TAG-24-00621</t>
        </is>
      </c>
      <c r="F1077" t="inlineStr">
        <is>
          <t>31-08-2024</t>
        </is>
      </c>
      <c r="G1077" t="n">
        <v>8114</v>
      </c>
      <c r="I1077">
        <f>G1077</f>
        <v/>
      </c>
      <c r="K1077">
        <f>I1077-G1077</f>
        <v/>
      </c>
      <c r="M1077" t="inlineStr">
        <is>
          <t>TAG2400621</t>
        </is>
      </c>
      <c r="N1077" t="inlineStr"/>
      <c r="O1077">
        <f>M1077=N1077</f>
        <v/>
      </c>
      <c r="P1077">
        <f>AND(MONTH(F1077)=MONTH(S1077), YEAR(F1077)=YEAR(S1077))</f>
        <v/>
      </c>
      <c r="Q1077">
        <f>"L001-902303751"=U1077</f>
        <v/>
      </c>
      <c r="R1077">
        <f>G1077-W1077</f>
        <v/>
      </c>
      <c r="S1077" s="36" t="n">
        <v>45468</v>
      </c>
      <c r="T1077" t="inlineStr"/>
      <c r="U1077" t="inlineStr">
        <is>
          <t>L001-107032791</t>
        </is>
      </c>
      <c r="V1077" t="inlineStr">
        <is>
          <t>នីបផន អិចប្រេស (ខេមបូឌា) ខូ អិលធីឌី</t>
        </is>
      </c>
      <c r="W1077" t="n">
        <v>0</v>
      </c>
      <c r="X1077" t="n">
        <v>0</v>
      </c>
    </row>
    <row r="1078">
      <c r="A1078" t="n">
        <v>1077</v>
      </c>
      <c r="B1078" t="inlineStr">
        <is>
          <t>Customs Clearance Fee</t>
        </is>
      </c>
      <c r="C1078" t="inlineStr">
        <is>
          <t>ត្រាយអ៊ែងហ្គល ឡូជីស្ទីក (ខេមបូឌា) ឯ.ក</t>
        </is>
      </c>
      <c r="D1078" t="inlineStr">
        <is>
          <t>K010-902101743</t>
        </is>
      </c>
      <c r="E1078" t="inlineStr">
        <is>
          <t>TAG-24-00620</t>
        </is>
      </c>
      <c r="F1078" t="inlineStr">
        <is>
          <t>31-08-2024</t>
        </is>
      </c>
      <c r="G1078" t="n">
        <v>8114</v>
      </c>
      <c r="I1078">
        <f>G1078</f>
        <v/>
      </c>
      <c r="K1078">
        <f>I1078-G1078</f>
        <v/>
      </c>
      <c r="M1078" t="inlineStr">
        <is>
          <t>TAG2400620</t>
        </is>
      </c>
      <c r="N1078" t="inlineStr">
        <is>
          <t>1646000</t>
        </is>
      </c>
      <c r="O1078">
        <f>M1078=N1078</f>
        <v/>
      </c>
      <c r="P1078">
        <f>AND(MONTH(F1078)=MONTH(S1078), YEAR(F1078)=YEAR(S1078))</f>
        <v/>
      </c>
      <c r="Q1078">
        <f>"L001-902303751"=U1078</f>
        <v/>
      </c>
      <c r="R1078">
        <f>G1078-W1078</f>
        <v/>
      </c>
      <c r="S1078" s="36" t="n">
        <v>45468</v>
      </c>
      <c r="T1078" t="n">
        <v>16460</v>
      </c>
      <c r="U1078" t="inlineStr">
        <is>
          <t>L001-100045340</t>
        </is>
      </c>
      <c r="V1078" t="inlineStr">
        <is>
          <t xml:space="preserve">ស៊ីវ៉ា អ៊ែរ អ៊ែន អូសៀន (ខេមបូឌា) ឯ.ក </t>
        </is>
      </c>
      <c r="W1078" t="n">
        <v>16460</v>
      </c>
      <c r="X1078" t="n">
        <v>0</v>
      </c>
    </row>
    <row r="1079">
      <c r="A1079" t="n">
        <v>1078</v>
      </c>
      <c r="B1079" t="inlineStr">
        <is>
          <t>Customs Clearance Fee</t>
        </is>
      </c>
      <c r="C1079" t="inlineStr">
        <is>
          <t>ត្រាយអ៊ែងហ្គល ឡូជីស្ទីក (ខេមបូឌា) ឯ.ក</t>
        </is>
      </c>
      <c r="D1079" t="inlineStr">
        <is>
          <t>K010-902101743</t>
        </is>
      </c>
      <c r="E1079" t="inlineStr">
        <is>
          <t>TAG-24-00521</t>
        </is>
      </c>
      <c r="F1079" t="inlineStr">
        <is>
          <t>06-08-2024</t>
        </is>
      </c>
      <c r="G1079" t="n">
        <v>8218</v>
      </c>
      <c r="I1079">
        <f>G1079</f>
        <v/>
      </c>
      <c r="K1079">
        <f>I1079-G1079</f>
        <v/>
      </c>
      <c r="M1079" t="inlineStr">
        <is>
          <t>TAG2400521</t>
        </is>
      </c>
      <c r="N1079" t="inlineStr"/>
      <c r="O1079">
        <f>M1079=N1079</f>
        <v/>
      </c>
      <c r="P1079">
        <f>AND(MONTH(F1079)=MONTH(S1079), YEAR(F1079)=YEAR(S1079))</f>
        <v/>
      </c>
      <c r="Q1079">
        <f>"L001-902303751"=U1079</f>
        <v/>
      </c>
      <c r="R1079">
        <f>G1079-W1079</f>
        <v/>
      </c>
      <c r="S1079" s="36" t="n">
        <v>45460</v>
      </c>
      <c r="T1079" t="inlineStr"/>
      <c r="U1079" t="inlineStr">
        <is>
          <t>L001-100045995</t>
        </is>
      </c>
      <c r="V1079" t="inlineStr">
        <is>
          <t>ឌីអេចអិល ឡូជីស្ទីក (ខេមបូឌា)</t>
        </is>
      </c>
      <c r="W1079" t="n">
        <v>0</v>
      </c>
      <c r="X1079" t="n">
        <v>0</v>
      </c>
    </row>
    <row r="1080">
      <c r="A1080" t="n">
        <v>1079</v>
      </c>
      <c r="B1080" t="inlineStr">
        <is>
          <t>Cargo Terminal</t>
        </is>
      </c>
      <c r="C1080" t="inlineStr">
        <is>
          <t>សូស៊ីយេតេ កុងសេស្យូនែរ ដឺ ឡាអេរ៉ូព័រ</t>
        </is>
      </c>
      <c r="D1080" t="inlineStr">
        <is>
          <t>L001-100047300</t>
        </is>
      </c>
      <c r="E1080" t="inlineStr">
        <is>
          <t>2400-061227</t>
        </is>
      </c>
      <c r="F1080" t="inlineStr">
        <is>
          <t>03-08-2024</t>
        </is>
      </c>
      <c r="G1080" t="n">
        <v>28065</v>
      </c>
      <c r="I1080">
        <f>G1080</f>
        <v/>
      </c>
      <c r="K1080">
        <f>I1080-G1080</f>
        <v/>
      </c>
      <c r="M1080" t="inlineStr">
        <is>
          <t>2400061227</t>
        </is>
      </c>
      <c r="N1080" t="inlineStr"/>
      <c r="O1080">
        <f>M1080=N1080</f>
        <v/>
      </c>
      <c r="P1080">
        <f>AND(MONTH(F1080)=MONTH(S1080), YEAR(F1080)=YEAR(S1080))</f>
        <v/>
      </c>
      <c r="Q1080">
        <f>"L001-902303751"=U1080</f>
        <v/>
      </c>
      <c r="R1080">
        <f>G1080-W1080</f>
        <v/>
      </c>
      <c r="S1080" s="36" t="n">
        <v>45467</v>
      </c>
      <c r="T1080" t="inlineStr"/>
      <c r="U1080" t="inlineStr">
        <is>
          <t>L001-100045995</t>
        </is>
      </c>
      <c r="V1080" t="inlineStr">
        <is>
          <t>ឌីអេចអិល ឡូជីស្ទីក (ខេមបូឌា)</t>
        </is>
      </c>
      <c r="W1080" t="n">
        <v>0</v>
      </c>
      <c r="X1080" t="n">
        <v>0</v>
      </c>
    </row>
    <row r="1081">
      <c r="A1081" t="n">
        <v>1080</v>
      </c>
      <c r="B1081" t="inlineStr">
        <is>
          <t>Customs Clearance Fee</t>
        </is>
      </c>
      <c r="C1081" t="inlineStr">
        <is>
          <t>ត្រាយអ៊ែងហ្គល ឡូជីស្ទីក (ខេមបូឌា) ឯ.ក</t>
        </is>
      </c>
      <c r="D1081" t="inlineStr">
        <is>
          <t>K010-902101743</t>
        </is>
      </c>
      <c r="E1081" t="inlineStr">
        <is>
          <t>TAG-24-00520</t>
        </is>
      </c>
      <c r="F1081" t="inlineStr">
        <is>
          <t>06-08-2024</t>
        </is>
      </c>
      <c r="G1081" t="n">
        <v>8218</v>
      </c>
      <c r="I1081">
        <f>G1081</f>
        <v/>
      </c>
      <c r="K1081">
        <f>I1081-G1081</f>
        <v/>
      </c>
      <c r="M1081" t="inlineStr">
        <is>
          <t>TAG2400520</t>
        </is>
      </c>
      <c r="N1081" t="inlineStr"/>
      <c r="O1081">
        <f>M1081=N1081</f>
        <v/>
      </c>
      <c r="P1081">
        <f>AND(MONTH(F1081)=MONTH(S1081), YEAR(F1081)=YEAR(S1081))</f>
        <v/>
      </c>
      <c r="Q1081">
        <f>"L001-902303751"=U1081</f>
        <v/>
      </c>
      <c r="R1081">
        <f>G1081-W1081</f>
        <v/>
      </c>
      <c r="S1081" s="36" t="n">
        <v>45467</v>
      </c>
      <c r="T1081" t="inlineStr"/>
      <c r="U1081" t="inlineStr">
        <is>
          <t>K005-901805913</t>
        </is>
      </c>
      <c r="V1081" t="inlineStr">
        <is>
          <t>ស្តារ ខង់ខដ (ខេមបូឌា) ឯ.ក</t>
        </is>
      </c>
      <c r="W1081" t="n">
        <v>0</v>
      </c>
      <c r="X1081" t="n">
        <v>0</v>
      </c>
    </row>
    <row r="1082">
      <c r="A1082" t="n">
        <v>1081</v>
      </c>
      <c r="B1082" t="inlineStr">
        <is>
          <t>Customs Clearance Fee</t>
        </is>
      </c>
      <c r="C1082" t="inlineStr">
        <is>
          <t>ត្រាយអ៊ែងហ្គល ឡូជីស្ទីក (ខេមបូឌា) ឯ.ក</t>
        </is>
      </c>
      <c r="D1082" t="inlineStr">
        <is>
          <t>K010-902101743</t>
        </is>
      </c>
      <c r="E1082" t="inlineStr">
        <is>
          <t>TAG-24-00591</t>
        </is>
      </c>
      <c r="F1082" t="inlineStr">
        <is>
          <t>29-08-2024</t>
        </is>
      </c>
      <c r="G1082" t="n">
        <v>8122</v>
      </c>
      <c r="I1082">
        <f>G1082</f>
        <v/>
      </c>
      <c r="K1082">
        <f>I1082-G1082</f>
        <v/>
      </c>
      <c r="M1082" t="inlineStr">
        <is>
          <t>TAG2400591</t>
        </is>
      </c>
      <c r="N1082" t="inlineStr"/>
      <c r="O1082">
        <f>M1082=N1082</f>
        <v/>
      </c>
      <c r="P1082">
        <f>AND(MONTH(F1082)=MONTH(S1082), YEAR(F1082)=YEAR(S1082))</f>
        <v/>
      </c>
      <c r="Q1082">
        <f>"L001-902303751"=U1082</f>
        <v/>
      </c>
      <c r="R1082">
        <f>G1082-W1082</f>
        <v/>
      </c>
      <c r="S1082" s="36" t="n">
        <v>45467</v>
      </c>
      <c r="T1082" t="inlineStr"/>
      <c r="U1082" t="inlineStr">
        <is>
          <t>L001-100045340</t>
        </is>
      </c>
      <c r="V1082" t="inlineStr">
        <is>
          <t xml:space="preserve">ស៊ីវ៉ា អ៊ែរ អ៊ែន អូសៀន (ខេមបូឌា) ឯ.ក </t>
        </is>
      </c>
      <c r="W1082" t="n">
        <v>0</v>
      </c>
      <c r="X1082" t="n">
        <v>0</v>
      </c>
    </row>
    <row r="1083">
      <c r="A1083" t="n">
        <v>1082</v>
      </c>
      <c r="B1083" t="inlineStr">
        <is>
          <t>Customs Clearance Fee</t>
        </is>
      </c>
      <c r="C1083" t="inlineStr">
        <is>
          <t>ត្រាយអ៊ែងហ្គល ឡូជីស្ទីក (ខេមបូឌា) ឯ.ក</t>
        </is>
      </c>
      <c r="D1083" t="inlineStr">
        <is>
          <t>K010-902101743</t>
        </is>
      </c>
      <c r="E1083" t="inlineStr">
        <is>
          <t>TAG-24-00590</t>
        </is>
      </c>
      <c r="F1083" t="inlineStr">
        <is>
          <t>29-08-2024</t>
        </is>
      </c>
      <c r="G1083" t="n">
        <v>8122</v>
      </c>
      <c r="I1083">
        <f>G1083</f>
        <v/>
      </c>
      <c r="K1083">
        <f>I1083-G1083</f>
        <v/>
      </c>
      <c r="M1083" t="inlineStr">
        <is>
          <t>TAG2400590</t>
        </is>
      </c>
      <c r="N1083" t="inlineStr">
        <is>
          <t>11332800</t>
        </is>
      </c>
      <c r="O1083">
        <f>M1083=N1083</f>
        <v/>
      </c>
      <c r="P1083">
        <f>AND(MONTH(F1083)=MONTH(S1083), YEAR(F1083)=YEAR(S1083))</f>
        <v/>
      </c>
      <c r="Q1083">
        <f>"L001-902303751"=U1083</f>
        <v/>
      </c>
      <c r="R1083">
        <f>G1083-W1083</f>
        <v/>
      </c>
      <c r="S1083" s="36" t="n">
        <v>45467</v>
      </c>
      <c r="T1083" t="n">
        <v>113328</v>
      </c>
      <c r="U1083" t="inlineStr">
        <is>
          <t>L001-107032791</t>
        </is>
      </c>
      <c r="V1083" t="inlineStr">
        <is>
          <t>នីបផន អិចប្រេស (ខេមបូឌា) ខូ អិលធីឌី</t>
        </is>
      </c>
      <c r="W1083" t="n">
        <v>113328</v>
      </c>
      <c r="X1083" t="n">
        <v>0</v>
      </c>
    </row>
    <row r="1084">
      <c r="A1084" t="n">
        <v>1083</v>
      </c>
      <c r="B1084" t="inlineStr">
        <is>
          <t>THC GMD24SGNPNH0847, DOC Fee GMD24SGNPNH0847 and Container Imbalance GMD24SGNPNH0847</t>
        </is>
      </c>
      <c r="C1084" t="inlineStr">
        <is>
          <t>សាខាក្រុមហ៊ុន ជីម៉ាឌីប ស៊ីបភីង ខមភេនី លីមីធីត</t>
        </is>
      </c>
      <c r="D1084" t="inlineStr">
        <is>
          <t>L001-901704777</t>
        </is>
      </c>
      <c r="E1084" t="inlineStr">
        <is>
          <t>24-02757</t>
        </is>
      </c>
      <c r="F1084" t="inlineStr">
        <is>
          <t>06-08-2024</t>
        </is>
      </c>
      <c r="G1084" t="n">
        <v>96562</v>
      </c>
      <c r="I1084">
        <f>G1084</f>
        <v/>
      </c>
      <c r="K1084">
        <f>I1084-G1084</f>
        <v/>
      </c>
      <c r="M1084" t="inlineStr">
        <is>
          <t>2402757</t>
        </is>
      </c>
      <c r="N1084" t="inlineStr">
        <is>
          <t>8433700</t>
        </is>
      </c>
      <c r="O1084">
        <f>M1084=N1084</f>
        <v/>
      </c>
      <c r="P1084">
        <f>AND(MONTH(F1084)=MONTH(S1084), YEAR(F1084)=YEAR(S1084))</f>
        <v/>
      </c>
      <c r="Q1084">
        <f>"L001-902303751"=U1084</f>
        <v/>
      </c>
      <c r="R1084">
        <f>G1084-W1084</f>
        <v/>
      </c>
      <c r="S1084" s="36" t="n">
        <v>45453</v>
      </c>
      <c r="T1084" t="n">
        <v>84337</v>
      </c>
      <c r="U1084" t="inlineStr">
        <is>
          <t>L001-107032791</t>
        </is>
      </c>
      <c r="V1084" t="inlineStr">
        <is>
          <t>នីបផន អិចប្រេស (ខេមបូឌា) ខូ អិលធីឌី</t>
        </is>
      </c>
      <c r="W1084" t="n">
        <v>84337</v>
      </c>
      <c r="X1084" t="n">
        <v>0</v>
      </c>
    </row>
    <row r="1085">
      <c r="A1085" t="n">
        <v>1084</v>
      </c>
      <c r="B1085" t="inlineStr">
        <is>
          <t>Monthly Tax Service for July 2024</t>
        </is>
      </c>
      <c r="C1085" t="inlineStr">
        <is>
          <t>ខេឌី ខនសាល់ធេន ឯ.ក</t>
        </is>
      </c>
      <c r="D1085" t="inlineStr">
        <is>
          <t>K005-901704277</t>
        </is>
      </c>
      <c r="E1085" t="inlineStr">
        <is>
          <t>20240001035</t>
        </is>
      </c>
      <c r="F1085" t="inlineStr">
        <is>
          <t>20-08-2024</t>
        </is>
      </c>
      <c r="G1085" t="n">
        <v>102250</v>
      </c>
      <c r="I1085">
        <f>G1085</f>
        <v/>
      </c>
      <c r="K1085">
        <f>I1085-G1085</f>
        <v/>
      </c>
      <c r="M1085" t="inlineStr">
        <is>
          <t>20240001035</t>
        </is>
      </c>
      <c r="N1085" t="inlineStr"/>
      <c r="O1085">
        <f>M1085=N1085</f>
        <v/>
      </c>
      <c r="P1085">
        <f>AND(MONTH(F1085)=MONTH(S1085), YEAR(F1085)=YEAR(S1085))</f>
        <v/>
      </c>
      <c r="Q1085">
        <f>"L001-902303751"=U1085</f>
        <v/>
      </c>
      <c r="R1085">
        <f>G1085-W1085</f>
        <v/>
      </c>
      <c r="S1085" s="36" t="n">
        <v>45453</v>
      </c>
      <c r="T1085" t="inlineStr"/>
      <c r="U1085" t="inlineStr">
        <is>
          <t>L001-100045995</t>
        </is>
      </c>
      <c r="V1085" t="inlineStr">
        <is>
          <t>ឌីអេចអិល ឡូជីស្ទីក (ខេមបូឌា)</t>
        </is>
      </c>
      <c r="W1085" t="n">
        <v>0</v>
      </c>
      <c r="X1085" t="n">
        <v>0</v>
      </c>
    </row>
    <row r="1086">
      <c r="A1086" t="n">
        <v>1085</v>
      </c>
      <c r="B1086" t="inlineStr">
        <is>
          <t>Cargo Terminal</t>
        </is>
      </c>
      <c r="C1086" t="inlineStr">
        <is>
          <t>សូស៊ីយេតេ កុងសេស្យូនែរ ដឺ ឡាអេរ៉ូព័រ</t>
        </is>
      </c>
      <c r="D1086" t="inlineStr">
        <is>
          <t>L001-100047300</t>
        </is>
      </c>
      <c r="E1086" t="inlineStr">
        <is>
          <t>2400-069752</t>
        </is>
      </c>
      <c r="F1086" t="inlineStr">
        <is>
          <t>30-08-2024</t>
        </is>
      </c>
      <c r="G1086" t="n">
        <v>18338</v>
      </c>
      <c r="I1086">
        <f>G1086</f>
        <v/>
      </c>
      <c r="K1086">
        <f>I1086-G1086</f>
        <v/>
      </c>
      <c r="M1086" t="inlineStr">
        <is>
          <t>2400069752</t>
        </is>
      </c>
      <c r="N1086" t="inlineStr">
        <is>
          <t>23043600</t>
        </is>
      </c>
      <c r="O1086">
        <f>M1086=N1086</f>
        <v/>
      </c>
      <c r="P1086">
        <f>AND(MONTH(F1086)=MONTH(S1086), YEAR(F1086)=YEAR(S1086))</f>
        <v/>
      </c>
      <c r="Q1086">
        <f>"L001-902303751"=U1086</f>
        <v/>
      </c>
      <c r="R1086">
        <f>G1086-W1086</f>
        <v/>
      </c>
      <c r="S1086" s="36" t="n">
        <v>45444</v>
      </c>
      <c r="T1086" t="n">
        <v>230436</v>
      </c>
      <c r="U1086" t="inlineStr">
        <is>
          <t>L001-103007369</t>
        </is>
      </c>
      <c r="V1086" t="inlineStr">
        <is>
          <t>អូរៀនថល ឡូជីស្ទីក &amp; ឌីស្ទ្រីប៊្យូសិន (ខេមបូឌា)</t>
        </is>
      </c>
      <c r="W1086" t="n">
        <v>230436</v>
      </c>
      <c r="X1086" t="n">
        <v>0</v>
      </c>
    </row>
    <row r="1087">
      <c r="A1087" t="n">
        <v>1086</v>
      </c>
      <c r="B1087" t="inlineStr">
        <is>
          <t>THC GMD24SGNPNH0952, DOC Fee GMD24SGNPNH0952 and Container Imbalance GMD24SGNPNH0952</t>
        </is>
      </c>
      <c r="C1087" t="inlineStr">
        <is>
          <t>សាខាក្រុមហ៊ុន ជីម៉ាឌីប ស៊ីបភីង ខមភេនី លីមីធីត</t>
        </is>
      </c>
      <c r="D1087" t="inlineStr">
        <is>
          <t>L001-901704777</t>
        </is>
      </c>
      <c r="E1087" t="inlineStr">
        <is>
          <t>24-03140</t>
        </is>
      </c>
      <c r="F1087" t="inlineStr">
        <is>
          <t>26-08-2024</t>
        </is>
      </c>
      <c r="G1087" t="n">
        <v>95763</v>
      </c>
      <c r="I1087">
        <f>G1087</f>
        <v/>
      </c>
      <c r="K1087">
        <f>I1087-G1087</f>
        <v/>
      </c>
      <c r="M1087" t="inlineStr">
        <is>
          <t>2403140</t>
        </is>
      </c>
      <c r="N1087" t="inlineStr">
        <is>
          <t>11272300</t>
        </is>
      </c>
      <c r="O1087">
        <f>M1087=N1087</f>
        <v/>
      </c>
      <c r="P1087">
        <f>AND(MONTH(F1087)=MONTH(S1087), YEAR(F1087)=YEAR(S1087))</f>
        <v/>
      </c>
      <c r="Q1087">
        <f>"L001-902303751"=U1087</f>
        <v/>
      </c>
      <c r="R1087">
        <f>G1087-W1087</f>
        <v/>
      </c>
      <c r="S1087" s="36" t="n">
        <v>45446</v>
      </c>
      <c r="T1087" t="n">
        <v>112723</v>
      </c>
      <c r="U1087" t="inlineStr">
        <is>
          <t>K002-901800477</t>
        </is>
      </c>
      <c r="V1087" t="inlineStr">
        <is>
          <t>អាយធីអាយ អ៊ិនធើណេសិនណល ត្រេនស័្ពរថេសិន (ខេមបូឌា) ឯ.ក</t>
        </is>
      </c>
      <c r="W1087" t="n">
        <v>112723</v>
      </c>
      <c r="X1087" t="n">
        <v>0</v>
      </c>
    </row>
    <row r="1088">
      <c r="A1088" t="n">
        <v>1087</v>
      </c>
      <c r="B1088" t="inlineStr">
        <is>
          <t>Terminal Handling Charge, Container Freight Station, Scanning Fee, Container Imbalance Charge, Document Fee, Agency Fee, Delivery Order and Admin Fee</t>
        </is>
      </c>
      <c r="C1088" t="inlineStr">
        <is>
          <t>អឹឡាយអិន ហ្វ័រវើឌីង (ខេមបូឌា) ឯ.ក</t>
        </is>
      </c>
      <c r="D1088" t="inlineStr">
        <is>
          <t>K005-901902888</t>
        </is>
      </c>
      <c r="E1088" t="inlineStr">
        <is>
          <t>PPTI24-0609</t>
        </is>
      </c>
      <c r="F1088" t="inlineStr">
        <is>
          <t>27-08-2024</t>
        </is>
      </c>
      <c r="G1088" t="n">
        <v>88587</v>
      </c>
      <c r="I1088">
        <f>G1088</f>
        <v/>
      </c>
      <c r="K1088">
        <f>I1088-G1088</f>
        <v/>
      </c>
      <c r="M1088" t="inlineStr">
        <is>
          <t>PPTI240609</t>
        </is>
      </c>
      <c r="N1088" t="inlineStr"/>
      <c r="O1088">
        <f>M1088=N1088</f>
        <v/>
      </c>
      <c r="P1088">
        <f>AND(MONTH(F1088)=MONTH(S1088), YEAR(F1088)=YEAR(S1088))</f>
        <v/>
      </c>
      <c r="Q1088">
        <f>"L001-902303751"=U1088</f>
        <v/>
      </c>
      <c r="R1088">
        <f>G1088-W1088</f>
        <v/>
      </c>
      <c r="S1088" s="36" t="n">
        <v>45453</v>
      </c>
      <c r="T1088" t="inlineStr"/>
      <c r="U1088" t="inlineStr">
        <is>
          <t>K002-901800477</t>
        </is>
      </c>
      <c r="V1088" t="inlineStr">
        <is>
          <t>អាយធីអាយ អ៊ិនធើណេសិនណល ត្រេនស័្ពរថេសិន (ខេមបូឌា) ឯ.ក</t>
        </is>
      </c>
      <c r="W1088" t="n">
        <v>0</v>
      </c>
      <c r="X1088" t="n">
        <v>0</v>
      </c>
    </row>
    <row r="1089">
      <c r="A1089" t="n">
        <v>1088</v>
      </c>
      <c r="B1089" t="inlineStr">
        <is>
          <t>Warehouse Fee and Transit Fee</t>
        </is>
      </c>
      <c r="C1089" t="inlineStr">
        <is>
          <t>អាយធីអាយ អ៊ិនធើណេសិនណល ត្រេនស័្ពរថេសិន (ខេមបូឌា) ឯ.ក</t>
        </is>
      </c>
      <c r="D1089" t="inlineStr">
        <is>
          <t>K002-901800477</t>
        </is>
      </c>
      <c r="E1089" t="inlineStr">
        <is>
          <t>CAM243875</t>
        </is>
      </c>
      <c r="F1089" t="inlineStr">
        <is>
          <t>26-08-2024</t>
        </is>
      </c>
      <c r="G1089" t="n">
        <v>7836</v>
      </c>
      <c r="I1089">
        <f>G1089</f>
        <v/>
      </c>
      <c r="K1089">
        <f>I1089-G1089</f>
        <v/>
      </c>
      <c r="M1089" t="inlineStr">
        <is>
          <t>CAM243875</t>
        </is>
      </c>
      <c r="N1089" t="inlineStr">
        <is>
          <t>17484500</t>
        </is>
      </c>
      <c r="O1089">
        <f>M1089=N1089</f>
        <v/>
      </c>
      <c r="P1089">
        <f>AND(MONTH(F1089)=MONTH(S1089), YEAR(F1089)=YEAR(S1089))</f>
        <v/>
      </c>
      <c r="Q1089">
        <f>"L001-902303751"=U1089</f>
        <v/>
      </c>
      <c r="R1089">
        <f>G1089-W1089</f>
        <v/>
      </c>
      <c r="S1089" s="36" t="n">
        <v>45453</v>
      </c>
      <c r="T1089" t="n">
        <v>174845</v>
      </c>
      <c r="U1089" t="inlineStr">
        <is>
          <t>K002-901800477</t>
        </is>
      </c>
      <c r="V1089" t="inlineStr">
        <is>
          <t>អាយធីអាយ អ៊ិនធើណេសិនណល ត្រេនស័្ពរថេសិន (ខេមបូឌា) ឯ.ក</t>
        </is>
      </c>
      <c r="W1089" t="n">
        <v>174845</v>
      </c>
      <c r="X1089" t="n">
        <v>0</v>
      </c>
    </row>
    <row r="1090">
      <c r="A1090" t="n">
        <v>1089</v>
      </c>
      <c r="B1090" t="inlineStr">
        <is>
          <t>LIFT-ON Charges 20" Full and Gate Fee Charges 20" Full</t>
        </is>
      </c>
      <c r="C1090" t="inlineStr">
        <is>
          <t>កំពង់ផែស្វយ័តភ្នំពេញ "ក.ស.ភ"</t>
        </is>
      </c>
      <c r="D1090" t="inlineStr">
        <is>
          <t>L001-100044999</t>
        </is>
      </c>
      <c r="E1090" t="inlineStr">
        <is>
          <t>INV20240861656</t>
        </is>
      </c>
      <c r="F1090" t="inlineStr">
        <is>
          <t>28-08-2024</t>
        </is>
      </c>
      <c r="G1090" t="n">
        <v>18704</v>
      </c>
      <c r="I1090">
        <f>G1090</f>
        <v/>
      </c>
      <c r="K1090">
        <f>I1090-G1090</f>
        <v/>
      </c>
      <c r="M1090" t="inlineStr">
        <is>
          <t>INV20240861656</t>
        </is>
      </c>
      <c r="N1090" t="inlineStr"/>
      <c r="O1090">
        <f>M1090=N1090</f>
        <v/>
      </c>
      <c r="P1090">
        <f>AND(MONTH(F1090)=MONTH(S1090), YEAR(F1090)=YEAR(S1090))</f>
        <v/>
      </c>
      <c r="Q1090">
        <f>"L001-902303751"=U1090</f>
        <v/>
      </c>
      <c r="R1090">
        <f>G1090-W1090</f>
        <v/>
      </c>
      <c r="S1090" s="36" t="n">
        <v>45446</v>
      </c>
      <c r="T1090" t="inlineStr"/>
      <c r="U1090" t="inlineStr">
        <is>
          <t>L001-100011888</t>
        </is>
      </c>
      <c r="V1090" t="inlineStr">
        <is>
          <t>ត្រេន ស្តារ ហ្រេ្វត</t>
        </is>
      </c>
      <c r="W1090" t="n">
        <v>0</v>
      </c>
      <c r="X1090" t="n">
        <v>0</v>
      </c>
    </row>
    <row r="1091">
      <c r="A1091" t="n">
        <v>1090</v>
      </c>
      <c r="B1091" t="inlineStr">
        <is>
          <t>LIFT-ON Charges 20" Full and Gate Fee Charges 20" Full</t>
        </is>
      </c>
      <c r="C1091" t="inlineStr">
        <is>
          <t>កំពង់ផែស្វយ័តភ្នំពេញ "ក.ស.ភ"</t>
        </is>
      </c>
      <c r="D1091" t="inlineStr">
        <is>
          <t>L001-100044999</t>
        </is>
      </c>
      <c r="E1091" t="inlineStr">
        <is>
          <t>INV20240854004</t>
        </is>
      </c>
      <c r="F1091" t="inlineStr">
        <is>
          <t>08-08-2024</t>
        </is>
      </c>
      <c r="G1091" t="n">
        <v>18883</v>
      </c>
      <c r="I1091">
        <f>G1091</f>
        <v/>
      </c>
      <c r="K1091">
        <f>I1091-G1091</f>
        <v/>
      </c>
      <c r="M1091" t="inlineStr">
        <is>
          <t>INV20240854004</t>
        </is>
      </c>
      <c r="N1091" t="inlineStr"/>
      <c r="O1091">
        <f>M1091=N1091</f>
        <v/>
      </c>
      <c r="P1091">
        <f>AND(MONTH(F1091)=MONTH(S1091), YEAR(F1091)=YEAR(S1091))</f>
        <v/>
      </c>
      <c r="Q1091">
        <f>"L001-902303751"=U1091</f>
        <v/>
      </c>
      <c r="R1091">
        <f>G1091-W1091</f>
        <v/>
      </c>
      <c r="S1091" s="36" t="n">
        <v>45460</v>
      </c>
      <c r="T1091" t="inlineStr"/>
      <c r="U1091" t="inlineStr">
        <is>
          <t>L001-100045995</t>
        </is>
      </c>
      <c r="V1091" t="inlineStr">
        <is>
          <t>ឌីអេចអិល ឡូជីស្ទីក (ខេមបូឌា)</t>
        </is>
      </c>
      <c r="W1091" t="n">
        <v>0</v>
      </c>
      <c r="X1091" t="n">
        <v>0</v>
      </c>
    </row>
    <row r="1092">
      <c r="A1092" t="n">
        <v>1091</v>
      </c>
      <c r="B1092" t="inlineStr">
        <is>
          <t>Terminal Handling Charge, Container Freight Station, Scanning Fee, Delivery Order Fee, Document Fee, Agency Fee, Co-Loader Fee and Container Imbalance Charge</t>
        </is>
      </c>
      <c r="C1092" t="inlineStr">
        <is>
          <t>ផេនដា គ្លូប៊ល ឡូជីស្ទីក (ខេមបូឌា)</t>
        </is>
      </c>
      <c r="D1092" t="inlineStr">
        <is>
          <t>K005-901501155</t>
        </is>
      </c>
      <c r="E1092" t="inlineStr">
        <is>
          <t>PD240349</t>
        </is>
      </c>
      <c r="F1092" t="inlineStr">
        <is>
          <t>22-08-2024</t>
        </is>
      </c>
      <c r="G1092" t="n">
        <v>91240</v>
      </c>
      <c r="I1092">
        <f>G1092</f>
        <v/>
      </c>
      <c r="K1092">
        <f>I1092-G1092</f>
        <v/>
      </c>
      <c r="M1092" t="inlineStr">
        <is>
          <t>PD240349</t>
        </is>
      </c>
      <c r="N1092" t="inlineStr"/>
      <c r="O1092">
        <f>M1092=N1092</f>
        <v/>
      </c>
      <c r="P1092">
        <f>AND(MONTH(F1092)=MONTH(S1092), YEAR(F1092)=YEAR(S1092))</f>
        <v/>
      </c>
      <c r="Q1092">
        <f>"L001-902303751"=U1092</f>
        <v/>
      </c>
      <c r="R1092">
        <f>G1092-W1092</f>
        <v/>
      </c>
      <c r="S1092" s="36" t="n">
        <v>45460</v>
      </c>
      <c r="T1092" t="inlineStr"/>
      <c r="U1092" t="inlineStr">
        <is>
          <t>K002-901800477</t>
        </is>
      </c>
      <c r="V1092" t="inlineStr">
        <is>
          <t>អាយធីអាយ អ៊ិនធើណេសិនណល ត្រេនស័្ពរថេសិន (ខេមបូឌា) ឯ.ក</t>
        </is>
      </c>
      <c r="W1092" t="n">
        <v>0</v>
      </c>
      <c r="X1092" t="n">
        <v>0</v>
      </c>
    </row>
    <row r="1093">
      <c r="A1093" t="n">
        <v>1092</v>
      </c>
      <c r="B1093" t="inlineStr">
        <is>
          <t>Terminal Handling Charge, Container Freight Station, Scanning Fee, Delivery Order Fee, Document Fee, Agency Fee, Co-Loader Fee and Container Imbalance Charge</t>
        </is>
      </c>
      <c r="C1093" t="inlineStr">
        <is>
          <t>ផេនដា គ្លូប៊ល ឡូជីស្ទីក (ខេមបូឌា)</t>
        </is>
      </c>
      <c r="D1093" t="inlineStr">
        <is>
          <t>K005-901501155</t>
        </is>
      </c>
      <c r="E1093" t="inlineStr">
        <is>
          <t>PD240347</t>
        </is>
      </c>
      <c r="F1093" t="inlineStr">
        <is>
          <t>22-08-2024</t>
        </is>
      </c>
      <c r="G1093" t="n">
        <v>157462</v>
      </c>
      <c r="I1093">
        <f>G1093</f>
        <v/>
      </c>
      <c r="K1093">
        <f>I1093-G1093</f>
        <v/>
      </c>
      <c r="M1093" t="inlineStr">
        <is>
          <t>PD240347</t>
        </is>
      </c>
      <c r="N1093" t="inlineStr">
        <is>
          <t>11332800</t>
        </is>
      </c>
      <c r="O1093">
        <f>M1093=N1093</f>
        <v/>
      </c>
      <c r="P1093">
        <f>AND(MONTH(F1093)=MONTH(S1093), YEAR(F1093)=YEAR(S1093))</f>
        <v/>
      </c>
      <c r="Q1093">
        <f>"L001-902303751"=U1093</f>
        <v/>
      </c>
      <c r="R1093">
        <f>G1093-W1093</f>
        <v/>
      </c>
      <c r="S1093" s="36" t="n">
        <v>45460</v>
      </c>
      <c r="T1093" t="n">
        <v>113328</v>
      </c>
      <c r="U1093" t="inlineStr">
        <is>
          <t>K002-901800477</t>
        </is>
      </c>
      <c r="V1093" t="inlineStr">
        <is>
          <t>អាយធីអាយ អ៊ិនធើណេសិនណល ត្រេនស័្ពរថេសិន (ខេមបូឌា) ឯ.ក</t>
        </is>
      </c>
      <c r="W1093" t="n">
        <v>113328</v>
      </c>
      <c r="X1093" t="n">
        <v>0</v>
      </c>
    </row>
    <row r="1094">
      <c r="A1094" t="n">
        <v>1093</v>
      </c>
      <c r="B1094" t="inlineStr">
        <is>
          <t>Charge from Warehouse/cy to trucks</t>
        </is>
      </c>
      <c r="C1094" t="inlineStr">
        <is>
          <t>កំពង់ផែស្វយ័តក្រុងព្រះសីហនុ</t>
        </is>
      </c>
      <c r="D1094" t="inlineStr">
        <is>
          <t>L001-100044638</t>
        </is>
      </c>
      <c r="E1094" t="inlineStr">
        <is>
          <t>174745</t>
        </is>
      </c>
      <c r="F1094" t="inlineStr">
        <is>
          <t>26-08-2024</t>
        </is>
      </c>
      <c r="G1094" t="n">
        <v>2497</v>
      </c>
      <c r="I1094">
        <f>G1094</f>
        <v/>
      </c>
      <c r="K1094">
        <f>I1094-G1094</f>
        <v/>
      </c>
      <c r="M1094" t="inlineStr">
        <is>
          <t>174745</t>
        </is>
      </c>
      <c r="N1094" t="inlineStr"/>
      <c r="O1094">
        <f>M1094=N1094</f>
        <v/>
      </c>
      <c r="P1094">
        <f>AND(MONTH(F1094)=MONTH(S1094), YEAR(F1094)=YEAR(S1094))</f>
        <v/>
      </c>
      <c r="Q1094">
        <f>"L001-902303751"=U1094</f>
        <v/>
      </c>
      <c r="R1094">
        <f>G1094-W1094</f>
        <v/>
      </c>
      <c r="S1094" s="36" t="n">
        <v>45460</v>
      </c>
      <c r="T1094" t="inlineStr"/>
      <c r="U1094" t="inlineStr">
        <is>
          <t>L001-107032791</t>
        </is>
      </c>
      <c r="V1094" t="inlineStr">
        <is>
          <t>នីបផន អិចប្រេស (ខេមបូឌា) ខូ អិលធីឌី</t>
        </is>
      </c>
      <c r="W1094" t="n">
        <v>0</v>
      </c>
      <c r="X1094" t="n">
        <v>0</v>
      </c>
    </row>
    <row r="1095">
      <c r="A1095" t="n">
        <v>1094</v>
      </c>
      <c r="B1095" t="inlineStr">
        <is>
          <t>Lift-On &amp; Lift-Off</t>
        </is>
      </c>
      <c r="C1095" t="inlineStr">
        <is>
          <t>កំពង់ផែស្វយ័តក្រុងព្រះសីហនុ</t>
        </is>
      </c>
      <c r="D1095" t="inlineStr">
        <is>
          <t>L001-100044638</t>
        </is>
      </c>
      <c r="E1095" t="inlineStr">
        <is>
          <t>178722</t>
        </is>
      </c>
      <c r="F1095" t="inlineStr">
        <is>
          <t>30-08-2024</t>
        </is>
      </c>
      <c r="G1095" t="n">
        <v>23125</v>
      </c>
      <c r="I1095">
        <f>G1095</f>
        <v/>
      </c>
      <c r="K1095">
        <f>I1095-G1095</f>
        <v/>
      </c>
      <c r="M1095" t="inlineStr">
        <is>
          <t>178722</t>
        </is>
      </c>
      <c r="N1095" t="inlineStr"/>
      <c r="O1095">
        <f>M1095=N1095</f>
        <v/>
      </c>
      <c r="P1095">
        <f>AND(MONTH(F1095)=MONTH(S1095), YEAR(F1095)=YEAR(S1095))</f>
        <v/>
      </c>
      <c r="Q1095">
        <f>"L001-902303751"=U1095</f>
        <v/>
      </c>
      <c r="R1095">
        <f>G1095-W1095</f>
        <v/>
      </c>
      <c r="S1095" s="36" t="n">
        <v>45467</v>
      </c>
      <c r="T1095" t="inlineStr"/>
      <c r="U1095" t="inlineStr">
        <is>
          <t>L001-107032791</t>
        </is>
      </c>
      <c r="V1095" t="inlineStr">
        <is>
          <t>នីបផន អិចប្រេស (ខេមបូឌា) ខូ អិលធីឌី</t>
        </is>
      </c>
      <c r="W1095" t="n">
        <v>0</v>
      </c>
      <c r="X1095" t="n">
        <v>0</v>
      </c>
    </row>
    <row r="1096">
      <c r="A1096" t="n">
        <v>1095</v>
      </c>
      <c r="B1096" t="inlineStr">
        <is>
          <t>Charge from Warehouse/cy to trucks</t>
        </is>
      </c>
      <c r="C1096" t="inlineStr">
        <is>
          <t>កំពង់ផែស្វយ័តក្រុងព្រះសីហនុ</t>
        </is>
      </c>
      <c r="D1096" t="inlineStr">
        <is>
          <t>L001-100044638</t>
        </is>
      </c>
      <c r="E1096" t="inlineStr">
        <is>
          <t>179498</t>
        </is>
      </c>
      <c r="F1096" t="inlineStr">
        <is>
          <t>31-08-2024</t>
        </is>
      </c>
      <c r="G1096" t="n">
        <v>1243</v>
      </c>
      <c r="I1096">
        <f>G1096</f>
        <v/>
      </c>
      <c r="K1096">
        <f>I1096-G1096</f>
        <v/>
      </c>
      <c r="M1096" t="inlineStr">
        <is>
          <t>179498</t>
        </is>
      </c>
      <c r="N1096" t="inlineStr">
        <is>
          <t>18008800</t>
        </is>
      </c>
      <c r="O1096">
        <f>M1096=N1096</f>
        <v/>
      </c>
      <c r="P1096">
        <f>AND(MONTH(F1096)=MONTH(S1096), YEAR(F1096)=YEAR(S1096))</f>
        <v/>
      </c>
      <c r="Q1096">
        <f>"L001-902303751"=U1096</f>
        <v/>
      </c>
      <c r="R1096">
        <f>G1096-W1096</f>
        <v/>
      </c>
      <c r="S1096" s="36" t="n">
        <v>45467</v>
      </c>
      <c r="T1096" t="n">
        <v>180088</v>
      </c>
      <c r="U1096" t="inlineStr">
        <is>
          <t>K003-901635943</t>
        </is>
      </c>
      <c r="V1096" t="inlineStr">
        <is>
          <t>អ៊ីឃ្យូឡាញ វើលវ៉ាយដ៍ ឡូជីស្ទីក</t>
        </is>
      </c>
      <c r="W1096" t="n">
        <v>180088</v>
      </c>
      <c r="X1096" t="n">
        <v>0</v>
      </c>
    </row>
    <row r="1097">
      <c r="A1097" t="n">
        <v>1096</v>
      </c>
      <c r="B1097" t="inlineStr">
        <is>
          <t>Cargo Terminal</t>
        </is>
      </c>
      <c r="C1097" t="inlineStr">
        <is>
          <t>សូស៊ីយេតេ កុងសេស្យូនែរ ដឺ ឡាអេរ៉ូព័រ</t>
        </is>
      </c>
      <c r="D1097" t="inlineStr">
        <is>
          <t>L001-100047300</t>
        </is>
      </c>
      <c r="E1097" t="inlineStr">
        <is>
          <t>2400-067295</t>
        </is>
      </c>
      <c r="F1097" t="inlineStr">
        <is>
          <t>22-08-2024</t>
        </is>
      </c>
      <c r="G1097" t="n">
        <v>18267</v>
      </c>
      <c r="I1097">
        <f>G1097</f>
        <v/>
      </c>
      <c r="K1097">
        <f>I1097-G1097</f>
        <v/>
      </c>
      <c r="M1097" t="inlineStr">
        <is>
          <t>2400067295</t>
        </is>
      </c>
      <c r="N1097" t="inlineStr"/>
      <c r="O1097">
        <f>M1097=N1097</f>
        <v/>
      </c>
      <c r="P1097">
        <f>AND(MONTH(F1097)=MONTH(S1097), YEAR(F1097)=YEAR(S1097))</f>
        <v/>
      </c>
      <c r="Q1097">
        <f>"L001-902303751"=U1097</f>
        <v/>
      </c>
      <c r="R1097">
        <f>G1097-W1097</f>
        <v/>
      </c>
      <c r="S1097" s="36" t="n">
        <v>45467</v>
      </c>
      <c r="T1097" t="inlineStr"/>
      <c r="U1097" t="inlineStr">
        <is>
          <t>L001-100045995</t>
        </is>
      </c>
      <c r="V1097" t="inlineStr">
        <is>
          <t>ឌីអេចអិល ឡូជីស្ទីក (ខេមបូឌា)</t>
        </is>
      </c>
      <c r="W1097" t="n">
        <v>0</v>
      </c>
      <c r="X1097" t="n">
        <v>0</v>
      </c>
    </row>
    <row r="1098">
      <c r="A1098" t="n">
        <v>1097</v>
      </c>
      <c r="B1098" t="inlineStr">
        <is>
          <t>Cargo Terminal</t>
        </is>
      </c>
      <c r="C1098" t="inlineStr">
        <is>
          <t>សូស៊ីយេតេ កុងសេស្យូនែរ ដឺ ឡាអេរ៉ូព័រ</t>
        </is>
      </c>
      <c r="D1098" t="inlineStr">
        <is>
          <t>L001-100047300</t>
        </is>
      </c>
      <c r="E1098" t="inlineStr">
        <is>
          <t>2400-067294</t>
        </is>
      </c>
      <c r="F1098" t="inlineStr">
        <is>
          <t>22-08-2024</t>
        </is>
      </c>
      <c r="G1098" t="n">
        <v>2384</v>
      </c>
      <c r="I1098">
        <f>G1098</f>
        <v/>
      </c>
      <c r="K1098">
        <f>I1098-G1098</f>
        <v/>
      </c>
      <c r="M1098" t="inlineStr">
        <is>
          <t>2400067294</t>
        </is>
      </c>
      <c r="N1098" t="inlineStr">
        <is>
          <t>20775700</t>
        </is>
      </c>
      <c r="O1098">
        <f>M1098=N1098</f>
        <v/>
      </c>
      <c r="P1098">
        <f>AND(MONTH(F1098)=MONTH(S1098), YEAR(F1098)=YEAR(S1098))</f>
        <v/>
      </c>
      <c r="Q1098">
        <f>"L001-902303751"=U1098</f>
        <v/>
      </c>
      <c r="R1098">
        <f>G1098-W1098</f>
        <v/>
      </c>
      <c r="S1098" s="36" t="n">
        <v>45453</v>
      </c>
      <c r="T1098" t="n">
        <v>207757</v>
      </c>
      <c r="U1098" t="inlineStr">
        <is>
          <t>L001-107032791</t>
        </is>
      </c>
      <c r="V1098" t="inlineStr">
        <is>
          <t>នីបផន អិចប្រេស (ខេមបូឌា) ខូ អិលធីឌី</t>
        </is>
      </c>
      <c r="W1098" t="n">
        <v>207757</v>
      </c>
      <c r="X1098" t="n">
        <v>0</v>
      </c>
    </row>
    <row r="1099">
      <c r="A1099" t="n">
        <v>1098</v>
      </c>
      <c r="B1099" t="inlineStr">
        <is>
          <t>Cargo Terminal</t>
        </is>
      </c>
      <c r="C1099" t="inlineStr">
        <is>
          <t>សូស៊ីយេតេ កុងសេស្យូនែរ ដឺ ឡាអេរ៉ូព័រ</t>
        </is>
      </c>
      <c r="D1099" t="inlineStr">
        <is>
          <t>L001-100047300</t>
        </is>
      </c>
      <c r="E1099" t="inlineStr">
        <is>
          <t>2400-060571</t>
        </is>
      </c>
      <c r="F1099" t="inlineStr">
        <is>
          <t>01-08-2024</t>
        </is>
      </c>
      <c r="G1099" t="n">
        <v>29518</v>
      </c>
      <c r="I1099">
        <f>G1099</f>
        <v/>
      </c>
      <c r="K1099">
        <f>I1099-G1099</f>
        <v/>
      </c>
      <c r="M1099" t="inlineStr">
        <is>
          <t>2400060571</t>
        </is>
      </c>
      <c r="N1099" t="inlineStr">
        <is>
          <t>29415100</t>
        </is>
      </c>
      <c r="O1099">
        <f>M1099=N1099</f>
        <v/>
      </c>
      <c r="P1099">
        <f>AND(MONTH(F1099)=MONTH(S1099), YEAR(F1099)=YEAR(S1099))</f>
        <v/>
      </c>
      <c r="Q1099">
        <f>"L001-902303751"=U1099</f>
        <v/>
      </c>
      <c r="R1099">
        <f>G1099-W1099</f>
        <v/>
      </c>
      <c r="S1099" s="36" t="n">
        <v>45453</v>
      </c>
      <c r="T1099" t="n">
        <v>294151</v>
      </c>
      <c r="U1099" t="inlineStr">
        <is>
          <t>L001-100045995</t>
        </is>
      </c>
      <c r="V1099" t="inlineStr">
        <is>
          <t>ឌីអេចអិល ឡូជីស្ទីក (ខេមបូឌា)</t>
        </is>
      </c>
      <c r="W1099" t="n">
        <v>294151</v>
      </c>
      <c r="X1099" t="n">
        <v>0</v>
      </c>
    </row>
    <row r="1100">
      <c r="A1100" t="n">
        <v>1099</v>
      </c>
      <c r="B1100" t="inlineStr">
        <is>
          <t>Customs Clearance Fee</t>
        </is>
      </c>
      <c r="C1100" t="inlineStr">
        <is>
          <t>ត្រាយអ៊ែងហ្គល ឡូជីស្ទីក (ខេមបូឌា) ឯ.ក</t>
        </is>
      </c>
      <c r="D1100" t="inlineStr">
        <is>
          <t>K010-902101743</t>
        </is>
      </c>
      <c r="E1100" t="inlineStr">
        <is>
          <t>TAG-24-00519</t>
        </is>
      </c>
      <c r="F1100" t="inlineStr">
        <is>
          <t>06-08-2024</t>
        </is>
      </c>
      <c r="G1100" t="n">
        <v>8218</v>
      </c>
      <c r="I1100">
        <f>G1100</f>
        <v/>
      </c>
      <c r="K1100">
        <f>I1100-G1100</f>
        <v/>
      </c>
      <c r="M1100" t="inlineStr">
        <is>
          <t>TAG2400519</t>
        </is>
      </c>
      <c r="N1100" t="inlineStr"/>
      <c r="O1100">
        <f>M1100=N1100</f>
        <v/>
      </c>
      <c r="P1100">
        <f>AND(MONTH(F1100)=MONTH(S1100), YEAR(F1100)=YEAR(S1100))</f>
        <v/>
      </c>
      <c r="Q1100">
        <f>"L001-902303751"=U1100</f>
        <v/>
      </c>
      <c r="R1100">
        <f>G1100-W1100</f>
        <v/>
      </c>
      <c r="S1100" s="36" t="n">
        <v>45446</v>
      </c>
      <c r="T1100" t="inlineStr"/>
      <c r="U1100" t="inlineStr">
        <is>
          <t>L001-107032791</t>
        </is>
      </c>
      <c r="V1100" t="inlineStr">
        <is>
          <t>នីបផន អិចប្រេស (ខេមបូឌា) ខូ អិលធីឌី</t>
        </is>
      </c>
      <c r="W1100" t="n">
        <v>0</v>
      </c>
      <c r="X1100" t="n">
        <v>0</v>
      </c>
    </row>
    <row r="1101">
      <c r="A1101" t="n">
        <v>1100</v>
      </c>
      <c r="B1101" t="inlineStr">
        <is>
          <t>Cargo Terminal</t>
        </is>
      </c>
      <c r="C1101" t="inlineStr">
        <is>
          <t>សូស៊ីយេតេ កុងសេស្យូនែរ ដឺ ឡាអេរ៉ូព័រ</t>
        </is>
      </c>
      <c r="D1101" t="inlineStr">
        <is>
          <t>L001-100047300</t>
        </is>
      </c>
      <c r="E1101" t="inlineStr">
        <is>
          <t>2400-060582</t>
        </is>
      </c>
      <c r="F1101" t="inlineStr">
        <is>
          <t>01-08-2024</t>
        </is>
      </c>
      <c r="G1101" t="n">
        <v>14497</v>
      </c>
      <c r="I1101">
        <f>G1101</f>
        <v/>
      </c>
      <c r="K1101">
        <f>I1101-G1101</f>
        <v/>
      </c>
      <c r="M1101" t="inlineStr">
        <is>
          <t>2400060582</t>
        </is>
      </c>
      <c r="N1101" t="inlineStr">
        <is>
          <t>8403000</t>
        </is>
      </c>
      <c r="O1101">
        <f>M1101=N1101</f>
        <v/>
      </c>
      <c r="P1101">
        <f>AND(MONTH(F1101)=MONTH(S1101), YEAR(F1101)=YEAR(S1101))</f>
        <v/>
      </c>
      <c r="Q1101">
        <f>"L001-902303751"=U1101</f>
        <v/>
      </c>
      <c r="R1101">
        <f>G1101-W1101</f>
        <v/>
      </c>
      <c r="S1101" s="36" t="n">
        <v>45446</v>
      </c>
      <c r="T1101" t="n">
        <v>84030</v>
      </c>
      <c r="U1101" t="inlineStr">
        <is>
          <t>L001-107032791</t>
        </is>
      </c>
      <c r="V1101" t="inlineStr">
        <is>
          <t>នីបផន អិចប្រេស (ខេមបូឌា) ខូ អិលធីឌី</t>
        </is>
      </c>
      <c r="W1101" t="n">
        <v>84030</v>
      </c>
      <c r="X1101" t="n">
        <v>0</v>
      </c>
    </row>
    <row r="1102">
      <c r="A1102" t="n">
        <v>1101</v>
      </c>
      <c r="B1102" t="inlineStr">
        <is>
          <t>Customs Clearance Fee</t>
        </is>
      </c>
      <c r="C1102" t="inlineStr">
        <is>
          <t>ត្រាយអ៊ែងហ្គល ឡូជីស្ទីក (ខេមបូឌា) ឯ.ក</t>
        </is>
      </c>
      <c r="D1102" t="inlineStr">
        <is>
          <t>K010-902101743</t>
        </is>
      </c>
      <c r="E1102" t="inlineStr">
        <is>
          <t>TAG-24-00518</t>
        </is>
      </c>
      <c r="F1102" t="inlineStr">
        <is>
          <t>06-08-2024</t>
        </is>
      </c>
      <c r="G1102" t="n">
        <v>8218</v>
      </c>
      <c r="I1102">
        <f>G1102</f>
        <v/>
      </c>
      <c r="K1102">
        <f>I1102-G1102</f>
        <v/>
      </c>
      <c r="M1102" t="inlineStr">
        <is>
          <t>TAG2400518</t>
        </is>
      </c>
      <c r="N1102" t="inlineStr"/>
      <c r="O1102">
        <f>M1102=N1102</f>
        <v/>
      </c>
      <c r="P1102">
        <f>AND(MONTH(F1102)=MONTH(S1102), YEAR(F1102)=YEAR(S1102))</f>
        <v/>
      </c>
      <c r="Q1102">
        <f>"L001-902303751"=U1102</f>
        <v/>
      </c>
      <c r="R1102">
        <f>G1102-W1102</f>
        <v/>
      </c>
      <c r="S1102" s="36" t="n">
        <v>45446</v>
      </c>
      <c r="T1102" t="inlineStr"/>
      <c r="U1102" t="inlineStr">
        <is>
          <t>L001-100045995</t>
        </is>
      </c>
      <c r="V1102" t="inlineStr">
        <is>
          <t>ឌីអេចអិល ឡូជីស្ទីក (ខេមបូឌា)</t>
        </is>
      </c>
      <c r="W1102" t="n">
        <v>0</v>
      </c>
      <c r="X1102" t="n">
        <v>0</v>
      </c>
    </row>
    <row r="1103">
      <c r="A1103" t="n">
        <v>1102</v>
      </c>
      <c r="B1103" t="inlineStr">
        <is>
          <t>Cargo Terminal</t>
        </is>
      </c>
      <c r="C1103" t="inlineStr">
        <is>
          <t>សូស៊ីយេតេ កុងសេស្យូនែរ ដឺ ឡាអេរ៉ូព័រ</t>
        </is>
      </c>
      <c r="D1103" t="inlineStr">
        <is>
          <t>L001-100047300</t>
        </is>
      </c>
      <c r="E1103" t="inlineStr">
        <is>
          <t>2400-061229</t>
        </is>
      </c>
      <c r="F1103" t="inlineStr">
        <is>
          <t>03-08-2024</t>
        </is>
      </c>
      <c r="G1103" t="n">
        <v>3876</v>
      </c>
      <c r="I1103">
        <f>G1103</f>
        <v/>
      </c>
      <c r="K1103">
        <f>I1103-G1103</f>
        <v/>
      </c>
      <c r="M1103" t="inlineStr">
        <is>
          <t>2400061229</t>
        </is>
      </c>
      <c r="N1103" t="inlineStr">
        <is>
          <t>9864100</t>
        </is>
      </c>
      <c r="O1103">
        <f>M1103=N1103</f>
        <v/>
      </c>
      <c r="P1103">
        <f>AND(MONTH(F1103)=MONTH(S1103), YEAR(F1103)=YEAR(S1103))</f>
        <v/>
      </c>
      <c r="Q1103">
        <f>"L001-902303751"=U1103</f>
        <v/>
      </c>
      <c r="R1103">
        <f>G1103-W1103</f>
        <v/>
      </c>
      <c r="S1103" s="36" t="n">
        <v>45444</v>
      </c>
      <c r="T1103" t="n">
        <v>98641</v>
      </c>
      <c r="U1103" t="inlineStr">
        <is>
          <t>L001-100045340</t>
        </is>
      </c>
      <c r="V1103" t="inlineStr">
        <is>
          <t xml:space="preserve">ស៊ីវ៉ា អ៊ែរ អ៊ែន អូសៀន (ខេមបូឌា) ឯ.ក </t>
        </is>
      </c>
      <c r="W1103" t="n">
        <v>98641</v>
      </c>
      <c r="X1103" t="n">
        <v>0</v>
      </c>
    </row>
    <row r="1104">
      <c r="A1104" t="n">
        <v>1103</v>
      </c>
      <c r="B1104" t="inlineStr">
        <is>
          <t>Customs Clearance Fee</t>
        </is>
      </c>
      <c r="C1104" t="inlineStr">
        <is>
          <t>ត្រាយអ៊ែងហ្គល ឡូជីស្ទីក (ខេមបូឌា) ឯ.ក</t>
        </is>
      </c>
      <c r="D1104" t="inlineStr">
        <is>
          <t>K010-902101743</t>
        </is>
      </c>
      <c r="E1104" t="inlineStr">
        <is>
          <t>TAG-24-00517</t>
        </is>
      </c>
      <c r="F1104" t="inlineStr">
        <is>
          <t>06-08-2024</t>
        </is>
      </c>
      <c r="G1104" t="n">
        <v>8218</v>
      </c>
      <c r="I1104">
        <f>G1104</f>
        <v/>
      </c>
      <c r="K1104">
        <f>I1104-G1104</f>
        <v/>
      </c>
      <c r="M1104" t="inlineStr">
        <is>
          <t>TAG2400517</t>
        </is>
      </c>
      <c r="N1104" t="inlineStr">
        <is>
          <t>17514300</t>
        </is>
      </c>
      <c r="O1104">
        <f>M1104=N1104</f>
        <v/>
      </c>
      <c r="P1104">
        <f>AND(MONTH(F1104)=MONTH(S1104), YEAR(F1104)=YEAR(S1104))</f>
        <v/>
      </c>
      <c r="Q1104">
        <f>"L001-902303751"=U1104</f>
        <v/>
      </c>
      <c r="R1104">
        <f>G1104-W1104</f>
        <v/>
      </c>
      <c r="S1104" s="36" t="n">
        <v>45460</v>
      </c>
      <c r="T1104" t="n">
        <v>175143</v>
      </c>
      <c r="U1104" t="inlineStr">
        <is>
          <t>L001-107032791</t>
        </is>
      </c>
      <c r="V1104" t="inlineStr">
        <is>
          <t>នីបផន អិចប្រេស (ខេមបូឌា) ខូ អិលធីឌី</t>
        </is>
      </c>
      <c r="W1104" t="n">
        <v>175143</v>
      </c>
      <c r="X1104" t="n">
        <v>0</v>
      </c>
    </row>
    <row r="1105">
      <c r="A1105" t="n">
        <v>1104</v>
      </c>
      <c r="B1105" t="inlineStr">
        <is>
          <t>Cargo Terminal</t>
        </is>
      </c>
      <c r="C1105" t="inlineStr">
        <is>
          <t>សូស៊ីយេតេ កុងសេស្យូនែរ ដឺ ឡាអេរ៉ូព័រ</t>
        </is>
      </c>
      <c r="D1105" t="inlineStr">
        <is>
          <t>L001-100047300</t>
        </is>
      </c>
      <c r="E1105" t="inlineStr">
        <is>
          <t>2400-066934</t>
        </is>
      </c>
      <c r="F1105" t="inlineStr">
        <is>
          <t>21-08-2024</t>
        </is>
      </c>
      <c r="G1105" t="n">
        <v>8731</v>
      </c>
      <c r="I1105">
        <f>G1105</f>
        <v/>
      </c>
      <c r="K1105">
        <f>I1105-G1105</f>
        <v/>
      </c>
      <c r="M1105" t="inlineStr">
        <is>
          <t>2400066934</t>
        </is>
      </c>
      <c r="N1105" t="inlineStr"/>
      <c r="O1105">
        <f>M1105=N1105</f>
        <v/>
      </c>
      <c r="P1105">
        <f>AND(MONTH(F1105)=MONTH(S1105), YEAR(F1105)=YEAR(S1105))</f>
        <v/>
      </c>
      <c r="Q1105">
        <f>"L001-902303751"=U1105</f>
        <v/>
      </c>
      <c r="R1105">
        <f>G1105-W1105</f>
        <v/>
      </c>
      <c r="S1105" s="36" t="n">
        <v>45460</v>
      </c>
      <c r="T1105" t="inlineStr"/>
      <c r="U1105" t="inlineStr">
        <is>
          <t>L001-100045995</t>
        </is>
      </c>
      <c r="V1105" t="inlineStr">
        <is>
          <t>ឌីអេចអិល ឡូជីស្ទីក (ខេមបូឌា)</t>
        </is>
      </c>
      <c r="W1105" t="n">
        <v>0</v>
      </c>
      <c r="X1105" t="n">
        <v>0</v>
      </c>
    </row>
    <row r="1106">
      <c r="A1106" t="n">
        <v>1105</v>
      </c>
      <c r="B1106" t="inlineStr">
        <is>
          <t>Customs Clearance Fee</t>
        </is>
      </c>
      <c r="C1106" t="inlineStr">
        <is>
          <t>ត្រាយអ៊ែងហ្គល ឡូជីស្ទីក (ខេមបូឌា) ឯ.ក</t>
        </is>
      </c>
      <c r="D1106" t="inlineStr">
        <is>
          <t>K010-902101743</t>
        </is>
      </c>
      <c r="E1106" t="inlineStr">
        <is>
          <t>TAG-24-00593</t>
        </is>
      </c>
      <c r="F1106" t="inlineStr">
        <is>
          <t>29-08-2024</t>
        </is>
      </c>
      <c r="G1106" t="n">
        <v>8122</v>
      </c>
      <c r="I1106">
        <f>G1106</f>
        <v/>
      </c>
      <c r="K1106">
        <f>I1106-G1106</f>
        <v/>
      </c>
      <c r="M1106" t="inlineStr">
        <is>
          <t>TAG2400593</t>
        </is>
      </c>
      <c r="N1106" t="inlineStr">
        <is>
          <t>8448100</t>
        </is>
      </c>
      <c r="O1106">
        <f>M1106=N1106</f>
        <v/>
      </c>
      <c r="P1106">
        <f>AND(MONTH(F1106)=MONTH(S1106), YEAR(F1106)=YEAR(S1106))</f>
        <v/>
      </c>
      <c r="Q1106">
        <f>"L001-902303751"=U1106</f>
        <v/>
      </c>
      <c r="R1106">
        <f>G1106-W1106</f>
        <v/>
      </c>
      <c r="S1106" s="36" t="n">
        <v>45460</v>
      </c>
      <c r="T1106" t="n">
        <v>84481</v>
      </c>
      <c r="U1106" t="inlineStr">
        <is>
          <t>L001-100045995</t>
        </is>
      </c>
      <c r="V1106" t="inlineStr">
        <is>
          <t>ឌីអេចអិល ឡូជីស្ទីក (ខេមបូឌា)</t>
        </is>
      </c>
      <c r="W1106" t="n">
        <v>84481</v>
      </c>
      <c r="X1106" t="n">
        <v>0</v>
      </c>
    </row>
    <row r="1107">
      <c r="A1107" t="n">
        <v>1106</v>
      </c>
      <c r="B1107" t="inlineStr">
        <is>
          <t>Customs Clearance Fee</t>
        </is>
      </c>
      <c r="C1107" t="inlineStr">
        <is>
          <t>ត្រាយអ៊ែងហ្គល ឡូជីស្ទីក (ខេមបូឌា) ឯ.ក</t>
        </is>
      </c>
      <c r="D1107" t="inlineStr">
        <is>
          <t>K010-902101743</t>
        </is>
      </c>
      <c r="E1107" t="inlineStr">
        <is>
          <t>TAG-24-00592</t>
        </is>
      </c>
      <c r="F1107" t="inlineStr">
        <is>
          <t>29-08-2024</t>
        </is>
      </c>
      <c r="G1107" t="n">
        <v>8122</v>
      </c>
      <c r="I1107">
        <f>G1107</f>
        <v/>
      </c>
      <c r="K1107">
        <f>I1107-G1107</f>
        <v/>
      </c>
      <c r="M1107" t="inlineStr">
        <is>
          <t>TAG2400592</t>
        </is>
      </c>
      <c r="N1107" t="inlineStr">
        <is>
          <t>11332800</t>
        </is>
      </c>
      <c r="O1107">
        <f>M1107=N1107</f>
        <v/>
      </c>
      <c r="P1107">
        <f>AND(MONTH(F1107)=MONTH(S1107), YEAR(F1107)=YEAR(S1107))</f>
        <v/>
      </c>
      <c r="Q1107">
        <f>"L001-902303751"=U1107</f>
        <v/>
      </c>
      <c r="R1107">
        <f>G1107-W1107</f>
        <v/>
      </c>
      <c r="S1107" s="36" t="n">
        <v>45467</v>
      </c>
      <c r="T1107" t="n">
        <v>113328</v>
      </c>
      <c r="U1107" t="inlineStr">
        <is>
          <t>L001-107032791</t>
        </is>
      </c>
      <c r="V1107" t="inlineStr">
        <is>
          <t>នីបផន អិចប្រេស (ខេមបូឌា) ខូ អិលធីឌី</t>
        </is>
      </c>
      <c r="W1107" t="n">
        <v>113328</v>
      </c>
      <c r="X1107" t="n">
        <v>0</v>
      </c>
    </row>
    <row r="1108">
      <c r="A1108" t="n">
        <v>1107</v>
      </c>
      <c r="B1108" t="inlineStr">
        <is>
          <t>Charge from Warehouse/cy to trucks</t>
        </is>
      </c>
      <c r="C1108" t="inlineStr">
        <is>
          <t>កំពង់ផែស្វយ័តក្រុងព្រះសីហនុ</t>
        </is>
      </c>
      <c r="D1108" t="inlineStr">
        <is>
          <t>L001-100044638</t>
        </is>
      </c>
      <c r="E1108" t="inlineStr">
        <is>
          <t>173997</t>
        </is>
      </c>
      <c r="F1108" t="inlineStr">
        <is>
          <t>24-08-2024</t>
        </is>
      </c>
      <c r="G1108" t="n">
        <v>3125</v>
      </c>
      <c r="I1108">
        <f>G1108</f>
        <v/>
      </c>
      <c r="K1108">
        <f>I1108-G1108</f>
        <v/>
      </c>
      <c r="M1108" t="inlineStr">
        <is>
          <t>173997</t>
        </is>
      </c>
      <c r="N1108" t="inlineStr">
        <is>
          <t>11332800</t>
        </is>
      </c>
      <c r="O1108">
        <f>M1108=N1108</f>
        <v/>
      </c>
      <c r="P1108">
        <f>AND(MONTH(F1108)=MONTH(S1108), YEAR(F1108)=YEAR(S1108))</f>
        <v/>
      </c>
      <c r="Q1108">
        <f>"L001-902303751"=U1108</f>
        <v/>
      </c>
      <c r="R1108">
        <f>G1108-W1108</f>
        <v/>
      </c>
      <c r="S1108" s="36" t="n">
        <v>45467</v>
      </c>
      <c r="T1108" t="n">
        <v>113328</v>
      </c>
      <c r="U1108" t="inlineStr">
        <is>
          <t>L001-107032791</t>
        </is>
      </c>
      <c r="V1108" t="inlineStr">
        <is>
          <t>នីបផន អិចប្រេស (ខេមបូឌា) ខូ អិលធីឌី</t>
        </is>
      </c>
      <c r="W1108" t="n">
        <v>113328</v>
      </c>
      <c r="X1108" t="n">
        <v>0</v>
      </c>
    </row>
    <row r="1109">
      <c r="A1109" t="n">
        <v>1108</v>
      </c>
      <c r="B1109" t="inlineStr">
        <is>
          <t>Charge from Warehouse/cy to trucks</t>
        </is>
      </c>
      <c r="C1109" t="inlineStr">
        <is>
          <t>កំពង់ផែស្វយ័តក្រុងព្រះសីហនុ</t>
        </is>
      </c>
      <c r="D1109" t="inlineStr">
        <is>
          <t>L001-100044638</t>
        </is>
      </c>
      <c r="E1109" t="inlineStr">
        <is>
          <t>174001</t>
        </is>
      </c>
      <c r="F1109" t="inlineStr">
        <is>
          <t>24-08-2024</t>
        </is>
      </c>
      <c r="G1109" t="n">
        <v>1251</v>
      </c>
      <c r="I1109">
        <f>G1109</f>
        <v/>
      </c>
      <c r="K1109">
        <f>I1109-G1109</f>
        <v/>
      </c>
      <c r="M1109" t="inlineStr">
        <is>
          <t>174001</t>
        </is>
      </c>
      <c r="N1109" t="inlineStr">
        <is>
          <t>11313500</t>
        </is>
      </c>
      <c r="O1109">
        <f>M1109=N1109</f>
        <v/>
      </c>
      <c r="P1109">
        <f>AND(MONTH(F1109)=MONTH(S1109), YEAR(F1109)=YEAR(S1109))</f>
        <v/>
      </c>
      <c r="Q1109">
        <f>"L001-902303751"=U1109</f>
        <v/>
      </c>
      <c r="R1109">
        <f>G1109-W1109</f>
        <v/>
      </c>
      <c r="S1109" s="36" t="n">
        <v>45453</v>
      </c>
      <c r="T1109" t="n">
        <v>113135</v>
      </c>
      <c r="U1109" t="inlineStr">
        <is>
          <t>L001-100045995</t>
        </is>
      </c>
      <c r="V1109" t="inlineStr">
        <is>
          <t>ឌីអេចអិល ឡូជីស្ទីក (ខេមបូឌា)</t>
        </is>
      </c>
      <c r="W1109" t="n">
        <v>113135</v>
      </c>
      <c r="X1109" t="n">
        <v>0</v>
      </c>
    </row>
    <row r="1110">
      <c r="A1110" t="n">
        <v>1109</v>
      </c>
      <c r="B1110" t="inlineStr">
        <is>
          <t>Customs Clearance Fee and Trucking Fee</t>
        </is>
      </c>
      <c r="C1110" t="inlineStr">
        <is>
          <t>ត្រាយអ៊ែងហ្គល ឡូជីស្ទីក (ខេមបូឌា) ឯ.ក</t>
        </is>
      </c>
      <c r="D1110" t="inlineStr">
        <is>
          <t>K010-902101743</t>
        </is>
      </c>
      <c r="E1110" t="inlineStr">
        <is>
          <t>TAG-24-00607</t>
        </is>
      </c>
      <c r="F1110" t="inlineStr">
        <is>
          <t>31-08-2024</t>
        </is>
      </c>
      <c r="G1110" t="n">
        <v>28399</v>
      </c>
      <c r="I1110">
        <f>G1110</f>
        <v/>
      </c>
      <c r="K1110">
        <f>I1110-G1110</f>
        <v/>
      </c>
      <c r="M1110" t="inlineStr">
        <is>
          <t>TAG2400607</t>
        </is>
      </c>
      <c r="N1110" t="inlineStr"/>
      <c r="O1110">
        <f>M1110=N1110</f>
        <v/>
      </c>
      <c r="P1110">
        <f>AND(MONTH(F1110)=MONTH(S1110), YEAR(F1110)=YEAR(S1110))</f>
        <v/>
      </c>
      <c r="Q1110">
        <f>"L001-902303751"=U1110</f>
        <v/>
      </c>
      <c r="R1110">
        <f>G1110-W1110</f>
        <v/>
      </c>
      <c r="S1110" s="36" t="n">
        <v>45446</v>
      </c>
      <c r="T1110" t="inlineStr"/>
      <c r="U1110" t="inlineStr">
        <is>
          <t>L001-107032791</t>
        </is>
      </c>
      <c r="V1110" t="inlineStr">
        <is>
          <t>នីបផន អិចប្រេស (ខេមបូឌា) ខូ អិលធីឌី</t>
        </is>
      </c>
      <c r="W1110" t="n">
        <v>0</v>
      </c>
      <c r="X1110" t="n">
        <v>0</v>
      </c>
    </row>
    <row r="1111">
      <c r="A1111" t="n">
        <v>1110</v>
      </c>
      <c r="B1111" t="inlineStr">
        <is>
          <t>Customs Clearance Fee and Trucking Fee</t>
        </is>
      </c>
      <c r="C1111" t="inlineStr">
        <is>
          <t>ត្រាយអ៊ែងហ្គល ឡូជីស្ទីក (ខេមបូឌា) ឯ.ក</t>
        </is>
      </c>
      <c r="D1111" t="inlineStr">
        <is>
          <t>K010-902101743</t>
        </is>
      </c>
      <c r="E1111" t="inlineStr">
        <is>
          <t>TAG-24-00604</t>
        </is>
      </c>
      <c r="F1111" t="inlineStr">
        <is>
          <t>30-08-2024</t>
        </is>
      </c>
      <c r="G1111" t="n">
        <v>68969</v>
      </c>
      <c r="I1111">
        <f>G1111</f>
        <v/>
      </c>
      <c r="K1111">
        <f>I1111-G1111</f>
        <v/>
      </c>
      <c r="M1111" t="inlineStr">
        <is>
          <t>TAG2400604</t>
        </is>
      </c>
      <c r="N1111" t="inlineStr">
        <is>
          <t>11272300</t>
        </is>
      </c>
      <c r="O1111">
        <f>M1111=N1111</f>
        <v/>
      </c>
      <c r="P1111">
        <f>AND(MONTH(F1111)=MONTH(S1111), YEAR(F1111)=YEAR(S1111))</f>
        <v/>
      </c>
      <c r="Q1111">
        <f>"L001-902303751"=U1111</f>
        <v/>
      </c>
      <c r="R1111">
        <f>G1111-W1111</f>
        <v/>
      </c>
      <c r="S1111" s="36" t="n">
        <v>45446</v>
      </c>
      <c r="T1111" t="n">
        <v>112723</v>
      </c>
      <c r="U1111" t="inlineStr">
        <is>
          <t>L001-107032791</t>
        </is>
      </c>
      <c r="V1111" t="inlineStr">
        <is>
          <t>នីបផន អិចប្រេស (ខេមបូឌា) ខូ អិលធីឌី</t>
        </is>
      </c>
      <c r="W1111" t="n">
        <v>112723</v>
      </c>
      <c r="X1111" t="n">
        <v>0</v>
      </c>
    </row>
    <row r="1112">
      <c r="A1112" t="n">
        <v>1111</v>
      </c>
      <c r="B1112" t="inlineStr">
        <is>
          <t>Terminal Handling Charge, EMF, 3 Party Trucking, Container Imbalance Charge, D/O Fee, Document Fee and Handling Charge</t>
        </is>
      </c>
      <c r="C1112" t="inlineStr">
        <is>
          <t>ខេអិលអិន ហ្វ្រេត (ខេមបូឌា) ឯ.ក</t>
        </is>
      </c>
      <c r="D1112" t="inlineStr">
        <is>
          <t>L001-100074669</t>
        </is>
      </c>
      <c r="E1112" t="inlineStr">
        <is>
          <t>IVO14061</t>
        </is>
      </c>
      <c r="F1112" t="inlineStr">
        <is>
          <t>09-08-2024</t>
        </is>
      </c>
      <c r="G1112" t="n">
        <v>141023</v>
      </c>
      <c r="I1112">
        <f>G1112</f>
        <v/>
      </c>
      <c r="K1112">
        <f>I1112-G1112</f>
        <v/>
      </c>
      <c r="M1112" t="inlineStr">
        <is>
          <t>IVO14061</t>
        </is>
      </c>
      <c r="N1112" t="inlineStr">
        <is>
          <t>29307900</t>
        </is>
      </c>
      <c r="O1112">
        <f>M1112=N1112</f>
        <v/>
      </c>
      <c r="P1112">
        <f>AND(MONTH(F1112)=MONTH(S1112), YEAR(F1112)=YEAR(S1112))</f>
        <v/>
      </c>
      <c r="Q1112">
        <f>"L001-902303751"=U1112</f>
        <v/>
      </c>
      <c r="R1112">
        <f>G1112-W1112</f>
        <v/>
      </c>
      <c r="S1112" s="36" t="n">
        <v>45446</v>
      </c>
      <c r="T1112" t="n">
        <v>293079</v>
      </c>
      <c r="U1112" t="inlineStr">
        <is>
          <t>L001-100045995</t>
        </is>
      </c>
      <c r="V1112" t="inlineStr">
        <is>
          <t>ឌីអេចអិល ឡូជីស្ទីក (ខេមបូឌា)</t>
        </is>
      </c>
      <c r="W1112" t="n">
        <v>293079</v>
      </c>
      <c r="X1112" t="n">
        <v>0</v>
      </c>
    </row>
    <row r="1113">
      <c r="A1113" t="n">
        <v>1112</v>
      </c>
      <c r="B1113" t="inlineStr">
        <is>
          <t>Terminal Handling Charge, EMF, 3 Party Trucking, Container Imbalance Charge, D/O Fee, Document Fee and Handling Charge</t>
        </is>
      </c>
      <c r="C1113" t="inlineStr">
        <is>
          <t>ខេអិលអិន ហ្វ្រេត (ខេមបូឌា) ឯ.ក</t>
        </is>
      </c>
      <c r="D1113" t="inlineStr">
        <is>
          <t>L001-100074669</t>
        </is>
      </c>
      <c r="E1113" t="inlineStr">
        <is>
          <t>IVO13346</t>
        </is>
      </c>
      <c r="F1113" t="inlineStr">
        <is>
          <t>25-08-2024</t>
        </is>
      </c>
      <c r="G1113" t="n">
        <v>86600</v>
      </c>
      <c r="I1113">
        <f>G1113</f>
        <v/>
      </c>
      <c r="K1113">
        <f>I1113-G1113</f>
        <v/>
      </c>
      <c r="M1113" t="inlineStr">
        <is>
          <t>IVO13346</t>
        </is>
      </c>
      <c r="N1113" t="inlineStr"/>
      <c r="O1113">
        <f>M1113=N1113</f>
        <v/>
      </c>
      <c r="P1113">
        <f>AND(MONTH(F1113)=MONTH(S1113), YEAR(F1113)=YEAR(S1113))</f>
        <v/>
      </c>
      <c r="Q1113">
        <f>"L001-902303751"=U1113</f>
        <v/>
      </c>
      <c r="R1113">
        <f>G1113-W1113</f>
        <v/>
      </c>
      <c r="S1113" s="36" t="n">
        <v>45444</v>
      </c>
      <c r="T1113" t="inlineStr"/>
      <c r="U1113" t="inlineStr">
        <is>
          <t>L001-103007369</t>
        </is>
      </c>
      <c r="V1113" t="inlineStr">
        <is>
          <t>អូរៀនថល ឡូជីស្ទីក &amp; ឌីស្ទ្រីប៊្យូសិន (ខេមបូឌា)</t>
        </is>
      </c>
      <c r="W1113" t="n">
        <v>0</v>
      </c>
      <c r="X1113" t="n">
        <v>0</v>
      </c>
    </row>
    <row r="1114">
      <c r="A1114" t="n">
        <v>1113</v>
      </c>
      <c r="B1114" t="inlineStr">
        <is>
          <t>Terminal Handling Charge, EMF, 3 Party Trucking, Container Imbalance Charge, D/O Fee, Document Fee and Handling Charge</t>
        </is>
      </c>
      <c r="C1114" t="inlineStr">
        <is>
          <t>ខេអិលអិន ហ្វ្រេត (ខេមបូឌា) ឯ.ក</t>
        </is>
      </c>
      <c r="D1114" t="inlineStr">
        <is>
          <t>L001-100074669</t>
        </is>
      </c>
      <c r="E1114" t="inlineStr">
        <is>
          <t>IVO12173</t>
        </is>
      </c>
      <c r="F1114" t="inlineStr">
        <is>
          <t>09-08-2024</t>
        </is>
      </c>
      <c r="G1114" t="n">
        <v>90230</v>
      </c>
      <c r="I1114">
        <f>G1114</f>
        <v/>
      </c>
      <c r="K1114">
        <f>I1114-G1114</f>
        <v/>
      </c>
      <c r="M1114" t="inlineStr">
        <is>
          <t>IVO12173</t>
        </is>
      </c>
      <c r="N1114" t="inlineStr"/>
      <c r="O1114">
        <f>M1114=N1114</f>
        <v/>
      </c>
      <c r="P1114">
        <f>AND(MONTH(F1114)=MONTH(S1114), YEAR(F1114)=YEAR(S1114))</f>
        <v/>
      </c>
      <c r="Q1114">
        <f>"L001-902303751"=U1114</f>
        <v/>
      </c>
      <c r="R1114">
        <f>G1114-W1114</f>
        <v/>
      </c>
      <c r="S1114" s="36" t="n">
        <v>45444</v>
      </c>
      <c r="T1114" t="inlineStr"/>
      <c r="U1114" t="inlineStr">
        <is>
          <t>L001-100045340</t>
        </is>
      </c>
      <c r="V1114" t="inlineStr">
        <is>
          <t xml:space="preserve">ស៊ីវ៉ា អ៊ែរ អ៊ែន អូសៀន (ខេមបូឌា) ឯ.ក </t>
        </is>
      </c>
      <c r="W1114" t="n">
        <v>0</v>
      </c>
      <c r="X1114" t="n">
        <v>0</v>
      </c>
    </row>
    <row r="1115">
      <c r="A1115" t="n">
        <v>1114</v>
      </c>
      <c r="B1115" t="inlineStr">
        <is>
          <t>Trucking, Customs Clearance, Extra Truckng and Trucking Fuel Surcharge</t>
        </is>
      </c>
      <c r="C1115" t="inlineStr">
        <is>
          <t>អេស អ វី ស៊ី ហ្វ្រេត សឺវីស (ខេមបូឌា) ខូ អិលធីឌី</t>
        </is>
      </c>
      <c r="D1115" t="inlineStr">
        <is>
          <t>K005-100150195</t>
        </is>
      </c>
      <c r="E1115" t="inlineStr">
        <is>
          <t>SRVI2405074</t>
        </is>
      </c>
      <c r="F1115" t="inlineStr">
        <is>
          <t>23-08-2024</t>
        </is>
      </c>
      <c r="G1115" t="n">
        <v>163320</v>
      </c>
      <c r="I1115">
        <f>G1115</f>
        <v/>
      </c>
      <c r="K1115">
        <f>I1115-G1115</f>
        <v/>
      </c>
      <c r="M1115" t="inlineStr">
        <is>
          <t>SRVI2405074</t>
        </is>
      </c>
      <c r="N1115" t="inlineStr"/>
      <c r="O1115">
        <f>M1115=N1115</f>
        <v/>
      </c>
      <c r="P1115">
        <f>AND(MONTH(F1115)=MONTH(S1115), YEAR(F1115)=YEAR(S1115))</f>
        <v/>
      </c>
      <c r="Q1115">
        <f>"L001-902303751"=U1115</f>
        <v/>
      </c>
      <c r="R1115">
        <f>G1115-W1115</f>
        <v/>
      </c>
      <c r="S1115" s="36" t="n">
        <v>45446</v>
      </c>
      <c r="T1115" t="inlineStr"/>
      <c r="U1115" t="inlineStr">
        <is>
          <t>L001-107041723</t>
        </is>
      </c>
      <c r="V1115" t="inlineStr">
        <is>
          <t>ឌីប៊ី សេនឃើរ (ខេមបូឌា) លីមីធីត</t>
        </is>
      </c>
      <c r="W1115" t="n">
        <v>0</v>
      </c>
      <c r="X1115" t="n">
        <v>0</v>
      </c>
    </row>
    <row r="1116">
      <c r="A1116" t="n">
        <v>1115</v>
      </c>
      <c r="B1116" t="inlineStr">
        <is>
          <t>Trucking, Customs Clearance, Extra Truckng and Trucking Fuel Surcharge</t>
        </is>
      </c>
      <c r="C1116" t="inlineStr">
        <is>
          <t>អេស អ វី ស៊ី ហ្វ្រេត សឺវីស (ខេមបូឌា) ខូ អិលធីឌី</t>
        </is>
      </c>
      <c r="D1116" t="inlineStr">
        <is>
          <t>K005-100150195</t>
        </is>
      </c>
      <c r="E1116" t="inlineStr">
        <is>
          <t>SRVI2404782</t>
        </is>
      </c>
      <c r="F1116" t="inlineStr">
        <is>
          <t>14-08-2024</t>
        </is>
      </c>
      <c r="G1116" t="n">
        <v>177959</v>
      </c>
      <c r="I1116">
        <f>G1116</f>
        <v/>
      </c>
      <c r="K1116">
        <f>I1116-G1116</f>
        <v/>
      </c>
      <c r="M1116" t="inlineStr">
        <is>
          <t>SRVI2404782</t>
        </is>
      </c>
      <c r="N1116" t="inlineStr"/>
      <c r="O1116">
        <f>M1116=N1116</f>
        <v/>
      </c>
      <c r="P1116">
        <f>AND(MONTH(F1116)=MONTH(S1116), YEAR(F1116)=YEAR(S1116))</f>
        <v/>
      </c>
      <c r="Q1116">
        <f>"L001-902303751"=U1116</f>
        <v/>
      </c>
      <c r="R1116">
        <f>G1116-W1116</f>
        <v/>
      </c>
      <c r="S1116" s="36" t="n">
        <v>45446</v>
      </c>
      <c r="T1116" t="inlineStr"/>
      <c r="U1116" t="inlineStr">
        <is>
          <t>L001-100045995</t>
        </is>
      </c>
      <c r="V1116" t="inlineStr">
        <is>
          <t>ឌីអេចអិល ឡូជីស្ទីក (ខេមបូឌា)</t>
        </is>
      </c>
      <c r="W1116" t="n">
        <v>0</v>
      </c>
      <c r="X1116" t="n">
        <v>0</v>
      </c>
    </row>
    <row r="1117">
      <c r="A1117" t="n">
        <v>1116</v>
      </c>
      <c r="B1117" t="inlineStr">
        <is>
          <t>Trucking, Customs Clearance, Extra Truckng and Trucking Fuel Surcharge</t>
        </is>
      </c>
      <c r="C1117" t="inlineStr">
        <is>
          <t>អេស អ វី ស៊ី ហ្វ្រេត សឺវីស (ខេមបូឌា) ខូ អិលធីឌី</t>
        </is>
      </c>
      <c r="D1117" t="inlineStr">
        <is>
          <t>K005-100150195</t>
        </is>
      </c>
      <c r="E1117" t="inlineStr">
        <is>
          <t>SRVI2404676</t>
        </is>
      </c>
      <c r="F1117" t="inlineStr">
        <is>
          <t>08-08-2024</t>
        </is>
      </c>
      <c r="G1117" t="n">
        <v>164200</v>
      </c>
      <c r="I1117">
        <f>G1117</f>
        <v/>
      </c>
      <c r="K1117">
        <f>I1117-G1117</f>
        <v/>
      </c>
      <c r="M1117" t="inlineStr">
        <is>
          <t>SRVI2404676</t>
        </is>
      </c>
      <c r="N1117" t="inlineStr">
        <is>
          <t>12816300</t>
        </is>
      </c>
      <c r="O1117">
        <f>M1117=N1117</f>
        <v/>
      </c>
      <c r="P1117">
        <f>AND(MONTH(F1117)=MONTH(S1117), YEAR(F1117)=YEAR(S1117))</f>
        <v/>
      </c>
      <c r="Q1117">
        <f>"L001-902303751"=U1117</f>
        <v/>
      </c>
      <c r="R1117">
        <f>G1117-W1117</f>
        <v/>
      </c>
      <c r="S1117" s="36" t="n">
        <v>45467</v>
      </c>
      <c r="T1117" t="n">
        <v>128163</v>
      </c>
      <c r="U1117" t="inlineStr">
        <is>
          <t>L001-100045340</t>
        </is>
      </c>
      <c r="V1117" t="inlineStr">
        <is>
          <t xml:space="preserve">ស៊ីវ៉ា អ៊ែរ អ៊ែន អូសៀន (ខេមបូឌា) ឯ.ក </t>
        </is>
      </c>
      <c r="W1117" t="n">
        <v>128163</v>
      </c>
      <c r="X1117" t="n">
        <v>0</v>
      </c>
    </row>
    <row r="1118">
      <c r="A1118" t="n">
        <v>1117</v>
      </c>
      <c r="B1118" t="inlineStr">
        <is>
          <t>Trucking, Customs Clearance, Extra Truckng and Trucking Fuel Surcharge</t>
        </is>
      </c>
      <c r="C1118" t="inlineStr">
        <is>
          <t>អេស អ វី ស៊ី ហ្វ្រេត សឺវីស (ខេមបូឌា) ខូ អិលធីឌី</t>
        </is>
      </c>
      <c r="D1118" t="inlineStr">
        <is>
          <t>K005-100150195</t>
        </is>
      </c>
      <c r="E1118" t="inlineStr">
        <is>
          <t>SRVI2404675</t>
        </is>
      </c>
      <c r="F1118" t="inlineStr">
        <is>
          <t>08-08-2024</t>
        </is>
      </c>
      <c r="G1118" t="n">
        <v>164200</v>
      </c>
      <c r="I1118">
        <f>G1118</f>
        <v/>
      </c>
      <c r="K1118">
        <f>I1118-G1118</f>
        <v/>
      </c>
      <c r="M1118" t="inlineStr">
        <is>
          <t>SRVI2404675</t>
        </is>
      </c>
      <c r="N1118" t="inlineStr"/>
      <c r="O1118">
        <f>M1118=N1118</f>
        <v/>
      </c>
      <c r="P1118">
        <f>AND(MONTH(F1118)=MONTH(S1118), YEAR(F1118)=YEAR(S1118))</f>
        <v/>
      </c>
      <c r="Q1118">
        <f>"L001-902303751"=U1118</f>
        <v/>
      </c>
      <c r="R1118">
        <f>G1118-W1118</f>
        <v/>
      </c>
      <c r="S1118" s="36" t="n">
        <v>45460</v>
      </c>
      <c r="T1118" t="inlineStr"/>
      <c r="U1118" t="inlineStr">
        <is>
          <t>L001-107032791</t>
        </is>
      </c>
      <c r="V1118" t="inlineStr">
        <is>
          <t>នីបផន អិចប្រេស (ខេមបូឌា) ខូ អិលធីឌី</t>
        </is>
      </c>
      <c r="W1118" t="n">
        <v>0</v>
      </c>
      <c r="X1118" t="n">
        <v>0</v>
      </c>
    </row>
    <row r="1119">
      <c r="A1119" t="n">
        <v>1118</v>
      </c>
      <c r="B1119" t="inlineStr">
        <is>
          <t>Trucking , Customs Clearance, Extra Truckng and Trucking Fuel Surcharge</t>
        </is>
      </c>
      <c r="C1119" t="inlineStr">
        <is>
          <t>អេស អ វី ស៊ី ហ្វ្រេត សឺវីស (ខេមបូឌា) ខូ អិលធីឌី</t>
        </is>
      </c>
      <c r="D1119" t="inlineStr">
        <is>
          <t>K005-100150195</t>
        </is>
      </c>
      <c r="E1119" t="inlineStr">
        <is>
          <t>SRVI2404583</t>
        </is>
      </c>
      <c r="F1119" t="inlineStr">
        <is>
          <t>02-08-2024</t>
        </is>
      </c>
      <c r="G1119" t="n">
        <v>164320</v>
      </c>
      <c r="I1119">
        <f>G1119</f>
        <v/>
      </c>
      <c r="K1119">
        <f>I1119-G1119</f>
        <v/>
      </c>
      <c r="M1119" t="inlineStr">
        <is>
          <t>SRVI2404583</t>
        </is>
      </c>
      <c r="N1119" t="inlineStr">
        <is>
          <t>11332800</t>
        </is>
      </c>
      <c r="O1119">
        <f>M1119=N1119</f>
        <v/>
      </c>
      <c r="P1119">
        <f>AND(MONTH(F1119)=MONTH(S1119), YEAR(F1119)=YEAR(S1119))</f>
        <v/>
      </c>
      <c r="Q1119">
        <f>"L001-902303751"=U1119</f>
        <v/>
      </c>
      <c r="R1119">
        <f>G1119-W1119</f>
        <v/>
      </c>
      <c r="S1119" s="36" t="n">
        <v>45467</v>
      </c>
      <c r="T1119" t="n">
        <v>113328</v>
      </c>
      <c r="U1119" t="inlineStr">
        <is>
          <t>L001-107032791</t>
        </is>
      </c>
      <c r="V1119" t="inlineStr">
        <is>
          <t>នីបផន អិចប្រេស (ខេមបូឌា) ខូ អិលធីឌី</t>
        </is>
      </c>
      <c r="W1119" t="n">
        <v>113328</v>
      </c>
      <c r="X1119" t="n">
        <v>0</v>
      </c>
    </row>
    <row r="1120">
      <c r="A1120" t="n">
        <v>1119</v>
      </c>
      <c r="B1120" t="inlineStr">
        <is>
          <t>Trucking, Customs Clearance, Extra Truckng Fee and Trucking Fuel Surcharge</t>
        </is>
      </c>
      <c r="C1120" t="inlineStr">
        <is>
          <t>អេស អ វី ស៊ី ហ្វ្រេត សឺវីស (ខេមបូឌា) ខូ អិលធីឌី</t>
        </is>
      </c>
      <c r="D1120" t="inlineStr">
        <is>
          <t>K005-100150195</t>
        </is>
      </c>
      <c r="E1120" t="inlineStr">
        <is>
          <t>SRVI2404577</t>
        </is>
      </c>
      <c r="F1120" t="inlineStr">
        <is>
          <t>02-08-2024</t>
        </is>
      </c>
      <c r="G1120" t="n">
        <v>172536</v>
      </c>
      <c r="I1120">
        <f>G1120</f>
        <v/>
      </c>
      <c r="K1120">
        <f>I1120-G1120</f>
        <v/>
      </c>
      <c r="M1120" t="inlineStr">
        <is>
          <t>SRVI2404577</t>
        </is>
      </c>
      <c r="N1120" t="inlineStr">
        <is>
          <t>11332800</t>
        </is>
      </c>
      <c r="O1120">
        <f>M1120=N1120</f>
        <v/>
      </c>
      <c r="P1120">
        <f>AND(MONTH(F1120)=MONTH(S1120), YEAR(F1120)=YEAR(S1120))</f>
        <v/>
      </c>
      <c r="Q1120">
        <f>"L001-902303751"=U1120</f>
        <v/>
      </c>
      <c r="R1120">
        <f>G1120-W1120</f>
        <v/>
      </c>
      <c r="S1120" s="36" t="n">
        <v>45467</v>
      </c>
      <c r="T1120" t="n">
        <v>113328</v>
      </c>
      <c r="U1120" t="inlineStr">
        <is>
          <t>K002-901800477</t>
        </is>
      </c>
      <c r="V1120" t="inlineStr">
        <is>
          <t>អាយធីអាយ អ៊ិនធើណេសិនណល ត្រេនស័្ពរថេសិន (ខេមបូឌា) ឯ.ក</t>
        </is>
      </c>
      <c r="W1120" t="n">
        <v>113328</v>
      </c>
      <c r="X1120" t="n">
        <v>0</v>
      </c>
    </row>
    <row r="1121">
      <c r="A1121" t="n">
        <v>1120</v>
      </c>
      <c r="B1121" t="inlineStr">
        <is>
          <t>Terminal Handling Charge, EMF, 3 Party Trucking, Container Imbalance Charge, D/O Fee, Document Fee and Handling Charge</t>
        </is>
      </c>
      <c r="C1121" t="inlineStr">
        <is>
          <t>ខេអិលអិន ហ្វ្រេត (ខេមបូឌា) ឯ.ក</t>
        </is>
      </c>
      <c r="D1121" t="inlineStr">
        <is>
          <t>L001-100074669</t>
        </is>
      </c>
      <c r="E1121" t="inlineStr">
        <is>
          <t>IVO13405</t>
        </is>
      </c>
      <c r="F1121" t="inlineStr">
        <is>
          <t>25-08-2024</t>
        </is>
      </c>
      <c r="G1121" t="n">
        <v>127126</v>
      </c>
      <c r="I1121">
        <f>G1121</f>
        <v/>
      </c>
      <c r="K1121">
        <f>I1121-G1121</f>
        <v/>
      </c>
      <c r="M1121" t="inlineStr">
        <is>
          <t>IVO13405</t>
        </is>
      </c>
      <c r="N1121" t="inlineStr">
        <is>
          <t>171722100</t>
        </is>
      </c>
      <c r="O1121">
        <f>M1121=N1121</f>
        <v/>
      </c>
      <c r="P1121">
        <f>AND(MONTH(F1121)=MONTH(S1121), YEAR(F1121)=YEAR(S1121))</f>
        <v/>
      </c>
      <c r="Q1121">
        <f>"L001-902303751"=U1121</f>
        <v/>
      </c>
      <c r="R1121">
        <f>G1121-W1121</f>
        <v/>
      </c>
      <c r="S1121" s="36" t="n">
        <v>45467</v>
      </c>
      <c r="T1121" t="n">
        <v>1717221</v>
      </c>
      <c r="U1121" t="inlineStr">
        <is>
          <t>K004-105012505</t>
        </is>
      </c>
      <c r="V1121" t="inlineStr">
        <is>
          <t>អេស៊ាន ហ្វ្រេត (ខេមបូឌា)</t>
        </is>
      </c>
      <c r="W1121" t="n">
        <v>1717221</v>
      </c>
      <c r="X1121" t="n">
        <v>0</v>
      </c>
    </row>
    <row r="1122">
      <c r="A1122" t="n">
        <v>1121</v>
      </c>
      <c r="B1122" t="inlineStr">
        <is>
          <t>Customs Clearance Fee</t>
        </is>
      </c>
      <c r="C1122" t="inlineStr">
        <is>
          <t>ត្រាយអ៊ែងហ្គល ឡូជីស្ទីក (ខេមបូឌា) ឯ.ក</t>
        </is>
      </c>
      <c r="D1122" t="inlineStr">
        <is>
          <t>K010-902101743</t>
        </is>
      </c>
      <c r="E1122" t="inlineStr">
        <is>
          <t>TAG-24-00538</t>
        </is>
      </c>
      <c r="F1122" t="inlineStr">
        <is>
          <t>09-08-2024</t>
        </is>
      </c>
      <c r="G1122" t="n">
        <v>8200</v>
      </c>
      <c r="I1122">
        <f>G1122</f>
        <v/>
      </c>
      <c r="K1122">
        <f>I1122-G1122</f>
        <v/>
      </c>
      <c r="M1122" t="inlineStr">
        <is>
          <t>TAG2400538</t>
        </is>
      </c>
      <c r="N1122" t="inlineStr"/>
      <c r="O1122">
        <f>M1122=N1122</f>
        <v/>
      </c>
      <c r="P1122">
        <f>AND(MONTH(F1122)=MONTH(S1122), YEAR(F1122)=YEAR(S1122))</f>
        <v/>
      </c>
      <c r="Q1122">
        <f>"L001-902303751"=U1122</f>
        <v/>
      </c>
      <c r="R1122">
        <f>G1122-W1122</f>
        <v/>
      </c>
      <c r="S1122" s="36" t="n">
        <v>45467</v>
      </c>
      <c r="T1122" t="inlineStr"/>
      <c r="U1122" t="inlineStr">
        <is>
          <t>L001-100045340</t>
        </is>
      </c>
      <c r="V1122" t="inlineStr">
        <is>
          <t xml:space="preserve">ស៊ីវ៉ា អ៊ែរ អ៊ែន អូសៀន (ខេមបូឌា) ឯ.ក </t>
        </is>
      </c>
      <c r="W1122" t="n">
        <v>0</v>
      </c>
      <c r="X1122" t="n">
        <v>0</v>
      </c>
    </row>
    <row r="1123">
      <c r="A1123" t="n">
        <v>1122</v>
      </c>
      <c r="B1123" t="inlineStr">
        <is>
          <t>Customs Clearance Fee and Trucking Fee</t>
        </is>
      </c>
      <c r="C1123" t="inlineStr">
        <is>
          <t>ត្រាយអ៊ែងហ្គល ឡូជីស្ទីក (ខេមបូឌា) ឯ.ក</t>
        </is>
      </c>
      <c r="D1123" t="inlineStr">
        <is>
          <t>K010-902101743</t>
        </is>
      </c>
      <c r="E1123" t="inlineStr">
        <is>
          <t>TAG-24-00535</t>
        </is>
      </c>
      <c r="F1123" t="inlineStr">
        <is>
          <t>08-08-2024</t>
        </is>
      </c>
      <c r="G1123" t="n">
        <v>65680</v>
      </c>
      <c r="I1123">
        <f>G1123</f>
        <v/>
      </c>
      <c r="K1123">
        <f>I1123-G1123</f>
        <v/>
      </c>
      <c r="M1123" t="inlineStr">
        <is>
          <t>TAG2400535</t>
        </is>
      </c>
      <c r="N1123" t="inlineStr">
        <is>
          <t>11313500</t>
        </is>
      </c>
      <c r="O1123">
        <f>M1123=N1123</f>
        <v/>
      </c>
      <c r="P1123">
        <f>AND(MONTH(F1123)=MONTH(S1123), YEAR(F1123)=YEAR(S1123))</f>
        <v/>
      </c>
      <c r="Q1123">
        <f>"L001-902303751"=U1123</f>
        <v/>
      </c>
      <c r="R1123">
        <f>G1123-W1123</f>
        <v/>
      </c>
      <c r="S1123" s="36" t="n">
        <v>45453</v>
      </c>
      <c r="T1123" t="n">
        <v>113135</v>
      </c>
      <c r="U1123" t="inlineStr">
        <is>
          <t>L001-107032791</t>
        </is>
      </c>
      <c r="V1123" t="inlineStr">
        <is>
          <t>នីបផន អិចប្រេស (ខេមបូឌា) ខូ អិលធីឌី</t>
        </is>
      </c>
      <c r="W1123" t="n">
        <v>113135</v>
      </c>
      <c r="X1123" t="n">
        <v>0</v>
      </c>
    </row>
    <row r="1124">
      <c r="A1124" t="n">
        <v>1123</v>
      </c>
      <c r="B1124" t="inlineStr">
        <is>
          <t>Terminal Handling Charges, CFS Fee, Scan Fee, D/O Fee, Document Fee, Handling Fee, Co-Loader Agency Fee and CIC</t>
        </is>
      </c>
      <c r="C1124" t="inlineStr">
        <is>
          <t>ត្រាយអ៊ែងហ្គល ឡូជីស្ទីក (ខេមបូឌា) ឯ.ក</t>
        </is>
      </c>
      <c r="D1124" t="inlineStr">
        <is>
          <t>K010-902101743</t>
        </is>
      </c>
      <c r="E1124" t="inlineStr">
        <is>
          <t>TAG-24-00556</t>
        </is>
      </c>
      <c r="F1124" t="inlineStr">
        <is>
          <t>20-08-2024</t>
        </is>
      </c>
      <c r="G1124" t="n">
        <v>100517</v>
      </c>
      <c r="I1124">
        <f>G1124</f>
        <v/>
      </c>
      <c r="K1124">
        <f>I1124-G1124</f>
        <v/>
      </c>
      <c r="M1124" t="inlineStr">
        <is>
          <t>TAG2400556</t>
        </is>
      </c>
      <c r="N1124" t="inlineStr"/>
      <c r="O1124">
        <f>M1124=N1124</f>
        <v/>
      </c>
      <c r="P1124">
        <f>AND(MONTH(F1124)=MONTH(S1124), YEAR(F1124)=YEAR(S1124))</f>
        <v/>
      </c>
      <c r="Q1124">
        <f>"L001-902303751"=U1124</f>
        <v/>
      </c>
      <c r="R1124">
        <f>G1124-W1124</f>
        <v/>
      </c>
      <c r="S1124" s="36" t="n">
        <v>45453</v>
      </c>
      <c r="T1124" t="inlineStr"/>
      <c r="U1124" t="inlineStr">
        <is>
          <t>L001-100011888</t>
        </is>
      </c>
      <c r="V1124" t="inlineStr">
        <is>
          <t>ត្រេន ស្តារ ហ្រេ្វត</t>
        </is>
      </c>
      <c r="W1124" t="n">
        <v>0</v>
      </c>
      <c r="X1124" t="n">
        <v>0</v>
      </c>
    </row>
    <row r="1125">
      <c r="A1125" t="n">
        <v>1124</v>
      </c>
      <c r="B1125" t="inlineStr">
        <is>
          <t>Customs Clearance Fee and Trucking Fee</t>
        </is>
      </c>
      <c r="C1125" t="inlineStr">
        <is>
          <t>ត្រាយអ៊ែងហ្គល ឡូជីស្ទីក (ខេមបូឌា) ឯ.ក</t>
        </is>
      </c>
      <c r="D1125" t="inlineStr">
        <is>
          <t>K010-902101743</t>
        </is>
      </c>
      <c r="E1125" t="inlineStr">
        <is>
          <t>TAG-24-00582</t>
        </is>
      </c>
      <c r="F1125" t="inlineStr">
        <is>
          <t>23-08-2024</t>
        </is>
      </c>
      <c r="G1125" t="n">
        <v>65056</v>
      </c>
      <c r="I1125">
        <f>G1125</f>
        <v/>
      </c>
      <c r="K1125">
        <f>I1125-G1125</f>
        <v/>
      </c>
      <c r="M1125" t="inlineStr">
        <is>
          <t>TAG2400582</t>
        </is>
      </c>
      <c r="N1125" t="inlineStr"/>
      <c r="O1125">
        <f>M1125=N1125</f>
        <v/>
      </c>
      <c r="P1125">
        <f>AND(MONTH(F1125)=MONTH(S1125), YEAR(F1125)=YEAR(S1125))</f>
        <v/>
      </c>
      <c r="Q1125">
        <f>"L001-902303751"=U1125</f>
        <v/>
      </c>
      <c r="R1125">
        <f>G1125-W1125</f>
        <v/>
      </c>
      <c r="S1125" s="36" t="n">
        <v>45446</v>
      </c>
      <c r="T1125" t="inlineStr"/>
      <c r="U1125" t="inlineStr">
        <is>
          <t>L001-107032791</t>
        </is>
      </c>
      <c r="V1125" t="inlineStr">
        <is>
          <t>នីបផន អិចប្រេស (ខេមបូឌា) ខូ អិលធីឌី</t>
        </is>
      </c>
      <c r="W1125" t="n">
        <v>0</v>
      </c>
      <c r="X1125" t="n">
        <v>0</v>
      </c>
    </row>
    <row r="1126">
      <c r="A1126" t="n">
        <v>1125</v>
      </c>
      <c r="B1126" t="inlineStr">
        <is>
          <t>Customs Clearance Fee</t>
        </is>
      </c>
      <c r="C1126" t="inlineStr">
        <is>
          <t>ត្រាយអ៊ែងហ្គល ឡូជីស្ទីក (ខេមបូឌា) ឯ.ក</t>
        </is>
      </c>
      <c r="D1126" t="inlineStr">
        <is>
          <t>K010-902101743</t>
        </is>
      </c>
      <c r="E1126" t="inlineStr">
        <is>
          <t>TAG-24-00575</t>
        </is>
      </c>
      <c r="F1126" t="inlineStr">
        <is>
          <t>26-08-2024</t>
        </is>
      </c>
      <c r="G1126" t="n">
        <v>8162</v>
      </c>
      <c r="I1126">
        <f>G1126</f>
        <v/>
      </c>
      <c r="K1126">
        <f>I1126-G1126</f>
        <v/>
      </c>
      <c r="M1126" t="inlineStr">
        <is>
          <t>TAG2400575</t>
        </is>
      </c>
      <c r="N1126" t="inlineStr">
        <is>
          <t>8403000</t>
        </is>
      </c>
      <c r="O1126">
        <f>M1126=N1126</f>
        <v/>
      </c>
      <c r="P1126">
        <f>AND(MONTH(F1126)=MONTH(S1126), YEAR(F1126)=YEAR(S1126))</f>
        <v/>
      </c>
      <c r="Q1126">
        <f>"L001-902303751"=U1126</f>
        <v/>
      </c>
      <c r="R1126">
        <f>G1126-W1126</f>
        <v/>
      </c>
      <c r="S1126" s="36" t="n">
        <v>45446</v>
      </c>
      <c r="T1126" t="n">
        <v>84030</v>
      </c>
      <c r="U1126" t="inlineStr">
        <is>
          <t>L001-107032791</t>
        </is>
      </c>
      <c r="V1126" t="inlineStr">
        <is>
          <t>នីបផន អិចប្រេស (ខេមបូឌា) ខូ អិលធីឌី</t>
        </is>
      </c>
      <c r="W1126" t="n">
        <v>84030</v>
      </c>
      <c r="X1126" t="n">
        <v>0</v>
      </c>
    </row>
    <row r="1127">
      <c r="A1127" t="n">
        <v>1126</v>
      </c>
      <c r="B1127" t="inlineStr">
        <is>
          <t>Customs Clearance Fee</t>
        </is>
      </c>
      <c r="C1127" t="inlineStr">
        <is>
          <t>ត្រាយអ៊ែងហ្គល ឡូជីស្ទីក (ខេមបូឌា) ឯ.ក</t>
        </is>
      </c>
      <c r="D1127" t="inlineStr">
        <is>
          <t>K010-902101743</t>
        </is>
      </c>
      <c r="E1127" t="inlineStr">
        <is>
          <t>TAG-24-00557</t>
        </is>
      </c>
      <c r="F1127" t="inlineStr">
        <is>
          <t>20-08-2024</t>
        </is>
      </c>
      <c r="G1127" t="n">
        <v>8180</v>
      </c>
      <c r="I1127">
        <f>G1127</f>
        <v/>
      </c>
      <c r="K1127">
        <f>I1127-G1127</f>
        <v/>
      </c>
      <c r="M1127" t="inlineStr">
        <is>
          <t>TAG2400557</t>
        </is>
      </c>
      <c r="N1127" t="inlineStr"/>
      <c r="O1127">
        <f>M1127=N1127</f>
        <v/>
      </c>
      <c r="P1127">
        <f>AND(MONTH(F1127)=MONTH(S1127), YEAR(F1127)=YEAR(S1127))</f>
        <v/>
      </c>
      <c r="Q1127">
        <f>"L001-902303751"=U1127</f>
        <v/>
      </c>
      <c r="R1127">
        <f>G1127-W1127</f>
        <v/>
      </c>
      <c r="S1127" s="36" t="n">
        <v>45446</v>
      </c>
      <c r="T1127" t="inlineStr"/>
      <c r="U1127" t="inlineStr">
        <is>
          <t>L001-100045995</t>
        </is>
      </c>
      <c r="V1127" t="inlineStr">
        <is>
          <t>ឌីអេចអិល ឡូជីស្ទីក (ខេមបូឌា)</t>
        </is>
      </c>
      <c r="W1127" t="n">
        <v>0</v>
      </c>
      <c r="X1127" t="n">
        <v>0</v>
      </c>
    </row>
    <row r="1128">
      <c r="A1128" t="n">
        <v>1127</v>
      </c>
      <c r="B1128" t="inlineStr">
        <is>
          <t>Customs Clearance Fee and Trucking Fee</t>
        </is>
      </c>
      <c r="C1128" t="inlineStr">
        <is>
          <t>ត្រាយអ៊ែងហ្គល ឡូជីស្ទីក (ខេមបូឌា) ឯ.ក</t>
        </is>
      </c>
      <c r="D1128" t="inlineStr">
        <is>
          <t>K010-902101743</t>
        </is>
      </c>
      <c r="E1128" t="inlineStr">
        <is>
          <t>TAG-24-00605</t>
        </is>
      </c>
      <c r="F1128" t="inlineStr">
        <is>
          <t>30-08-2024</t>
        </is>
      </c>
      <c r="G1128" t="n">
        <v>32456</v>
      </c>
      <c r="I1128">
        <f>G1128</f>
        <v/>
      </c>
      <c r="K1128">
        <f>I1128-G1128</f>
        <v/>
      </c>
      <c r="M1128" t="inlineStr">
        <is>
          <t>TAG2400605</t>
        </is>
      </c>
      <c r="N1128" t="inlineStr">
        <is>
          <t>20290100</t>
        </is>
      </c>
      <c r="O1128">
        <f>M1128=N1128</f>
        <v/>
      </c>
      <c r="P1128">
        <f>AND(MONTH(F1128)=MONTH(S1128), YEAR(F1128)=YEAR(S1128))</f>
        <v/>
      </c>
      <c r="Q1128">
        <f>"L001-902303751"=U1128</f>
        <v/>
      </c>
      <c r="R1128">
        <f>G1128-W1128</f>
        <v/>
      </c>
      <c r="S1128" s="36" t="n">
        <v>45446</v>
      </c>
      <c r="T1128" t="n">
        <v>202901</v>
      </c>
      <c r="U1128" t="inlineStr">
        <is>
          <t>L001-100045995</t>
        </is>
      </c>
      <c r="V1128" t="inlineStr">
        <is>
          <t>ឌីអេចអិល ឡូជីស្ទីក (ខេមបូឌា)</t>
        </is>
      </c>
      <c r="W1128" t="n">
        <v>202901</v>
      </c>
      <c r="X1128" t="n">
        <v>0</v>
      </c>
    </row>
    <row r="1129">
      <c r="A1129" t="n">
        <v>1128</v>
      </c>
      <c r="B1129" t="inlineStr">
        <is>
          <t>Terminal Handling Charges, CFS Fee, Scan Fee, D/O Fee, Document Fee, Handling Fee, Co-Loader Agency Fee and CIC</t>
        </is>
      </c>
      <c r="C1129" t="inlineStr">
        <is>
          <t>ត្រាយអ៊ែងហ្គល ឡូជីស្ទីក (ខេមបូឌា) ឯ.ក</t>
        </is>
      </c>
      <c r="D1129" t="inlineStr">
        <is>
          <t>K010-902101743</t>
        </is>
      </c>
      <c r="E1129" t="inlineStr">
        <is>
          <t>TAG-24-00555</t>
        </is>
      </c>
      <c r="F1129" t="inlineStr">
        <is>
          <t>20-08-2024</t>
        </is>
      </c>
      <c r="G1129" t="n">
        <v>184195</v>
      </c>
      <c r="I1129">
        <f>G1129</f>
        <v/>
      </c>
      <c r="K1129">
        <f>I1129-G1129</f>
        <v/>
      </c>
      <c r="M1129" t="inlineStr">
        <is>
          <t>TAG2400555</t>
        </is>
      </c>
      <c r="N1129" t="inlineStr">
        <is>
          <t>11332800</t>
        </is>
      </c>
      <c r="O1129">
        <f>M1129=N1129</f>
        <v/>
      </c>
      <c r="P1129">
        <f>AND(MONTH(F1129)=MONTH(S1129), YEAR(F1129)=YEAR(S1129))</f>
        <v/>
      </c>
      <c r="Q1129">
        <f>"L001-902303751"=U1129</f>
        <v/>
      </c>
      <c r="R1129">
        <f>G1129-W1129</f>
        <v/>
      </c>
      <c r="S1129" s="36" t="n">
        <v>45460</v>
      </c>
      <c r="T1129" t="n">
        <v>113328</v>
      </c>
      <c r="U1129" t="inlineStr">
        <is>
          <t>L001-107032791</t>
        </is>
      </c>
      <c r="V1129" t="inlineStr">
        <is>
          <t>នីបផន អិចប្រេស (ខេមបូឌា) ខូ អិលធីឌី</t>
        </is>
      </c>
      <c r="W1129" t="n">
        <v>113328</v>
      </c>
      <c r="X1129" t="n">
        <v>0</v>
      </c>
    </row>
    <row r="1130">
      <c r="A1130" t="n">
        <v>1129</v>
      </c>
      <c r="B1130" t="inlineStr">
        <is>
          <t>Customs Clearance Fee and Trucking Fee</t>
        </is>
      </c>
      <c r="C1130" t="inlineStr">
        <is>
          <t>ត្រាយអ៊ែងហ្គល ឡូជីស្ទីក (ខេមបូឌា) ឯ.ក</t>
        </is>
      </c>
      <c r="D1130" t="inlineStr">
        <is>
          <t>K010-902101743</t>
        </is>
      </c>
      <c r="E1130" t="inlineStr">
        <is>
          <t>TAG-24-00570</t>
        </is>
      </c>
      <c r="F1130" t="inlineStr">
        <is>
          <t>26-08-2024</t>
        </is>
      </c>
      <c r="G1130" t="n">
        <v>73907</v>
      </c>
      <c r="I1130">
        <f>G1130</f>
        <v/>
      </c>
      <c r="K1130">
        <f>I1130-G1130</f>
        <v/>
      </c>
      <c r="M1130" t="inlineStr">
        <is>
          <t>TAG2400570</t>
        </is>
      </c>
      <c r="N1130" t="inlineStr"/>
      <c r="O1130">
        <f>M1130=N1130</f>
        <v/>
      </c>
      <c r="P1130">
        <f>AND(MONTH(F1130)=MONTH(S1130), YEAR(F1130)=YEAR(S1130))</f>
        <v/>
      </c>
      <c r="Q1130">
        <f>"L001-902303751"=U1130</f>
        <v/>
      </c>
      <c r="R1130">
        <f>G1130-W1130</f>
        <v/>
      </c>
      <c r="S1130" s="36" t="n">
        <v>45460</v>
      </c>
      <c r="T1130" t="inlineStr"/>
      <c r="U1130" t="inlineStr">
        <is>
          <t>K005-901805913</t>
        </is>
      </c>
      <c r="V1130" t="inlineStr">
        <is>
          <t>ស្តារ ខង់ខដ (ខេមបូឌា) ឯ.ក</t>
        </is>
      </c>
      <c r="W1130" t="n">
        <v>0</v>
      </c>
      <c r="X1130" t="n">
        <v>0</v>
      </c>
    </row>
    <row r="1131">
      <c r="A1131" t="n">
        <v>1130</v>
      </c>
      <c r="B1131" t="inlineStr">
        <is>
          <t>Customs Clearance Fee and Trucking Fee</t>
        </is>
      </c>
      <c r="C1131" t="inlineStr">
        <is>
          <t>ត្រាយអ៊ែងហ្គល ឡូជីស្ទីក (ខេមបូឌា) ឯ.ក</t>
        </is>
      </c>
      <c r="D1131" t="inlineStr">
        <is>
          <t>K010-902101743</t>
        </is>
      </c>
      <c r="E1131" t="inlineStr">
        <is>
          <t>TAG-24-00598</t>
        </is>
      </c>
      <c r="F1131" t="inlineStr">
        <is>
          <t>29-08-2024</t>
        </is>
      </c>
      <c r="G1131" t="n">
        <v>28427</v>
      </c>
      <c r="I1131">
        <f>G1131</f>
        <v/>
      </c>
      <c r="K1131">
        <f>I1131-G1131</f>
        <v/>
      </c>
      <c r="M1131" t="inlineStr">
        <is>
          <t>TAG2400598</t>
        </is>
      </c>
      <c r="N1131" t="inlineStr"/>
      <c r="O1131">
        <f>M1131=N1131</f>
        <v/>
      </c>
      <c r="P1131">
        <f>AND(MONTH(F1131)=MONTH(S1131), YEAR(F1131)=YEAR(S1131))</f>
        <v/>
      </c>
      <c r="Q1131">
        <f>"L001-902303751"=U1131</f>
        <v/>
      </c>
      <c r="R1131">
        <f>G1131-W1131</f>
        <v/>
      </c>
      <c r="S1131" s="36" t="n">
        <v>45467</v>
      </c>
      <c r="T1131" t="inlineStr"/>
      <c r="U1131" t="inlineStr">
        <is>
          <t>K002-901800477</t>
        </is>
      </c>
      <c r="V1131" t="inlineStr">
        <is>
          <t>អាយធីអាយ អ៊ិនធើណេសិនណល ត្រេនស័្ពរថេសិន (ខេមបូឌា) ឯ.ក</t>
        </is>
      </c>
      <c r="W1131" t="n">
        <v>0</v>
      </c>
      <c r="X1131" t="n">
        <v>0</v>
      </c>
    </row>
    <row r="1132">
      <c r="A1132" t="n">
        <v>1131</v>
      </c>
      <c r="B1132" t="inlineStr">
        <is>
          <t>Customs Clearance Fee</t>
        </is>
      </c>
      <c r="C1132" t="inlineStr">
        <is>
          <t>ត្រាយអ៊ែងហ្គល ឡូជីស្ទីក (ខេមបូឌា) ឯ.ក</t>
        </is>
      </c>
      <c r="D1132" t="inlineStr">
        <is>
          <t>K010-902101743</t>
        </is>
      </c>
      <c r="E1132" t="inlineStr">
        <is>
          <t>TAG-24-00553</t>
        </is>
      </c>
      <c r="F1132" t="inlineStr">
        <is>
          <t>16-08-2024</t>
        </is>
      </c>
      <c r="G1132" t="n">
        <v>8196</v>
      </c>
      <c r="I1132">
        <f>G1132</f>
        <v/>
      </c>
      <c r="K1132">
        <f>I1132-G1132</f>
        <v/>
      </c>
      <c r="M1132" t="inlineStr">
        <is>
          <t>TAG2400553</t>
        </is>
      </c>
      <c r="N1132" t="inlineStr">
        <is>
          <t>8433700</t>
        </is>
      </c>
      <c r="O1132">
        <f>M1132=N1132</f>
        <v/>
      </c>
      <c r="P1132">
        <f>AND(MONTH(F1132)=MONTH(S1132), YEAR(F1132)=YEAR(S1132))</f>
        <v/>
      </c>
      <c r="Q1132">
        <f>"L001-902303751"=U1132</f>
        <v/>
      </c>
      <c r="R1132">
        <f>G1132-W1132</f>
        <v/>
      </c>
      <c r="S1132" s="36" t="n">
        <v>45453</v>
      </c>
      <c r="T1132" t="n">
        <v>84337</v>
      </c>
      <c r="U1132" t="inlineStr">
        <is>
          <t>L001-107032791</t>
        </is>
      </c>
      <c r="V1132" t="inlineStr">
        <is>
          <t>នីបផន អិចប្រេស (ខេមបូឌា) ខូ អិលធីឌី</t>
        </is>
      </c>
      <c r="W1132" t="n">
        <v>84337</v>
      </c>
      <c r="X1132" t="n">
        <v>0</v>
      </c>
    </row>
    <row r="1133">
      <c r="A1133" t="n">
        <v>1132</v>
      </c>
      <c r="B1133" t="inlineStr">
        <is>
          <t>Customs Clearance Fee</t>
        </is>
      </c>
      <c r="C1133" t="inlineStr">
        <is>
          <t>ត្រាយអ៊ែងហ្គល ឡូជីស្ទីក (ខេមបូឌា) ឯ.ក</t>
        </is>
      </c>
      <c r="D1133" t="inlineStr">
        <is>
          <t>K010-902101743</t>
        </is>
      </c>
      <c r="E1133" t="inlineStr">
        <is>
          <t>TAG-24-00543</t>
        </is>
      </c>
      <c r="F1133" t="inlineStr">
        <is>
          <t>13-08-2024</t>
        </is>
      </c>
      <c r="G1133" t="n">
        <v>8182</v>
      </c>
      <c r="I1133">
        <f>G1133</f>
        <v/>
      </c>
      <c r="K1133">
        <f>I1133-G1133</f>
        <v/>
      </c>
      <c r="M1133" t="inlineStr">
        <is>
          <t>TAG2400543</t>
        </is>
      </c>
      <c r="N1133" t="inlineStr">
        <is>
          <t>8680500</t>
        </is>
      </c>
      <c r="O1133">
        <f>M1133=N1133</f>
        <v/>
      </c>
      <c r="P1133">
        <f>AND(MONTH(F1133)=MONTH(S1133), YEAR(F1133)=YEAR(S1133))</f>
        <v/>
      </c>
      <c r="Q1133">
        <f>"L001-902303751"=U1133</f>
        <v/>
      </c>
      <c r="R1133">
        <f>G1133-W1133</f>
        <v/>
      </c>
      <c r="S1133" s="36" t="n">
        <v>45453</v>
      </c>
      <c r="T1133" t="n">
        <v>86805</v>
      </c>
      <c r="U1133" t="inlineStr">
        <is>
          <t>K005-901805913</t>
        </is>
      </c>
      <c r="V1133" t="inlineStr">
        <is>
          <t>ស្តារ ខង់ខដ (ខេមបូឌា) ឯ.ក</t>
        </is>
      </c>
      <c r="W1133" t="n">
        <v>86805</v>
      </c>
      <c r="X1133" t="n">
        <v>0</v>
      </c>
    </row>
    <row r="1134">
      <c r="A1134" t="n">
        <v>1133</v>
      </c>
      <c r="B1134" t="inlineStr">
        <is>
          <t>Customs Clearance Fee</t>
        </is>
      </c>
      <c r="C1134" t="inlineStr">
        <is>
          <t>ត្រាយអ៊ែងហ្គល ឡូជីស្ទីក (ខេមបូឌា) ឯ.ក</t>
        </is>
      </c>
      <c r="D1134" t="inlineStr">
        <is>
          <t>K010-902101743</t>
        </is>
      </c>
      <c r="E1134" t="inlineStr">
        <is>
          <t>TAG-24-00546</t>
        </is>
      </c>
      <c r="F1134" t="inlineStr">
        <is>
          <t>14-08-2024</t>
        </is>
      </c>
      <c r="G1134" t="n">
        <v>8182</v>
      </c>
      <c r="I1134">
        <f>G1134</f>
        <v/>
      </c>
      <c r="K1134">
        <f>I1134-G1134</f>
        <v/>
      </c>
      <c r="M1134" t="inlineStr">
        <is>
          <t>TAG2400546</t>
        </is>
      </c>
      <c r="N1134" t="inlineStr"/>
      <c r="O1134">
        <f>M1134=N1134</f>
        <v/>
      </c>
      <c r="P1134">
        <f>AND(MONTH(F1134)=MONTH(S1134), YEAR(F1134)=YEAR(S1134))</f>
        <v/>
      </c>
      <c r="Q1134">
        <f>"L001-902303751"=U1134</f>
        <v/>
      </c>
      <c r="R1134">
        <f>G1134-W1134</f>
        <v/>
      </c>
      <c r="S1134" s="36" t="n">
        <v>45446</v>
      </c>
      <c r="T1134" t="inlineStr"/>
      <c r="U1134" t="inlineStr">
        <is>
          <t>L001-107032791</t>
        </is>
      </c>
      <c r="V1134" t="inlineStr">
        <is>
          <t>នីបផន អិចប្រេស (ខេមបូឌា) ខូ អិលធីឌី</t>
        </is>
      </c>
      <c r="W1134" t="n">
        <v>0</v>
      </c>
      <c r="X1134" t="n">
        <v>0</v>
      </c>
    </row>
    <row r="1135">
      <c r="A1135" t="n">
        <v>1134</v>
      </c>
      <c r="B1135" t="inlineStr">
        <is>
          <t>Customs Clearance Fee and Trucking Fee</t>
        </is>
      </c>
      <c r="C1135" t="inlineStr">
        <is>
          <t>ត្រាយអ៊ែងហ្គល ឡូជីស្ទីក (ខេមបូឌា) ឯ.ក</t>
        </is>
      </c>
      <c r="D1135" t="inlineStr">
        <is>
          <t>K010-902101743</t>
        </is>
      </c>
      <c r="E1135" t="inlineStr">
        <is>
          <t>TAG-24-00580</t>
        </is>
      </c>
      <c r="F1135" t="inlineStr">
        <is>
          <t>28-08-2024</t>
        </is>
      </c>
      <c r="G1135" t="n">
        <v>57460</v>
      </c>
      <c r="I1135">
        <f>G1135</f>
        <v/>
      </c>
      <c r="K1135">
        <f>I1135-G1135</f>
        <v/>
      </c>
      <c r="M1135" t="inlineStr">
        <is>
          <t>TAG2400580</t>
        </is>
      </c>
      <c r="N1135" t="inlineStr">
        <is>
          <t>1637200</t>
        </is>
      </c>
      <c r="O1135">
        <f>M1135=N1135</f>
        <v/>
      </c>
      <c r="P1135">
        <f>AND(MONTH(F1135)=MONTH(S1135), YEAR(F1135)=YEAR(S1135))</f>
        <v/>
      </c>
      <c r="Q1135">
        <f>"L001-902303751"=U1135</f>
        <v/>
      </c>
      <c r="R1135">
        <f>G1135-W1135</f>
        <v/>
      </c>
      <c r="S1135" s="36" t="n">
        <v>45444</v>
      </c>
      <c r="T1135" t="n">
        <v>16372</v>
      </c>
      <c r="U1135" t="inlineStr">
        <is>
          <t>K005-901805913</t>
        </is>
      </c>
      <c r="V1135" t="inlineStr">
        <is>
          <t>ស្តារ ខង់ខដ (ខេមបូឌា) ឯ.ក</t>
        </is>
      </c>
      <c r="W1135" t="n">
        <v>16372</v>
      </c>
      <c r="X1135" t="n">
        <v>0</v>
      </c>
    </row>
    <row r="1136">
      <c r="A1136" t="n">
        <v>1135</v>
      </c>
      <c r="B1136" t="inlineStr">
        <is>
          <t>Customs Clearance Fee</t>
        </is>
      </c>
      <c r="C1136" t="inlineStr">
        <is>
          <t>ត្រាយអ៊ែងហ្គល ឡូជីស្ទីក (ខេមបូឌា) ឯ.ក</t>
        </is>
      </c>
      <c r="D1136" t="inlineStr">
        <is>
          <t>K010-902101743</t>
        </is>
      </c>
      <c r="E1136" t="inlineStr">
        <is>
          <t>TAG-24-00578</t>
        </is>
      </c>
      <c r="F1136" t="inlineStr">
        <is>
          <t>28-08-2024</t>
        </is>
      </c>
      <c r="G1136" t="n">
        <v>8132</v>
      </c>
      <c r="I1136">
        <f>G1136</f>
        <v/>
      </c>
      <c r="K1136">
        <f>I1136-G1136</f>
        <v/>
      </c>
      <c r="M1136" t="inlineStr">
        <is>
          <t>TAG2400578</t>
        </is>
      </c>
      <c r="N1136" t="inlineStr">
        <is>
          <t>338859500</t>
        </is>
      </c>
      <c r="O1136">
        <f>M1136=N1136</f>
        <v/>
      </c>
      <c r="P1136">
        <f>AND(MONTH(F1136)=MONTH(S1136), YEAR(F1136)=YEAR(S1136))</f>
        <v/>
      </c>
      <c r="Q1136">
        <f>"L001-902303751"=U1136</f>
        <v/>
      </c>
      <c r="R1136">
        <f>G1136-W1136</f>
        <v/>
      </c>
      <c r="S1136" s="36" t="n">
        <v>45444</v>
      </c>
      <c r="T1136" t="n">
        <v>3388595</v>
      </c>
      <c r="U1136" t="inlineStr">
        <is>
          <t>K004-105012505</t>
        </is>
      </c>
      <c r="V1136" t="inlineStr">
        <is>
          <t>អេស៊ាន ហ្វ្រេត (ខេមបូឌា)</t>
        </is>
      </c>
      <c r="W1136" t="n">
        <v>3388595</v>
      </c>
      <c r="X1136" t="n">
        <v>0</v>
      </c>
    </row>
    <row r="1137">
      <c r="A1137" t="n">
        <v>1136</v>
      </c>
      <c r="B1137" t="inlineStr">
        <is>
          <t>Customs Clearance Fee</t>
        </is>
      </c>
      <c r="C1137" t="inlineStr">
        <is>
          <t>ត្រាយអ៊ែងហ្គល ឡូជីស្ទីក (ខេមបូឌា) ឯ.ក</t>
        </is>
      </c>
      <c r="D1137" t="inlineStr">
        <is>
          <t>K010-902101743</t>
        </is>
      </c>
      <c r="E1137" t="inlineStr">
        <is>
          <t>TAG-24-00567</t>
        </is>
      </c>
      <c r="F1137" t="inlineStr">
        <is>
          <t>23-08-2024</t>
        </is>
      </c>
      <c r="G1137" t="n">
        <v>8166</v>
      </c>
      <c r="I1137">
        <f>G1137</f>
        <v/>
      </c>
      <c r="K1137">
        <f>I1137-G1137</f>
        <v/>
      </c>
      <c r="M1137" t="inlineStr">
        <is>
          <t>TAG2400567</t>
        </is>
      </c>
      <c r="N1137" t="inlineStr"/>
      <c r="O1137">
        <f>M1137=N1137</f>
        <v/>
      </c>
      <c r="P1137">
        <f>AND(MONTH(F1137)=MONTH(S1137), YEAR(F1137)=YEAR(S1137))</f>
        <v/>
      </c>
      <c r="Q1137">
        <f>"L001-902303751"=U1137</f>
        <v/>
      </c>
      <c r="R1137">
        <f>G1137-W1137</f>
        <v/>
      </c>
      <c r="S1137" s="36" t="n">
        <v>45453</v>
      </c>
      <c r="T1137" t="inlineStr"/>
      <c r="U1137" t="inlineStr">
        <is>
          <t>L001-107032791</t>
        </is>
      </c>
      <c r="V1137" t="inlineStr">
        <is>
          <t>នីបផន អិចប្រេស (ខេមបូឌា) ខូ អិលធីឌី</t>
        </is>
      </c>
      <c r="W1137" t="n">
        <v>0</v>
      </c>
      <c r="X1137" t="n">
        <v>0</v>
      </c>
    </row>
    <row r="1138">
      <c r="A1138" t="n">
        <v>1137</v>
      </c>
      <c r="B1138" t="inlineStr">
        <is>
          <t>Customs Clearance Fee and Trucking Fee</t>
        </is>
      </c>
      <c r="C1138" t="inlineStr">
        <is>
          <t>ត្រាយអ៊ែងហ្គល ឡូជីស្ទីក (ខេមបូឌា) ឯ.ក</t>
        </is>
      </c>
      <c r="D1138" t="inlineStr">
        <is>
          <t>K010-902101743</t>
        </is>
      </c>
      <c r="E1138" t="inlineStr">
        <is>
          <t>TAG-24-00568</t>
        </is>
      </c>
      <c r="F1138" t="inlineStr">
        <is>
          <t>23-08-2024</t>
        </is>
      </c>
      <c r="G1138" t="n">
        <v>32664</v>
      </c>
      <c r="I1138">
        <f>G1138</f>
        <v/>
      </c>
      <c r="K1138">
        <f>I1138-G1138</f>
        <v/>
      </c>
      <c r="M1138" t="inlineStr">
        <is>
          <t>TAG2400568</t>
        </is>
      </c>
      <c r="N1138" t="inlineStr"/>
      <c r="O1138">
        <f>M1138=N1138</f>
        <v/>
      </c>
      <c r="P1138">
        <f>AND(MONTH(F1138)=MONTH(S1138), YEAR(F1138)=YEAR(S1138))</f>
        <v/>
      </c>
      <c r="Q1138">
        <f>"L001-902303751"=U1138</f>
        <v/>
      </c>
      <c r="R1138">
        <f>G1138-W1138</f>
        <v/>
      </c>
      <c r="S1138" s="36" t="n">
        <v>45460</v>
      </c>
      <c r="T1138" t="inlineStr"/>
      <c r="U1138" t="inlineStr">
        <is>
          <t>L001-100045995</t>
        </is>
      </c>
      <c r="V1138" t="inlineStr">
        <is>
          <t>ឌីអេចអិល ឡូជីស្ទីក (ខេមបូឌា)</t>
        </is>
      </c>
      <c r="W1138" t="n">
        <v>0</v>
      </c>
      <c r="X1138" t="n">
        <v>0</v>
      </c>
    </row>
    <row r="1139">
      <c r="A1139" t="n">
        <v>1138</v>
      </c>
      <c r="B1139" t="inlineStr">
        <is>
          <t>Export Custom Clearance PNH/LZC/00908</t>
        </is>
      </c>
      <c r="C1139" t="inlineStr">
        <is>
          <t>អ៊ីឃ្យូឡាញ វើលវ៉ាយដ៍ ឡូជីស្ទីក</t>
        </is>
      </c>
      <c r="D1139" t="inlineStr">
        <is>
          <t>K003-901635943</t>
        </is>
      </c>
      <c r="E1139" t="inlineStr">
        <is>
          <t>PPTI24/004154</t>
        </is>
      </c>
      <c r="F1139" t="inlineStr">
        <is>
          <t>17-08-2024</t>
        </is>
      </c>
      <c r="G1139" t="n">
        <v>65568</v>
      </c>
      <c r="I1139">
        <f>G1139</f>
        <v/>
      </c>
      <c r="K1139">
        <f>I1139-G1139</f>
        <v/>
      </c>
      <c r="M1139" t="inlineStr">
        <is>
          <t>PPTI24004154</t>
        </is>
      </c>
      <c r="N1139" t="inlineStr">
        <is>
          <t>11332800</t>
        </is>
      </c>
      <c r="O1139">
        <f>M1139=N1139</f>
        <v/>
      </c>
      <c r="P1139">
        <f>AND(MONTH(F1139)=MONTH(S1139), YEAR(F1139)=YEAR(S1139))</f>
        <v/>
      </c>
      <c r="Q1139">
        <f>"L001-902303751"=U1139</f>
        <v/>
      </c>
      <c r="R1139">
        <f>G1139-W1139</f>
        <v/>
      </c>
      <c r="S1139" s="36" t="n">
        <v>45460</v>
      </c>
      <c r="T1139" t="n">
        <v>113328</v>
      </c>
      <c r="U1139" t="inlineStr">
        <is>
          <t>L001-100045995</t>
        </is>
      </c>
      <c r="V1139" t="inlineStr">
        <is>
          <t>ឌីអេចអិល ឡូជីស្ទីក (ខេមបូឌា)</t>
        </is>
      </c>
      <c r="W1139" t="n">
        <v>113328</v>
      </c>
      <c r="X1139" t="n">
        <v>0</v>
      </c>
    </row>
    <row r="1140">
      <c r="A1140" t="n">
        <v>1139</v>
      </c>
      <c r="B1140" t="inlineStr">
        <is>
          <t>Export Adminstration Fee, Customs Processing Fee and Overtime Charges</t>
        </is>
      </c>
      <c r="C1140" t="inlineStr">
        <is>
          <t>ជី លីង អិចប្រេស ឡូជីស្ទីក (ខេមបូឌា) លីមីធីត</t>
        </is>
      </c>
      <c r="D1140" t="inlineStr">
        <is>
          <t>L001-100044956</t>
        </is>
      </c>
      <c r="E1140" t="inlineStr">
        <is>
          <t>24156935</t>
        </is>
      </c>
      <c r="F1140" t="inlineStr">
        <is>
          <t>02-08-2024</t>
        </is>
      </c>
      <c r="G1140" t="n">
        <v>193076</v>
      </c>
      <c r="I1140">
        <f>G1140</f>
        <v/>
      </c>
      <c r="K1140">
        <f>I1140-G1140</f>
        <v/>
      </c>
      <c r="M1140" t="inlineStr">
        <is>
          <t>24156935</t>
        </is>
      </c>
      <c r="N1140" t="inlineStr"/>
      <c r="O1140">
        <f>M1140=N1140</f>
        <v/>
      </c>
      <c r="P1140">
        <f>AND(MONTH(F1140)=MONTH(S1140), YEAR(F1140)=YEAR(S1140))</f>
        <v/>
      </c>
      <c r="Q1140">
        <f>"L001-902303751"=U1140</f>
        <v/>
      </c>
      <c r="R1140">
        <f>G1140-W1140</f>
        <v/>
      </c>
      <c r="S1140" s="36" t="n">
        <v>45460</v>
      </c>
      <c r="T1140" t="inlineStr"/>
      <c r="U1140" t="inlineStr">
        <is>
          <t>L001-100045995</t>
        </is>
      </c>
      <c r="V1140" t="inlineStr">
        <is>
          <t>ឌីអេចអិល ឡូជីស្ទីក (ខេមបូឌា)</t>
        </is>
      </c>
      <c r="W1140" t="n">
        <v>0</v>
      </c>
      <c r="X1140" t="n">
        <v>0</v>
      </c>
    </row>
    <row r="1141">
      <c r="A1141" t="n">
        <v>1140</v>
      </c>
      <c r="B1141" t="inlineStr">
        <is>
          <t>Send Document</t>
        </is>
      </c>
      <c r="C1141" t="inlineStr">
        <is>
          <t>ឌី អេច អិល អិចប្រេស (ខេមបូឌា)</t>
        </is>
      </c>
      <c r="D1141" t="inlineStr">
        <is>
          <t>L001-100045197</t>
        </is>
      </c>
      <c r="E1141" t="inlineStr">
        <is>
          <t>PNHIR00234638</t>
        </is>
      </c>
      <c r="F1141" t="inlineStr">
        <is>
          <t>08-08-2024</t>
        </is>
      </c>
      <c r="G1141" t="n">
        <v>8210</v>
      </c>
      <c r="I1141">
        <f>G1141</f>
        <v/>
      </c>
      <c r="K1141">
        <f>I1141-G1141</f>
        <v/>
      </c>
      <c r="M1141" t="inlineStr">
        <is>
          <t>PNHIR00234638</t>
        </is>
      </c>
      <c r="N1141" t="inlineStr"/>
      <c r="O1141">
        <f>M1141=N1141</f>
        <v/>
      </c>
      <c r="P1141">
        <f>AND(MONTH(F1141)=MONTH(S1141), YEAR(F1141)=YEAR(S1141))</f>
        <v/>
      </c>
      <c r="Q1141">
        <f>"L001-902303751"=U1141</f>
        <v/>
      </c>
      <c r="R1141">
        <f>G1141-W1141</f>
        <v/>
      </c>
      <c r="S1141" s="36" t="n">
        <v>45467</v>
      </c>
      <c r="T1141" t="inlineStr"/>
      <c r="U1141" t="inlineStr">
        <is>
          <t>L001-100045340</t>
        </is>
      </c>
      <c r="V1141" t="inlineStr">
        <is>
          <t xml:space="preserve">ស៊ីវ៉ា អ៊ែរ អ៊ែន អូសៀន (ខេមបូឌា) ឯ.ក </t>
        </is>
      </c>
      <c r="W1141" t="n">
        <v>0</v>
      </c>
      <c r="X1141" t="n">
        <v>0</v>
      </c>
    </row>
    <row r="1142">
      <c r="A1142" t="n">
        <v>1141</v>
      </c>
      <c r="B1142" t="inlineStr">
        <is>
          <t>Send Document</t>
        </is>
      </c>
      <c r="C1142" t="inlineStr">
        <is>
          <t>ឌី អេច អិល អិចប្រេស (ខេមបូឌា)</t>
        </is>
      </c>
      <c r="D1142" t="inlineStr">
        <is>
          <t>L001-100045197</t>
        </is>
      </c>
      <c r="E1142" t="inlineStr">
        <is>
          <t>PNHIR00236015</t>
        </is>
      </c>
      <c r="F1142" t="inlineStr">
        <is>
          <t>14-08-2024</t>
        </is>
      </c>
      <c r="G1142" t="n">
        <v>19580</v>
      </c>
      <c r="I1142">
        <f>G1142</f>
        <v/>
      </c>
      <c r="K1142">
        <f>I1142-G1142</f>
        <v/>
      </c>
      <c r="M1142" t="inlineStr">
        <is>
          <t>PNHIR00236015</t>
        </is>
      </c>
      <c r="N1142" t="inlineStr">
        <is>
          <t>8695300</t>
        </is>
      </c>
      <c r="O1142">
        <f>M1142=N1142</f>
        <v/>
      </c>
      <c r="P1142">
        <f>AND(MONTH(F1142)=MONTH(S1142), YEAR(F1142)=YEAR(S1142))</f>
        <v/>
      </c>
      <c r="Q1142">
        <f>"L001-902303751"=U1142</f>
        <v/>
      </c>
      <c r="R1142">
        <f>G1142-W1142</f>
        <v/>
      </c>
      <c r="S1142" s="36" t="n">
        <v>45467</v>
      </c>
      <c r="T1142" t="n">
        <v>86953</v>
      </c>
      <c r="U1142" t="inlineStr">
        <is>
          <t>L001-100045340</t>
        </is>
      </c>
      <c r="V1142" t="inlineStr">
        <is>
          <t xml:space="preserve">ស៊ីវ៉ា អ៊ែរ អ៊ែន អូសៀន (ខេមបូឌា) ឯ.ក </t>
        </is>
      </c>
      <c r="W1142" t="n">
        <v>86953</v>
      </c>
      <c r="X1142" t="n">
        <v>0</v>
      </c>
    </row>
    <row r="1143">
      <c r="A1143" t="n">
        <v>1142</v>
      </c>
      <c r="B1143" t="inlineStr">
        <is>
          <t>Laco QC inspection fee in July</t>
        </is>
      </c>
      <c r="C1143" t="inlineStr">
        <is>
          <t>តេនតាក់ (ខេមបូឌា) អ៊ិនស្ពេកសិន</t>
        </is>
      </c>
      <c r="D1143" t="inlineStr">
        <is>
          <t>K009-901638542</t>
        </is>
      </c>
      <c r="E1143" t="inlineStr">
        <is>
          <t>TI-2024-0097</t>
        </is>
      </c>
      <c r="F1143" t="inlineStr">
        <is>
          <t>01-08-2024</t>
        </is>
      </c>
      <c r="G1143" t="n">
        <v>306129</v>
      </c>
      <c r="I1143">
        <f>G1143</f>
        <v/>
      </c>
      <c r="K1143">
        <f>I1143-G1143</f>
        <v/>
      </c>
      <c r="M1143" t="inlineStr">
        <is>
          <t>TI20240097</t>
        </is>
      </c>
      <c r="N1143" t="inlineStr">
        <is>
          <t>11313500</t>
        </is>
      </c>
      <c r="O1143">
        <f>M1143=N1143</f>
        <v/>
      </c>
      <c r="P1143">
        <f>AND(MONTH(F1143)=MONTH(S1143), YEAR(F1143)=YEAR(S1143))</f>
        <v/>
      </c>
      <c r="Q1143">
        <f>"L001-902303751"=U1143</f>
        <v/>
      </c>
      <c r="R1143">
        <f>G1143-W1143</f>
        <v/>
      </c>
      <c r="S1143" s="36" t="n">
        <v>45453</v>
      </c>
      <c r="T1143" t="n">
        <v>113135</v>
      </c>
      <c r="U1143" t="inlineStr">
        <is>
          <t>K005-100150195</t>
        </is>
      </c>
      <c r="V1143" t="inlineStr">
        <is>
          <t>អេស អ វី ស៊ី ហ្វ្រេត សឺវីស (ខេមបូឌា) ខូ អិលធីឌី</t>
        </is>
      </c>
      <c r="W1143" t="n">
        <v>113135</v>
      </c>
      <c r="X1143" t="n">
        <v>0</v>
      </c>
    </row>
    <row r="1144">
      <c r="A1144" t="n">
        <v>1143</v>
      </c>
      <c r="B1144" t="inlineStr">
        <is>
          <t>Send Document</t>
        </is>
      </c>
      <c r="C1144" t="inlineStr">
        <is>
          <t>ឌី អេច អិល អិចប្រេស (ខេមបូឌា)</t>
        </is>
      </c>
      <c r="D1144" t="inlineStr">
        <is>
          <t>L001-100045197</t>
        </is>
      </c>
      <c r="E1144" t="inlineStr">
        <is>
          <t>PNHIR00236838</t>
        </is>
      </c>
      <c r="F1144" t="inlineStr">
        <is>
          <t>19-08-2024</t>
        </is>
      </c>
      <c r="G1144" t="n">
        <v>6147</v>
      </c>
      <c r="I1144">
        <f>G1144</f>
        <v/>
      </c>
      <c r="K1144">
        <f>I1144-G1144</f>
        <v/>
      </c>
      <c r="M1144" t="inlineStr">
        <is>
          <t>PNHIR00236838</t>
        </is>
      </c>
      <c r="N1144" t="inlineStr">
        <is>
          <t>11272300</t>
        </is>
      </c>
      <c r="O1144">
        <f>M1144=N1144</f>
        <v/>
      </c>
      <c r="P1144">
        <f>AND(MONTH(F1144)=MONTH(S1144), YEAR(F1144)=YEAR(S1144))</f>
        <v/>
      </c>
      <c r="Q1144">
        <f>"L001-902303751"=U1144</f>
        <v/>
      </c>
      <c r="R1144">
        <f>G1144-W1144</f>
        <v/>
      </c>
      <c r="S1144" s="36" t="n">
        <v>45446</v>
      </c>
      <c r="T1144" t="n">
        <v>112723</v>
      </c>
      <c r="U1144" t="inlineStr">
        <is>
          <t>L001-107032791</t>
        </is>
      </c>
      <c r="V1144" t="inlineStr">
        <is>
          <t>នីបផន អិចប្រេស (ខេមបូឌា) ខូ អិលធីឌី</t>
        </is>
      </c>
      <c r="W1144" t="n">
        <v>112723</v>
      </c>
      <c r="X1144" t="n">
        <v>0</v>
      </c>
    </row>
    <row r="1145">
      <c r="A1145" t="n">
        <v>1144</v>
      </c>
      <c r="B1145" t="inlineStr">
        <is>
          <t>Send Document</t>
        </is>
      </c>
      <c r="C1145" t="inlineStr">
        <is>
          <t>ឌី អេច អិល អិចប្រេស (ខេមបូឌា)</t>
        </is>
      </c>
      <c r="D1145" t="inlineStr">
        <is>
          <t>L001-100045197</t>
        </is>
      </c>
      <c r="E1145" t="inlineStr">
        <is>
          <t>PNHIR00236014</t>
        </is>
      </c>
      <c r="F1145" t="inlineStr">
        <is>
          <t>14-08-2024</t>
        </is>
      </c>
      <c r="G1145" t="n">
        <v>6137</v>
      </c>
      <c r="I1145">
        <f>G1145</f>
        <v/>
      </c>
      <c r="K1145">
        <f>I1145-G1145</f>
        <v/>
      </c>
      <c r="M1145" t="inlineStr">
        <is>
          <t>PNHIR00236014</t>
        </is>
      </c>
      <c r="N1145" t="inlineStr">
        <is>
          <t>8403000</t>
        </is>
      </c>
      <c r="O1145">
        <f>M1145=N1145</f>
        <v/>
      </c>
      <c r="P1145">
        <f>AND(MONTH(F1145)=MONTH(S1145), YEAR(F1145)=YEAR(S1145))</f>
        <v/>
      </c>
      <c r="Q1145">
        <f>"L001-902303751"=U1145</f>
        <v/>
      </c>
      <c r="R1145">
        <f>G1145-W1145</f>
        <v/>
      </c>
      <c r="S1145" s="36" t="n">
        <v>45446</v>
      </c>
      <c r="T1145" t="n">
        <v>84030</v>
      </c>
      <c r="U1145" t="inlineStr">
        <is>
          <t>L001-107041723</t>
        </is>
      </c>
      <c r="V1145" t="inlineStr">
        <is>
          <t>ឌីប៊ី សេនឃើរ (ខេមបូឌា) លីមីធីត</t>
        </is>
      </c>
      <c r="W1145" t="n">
        <v>84030</v>
      </c>
      <c r="X1145" t="n">
        <v>0</v>
      </c>
    </row>
    <row r="1146">
      <c r="A1146" t="n">
        <v>1145</v>
      </c>
      <c r="B1146" t="inlineStr">
        <is>
          <t>Send Document</t>
        </is>
      </c>
      <c r="C1146" t="inlineStr">
        <is>
          <t>ឌី អេច អិល អិចប្រេស (ខេមបូឌា)</t>
        </is>
      </c>
      <c r="D1146" t="inlineStr">
        <is>
          <t>L001-100045197</t>
        </is>
      </c>
      <c r="E1146" t="inlineStr">
        <is>
          <t>PNHIR00235446</t>
        </is>
      </c>
      <c r="F1146" t="inlineStr">
        <is>
          <t>12-08-2024</t>
        </is>
      </c>
      <c r="G1146" t="n">
        <v>12291</v>
      </c>
      <c r="I1146">
        <f>G1146</f>
        <v/>
      </c>
      <c r="K1146">
        <f>I1146-G1146</f>
        <v/>
      </c>
      <c r="M1146" t="inlineStr">
        <is>
          <t>PNHIR00235446</t>
        </is>
      </c>
      <c r="N1146" t="inlineStr">
        <is>
          <t>11272300</t>
        </is>
      </c>
      <c r="O1146">
        <f>M1146=N1146</f>
        <v/>
      </c>
      <c r="P1146">
        <f>AND(MONTH(F1146)=MONTH(S1146), YEAR(F1146)=YEAR(S1146))</f>
        <v/>
      </c>
      <c r="Q1146">
        <f>"L001-902303751"=U1146</f>
        <v/>
      </c>
      <c r="R1146">
        <f>G1146-W1146</f>
        <v/>
      </c>
      <c r="S1146" s="36" t="n">
        <v>45446</v>
      </c>
      <c r="T1146" t="n">
        <v>112723</v>
      </c>
      <c r="U1146" t="inlineStr">
        <is>
          <t>L001-100045995</t>
        </is>
      </c>
      <c r="V1146" t="inlineStr">
        <is>
          <t>ឌីអេចអិល ឡូជីស្ទីក (ខេមបូឌា)</t>
        </is>
      </c>
      <c r="W1146" t="n">
        <v>112723</v>
      </c>
      <c r="X1146" t="n">
        <v>0</v>
      </c>
    </row>
    <row r="1147">
      <c r="A1147" t="n">
        <v>1146</v>
      </c>
      <c r="B1147" t="inlineStr">
        <is>
          <t>Send Document</t>
        </is>
      </c>
      <c r="C1147" t="inlineStr">
        <is>
          <t>ឌី អេច អិល អិចប្រេស (ខេមបូឌា)</t>
        </is>
      </c>
      <c r="D1147" t="inlineStr">
        <is>
          <t>L001-100045197</t>
        </is>
      </c>
      <c r="E1147" t="inlineStr">
        <is>
          <t>PNHIR00234042</t>
        </is>
      </c>
      <c r="F1147" t="inlineStr">
        <is>
          <t>07-08-2024</t>
        </is>
      </c>
      <c r="G1147" t="n">
        <v>6162</v>
      </c>
      <c r="I1147">
        <f>G1147</f>
        <v/>
      </c>
      <c r="K1147">
        <f>I1147-G1147</f>
        <v/>
      </c>
      <c r="M1147" t="inlineStr">
        <is>
          <t>PNHIR00234042</t>
        </is>
      </c>
      <c r="N1147" t="inlineStr">
        <is>
          <t>11291500</t>
        </is>
      </c>
      <c r="O1147">
        <f>M1147=N1147</f>
        <v/>
      </c>
      <c r="P1147">
        <f>AND(MONTH(F1147)=MONTH(S1147), YEAR(F1147)=YEAR(S1147))</f>
        <v/>
      </c>
      <c r="Q1147">
        <f>"L001-902303751"=U1147</f>
        <v/>
      </c>
      <c r="R1147">
        <f>G1147-W1147</f>
        <v/>
      </c>
      <c r="S1147" s="36" t="n">
        <v>45488</v>
      </c>
      <c r="T1147" t="n">
        <v>112915</v>
      </c>
      <c r="U1147" t="inlineStr">
        <is>
          <t>L001-107032791</t>
        </is>
      </c>
      <c r="V1147" t="inlineStr">
        <is>
          <t>នីបផន អិចប្រេស (ខេមបូឌា) ខូ អិលធីឌី</t>
        </is>
      </c>
      <c r="W1147" t="n">
        <v>112915</v>
      </c>
      <c r="X1147" t="n">
        <v>0</v>
      </c>
    </row>
    <row r="1148">
      <c r="A1148" t="n">
        <v>1147</v>
      </c>
      <c r="B1148" t="inlineStr">
        <is>
          <t>Sodium metabisulfite</t>
        </is>
      </c>
      <c r="C1148" t="inlineStr">
        <is>
          <t>គី ស៊ីង អ៊ីមផត អិចផត ឯ.ក</t>
        </is>
      </c>
      <c r="D1148" t="inlineStr">
        <is>
          <t>B108-901805414</t>
        </is>
      </c>
      <c r="E1148" t="inlineStr">
        <is>
          <t>QX0269</t>
        </is>
      </c>
      <c r="F1148" t="inlineStr">
        <is>
          <t>21-08-2024</t>
        </is>
      </c>
      <c r="G1148" t="n">
        <v>261568</v>
      </c>
      <c r="I1148">
        <f>G1148</f>
        <v/>
      </c>
      <c r="K1148">
        <f>I1148-G1148</f>
        <v/>
      </c>
      <c r="M1148" t="inlineStr">
        <is>
          <t>QX0269</t>
        </is>
      </c>
      <c r="N1148" t="inlineStr">
        <is>
          <t>11532200</t>
        </is>
      </c>
      <c r="O1148">
        <f>M1148=N1148</f>
        <v/>
      </c>
      <c r="P1148">
        <f>AND(MONTH(F1148)=MONTH(S1148), YEAR(F1148)=YEAR(S1148))</f>
        <v/>
      </c>
      <c r="Q1148">
        <f>"L001-902303751"=U1148</f>
        <v/>
      </c>
      <c r="R1148">
        <f>G1148-W1148</f>
        <v/>
      </c>
      <c r="S1148" s="36" t="n">
        <v>45502</v>
      </c>
      <c r="T1148" t="n">
        <v>115322</v>
      </c>
      <c r="U1148" t="inlineStr">
        <is>
          <t>K005-901805913</t>
        </is>
      </c>
      <c r="V1148" t="inlineStr">
        <is>
          <t>ស្តារ ខង់ខដ (ខេមបូឌា) ឯ.ក</t>
        </is>
      </c>
      <c r="W1148" t="n">
        <v>115322</v>
      </c>
      <c r="X1148" t="n">
        <v>0</v>
      </c>
    </row>
    <row r="1149">
      <c r="A1149" t="n">
        <v>1148</v>
      </c>
      <c r="B1149" t="inlineStr">
        <is>
          <t>Express Worldwide nondoc</t>
        </is>
      </c>
      <c r="C1149" t="inlineStr">
        <is>
          <t>ឌី អេច អិល អិចប្រេស (ខេមបូឌា)</t>
        </is>
      </c>
      <c r="D1149" t="inlineStr">
        <is>
          <t>L001-100045197</t>
        </is>
      </c>
      <c r="E1149" t="inlineStr">
        <is>
          <t>PNHR000505935</t>
        </is>
      </c>
      <c r="F1149" t="inlineStr">
        <is>
          <t>30-09-2024</t>
        </is>
      </c>
      <c r="G1149" t="n">
        <v>59035</v>
      </c>
      <c r="I1149">
        <f>G1149</f>
        <v/>
      </c>
      <c r="K1149">
        <f>I1149-G1149</f>
        <v/>
      </c>
      <c r="M1149" t="inlineStr">
        <is>
          <t>PNHR000505935</t>
        </is>
      </c>
      <c r="N1149" t="inlineStr">
        <is>
          <t>8670000</t>
        </is>
      </c>
      <c r="O1149">
        <f>M1149=N1149</f>
        <v/>
      </c>
      <c r="P1149">
        <f>AND(MONTH(F1149)=MONTH(S1149), YEAR(F1149)=YEAR(S1149))</f>
        <v/>
      </c>
      <c r="Q1149">
        <f>"L001-902303751"=U1149</f>
        <v/>
      </c>
      <c r="R1149">
        <f>G1149-W1149</f>
        <v/>
      </c>
      <c r="S1149" s="36" t="n">
        <v>45495</v>
      </c>
      <c r="T1149" t="n">
        <v>86700</v>
      </c>
      <c r="U1149" t="inlineStr">
        <is>
          <t>K005-901805913</t>
        </is>
      </c>
      <c r="V1149" t="inlineStr">
        <is>
          <t>ស្តារ ខង់ខដ (ខេមបូឌា) ឯ.ក</t>
        </is>
      </c>
      <c r="W1149" t="n">
        <v>86700</v>
      </c>
      <c r="X1149" t="n">
        <v>0</v>
      </c>
    </row>
    <row r="1150">
      <c r="A1150" t="n">
        <v>1149</v>
      </c>
      <c r="B1150" t="inlineStr">
        <is>
          <t>Express Worldwide nondoc</t>
        </is>
      </c>
      <c r="C1150" t="inlineStr">
        <is>
          <t>ឌី អេច អិល អិចប្រេស (ខេមបូឌា)</t>
        </is>
      </c>
      <c r="D1150" t="inlineStr">
        <is>
          <t>L001-100045197</t>
        </is>
      </c>
      <c r="E1150" t="inlineStr">
        <is>
          <t>PNHIR00245476</t>
        </is>
      </c>
      <c r="F1150" t="inlineStr">
        <is>
          <t>30-09-2024</t>
        </is>
      </c>
      <c r="G1150" t="n">
        <v>6672</v>
      </c>
      <c r="I1150">
        <f>G1150</f>
        <v/>
      </c>
      <c r="K1150">
        <f>I1150-G1150</f>
        <v/>
      </c>
      <c r="M1150" t="inlineStr">
        <is>
          <t>PNHIR00245476</t>
        </is>
      </c>
      <c r="N1150" t="inlineStr"/>
      <c r="O1150">
        <f>M1150=N1150</f>
        <v/>
      </c>
      <c r="P1150">
        <f>AND(MONTH(F1150)=MONTH(S1150), YEAR(F1150)=YEAR(S1150))</f>
        <v/>
      </c>
      <c r="Q1150">
        <f>"L001-902303751"=U1150</f>
        <v/>
      </c>
      <c r="R1150">
        <f>G1150-W1150</f>
        <v/>
      </c>
      <c r="S1150" s="36" t="n">
        <v>45495</v>
      </c>
      <c r="T1150" t="inlineStr"/>
      <c r="U1150" t="inlineStr">
        <is>
          <t>L001-100045340</t>
        </is>
      </c>
      <c r="V1150" t="inlineStr">
        <is>
          <t xml:space="preserve">ស៊ីវ៉ា អ៊ែរ អ៊ែន អូសៀន (ខេមបូឌា) ឯ.ក </t>
        </is>
      </c>
      <c r="W1150" t="n">
        <v>0</v>
      </c>
      <c r="X1150" t="n">
        <v>0</v>
      </c>
    </row>
    <row r="1151">
      <c r="A1151" t="n">
        <v>1150</v>
      </c>
      <c r="B1151" t="inlineStr">
        <is>
          <t>Duties &amp; Taxes</t>
        </is>
      </c>
      <c r="C1151" t="inlineStr">
        <is>
          <t>ឌី អេច អិល អិចប្រេស (ខេមបូឌា)</t>
        </is>
      </c>
      <c r="D1151" t="inlineStr">
        <is>
          <t>L001-100045197</t>
        </is>
      </c>
      <c r="E1151" t="inlineStr">
        <is>
          <t>PNHIR00244747</t>
        </is>
      </c>
      <c r="F1151" t="inlineStr">
        <is>
          <t>30-09-2024</t>
        </is>
      </c>
      <c r="G1151" t="n">
        <v>32488</v>
      </c>
      <c r="I1151">
        <f>G1151</f>
        <v/>
      </c>
      <c r="K1151">
        <f>I1151-G1151</f>
        <v/>
      </c>
      <c r="M1151" t="inlineStr">
        <is>
          <t>PNHIR00244747</t>
        </is>
      </c>
      <c r="N1151" t="inlineStr"/>
      <c r="O1151">
        <f>M1151=N1151</f>
        <v/>
      </c>
      <c r="P1151">
        <f>AND(MONTH(F1151)=MONTH(S1151), YEAR(F1151)=YEAR(S1151))</f>
        <v/>
      </c>
      <c r="Q1151">
        <f>"L001-902303751"=U1151</f>
        <v/>
      </c>
      <c r="R1151">
        <f>G1151-W1151</f>
        <v/>
      </c>
      <c r="S1151" s="36" t="n">
        <v>45481</v>
      </c>
      <c r="T1151" t="inlineStr"/>
      <c r="U1151" t="inlineStr">
        <is>
          <t>K005-901501155</t>
        </is>
      </c>
      <c r="V1151" t="inlineStr">
        <is>
          <t>ផេនដា គ្លូប៊ល ឡូជីស្ទីក (ខេមបូឌា)</t>
        </is>
      </c>
      <c r="W1151" t="n">
        <v>0</v>
      </c>
      <c r="X1151" t="n">
        <v>0</v>
      </c>
    </row>
    <row r="1152">
      <c r="A1152" t="n">
        <v>1151</v>
      </c>
      <c r="B1152" t="inlineStr">
        <is>
          <t>Duties &amp; Taxes</t>
        </is>
      </c>
      <c r="C1152" t="inlineStr">
        <is>
          <t>ឌី អេច អិល អិចប្រេស (ខេមបូឌា)</t>
        </is>
      </c>
      <c r="D1152" t="inlineStr">
        <is>
          <t>L001-100045197</t>
        </is>
      </c>
      <c r="E1152" t="inlineStr">
        <is>
          <t>PNHIR00244746</t>
        </is>
      </c>
      <c r="F1152" t="inlineStr">
        <is>
          <t>30-09-2024</t>
        </is>
      </c>
      <c r="G1152" t="n">
        <v>24366</v>
      </c>
      <c r="I1152">
        <f>G1152</f>
        <v/>
      </c>
      <c r="K1152">
        <f>I1152-G1152</f>
        <v/>
      </c>
      <c r="M1152" t="inlineStr">
        <is>
          <t>PNHIR00244746</t>
        </is>
      </c>
      <c r="N1152" t="inlineStr">
        <is>
          <t>11327300</t>
        </is>
      </c>
      <c r="O1152">
        <f>M1152=N1152</f>
        <v/>
      </c>
      <c r="P1152">
        <f>AND(MONTH(F1152)=MONTH(S1152), YEAR(F1152)=YEAR(S1152))</f>
        <v/>
      </c>
      <c r="Q1152">
        <f>"L001-902303751"=U1152</f>
        <v/>
      </c>
      <c r="R1152">
        <f>G1152-W1152</f>
        <v/>
      </c>
      <c r="S1152" s="36" t="n">
        <v>45481</v>
      </c>
      <c r="T1152" t="n">
        <v>113273</v>
      </c>
      <c r="U1152" t="inlineStr">
        <is>
          <t>K005-100150195</t>
        </is>
      </c>
      <c r="V1152" t="inlineStr">
        <is>
          <t>អេស អ វី ស៊ី ហ្វ្រេត សឺវីស (ខេមបូឌា) ខូ អិលធីឌី</t>
        </is>
      </c>
      <c r="W1152" t="n">
        <v>113273</v>
      </c>
      <c r="X1152" t="n">
        <v>0</v>
      </c>
    </row>
    <row r="1153">
      <c r="A1153" t="n">
        <v>1152</v>
      </c>
      <c r="B1153" t="inlineStr">
        <is>
          <t>Duties &amp; Taxes</t>
        </is>
      </c>
      <c r="C1153" t="inlineStr">
        <is>
          <t>ឌី អេច អិល អិចប្រេស (ខេមបូឌា)</t>
        </is>
      </c>
      <c r="D1153" t="inlineStr">
        <is>
          <t>L001-100045197</t>
        </is>
      </c>
      <c r="E1153" t="inlineStr">
        <is>
          <t>PNHIR00243682</t>
        </is>
      </c>
      <c r="F1153" t="inlineStr">
        <is>
          <t>27-09-2024</t>
        </is>
      </c>
      <c r="G1153" t="n">
        <v>8122</v>
      </c>
      <c r="I1153">
        <f>G1153</f>
        <v/>
      </c>
      <c r="K1153">
        <f>I1153-G1153</f>
        <v/>
      </c>
      <c r="M1153" t="inlineStr">
        <is>
          <t>PNHIR00243682</t>
        </is>
      </c>
      <c r="N1153" t="inlineStr">
        <is>
          <t>11327300</t>
        </is>
      </c>
      <c r="O1153">
        <f>M1153=N1153</f>
        <v/>
      </c>
      <c r="P1153">
        <f>AND(MONTH(F1153)=MONTH(S1153), YEAR(F1153)=YEAR(S1153))</f>
        <v/>
      </c>
      <c r="Q1153">
        <f>"L001-902303751"=U1153</f>
        <v/>
      </c>
      <c r="R1153">
        <f>G1153-W1153</f>
        <v/>
      </c>
      <c r="S1153" s="36" t="n">
        <v>45481</v>
      </c>
      <c r="T1153" t="n">
        <v>113273</v>
      </c>
      <c r="U1153" t="inlineStr">
        <is>
          <t>L001-107032791</t>
        </is>
      </c>
      <c r="V1153" t="inlineStr">
        <is>
          <t>នីបផន អិចប្រេស (ខេមបូឌា) ខូ អិលធីឌី</t>
        </is>
      </c>
      <c r="W1153" t="n">
        <v>113273</v>
      </c>
      <c r="X1153" t="n">
        <v>0</v>
      </c>
    </row>
    <row r="1154">
      <c r="A1154" t="n">
        <v>1153</v>
      </c>
      <c r="B1154" t="inlineStr">
        <is>
          <t>Express Worldwide doc and nondoc</t>
        </is>
      </c>
      <c r="C1154" t="inlineStr">
        <is>
          <t>ឌី អេច អិល អិចប្រេស (ខេមបូឌា)</t>
        </is>
      </c>
      <c r="D1154" t="inlineStr">
        <is>
          <t>L001-100045197</t>
        </is>
      </c>
      <c r="E1154" t="inlineStr">
        <is>
          <t>PNHR000505429</t>
        </is>
      </c>
      <c r="F1154" t="inlineStr">
        <is>
          <t>26-09-2024</t>
        </is>
      </c>
      <c r="G1154" t="n">
        <v>266882</v>
      </c>
      <c r="I1154">
        <f>G1154</f>
        <v/>
      </c>
      <c r="K1154">
        <f>I1154-G1154</f>
        <v/>
      </c>
      <c r="M1154" t="inlineStr">
        <is>
          <t>PNHR000505429</t>
        </is>
      </c>
      <c r="N1154" t="inlineStr">
        <is>
          <t>11291500</t>
        </is>
      </c>
      <c r="O1154">
        <f>M1154=N1154</f>
        <v/>
      </c>
      <c r="P1154">
        <f>AND(MONTH(F1154)=MONTH(S1154), YEAR(F1154)=YEAR(S1154))</f>
        <v/>
      </c>
      <c r="Q1154">
        <f>"L001-902303751"=U1154</f>
        <v/>
      </c>
      <c r="R1154">
        <f>G1154-W1154</f>
        <v/>
      </c>
      <c r="S1154" s="36" t="n">
        <v>45488</v>
      </c>
      <c r="T1154" t="n">
        <v>112915</v>
      </c>
      <c r="U1154" t="inlineStr">
        <is>
          <t>L001-107032791</t>
        </is>
      </c>
      <c r="V1154" t="inlineStr">
        <is>
          <t>នីបផន អិចប្រេស (ខេមបូឌា) ខូ អិលធីឌី</t>
        </is>
      </c>
      <c r="W1154" t="n">
        <v>112915</v>
      </c>
      <c r="X1154" t="n">
        <v>0</v>
      </c>
    </row>
    <row r="1155">
      <c r="A1155" t="n">
        <v>1154</v>
      </c>
      <c r="B1155" t="inlineStr">
        <is>
          <t>Express Worldwide doc and nondoc</t>
        </is>
      </c>
      <c r="C1155" t="inlineStr">
        <is>
          <t>ឌី អេច អិល អិចប្រេស (ខេមបូឌា)</t>
        </is>
      </c>
      <c r="D1155" t="inlineStr">
        <is>
          <t>L001-100045197</t>
        </is>
      </c>
      <c r="E1155" t="inlineStr">
        <is>
          <t>PNHIR00243529</t>
        </is>
      </c>
      <c r="F1155" t="inlineStr">
        <is>
          <t>26-09-2024</t>
        </is>
      </c>
      <c r="G1155" t="n">
        <v>102611</v>
      </c>
      <c r="I1155">
        <f>G1155</f>
        <v/>
      </c>
      <c r="K1155">
        <f>I1155-G1155</f>
        <v/>
      </c>
      <c r="M1155" t="inlineStr">
        <is>
          <t>PNHIR00243529</t>
        </is>
      </c>
      <c r="N1155" t="inlineStr"/>
      <c r="O1155">
        <f>M1155=N1155</f>
        <v/>
      </c>
      <c r="P1155">
        <f>AND(MONTH(F1155)=MONTH(S1155), YEAR(F1155)=YEAR(S1155))</f>
        <v/>
      </c>
      <c r="Q1155">
        <f>"L001-902303751"=U1155</f>
        <v/>
      </c>
      <c r="R1155">
        <f>G1155-W1155</f>
        <v/>
      </c>
      <c r="S1155" s="36" t="n">
        <v>45488</v>
      </c>
      <c r="T1155" t="inlineStr"/>
      <c r="U1155" t="inlineStr">
        <is>
          <t>L001-107032791</t>
        </is>
      </c>
      <c r="V1155" t="inlineStr">
        <is>
          <t>នីបផន អិចប្រេស (ខេមបូឌា) ខូ អិលធីឌី</t>
        </is>
      </c>
      <c r="W1155" t="n">
        <v>0</v>
      </c>
      <c r="X1155" t="n">
        <v>0</v>
      </c>
    </row>
    <row r="1156">
      <c r="A1156" t="n">
        <v>1155</v>
      </c>
      <c r="B1156" t="inlineStr">
        <is>
          <t>Duties &amp; Taxes</t>
        </is>
      </c>
      <c r="C1156" t="inlineStr">
        <is>
          <t>ឌី អេច អិល អិចប្រេស (ខេមបូឌា)</t>
        </is>
      </c>
      <c r="D1156" t="inlineStr">
        <is>
          <t>L001-100045197</t>
        </is>
      </c>
      <c r="E1156" t="inlineStr">
        <is>
          <t>PNHIR00243486</t>
        </is>
      </c>
      <c r="F1156" t="inlineStr">
        <is>
          <t>25-09-2024</t>
        </is>
      </c>
      <c r="G1156" t="n">
        <v>16252</v>
      </c>
      <c r="I1156">
        <f>G1156</f>
        <v/>
      </c>
      <c r="K1156">
        <f>I1156-G1156</f>
        <v/>
      </c>
      <c r="M1156" t="inlineStr">
        <is>
          <t>PNHIR00243486</t>
        </is>
      </c>
      <c r="N1156" t="inlineStr">
        <is>
          <t>11537900</t>
        </is>
      </c>
      <c r="O1156">
        <f>M1156=N1156</f>
        <v/>
      </c>
      <c r="P1156">
        <f>AND(MONTH(F1156)=MONTH(S1156), YEAR(F1156)=YEAR(S1156))</f>
        <v/>
      </c>
      <c r="Q1156">
        <f>"L001-902303751"=U1156</f>
        <v/>
      </c>
      <c r="R1156">
        <f>G1156-W1156</f>
        <v/>
      </c>
      <c r="S1156" s="36" t="n">
        <v>45488</v>
      </c>
      <c r="T1156" t="n">
        <v>115379</v>
      </c>
      <c r="U1156" t="inlineStr">
        <is>
          <t>K005-901805913</t>
        </is>
      </c>
      <c r="V1156" t="inlineStr">
        <is>
          <t>ស្តារ ខង់ខដ (ខេមបូឌា) ឯ.ក</t>
        </is>
      </c>
      <c r="W1156" t="n">
        <v>115379</v>
      </c>
      <c r="X1156" t="n">
        <v>0</v>
      </c>
    </row>
    <row r="1157">
      <c r="A1157" t="n">
        <v>1156</v>
      </c>
      <c r="B1157" t="inlineStr">
        <is>
          <t>Duties &amp; Taxes</t>
        </is>
      </c>
      <c r="C1157" t="inlineStr">
        <is>
          <t>ឌី អេច អិល អិចប្រេស (ខេមបូឌា)</t>
        </is>
      </c>
      <c r="D1157" t="inlineStr">
        <is>
          <t>L001-100045197</t>
        </is>
      </c>
      <c r="E1157" t="inlineStr">
        <is>
          <t>PNHIR00243454</t>
        </is>
      </c>
      <c r="F1157" t="inlineStr">
        <is>
          <t>23-09-2024</t>
        </is>
      </c>
      <c r="G1157" t="n">
        <v>8126</v>
      </c>
      <c r="I1157">
        <f>G1157</f>
        <v/>
      </c>
      <c r="K1157">
        <f>I1157-G1157</f>
        <v/>
      </c>
      <c r="M1157" t="inlineStr">
        <is>
          <t>PNHIR00243454</t>
        </is>
      </c>
      <c r="N1157" t="inlineStr">
        <is>
          <t>8413200</t>
        </is>
      </c>
      <c r="O1157">
        <f>M1157=N1157</f>
        <v/>
      </c>
      <c r="P1157">
        <f>AND(MONTH(F1157)=MONTH(S1157), YEAR(F1157)=YEAR(S1157))</f>
        <v/>
      </c>
      <c r="Q1157">
        <f>"L001-902303751"=U1157</f>
        <v/>
      </c>
      <c r="R1157">
        <f>G1157-W1157</f>
        <v/>
      </c>
      <c r="S1157" s="36" t="n">
        <v>45502</v>
      </c>
      <c r="T1157" t="n">
        <v>84132</v>
      </c>
      <c r="U1157" t="inlineStr">
        <is>
          <t>L001-107032791</t>
        </is>
      </c>
      <c r="V1157" t="inlineStr">
        <is>
          <t>នីបផន អិចប្រេស (ខេមបូឌា) ខូ អិលធីឌី</t>
        </is>
      </c>
      <c r="W1157" t="n">
        <v>84132</v>
      </c>
      <c r="X1157" t="n">
        <v>0</v>
      </c>
    </row>
    <row r="1158">
      <c r="A1158" t="n">
        <v>1157</v>
      </c>
      <c r="B1158" t="inlineStr">
        <is>
          <t>Express Worldwide nondoc</t>
        </is>
      </c>
      <c r="C1158" t="inlineStr">
        <is>
          <t>ឌី អេច អិល អិចប្រេស (ខេមបូឌា)</t>
        </is>
      </c>
      <c r="D1158" t="inlineStr">
        <is>
          <t>L001-100045197</t>
        </is>
      </c>
      <c r="E1158" t="inlineStr">
        <is>
          <t>PNHR000504843</t>
        </is>
      </c>
      <c r="F1158" t="inlineStr">
        <is>
          <t>19-09-2024</t>
        </is>
      </c>
      <c r="G1158" t="n">
        <v>43918</v>
      </c>
      <c r="I1158">
        <f>G1158</f>
        <v/>
      </c>
      <c r="K1158">
        <f>I1158-G1158</f>
        <v/>
      </c>
      <c r="M1158" t="inlineStr">
        <is>
          <t>PNHR000504843</t>
        </is>
      </c>
      <c r="N1158" t="inlineStr">
        <is>
          <t>30141000</t>
        </is>
      </c>
      <c r="O1158">
        <f>M1158=N1158</f>
        <v/>
      </c>
      <c r="P1158">
        <f>AND(MONTH(F1158)=MONTH(S1158), YEAR(F1158)=YEAR(S1158))</f>
        <v/>
      </c>
      <c r="Q1158">
        <f>"L001-902303751"=U1158</f>
        <v/>
      </c>
      <c r="R1158">
        <f>G1158-W1158</f>
        <v/>
      </c>
      <c r="S1158" s="36" t="n">
        <v>45474</v>
      </c>
      <c r="T1158" t="n">
        <v>301410</v>
      </c>
      <c r="U1158" t="inlineStr">
        <is>
          <t>K003-901635943</t>
        </is>
      </c>
      <c r="V1158" t="inlineStr">
        <is>
          <t>អ៊ីឃ្យូឡាញ វើលវ៉ាយដ៍ ឡូជីស្ទីក</t>
        </is>
      </c>
      <c r="W1158" t="n">
        <v>301410</v>
      </c>
      <c r="X1158" t="n">
        <v>0</v>
      </c>
    </row>
    <row r="1159">
      <c r="A1159" t="n">
        <v>1158</v>
      </c>
      <c r="B1159" t="inlineStr">
        <is>
          <t>Express Worldwide nondoc</t>
        </is>
      </c>
      <c r="C1159" t="inlineStr">
        <is>
          <t>ឌី អេច អិល អិចប្រេស (ខេមបូឌា)</t>
        </is>
      </c>
      <c r="D1159" t="inlineStr">
        <is>
          <t>L001-100045197</t>
        </is>
      </c>
      <c r="E1159" t="inlineStr">
        <is>
          <t>PNHIR00243032</t>
        </is>
      </c>
      <c r="F1159" t="inlineStr">
        <is>
          <t>19-09-2024</t>
        </is>
      </c>
      <c r="G1159" t="n">
        <v>80441</v>
      </c>
      <c r="I1159">
        <f>G1159</f>
        <v/>
      </c>
      <c r="K1159">
        <f>I1159-G1159</f>
        <v/>
      </c>
      <c r="M1159" t="inlineStr">
        <is>
          <t>PNHIR00243032</t>
        </is>
      </c>
      <c r="N1159" t="inlineStr"/>
      <c r="O1159">
        <f>M1159=N1159</f>
        <v/>
      </c>
      <c r="P1159">
        <f>AND(MONTH(F1159)=MONTH(S1159), YEAR(F1159)=YEAR(S1159))</f>
        <v/>
      </c>
      <c r="Q1159">
        <f>"L001-902303751"=U1159</f>
        <v/>
      </c>
      <c r="R1159">
        <f>G1159-W1159</f>
        <v/>
      </c>
      <c r="S1159" s="36" t="n">
        <v>45474</v>
      </c>
      <c r="T1159" t="inlineStr"/>
      <c r="U1159" t="inlineStr">
        <is>
          <t>K002-901800477</t>
        </is>
      </c>
      <c r="V1159" t="inlineStr">
        <is>
          <t>អាយធីអាយ អ៊ិនធើណេសិនណល ត្រេនស័្ពរថេសិន (ខេមបូឌា) ឯ.ក</t>
        </is>
      </c>
      <c r="W1159" t="n">
        <v>0</v>
      </c>
      <c r="X1159" t="n">
        <v>0</v>
      </c>
    </row>
    <row r="1160">
      <c r="A1160" t="n">
        <v>1159</v>
      </c>
      <c r="B1160" t="inlineStr">
        <is>
          <t>Duties &amp; Taxes</t>
        </is>
      </c>
      <c r="C1160" t="inlineStr">
        <is>
          <t>ឌី អេច អិល អិចប្រេស (ខេមបូឌា)</t>
        </is>
      </c>
      <c r="D1160" t="inlineStr">
        <is>
          <t>L001-100045197</t>
        </is>
      </c>
      <c r="E1160" t="inlineStr">
        <is>
          <t>PNHIR00242724</t>
        </is>
      </c>
      <c r="F1160" t="inlineStr">
        <is>
          <t>19-09-2024</t>
        </is>
      </c>
      <c r="G1160" t="n">
        <v>12425</v>
      </c>
      <c r="I1160">
        <f>G1160</f>
        <v/>
      </c>
      <c r="K1160">
        <f>I1160-G1160</f>
        <v/>
      </c>
      <c r="M1160" t="inlineStr">
        <is>
          <t>PNHIR00242724</t>
        </is>
      </c>
      <c r="N1160" t="inlineStr"/>
      <c r="O1160">
        <f>M1160=N1160</f>
        <v/>
      </c>
      <c r="P1160">
        <f>AND(MONTH(F1160)=MONTH(S1160), YEAR(F1160)=YEAR(S1160))</f>
        <v/>
      </c>
      <c r="Q1160">
        <f>"L001-902303751"=U1160</f>
        <v/>
      </c>
      <c r="R1160">
        <f>G1160-W1160</f>
        <v/>
      </c>
      <c r="S1160" s="36" t="n">
        <v>45474</v>
      </c>
      <c r="T1160" t="inlineStr"/>
      <c r="U1160" t="inlineStr">
        <is>
          <t>L001-100045995</t>
        </is>
      </c>
      <c r="V1160" t="inlineStr">
        <is>
          <t>ឌីអេចអិល ឡូជីស្ទីក (ខេមបូឌា)</t>
        </is>
      </c>
      <c r="W1160" t="n">
        <v>0</v>
      </c>
      <c r="X1160" t="n">
        <v>0</v>
      </c>
    </row>
    <row r="1161">
      <c r="A1161" t="n">
        <v>1160</v>
      </c>
      <c r="B1161" t="inlineStr">
        <is>
          <t>Duties &amp; Taxes</t>
        </is>
      </c>
      <c r="C1161" t="inlineStr">
        <is>
          <t>ឌី អេច អិល អិចប្រេស (ខេមបូឌា)</t>
        </is>
      </c>
      <c r="D1161" t="inlineStr">
        <is>
          <t>L001-100045197</t>
        </is>
      </c>
      <c r="E1161" t="inlineStr">
        <is>
          <t>PNHIR00242647</t>
        </is>
      </c>
      <c r="F1161" t="inlineStr">
        <is>
          <t>18-09-2024</t>
        </is>
      </c>
      <c r="G1161" t="n">
        <v>12165</v>
      </c>
      <c r="I1161">
        <f>G1161</f>
        <v/>
      </c>
      <c r="K1161">
        <f>I1161-G1161</f>
        <v/>
      </c>
      <c r="M1161" t="inlineStr">
        <is>
          <t>PNHIR00242647</t>
        </is>
      </c>
      <c r="N1161" t="inlineStr">
        <is>
          <t>1646400</t>
        </is>
      </c>
      <c r="O1161">
        <f>M1161=N1161</f>
        <v/>
      </c>
      <c r="P1161">
        <f>AND(MONTH(F1161)=MONTH(S1161), YEAR(F1161)=YEAR(S1161))</f>
        <v/>
      </c>
      <c r="Q1161">
        <f>"L001-902303751"=U1161</f>
        <v/>
      </c>
      <c r="R1161">
        <f>G1161-W1161</f>
        <v/>
      </c>
      <c r="S1161" s="36" t="n">
        <v>45482</v>
      </c>
      <c r="T1161" t="n">
        <v>16464</v>
      </c>
      <c r="U1161" t="inlineStr">
        <is>
          <t>L001-107032791</t>
        </is>
      </c>
      <c r="V1161" t="inlineStr">
        <is>
          <t>នីបផន អិចប្រេស (ខេមបូឌា) ខូ អិលធីឌី</t>
        </is>
      </c>
      <c r="W1161" t="n">
        <v>16464</v>
      </c>
      <c r="X1161" t="n">
        <v>0</v>
      </c>
    </row>
    <row r="1162">
      <c r="A1162" t="n">
        <v>1161</v>
      </c>
      <c r="B1162" t="inlineStr">
        <is>
          <t>Duties &amp; Taxes</t>
        </is>
      </c>
      <c r="C1162" t="inlineStr">
        <is>
          <t>ឌី អេច អិល អិចប្រេស (ខេមបូឌា)</t>
        </is>
      </c>
      <c r="D1162" t="inlineStr">
        <is>
          <t>L001-100045197</t>
        </is>
      </c>
      <c r="E1162" t="inlineStr">
        <is>
          <t>PNHIR00241978</t>
        </is>
      </c>
      <c r="F1162" t="inlineStr">
        <is>
          <t>16-09-2024</t>
        </is>
      </c>
      <c r="G1162" t="n">
        <v>6081</v>
      </c>
      <c r="I1162">
        <f>G1162</f>
        <v/>
      </c>
      <c r="K1162">
        <f>I1162-G1162</f>
        <v/>
      </c>
      <c r="M1162" t="inlineStr">
        <is>
          <t>PNHIR00241978</t>
        </is>
      </c>
      <c r="N1162" t="inlineStr"/>
      <c r="O1162">
        <f>M1162=N1162</f>
        <v/>
      </c>
      <c r="P1162">
        <f>AND(MONTH(F1162)=MONTH(S1162), YEAR(F1162)=YEAR(S1162))</f>
        <v/>
      </c>
      <c r="Q1162">
        <f>"L001-902303751"=U1162</f>
        <v/>
      </c>
      <c r="R1162">
        <f>G1162-W1162</f>
        <v/>
      </c>
      <c r="S1162" s="36" t="n">
        <v>45488</v>
      </c>
      <c r="T1162" t="inlineStr"/>
      <c r="U1162" t="inlineStr">
        <is>
          <t>L001-107032791</t>
        </is>
      </c>
      <c r="V1162" t="inlineStr">
        <is>
          <t>នីបផន អិចប្រេស (ខេមបូឌា) ខូ អិលធីឌី</t>
        </is>
      </c>
      <c r="W1162" t="n">
        <v>0</v>
      </c>
      <c r="X1162" t="n">
        <v>0</v>
      </c>
    </row>
    <row r="1163">
      <c r="A1163" t="n">
        <v>1162</v>
      </c>
      <c r="B1163" t="inlineStr">
        <is>
          <t>Duties &amp; Taxes</t>
        </is>
      </c>
      <c r="C1163" t="inlineStr">
        <is>
          <t>ឌី អេច អិល អិចប្រេស (ខេមបូឌា)</t>
        </is>
      </c>
      <c r="D1163" t="inlineStr">
        <is>
          <t>L001-100045197</t>
        </is>
      </c>
      <c r="E1163" t="inlineStr">
        <is>
          <t>PNHIR00241893</t>
        </is>
      </c>
      <c r="F1163" t="inlineStr">
        <is>
          <t>13-09-2024</t>
        </is>
      </c>
      <c r="G1163" t="n">
        <v>6085</v>
      </c>
      <c r="I1163">
        <f>G1163</f>
        <v/>
      </c>
      <c r="K1163">
        <f>I1163-G1163</f>
        <v/>
      </c>
      <c r="M1163" t="inlineStr">
        <is>
          <t>PNHIR00241893</t>
        </is>
      </c>
      <c r="N1163" t="inlineStr"/>
      <c r="O1163">
        <f>M1163=N1163</f>
        <v/>
      </c>
      <c r="P1163">
        <f>AND(MONTH(F1163)=MONTH(S1163), YEAR(F1163)=YEAR(S1163))</f>
        <v/>
      </c>
      <c r="Q1163">
        <f>"L001-902303751"=U1163</f>
        <v/>
      </c>
      <c r="R1163">
        <f>G1163-W1163</f>
        <v/>
      </c>
      <c r="S1163" s="36" t="n">
        <v>45488</v>
      </c>
      <c r="T1163" t="inlineStr"/>
      <c r="U1163" t="inlineStr">
        <is>
          <t>L001-107032791</t>
        </is>
      </c>
      <c r="V1163" t="inlineStr">
        <is>
          <t>នីបផន អិចប្រេស (ខេមបូឌា) ខូ អិលធីឌី</t>
        </is>
      </c>
      <c r="W1163" t="n">
        <v>0</v>
      </c>
      <c r="X1163" t="n">
        <v>0</v>
      </c>
    </row>
    <row r="1164">
      <c r="A1164" t="n">
        <v>1163</v>
      </c>
      <c r="B1164" t="inlineStr">
        <is>
          <t>Express Worldwide doc and nondoc</t>
        </is>
      </c>
      <c r="C1164" t="inlineStr">
        <is>
          <t>ឌី អេច អិល អិចប្រេស (ខេមបូឌា)</t>
        </is>
      </c>
      <c r="D1164" t="inlineStr">
        <is>
          <t>L001-100045197</t>
        </is>
      </c>
      <c r="E1164" t="inlineStr">
        <is>
          <t>PNHR000504225</t>
        </is>
      </c>
      <c r="F1164" t="inlineStr">
        <is>
          <t>12-09-2024</t>
        </is>
      </c>
      <c r="G1164" t="n">
        <v>70888</v>
      </c>
      <c r="I1164">
        <f>G1164</f>
        <v/>
      </c>
      <c r="K1164">
        <f>I1164-G1164</f>
        <v/>
      </c>
      <c r="M1164" t="inlineStr">
        <is>
          <t>PNHR000504225</t>
        </is>
      </c>
      <c r="N1164" t="inlineStr">
        <is>
          <t>8413200</t>
        </is>
      </c>
      <c r="O1164">
        <f>M1164=N1164</f>
        <v/>
      </c>
      <c r="P1164">
        <f>AND(MONTH(F1164)=MONTH(S1164), YEAR(F1164)=YEAR(S1164))</f>
        <v/>
      </c>
      <c r="Q1164">
        <f>"L001-902303751"=U1164</f>
        <v/>
      </c>
      <c r="R1164">
        <f>G1164-W1164</f>
        <v/>
      </c>
      <c r="S1164" s="36" t="n">
        <v>45502</v>
      </c>
      <c r="T1164" t="n">
        <v>84132</v>
      </c>
      <c r="U1164" t="inlineStr">
        <is>
          <t>L001-107032791</t>
        </is>
      </c>
      <c r="V1164" t="inlineStr">
        <is>
          <t>នីបផន អិចប្រេស (ខេមបូឌា) ខូ អិលធីឌី</t>
        </is>
      </c>
      <c r="W1164" t="n">
        <v>84132</v>
      </c>
      <c r="X1164" t="n">
        <v>0</v>
      </c>
    </row>
    <row r="1165">
      <c r="A1165" t="n">
        <v>1164</v>
      </c>
      <c r="B1165" t="inlineStr">
        <is>
          <t>Express Worldwide nondoc</t>
        </is>
      </c>
      <c r="C1165" t="inlineStr">
        <is>
          <t>ឌី អេច អិល អិចប្រេស (ខេមបូឌា)</t>
        </is>
      </c>
      <c r="D1165" t="inlineStr">
        <is>
          <t>L001-100045197</t>
        </is>
      </c>
      <c r="E1165" t="inlineStr">
        <is>
          <t>PNHIR00241721</t>
        </is>
      </c>
      <c r="F1165" t="inlineStr">
        <is>
          <t>12-09-2024</t>
        </is>
      </c>
      <c r="G1165" t="n">
        <v>108970</v>
      </c>
      <c r="I1165">
        <f>G1165</f>
        <v/>
      </c>
      <c r="K1165">
        <f>I1165-G1165</f>
        <v/>
      </c>
      <c r="M1165" t="inlineStr">
        <is>
          <t>PNHIR00241721</t>
        </is>
      </c>
      <c r="N1165" t="inlineStr"/>
      <c r="O1165">
        <f>M1165=N1165</f>
        <v/>
      </c>
      <c r="P1165">
        <f>AND(MONTH(F1165)=MONTH(S1165), YEAR(F1165)=YEAR(S1165))</f>
        <v/>
      </c>
      <c r="Q1165">
        <f>"L001-902303751"=U1165</f>
        <v/>
      </c>
      <c r="R1165">
        <f>G1165-W1165</f>
        <v/>
      </c>
      <c r="S1165" s="36" t="n">
        <v>45502</v>
      </c>
      <c r="T1165" t="inlineStr"/>
      <c r="U1165" t="inlineStr">
        <is>
          <t>L001-107032791</t>
        </is>
      </c>
      <c r="V1165" t="inlineStr">
        <is>
          <t>នីបផន អិចប្រេស (ខេមបូឌា) ខូ អិលធីឌី</t>
        </is>
      </c>
      <c r="W1165" t="n">
        <v>0</v>
      </c>
      <c r="X1165" t="n">
        <v>0</v>
      </c>
    </row>
    <row r="1166">
      <c r="A1166" t="n">
        <v>1165</v>
      </c>
      <c r="B1166" t="inlineStr">
        <is>
          <t>Duties &amp; Taxes</t>
        </is>
      </c>
      <c r="C1166" t="inlineStr">
        <is>
          <t>ឌី អេច អិល អិចប្រេស (ខេមបូឌា)</t>
        </is>
      </c>
      <c r="D1166" t="inlineStr">
        <is>
          <t>L001-100045197</t>
        </is>
      </c>
      <c r="E1166" t="inlineStr">
        <is>
          <t>PNHIR00241696</t>
        </is>
      </c>
      <c r="F1166" t="inlineStr">
        <is>
          <t>12-09-2024</t>
        </is>
      </c>
      <c r="G1166" t="n">
        <v>8120</v>
      </c>
      <c r="I1166">
        <f>G1166</f>
        <v/>
      </c>
      <c r="K1166">
        <f>I1166-G1166</f>
        <v/>
      </c>
      <c r="M1166" t="inlineStr">
        <is>
          <t>PNHIR00241696</t>
        </is>
      </c>
      <c r="N1166" t="inlineStr">
        <is>
          <t>8413200</t>
        </is>
      </c>
      <c r="O1166">
        <f>M1166=N1166</f>
        <v/>
      </c>
      <c r="P1166">
        <f>AND(MONTH(F1166)=MONTH(S1166), YEAR(F1166)=YEAR(S1166))</f>
        <v/>
      </c>
      <c r="Q1166">
        <f>"L001-902303751"=U1166</f>
        <v/>
      </c>
      <c r="R1166">
        <f>G1166-W1166</f>
        <v/>
      </c>
      <c r="S1166" s="36" t="n">
        <v>45502</v>
      </c>
      <c r="T1166" t="n">
        <v>84132</v>
      </c>
      <c r="U1166" t="inlineStr">
        <is>
          <t>L001-107032791</t>
        </is>
      </c>
      <c r="V1166" t="inlineStr">
        <is>
          <t>នីបផន អិចប្រេស (ខេមបូឌា) ខូ អិលធីឌី</t>
        </is>
      </c>
      <c r="W1166" t="n">
        <v>84132</v>
      </c>
      <c r="X1166" t="n">
        <v>0</v>
      </c>
    </row>
    <row r="1167">
      <c r="A1167" t="n">
        <v>1166</v>
      </c>
      <c r="B1167" t="inlineStr">
        <is>
          <t>Duties &amp; Taxes</t>
        </is>
      </c>
      <c r="C1167" t="inlineStr">
        <is>
          <t>ឌី អេច អិល អិចប្រេស (ខេមបូឌា)</t>
        </is>
      </c>
      <c r="D1167" t="inlineStr">
        <is>
          <t>L001-100045197</t>
        </is>
      </c>
      <c r="E1167" t="inlineStr">
        <is>
          <t>PNHIR00240733</t>
        </is>
      </c>
      <c r="F1167" t="inlineStr">
        <is>
          <t>09-09-2024</t>
        </is>
      </c>
      <c r="G1167" t="n">
        <v>6111</v>
      </c>
      <c r="I1167">
        <f>G1167</f>
        <v/>
      </c>
      <c r="K1167">
        <f>I1167-G1167</f>
        <v/>
      </c>
      <c r="M1167" t="inlineStr">
        <is>
          <t>PNHIR00240733</t>
        </is>
      </c>
      <c r="N1167" t="inlineStr"/>
      <c r="O1167">
        <f>M1167=N1167</f>
        <v/>
      </c>
      <c r="P1167">
        <f>AND(MONTH(F1167)=MONTH(S1167), YEAR(F1167)=YEAR(S1167))</f>
        <v/>
      </c>
      <c r="Q1167">
        <f>"L001-902303751"=U1167</f>
        <v/>
      </c>
      <c r="R1167">
        <f>G1167-W1167</f>
        <v/>
      </c>
      <c r="S1167" s="36" t="n">
        <v>45495</v>
      </c>
      <c r="T1167" t="inlineStr"/>
      <c r="U1167" t="inlineStr">
        <is>
          <t>L001-107032791</t>
        </is>
      </c>
      <c r="V1167" t="inlineStr">
        <is>
          <t>នីបផន អិចប្រេស (ខេមបូឌា) ខូ អិលធីឌី</t>
        </is>
      </c>
      <c r="W1167" t="n">
        <v>0</v>
      </c>
      <c r="X1167" t="n">
        <v>0</v>
      </c>
    </row>
    <row r="1168">
      <c r="A1168" t="n">
        <v>1167</v>
      </c>
      <c r="B1168" t="inlineStr">
        <is>
          <t>Duties &amp; Taxes</t>
        </is>
      </c>
      <c r="C1168" t="inlineStr">
        <is>
          <t>ឌី អេច អិល អិចប្រេស (ខេមបូឌា)</t>
        </is>
      </c>
      <c r="D1168" t="inlineStr">
        <is>
          <t>L001-100045197</t>
        </is>
      </c>
      <c r="E1168" t="inlineStr">
        <is>
          <t>PNHIR00240136</t>
        </is>
      </c>
      <c r="F1168" t="inlineStr">
        <is>
          <t>06-09-2024</t>
        </is>
      </c>
      <c r="G1168" t="n">
        <v>18333</v>
      </c>
      <c r="I1168">
        <f>G1168</f>
        <v/>
      </c>
      <c r="K1168">
        <f>I1168-G1168</f>
        <v/>
      </c>
      <c r="M1168" t="inlineStr">
        <is>
          <t>PNHIR00240136</t>
        </is>
      </c>
      <c r="N1168" t="inlineStr">
        <is>
          <t>8676300</t>
        </is>
      </c>
      <c r="O1168">
        <f>M1168=N1168</f>
        <v/>
      </c>
      <c r="P1168">
        <f>AND(MONTH(F1168)=MONTH(S1168), YEAR(F1168)=YEAR(S1168))</f>
        <v/>
      </c>
      <c r="Q1168">
        <f>"L001-902303751"=U1168</f>
        <v/>
      </c>
      <c r="R1168">
        <f>G1168-W1168</f>
        <v/>
      </c>
      <c r="S1168" s="36" t="n">
        <v>45474</v>
      </c>
      <c r="T1168" t="n">
        <v>86763</v>
      </c>
      <c r="U1168" t="inlineStr">
        <is>
          <t>K005-901805913</t>
        </is>
      </c>
      <c r="V1168" t="inlineStr">
        <is>
          <t>ស្តារ ខង់ខដ (ខេមបូឌា) ឯ.ក</t>
        </is>
      </c>
      <c r="W1168" t="n">
        <v>86763</v>
      </c>
      <c r="X1168" t="n">
        <v>0</v>
      </c>
    </row>
    <row r="1169">
      <c r="A1169" t="n">
        <v>1168</v>
      </c>
      <c r="B1169" t="inlineStr">
        <is>
          <t>Express Worldwide doc and nondoc</t>
        </is>
      </c>
      <c r="C1169" t="inlineStr">
        <is>
          <t>ឌី អេច អិល អិចប្រេស (ខេមបូឌា)</t>
        </is>
      </c>
      <c r="D1169" t="inlineStr">
        <is>
          <t>L001-100045197</t>
        </is>
      </c>
      <c r="E1169" t="inlineStr">
        <is>
          <t>PNHR000503626</t>
        </is>
      </c>
      <c r="F1169" t="inlineStr">
        <is>
          <t>05-09-2024</t>
        </is>
      </c>
      <c r="G1169" t="n">
        <v>37776</v>
      </c>
      <c r="I1169">
        <f>G1169</f>
        <v/>
      </c>
      <c r="K1169">
        <f>I1169-G1169</f>
        <v/>
      </c>
      <c r="M1169" t="inlineStr">
        <is>
          <t>PNHR000503626</t>
        </is>
      </c>
      <c r="N1169" t="inlineStr"/>
      <c r="O1169">
        <f>M1169=N1169</f>
        <v/>
      </c>
      <c r="P1169">
        <f>AND(MONTH(F1169)=MONTH(S1169), YEAR(F1169)=YEAR(S1169))</f>
        <v/>
      </c>
      <c r="Q1169">
        <f>"L001-902303751"=U1169</f>
        <v/>
      </c>
      <c r="R1169">
        <f>G1169-W1169</f>
        <v/>
      </c>
      <c r="S1169" s="36" t="n">
        <v>45481</v>
      </c>
      <c r="T1169" t="inlineStr"/>
      <c r="U1169" t="inlineStr">
        <is>
          <t>K003-901635943</t>
        </is>
      </c>
      <c r="V1169" t="inlineStr">
        <is>
          <t>អ៊ីឃ្យូឡាញ វើលវ៉ាយដ៍ ឡូជីស្ទីក</t>
        </is>
      </c>
      <c r="W1169" t="n">
        <v>0</v>
      </c>
      <c r="X1169" t="n">
        <v>0</v>
      </c>
    </row>
    <row r="1170">
      <c r="A1170" t="n">
        <v>1169</v>
      </c>
      <c r="B1170" t="inlineStr">
        <is>
          <t>Express Worldwide nondoc</t>
        </is>
      </c>
      <c r="C1170" t="inlineStr">
        <is>
          <t>ឌី អេច អិល អិចប្រេស (ខេមបូឌា)</t>
        </is>
      </c>
      <c r="D1170" t="inlineStr">
        <is>
          <t>L001-100045197</t>
        </is>
      </c>
      <c r="E1170" t="inlineStr">
        <is>
          <t>PNHIR00240009</t>
        </is>
      </c>
      <c r="F1170" t="inlineStr">
        <is>
          <t>05-09-2024</t>
        </is>
      </c>
      <c r="G1170" t="n">
        <v>49438</v>
      </c>
      <c r="I1170">
        <f>G1170</f>
        <v/>
      </c>
      <c r="K1170">
        <f>I1170-G1170</f>
        <v/>
      </c>
      <c r="M1170" t="inlineStr">
        <is>
          <t>PNHIR00240009</t>
        </is>
      </c>
      <c r="N1170" t="inlineStr">
        <is>
          <t>1647200</t>
        </is>
      </c>
      <c r="O1170">
        <f>M1170=N1170</f>
        <v/>
      </c>
      <c r="P1170">
        <f>AND(MONTH(F1170)=MONTH(S1170), YEAR(F1170)=YEAR(S1170))</f>
        <v/>
      </c>
      <c r="Q1170">
        <f>"L001-902303751"=U1170</f>
        <v/>
      </c>
      <c r="R1170">
        <f>G1170-W1170</f>
        <v/>
      </c>
      <c r="S1170" s="36" t="n">
        <v>45476</v>
      </c>
      <c r="T1170" t="n">
        <v>16472</v>
      </c>
      <c r="U1170" t="inlineStr">
        <is>
          <t>K003-901635943</t>
        </is>
      </c>
      <c r="V1170" t="inlineStr">
        <is>
          <t>អ៊ីឃ្យូឡាញ វើលវ៉ាយដ៍ ឡូជីស្ទីក</t>
        </is>
      </c>
      <c r="W1170" t="n">
        <v>16472</v>
      </c>
      <c r="X1170" t="n">
        <v>0</v>
      </c>
    </row>
    <row r="1171">
      <c r="A1171" t="n">
        <v>1170</v>
      </c>
      <c r="B1171" t="inlineStr">
        <is>
          <t>Duties &amp; Taxes</t>
        </is>
      </c>
      <c r="C1171" t="inlineStr">
        <is>
          <t>ឌី អេច អិល អិចប្រេស (ខេមបូឌា)</t>
        </is>
      </c>
      <c r="D1171" t="inlineStr">
        <is>
          <t>L001-100045197</t>
        </is>
      </c>
      <c r="E1171" t="inlineStr">
        <is>
          <t>PNHIR00239973</t>
        </is>
      </c>
      <c r="F1171" t="inlineStr">
        <is>
          <t>03-09-2024</t>
        </is>
      </c>
      <c r="G1171" t="n">
        <v>11504</v>
      </c>
      <c r="I1171">
        <f>G1171</f>
        <v/>
      </c>
      <c r="K1171">
        <f>I1171-G1171</f>
        <v/>
      </c>
      <c r="M1171" t="inlineStr">
        <is>
          <t>PNHIR00239973</t>
        </is>
      </c>
      <c r="N1171" t="inlineStr">
        <is>
          <t>8429600</t>
        </is>
      </c>
      <c r="O1171">
        <f>M1171=N1171</f>
        <v/>
      </c>
      <c r="P1171">
        <f>AND(MONTH(F1171)=MONTH(S1171), YEAR(F1171)=YEAR(S1171))</f>
        <v/>
      </c>
      <c r="Q1171">
        <f>"L001-902303751"=U1171</f>
        <v/>
      </c>
      <c r="R1171">
        <f>G1171-W1171</f>
        <v/>
      </c>
      <c r="S1171" s="36" t="n">
        <v>45474</v>
      </c>
      <c r="T1171" t="n">
        <v>84296</v>
      </c>
      <c r="U1171" t="inlineStr">
        <is>
          <t>L001-100011888</t>
        </is>
      </c>
      <c r="V1171" t="inlineStr">
        <is>
          <t>ត្រេន ស្តារ ហ្រេ្វត</t>
        </is>
      </c>
      <c r="W1171" t="n">
        <v>84296</v>
      </c>
      <c r="X1171" t="n">
        <v>0</v>
      </c>
    </row>
    <row r="1172">
      <c r="A1172" t="n">
        <v>1171</v>
      </c>
      <c r="B1172" t="inlineStr">
        <is>
          <t>Document Origin, Handling Charges Origin, Airfreight, Overtime Fee, PLACI fee and HAWB Transmission Fee</t>
        </is>
      </c>
      <c r="C1172" t="inlineStr">
        <is>
          <t>ឌីប៊ី សេនឃើរ (ខេមបូឌា) លីមីធីត</t>
        </is>
      </c>
      <c r="D1172" t="inlineStr">
        <is>
          <t>L001-107041723</t>
        </is>
      </c>
      <c r="E1172" t="inlineStr">
        <is>
          <t>2400007078</t>
        </is>
      </c>
      <c r="F1172" t="inlineStr">
        <is>
          <t>02-09-2024</t>
        </is>
      </c>
      <c r="G1172" t="n">
        <v>49926</v>
      </c>
      <c r="I1172">
        <f>G1172</f>
        <v/>
      </c>
      <c r="K1172">
        <f>I1172-G1172</f>
        <v/>
      </c>
      <c r="M1172" t="inlineStr">
        <is>
          <t>2400007078</t>
        </is>
      </c>
      <c r="N1172" t="inlineStr">
        <is>
          <t>11308000</t>
        </is>
      </c>
      <c r="O1172">
        <f>M1172=N1172</f>
        <v/>
      </c>
      <c r="P1172">
        <f>AND(MONTH(F1172)=MONTH(S1172), YEAR(F1172)=YEAR(S1172))</f>
        <v/>
      </c>
      <c r="Q1172">
        <f>"L001-902303751"=U1172</f>
        <v/>
      </c>
      <c r="R1172">
        <f>G1172-W1172</f>
        <v/>
      </c>
      <c r="S1172" s="36" t="n">
        <v>45474</v>
      </c>
      <c r="T1172" t="n">
        <v>113080</v>
      </c>
      <c r="U1172" t="inlineStr">
        <is>
          <t>K002-901800477</t>
        </is>
      </c>
      <c r="V1172" t="inlineStr">
        <is>
          <t>អាយធីអាយ អ៊ិនធើណេសិនណល ត្រេនស័្ពរថេសិន (ខេមបូឌា) ឯ.ក</t>
        </is>
      </c>
      <c r="W1172" t="n">
        <v>113080</v>
      </c>
      <c r="X1172" t="n">
        <v>0</v>
      </c>
    </row>
    <row r="1173">
      <c r="A1173" t="n">
        <v>1172</v>
      </c>
      <c r="B1173" t="inlineStr">
        <is>
          <t>Documentation Origin, Handling Charge Orgin, Airfreight, Overtime Fee, PLACI Fee and HAWB Transmission Fee</t>
        </is>
      </c>
      <c r="C1173" t="inlineStr">
        <is>
          <t>ឌីប៊ី សេនឃើរ (ខេមបូឌា) លីមីធីត</t>
        </is>
      </c>
      <c r="D1173" t="inlineStr">
        <is>
          <t>L001-107041723</t>
        </is>
      </c>
      <c r="E1173" t="inlineStr">
        <is>
          <t>2400007083</t>
        </is>
      </c>
      <c r="F1173" t="inlineStr">
        <is>
          <t>02-09-2024</t>
        </is>
      </c>
      <c r="G1173" t="n">
        <v>70221</v>
      </c>
      <c r="I1173">
        <f>G1173</f>
        <v/>
      </c>
      <c r="K1173">
        <f>I1173-G1173</f>
        <v/>
      </c>
      <c r="M1173" t="inlineStr">
        <is>
          <t>2400007083</t>
        </is>
      </c>
      <c r="N1173" t="inlineStr">
        <is>
          <t>8444000</t>
        </is>
      </c>
      <c r="O1173">
        <f>M1173=N1173</f>
        <v/>
      </c>
      <c r="P1173">
        <f>AND(MONTH(F1173)=MONTH(S1173), YEAR(F1173)=YEAR(S1173))</f>
        <v/>
      </c>
      <c r="Q1173">
        <f>"L001-902303751"=U1173</f>
        <v/>
      </c>
      <c r="R1173">
        <f>G1173-W1173</f>
        <v/>
      </c>
      <c r="S1173" s="36" t="n">
        <v>45481</v>
      </c>
      <c r="T1173" t="n">
        <v>84440</v>
      </c>
      <c r="U1173" t="inlineStr">
        <is>
          <t>L001-107032791</t>
        </is>
      </c>
      <c r="V1173" t="inlineStr">
        <is>
          <t>នីបផន អិចប្រេស (ខេមបូឌា) ខូ អិលធីឌី</t>
        </is>
      </c>
      <c r="W1173" t="n">
        <v>84440</v>
      </c>
      <c r="X1173" t="n">
        <v>0</v>
      </c>
    </row>
    <row r="1174">
      <c r="A1174" t="n">
        <v>1173</v>
      </c>
      <c r="B1174" t="inlineStr">
        <is>
          <t>Documentation Origin, Handling Charge Orgin, Airfreight, Overtime Fee, PLACI Fee and HAWB Trasmission Fee</t>
        </is>
      </c>
      <c r="C1174" t="inlineStr">
        <is>
          <t>ឌីប៊ី សេនឃើរ (ខេមបូឌា) លីមីធីត</t>
        </is>
      </c>
      <c r="D1174" t="inlineStr">
        <is>
          <t>L001-107041723</t>
        </is>
      </c>
      <c r="E1174" t="inlineStr">
        <is>
          <t>2400007079</t>
        </is>
      </c>
      <c r="F1174" t="inlineStr">
        <is>
          <t>02-09-2024</t>
        </is>
      </c>
      <c r="G1174" t="n">
        <v>82398</v>
      </c>
      <c r="I1174">
        <f>G1174</f>
        <v/>
      </c>
      <c r="K1174">
        <f>I1174-G1174</f>
        <v/>
      </c>
      <c r="M1174" t="inlineStr">
        <is>
          <t>2400007079</t>
        </is>
      </c>
      <c r="N1174" t="inlineStr">
        <is>
          <t>11574400</t>
        </is>
      </c>
      <c r="O1174">
        <f>M1174=N1174</f>
        <v/>
      </c>
      <c r="P1174">
        <f>AND(MONTH(F1174)=MONTH(S1174), YEAR(F1174)=YEAR(S1174))</f>
        <v/>
      </c>
      <c r="Q1174">
        <f>"L001-902303751"=U1174</f>
        <v/>
      </c>
      <c r="R1174">
        <f>G1174-W1174</f>
        <v/>
      </c>
      <c r="S1174" s="36" t="n">
        <v>45481</v>
      </c>
      <c r="T1174" t="n">
        <v>115744</v>
      </c>
      <c r="U1174" t="inlineStr">
        <is>
          <t>K005-901805913</t>
        </is>
      </c>
      <c r="V1174" t="inlineStr">
        <is>
          <t>ស្តារ ខង់ខដ (ខេមបូឌា) ឯ.ក</t>
        </is>
      </c>
      <c r="W1174" t="n">
        <v>115744</v>
      </c>
      <c r="X1174" t="n">
        <v>0</v>
      </c>
    </row>
    <row r="1175">
      <c r="A1175" t="n">
        <v>1174</v>
      </c>
      <c r="B1175" t="inlineStr">
        <is>
          <t>Customs Clearance Fee</t>
        </is>
      </c>
      <c r="C1175" t="inlineStr">
        <is>
          <t>ត្រាយអ៊ែងហ្គល ឡូជីស្ទីក (ខេមបូឌា) ឯ.ក</t>
        </is>
      </c>
      <c r="D1175" t="inlineStr">
        <is>
          <t>K010-902101743</t>
        </is>
      </c>
      <c r="E1175" t="inlineStr">
        <is>
          <t>TAG-24-00632</t>
        </is>
      </c>
      <c r="F1175" t="inlineStr">
        <is>
          <t>11-09-2024</t>
        </is>
      </c>
      <c r="G1175" t="n">
        <v>8128</v>
      </c>
      <c r="I1175">
        <f>G1175</f>
        <v/>
      </c>
      <c r="K1175">
        <f>I1175-G1175</f>
        <v/>
      </c>
      <c r="M1175" t="inlineStr">
        <is>
          <t>TAG2400632</t>
        </is>
      </c>
      <c r="N1175" t="inlineStr"/>
      <c r="O1175">
        <f>M1175=N1175</f>
        <v/>
      </c>
      <c r="P1175">
        <f>AND(MONTH(F1175)=MONTH(S1175), YEAR(F1175)=YEAR(S1175))</f>
        <v/>
      </c>
      <c r="Q1175">
        <f>"L001-902303751"=U1175</f>
        <v/>
      </c>
      <c r="R1175">
        <f>G1175-W1175</f>
        <v/>
      </c>
      <c r="S1175" s="36" t="n">
        <v>45481</v>
      </c>
      <c r="T1175" t="inlineStr"/>
      <c r="U1175" t="inlineStr">
        <is>
          <t>L001-100045995</t>
        </is>
      </c>
      <c r="V1175" t="inlineStr">
        <is>
          <t>ឌីអេចអិល ឡូជីស្ទីក (ខេមបូឌា)</t>
        </is>
      </c>
      <c r="W1175" t="n">
        <v>0</v>
      </c>
      <c r="X1175" t="n">
        <v>0</v>
      </c>
    </row>
    <row r="1176">
      <c r="A1176" t="n">
        <v>1175</v>
      </c>
      <c r="B1176" t="inlineStr">
        <is>
          <t>Cargo Terminal</t>
        </is>
      </c>
      <c r="C1176" t="inlineStr">
        <is>
          <t>សូស៊ីយេតេ កុងសេស្យូនែរ ដឺ ឡាអេរ៉ូព័រ</t>
        </is>
      </c>
      <c r="D1176" t="inlineStr">
        <is>
          <t>L001-100047300</t>
        </is>
      </c>
      <c r="E1176" t="inlineStr">
        <is>
          <t>2400-078622</t>
        </is>
      </c>
      <c r="F1176" t="inlineStr">
        <is>
          <t>28-09-2024</t>
        </is>
      </c>
      <c r="G1176" t="n">
        <v>21863</v>
      </c>
      <c r="I1176">
        <f>G1176</f>
        <v/>
      </c>
      <c r="K1176">
        <f>I1176-G1176</f>
        <v/>
      </c>
      <c r="M1176" t="inlineStr">
        <is>
          <t>2400078622</t>
        </is>
      </c>
      <c r="N1176" t="inlineStr"/>
      <c r="O1176">
        <f>M1176=N1176</f>
        <v/>
      </c>
      <c r="P1176">
        <f>AND(MONTH(F1176)=MONTH(S1176), YEAR(F1176)=YEAR(S1176))</f>
        <v/>
      </c>
      <c r="Q1176">
        <f>"L001-902303751"=U1176</f>
        <v/>
      </c>
      <c r="R1176">
        <f>G1176-W1176</f>
        <v/>
      </c>
      <c r="S1176" s="36" t="n">
        <v>45481</v>
      </c>
      <c r="T1176" t="inlineStr"/>
      <c r="U1176" t="inlineStr">
        <is>
          <t>L001-107032791</t>
        </is>
      </c>
      <c r="V1176" t="inlineStr">
        <is>
          <t>នីបផន អិចប្រេស (ខេមបូឌា) ខូ អិលធីឌី</t>
        </is>
      </c>
      <c r="W1176" t="n">
        <v>0</v>
      </c>
      <c r="X1176" t="n">
        <v>0</v>
      </c>
    </row>
    <row r="1177">
      <c r="A1177" t="n">
        <v>1176</v>
      </c>
      <c r="B1177" t="inlineStr">
        <is>
          <t>Customs Clearance Fee</t>
        </is>
      </c>
      <c r="C1177" t="inlineStr">
        <is>
          <t>ត្រាយអ៊ែងហ្គល ឡូជីស្ទីក (ខេមបូឌា) ឯ.ក</t>
        </is>
      </c>
      <c r="D1177" t="inlineStr">
        <is>
          <t>K010-902101743</t>
        </is>
      </c>
      <c r="E1177" t="inlineStr">
        <is>
          <t>TAG-24-00720</t>
        </is>
      </c>
      <c r="F1177" t="inlineStr">
        <is>
          <t>30-09-2024</t>
        </is>
      </c>
      <c r="G1177" t="n">
        <v>8122</v>
      </c>
      <c r="I1177">
        <f>G1177</f>
        <v/>
      </c>
      <c r="K1177">
        <f>I1177-G1177</f>
        <v/>
      </c>
      <c r="M1177" t="inlineStr">
        <is>
          <t>TAG2400720</t>
        </is>
      </c>
      <c r="N1177" t="inlineStr">
        <is>
          <t>8417300</t>
        </is>
      </c>
      <c r="O1177">
        <f>M1177=N1177</f>
        <v/>
      </c>
      <c r="P1177">
        <f>AND(MONTH(F1177)=MONTH(S1177), YEAR(F1177)=YEAR(S1177))</f>
        <v/>
      </c>
      <c r="Q1177">
        <f>"L001-902303751"=U1177</f>
        <v/>
      </c>
      <c r="R1177">
        <f>G1177-W1177</f>
        <v/>
      </c>
      <c r="S1177" s="36" t="n">
        <v>45488</v>
      </c>
      <c r="T1177" t="n">
        <v>84173</v>
      </c>
      <c r="U1177" t="inlineStr">
        <is>
          <t>L001-107032791</t>
        </is>
      </c>
      <c r="V1177" t="inlineStr">
        <is>
          <t>នីបផន អិចប្រេស (ខេមបូឌា) ខូ អិលធីឌី</t>
        </is>
      </c>
      <c r="W1177" t="n">
        <v>84173</v>
      </c>
      <c r="X1177" t="n">
        <v>0</v>
      </c>
    </row>
    <row r="1178">
      <c r="A1178" t="n">
        <v>1177</v>
      </c>
      <c r="B1178" t="inlineStr">
        <is>
          <t>Cargo Terminal</t>
        </is>
      </c>
      <c r="C1178" t="inlineStr">
        <is>
          <t>សូស៊ីយេតេ កុងសេស្យូនែរ ដឺ ឡាអេរ៉ូព័រ</t>
        </is>
      </c>
      <c r="D1178" t="inlineStr">
        <is>
          <t>L001-100047300</t>
        </is>
      </c>
      <c r="E1178" t="inlineStr">
        <is>
          <t>2400-079053</t>
        </is>
      </c>
      <c r="F1178" t="inlineStr">
        <is>
          <t>29-09-2024</t>
        </is>
      </c>
      <c r="G1178" t="n">
        <v>16502</v>
      </c>
      <c r="I1178">
        <f>G1178</f>
        <v/>
      </c>
      <c r="K1178">
        <f>I1178-G1178</f>
        <v/>
      </c>
      <c r="M1178" t="inlineStr">
        <is>
          <t>2400079053</t>
        </is>
      </c>
      <c r="N1178" t="inlineStr"/>
      <c r="O1178">
        <f>M1178=N1178</f>
        <v/>
      </c>
      <c r="P1178">
        <f>AND(MONTH(F1178)=MONTH(S1178), YEAR(F1178)=YEAR(S1178))</f>
        <v/>
      </c>
      <c r="Q1178">
        <f>"L001-902303751"=U1178</f>
        <v/>
      </c>
      <c r="R1178">
        <f>G1178-W1178</f>
        <v/>
      </c>
      <c r="S1178" s="36" t="n">
        <v>45488</v>
      </c>
      <c r="T1178" t="inlineStr"/>
      <c r="U1178" t="inlineStr">
        <is>
          <t>L001-100011888</t>
        </is>
      </c>
      <c r="V1178" t="inlineStr">
        <is>
          <t>ត្រេន ស្តារ ហ្រេ្វត</t>
        </is>
      </c>
      <c r="W1178" t="n">
        <v>0</v>
      </c>
      <c r="X1178" t="n">
        <v>0</v>
      </c>
    </row>
    <row r="1179">
      <c r="A1179" t="n">
        <v>1178</v>
      </c>
      <c r="B1179" t="inlineStr">
        <is>
          <t>Customs Clearance Fee</t>
        </is>
      </c>
      <c r="C1179" t="inlineStr">
        <is>
          <t>ត្រាយអ៊ែងហ្គល ឡូជីស្ទីក (ខេមបូឌា) ឯ.ក</t>
        </is>
      </c>
      <c r="D1179" t="inlineStr">
        <is>
          <t>K010-902101743</t>
        </is>
      </c>
      <c r="E1179" t="inlineStr">
        <is>
          <t>TAG-24-00719</t>
        </is>
      </c>
      <c r="F1179" t="inlineStr">
        <is>
          <t>30-09-2024</t>
        </is>
      </c>
      <c r="G1179" t="n">
        <v>8122</v>
      </c>
      <c r="I1179">
        <f>G1179</f>
        <v/>
      </c>
      <c r="K1179">
        <f>I1179-G1179</f>
        <v/>
      </c>
      <c r="M1179" t="inlineStr">
        <is>
          <t>TAG2400719</t>
        </is>
      </c>
      <c r="N1179" t="inlineStr">
        <is>
          <t>86698800</t>
        </is>
      </c>
      <c r="O1179">
        <f>M1179=N1179</f>
        <v/>
      </c>
      <c r="P1179">
        <f>AND(MONTH(F1179)=MONTH(S1179), YEAR(F1179)=YEAR(S1179))</f>
        <v/>
      </c>
      <c r="Q1179">
        <f>"L001-902303751"=U1179</f>
        <v/>
      </c>
      <c r="R1179">
        <f>G1179-W1179</f>
        <v/>
      </c>
      <c r="S1179" s="36" t="n">
        <v>45491</v>
      </c>
      <c r="T1179" t="n">
        <v>866988</v>
      </c>
      <c r="U1179" t="inlineStr">
        <is>
          <t>K004-105012505</t>
        </is>
      </c>
      <c r="V1179" t="inlineStr">
        <is>
          <t>អេស៊ាន ហ្វ្រេត (ខេមបូឌា)</t>
        </is>
      </c>
      <c r="W1179" t="n">
        <v>866988</v>
      </c>
      <c r="X1179" t="n">
        <v>0</v>
      </c>
    </row>
    <row r="1180">
      <c r="A1180" t="n">
        <v>1179</v>
      </c>
      <c r="B1180" t="inlineStr">
        <is>
          <t>Cargo Terminal</t>
        </is>
      </c>
      <c r="C1180" t="inlineStr">
        <is>
          <t>សូស៊ីយេតេ កុងសេស្យូនែរ ដឺ ឡាអេរ៉ូព័រ</t>
        </is>
      </c>
      <c r="D1180" t="inlineStr">
        <is>
          <t>L001-100047300</t>
        </is>
      </c>
      <c r="E1180" t="inlineStr">
        <is>
          <t>2400-077656</t>
        </is>
      </c>
      <c r="F1180" t="inlineStr">
        <is>
          <t>25-09-2024</t>
        </is>
      </c>
      <c r="G1180" t="n">
        <v>14919</v>
      </c>
      <c r="I1180">
        <f>G1180</f>
        <v/>
      </c>
      <c r="K1180">
        <f>I1180-G1180</f>
        <v/>
      </c>
      <c r="M1180" t="inlineStr">
        <is>
          <t>2400077656</t>
        </is>
      </c>
      <c r="N1180" t="inlineStr">
        <is>
          <t>17943200</t>
        </is>
      </c>
      <c r="O1180">
        <f>M1180=N1180</f>
        <v/>
      </c>
      <c r="P1180">
        <f>AND(MONTH(F1180)=MONTH(S1180), YEAR(F1180)=YEAR(S1180))</f>
        <v/>
      </c>
      <c r="Q1180">
        <f>"L001-902303751"=U1180</f>
        <v/>
      </c>
      <c r="R1180">
        <f>G1180-W1180</f>
        <v/>
      </c>
      <c r="S1180" s="36" t="n">
        <v>45488</v>
      </c>
      <c r="T1180" t="n">
        <v>179432</v>
      </c>
      <c r="U1180" t="inlineStr">
        <is>
          <t>K003-901635943</t>
        </is>
      </c>
      <c r="V1180" t="inlineStr">
        <is>
          <t>អ៊ីឃ្យូឡាញ វើលវ៉ាយដ៍ ឡូជីស្ទីក</t>
        </is>
      </c>
      <c r="W1180" t="n">
        <v>179432</v>
      </c>
      <c r="X1180" t="n">
        <v>0</v>
      </c>
    </row>
    <row r="1181">
      <c r="A1181" t="n">
        <v>1180</v>
      </c>
      <c r="B1181" t="inlineStr">
        <is>
          <t>Customs Clearance Fee</t>
        </is>
      </c>
      <c r="C1181" t="inlineStr">
        <is>
          <t>ត្រាយអ៊ែងហ្គល ឡូជីស្ទីក (ខេមបូឌា) ឯ.ក</t>
        </is>
      </c>
      <c r="D1181" t="inlineStr">
        <is>
          <t>K010-902101743</t>
        </is>
      </c>
      <c r="E1181" t="inlineStr">
        <is>
          <t>TAG-24-00689</t>
        </is>
      </c>
      <c r="F1181" t="inlineStr">
        <is>
          <t>27-09-2024</t>
        </is>
      </c>
      <c r="G1181" t="n">
        <v>8122</v>
      </c>
      <c r="I1181">
        <f>G1181</f>
        <v/>
      </c>
      <c r="K1181">
        <f>I1181-G1181</f>
        <v/>
      </c>
      <c r="M1181" t="inlineStr">
        <is>
          <t>TAG2400689</t>
        </is>
      </c>
      <c r="N1181" t="inlineStr"/>
      <c r="O1181">
        <f>M1181=N1181</f>
        <v/>
      </c>
      <c r="P1181">
        <f>AND(MONTH(F1181)=MONTH(S1181), YEAR(F1181)=YEAR(S1181))</f>
        <v/>
      </c>
      <c r="Q1181">
        <f>"L001-902303751"=U1181</f>
        <v/>
      </c>
      <c r="R1181">
        <f>G1181-W1181</f>
        <v/>
      </c>
      <c r="S1181" s="36" t="n">
        <v>45488</v>
      </c>
      <c r="T1181" t="inlineStr"/>
      <c r="U1181" t="inlineStr">
        <is>
          <t>L001-100045340</t>
        </is>
      </c>
      <c r="V1181" t="inlineStr">
        <is>
          <t xml:space="preserve">ស៊ីវ៉ា អ៊ែរ អ៊ែន អូសៀន (ខេមបូឌា) ឯ.ក </t>
        </is>
      </c>
      <c r="W1181" t="n">
        <v>0</v>
      </c>
      <c r="X1181" t="n">
        <v>0</v>
      </c>
    </row>
    <row r="1182">
      <c r="A1182" t="n">
        <v>1181</v>
      </c>
      <c r="B1182" t="inlineStr">
        <is>
          <t>Cargo Terminal</t>
        </is>
      </c>
      <c r="C1182" t="inlineStr">
        <is>
          <t>សូស៊ីយេតេ កុងសេស្យូនែរ ដឺ ឡាអេរ៉ូព័រ</t>
        </is>
      </c>
      <c r="D1182" t="inlineStr">
        <is>
          <t>L001-100047300</t>
        </is>
      </c>
      <c r="E1182" t="inlineStr">
        <is>
          <t>2400-075990</t>
        </is>
      </c>
      <c r="F1182" t="inlineStr">
        <is>
          <t>19-09-2024</t>
        </is>
      </c>
      <c r="G1182" t="n">
        <v>10749</v>
      </c>
      <c r="I1182">
        <f>G1182</f>
        <v/>
      </c>
      <c r="K1182">
        <f>I1182-G1182</f>
        <v/>
      </c>
      <c r="M1182" t="inlineStr">
        <is>
          <t>2400075990</t>
        </is>
      </c>
      <c r="N1182" t="inlineStr">
        <is>
          <t>11308000</t>
        </is>
      </c>
      <c r="O1182">
        <f>M1182=N1182</f>
        <v/>
      </c>
      <c r="P1182">
        <f>AND(MONTH(F1182)=MONTH(S1182), YEAR(F1182)=YEAR(S1182))</f>
        <v/>
      </c>
      <c r="Q1182">
        <f>"L001-902303751"=U1182</f>
        <v/>
      </c>
      <c r="R1182">
        <f>G1182-W1182</f>
        <v/>
      </c>
      <c r="S1182" s="36" t="n">
        <v>45474</v>
      </c>
      <c r="T1182" t="n">
        <v>113080</v>
      </c>
      <c r="U1182" t="inlineStr">
        <is>
          <t>L001-107032791</t>
        </is>
      </c>
      <c r="V1182" t="inlineStr">
        <is>
          <t>នីបផន អិចប្រេស (ខេមបូឌា) ខូ អិលធីឌី</t>
        </is>
      </c>
      <c r="W1182" t="n">
        <v>113080</v>
      </c>
      <c r="X1182" t="n">
        <v>0</v>
      </c>
    </row>
    <row r="1183">
      <c r="A1183" t="n">
        <v>1182</v>
      </c>
      <c r="B1183" t="inlineStr">
        <is>
          <t>Customs Clearance Fee</t>
        </is>
      </c>
      <c r="C1183" t="inlineStr">
        <is>
          <t>ត្រាយអ៊ែងហ្គល ឡូជីស្ទីក (ខេមបូឌា) ឯ.ក</t>
        </is>
      </c>
      <c r="D1183" t="inlineStr">
        <is>
          <t>K010-902101743</t>
        </is>
      </c>
      <c r="E1183" t="inlineStr">
        <is>
          <t>TAG-24-00686</t>
        </is>
      </c>
      <c r="F1183" t="inlineStr">
        <is>
          <t>27-09-2024</t>
        </is>
      </c>
      <c r="G1183" t="n">
        <v>8122</v>
      </c>
      <c r="I1183">
        <f>G1183</f>
        <v/>
      </c>
      <c r="K1183">
        <f>I1183-G1183</f>
        <v/>
      </c>
      <c r="M1183" t="inlineStr">
        <is>
          <t>TAG2400686</t>
        </is>
      </c>
      <c r="N1183" t="inlineStr">
        <is>
          <t>8429600</t>
        </is>
      </c>
      <c r="O1183">
        <f>M1183=N1183</f>
        <v/>
      </c>
      <c r="P1183">
        <f>AND(MONTH(F1183)=MONTH(S1183), YEAR(F1183)=YEAR(S1183))</f>
        <v/>
      </c>
      <c r="Q1183">
        <f>"L001-902303751"=U1183</f>
        <v/>
      </c>
      <c r="R1183">
        <f>G1183-W1183</f>
        <v/>
      </c>
      <c r="S1183" s="36" t="n">
        <v>45474</v>
      </c>
      <c r="T1183" t="n">
        <v>84296</v>
      </c>
      <c r="U1183" t="inlineStr">
        <is>
          <t>L001-107032791</t>
        </is>
      </c>
      <c r="V1183" t="inlineStr">
        <is>
          <t>នីបផន អិចប្រេស (ខេមបូឌា) ខូ អិលធីឌី</t>
        </is>
      </c>
      <c r="W1183" t="n">
        <v>84296</v>
      </c>
      <c r="X1183" t="n">
        <v>0</v>
      </c>
    </row>
    <row r="1184">
      <c r="A1184" t="n">
        <v>1183</v>
      </c>
      <c r="B1184" t="inlineStr">
        <is>
          <t>Cargo Terminal</t>
        </is>
      </c>
      <c r="C1184" t="inlineStr">
        <is>
          <t>សូស៊ីយេតេ កុងសេស្យូនែរ ដឺ ឡាអេរ៉ូព័រ</t>
        </is>
      </c>
      <c r="D1184" t="inlineStr">
        <is>
          <t>L001-100047300</t>
        </is>
      </c>
      <c r="E1184" t="inlineStr">
        <is>
          <t>2400-075989</t>
        </is>
      </c>
      <c r="F1184" t="inlineStr">
        <is>
          <t>19-09-2024</t>
        </is>
      </c>
      <c r="G1184" t="n">
        <v>20749</v>
      </c>
      <c r="I1184">
        <f>G1184</f>
        <v/>
      </c>
      <c r="K1184">
        <f>I1184-G1184</f>
        <v/>
      </c>
      <c r="M1184" t="inlineStr">
        <is>
          <t>2400075989</t>
        </is>
      </c>
      <c r="N1184" t="inlineStr"/>
      <c r="O1184">
        <f>M1184=N1184</f>
        <v/>
      </c>
      <c r="P1184">
        <f>AND(MONTH(F1184)=MONTH(S1184), YEAR(F1184)=YEAR(S1184))</f>
        <v/>
      </c>
      <c r="Q1184">
        <f>"L001-902303751"=U1184</f>
        <v/>
      </c>
      <c r="R1184">
        <f>G1184-W1184</f>
        <v/>
      </c>
      <c r="S1184" s="36" t="n">
        <v>45474</v>
      </c>
      <c r="T1184" t="inlineStr"/>
      <c r="U1184" t="inlineStr">
        <is>
          <t>L001-107032791</t>
        </is>
      </c>
      <c r="V1184" t="inlineStr">
        <is>
          <t>នីបផន អិចប្រេស (ខេមបូឌា) ខូ អិលធីឌី</t>
        </is>
      </c>
      <c r="W1184" t="n">
        <v>0</v>
      </c>
      <c r="X1184" t="n">
        <v>0</v>
      </c>
    </row>
    <row r="1185">
      <c r="A1185" t="n">
        <v>1184</v>
      </c>
      <c r="B1185" t="inlineStr">
        <is>
          <t>Customs Clearance Fee</t>
        </is>
      </c>
      <c r="C1185" t="inlineStr">
        <is>
          <t>ត្រាយអ៊ែងហ្គល ឡូជីស្ទីក (ខេមបូឌា) ឯ.ក</t>
        </is>
      </c>
      <c r="D1185" t="inlineStr">
        <is>
          <t>K010-902101743</t>
        </is>
      </c>
      <c r="E1185" t="inlineStr">
        <is>
          <t>TAG-24-00685</t>
        </is>
      </c>
      <c r="F1185" t="inlineStr">
        <is>
          <t>27-09-2024</t>
        </is>
      </c>
      <c r="G1185" t="n">
        <v>8122</v>
      </c>
      <c r="I1185">
        <f>G1185</f>
        <v/>
      </c>
      <c r="K1185">
        <f>I1185-G1185</f>
        <v/>
      </c>
      <c r="M1185" t="inlineStr">
        <is>
          <t>TAG2400685</t>
        </is>
      </c>
      <c r="N1185" t="inlineStr">
        <is>
          <t>11308000</t>
        </is>
      </c>
      <c r="O1185">
        <f>M1185=N1185</f>
        <v/>
      </c>
      <c r="P1185">
        <f>AND(MONTH(F1185)=MONTH(S1185), YEAR(F1185)=YEAR(S1185))</f>
        <v/>
      </c>
      <c r="Q1185">
        <f>"L001-902303751"=U1185</f>
        <v/>
      </c>
      <c r="R1185">
        <f>G1185-W1185</f>
        <v/>
      </c>
      <c r="S1185" s="36" t="n">
        <v>45474</v>
      </c>
      <c r="T1185" t="n">
        <v>113080</v>
      </c>
      <c r="U1185" t="inlineStr">
        <is>
          <t>L001-100045995</t>
        </is>
      </c>
      <c r="V1185" t="inlineStr">
        <is>
          <t>ឌីអេចអិល ឡូជីស្ទីក (ខេមបូឌា)</t>
        </is>
      </c>
      <c r="W1185" t="n">
        <v>113080</v>
      </c>
      <c r="X1185" t="n">
        <v>0</v>
      </c>
    </row>
    <row r="1186">
      <c r="A1186" t="n">
        <v>1185</v>
      </c>
      <c r="B1186" t="inlineStr">
        <is>
          <t>Cargo Terminal</t>
        </is>
      </c>
      <c r="C1186" t="inlineStr">
        <is>
          <t>សូស៊ីយេតេ កុងសេស្យូនែរ ដឺ ឡាអេរ៉ូព័រ</t>
        </is>
      </c>
      <c r="D1186" t="inlineStr">
        <is>
          <t>L001-100047300</t>
        </is>
      </c>
      <c r="E1186" t="inlineStr">
        <is>
          <t>2400-075762</t>
        </is>
      </c>
      <c r="F1186" t="inlineStr">
        <is>
          <t>18-09-2024</t>
        </is>
      </c>
      <c r="G1186" t="n">
        <v>11159</v>
      </c>
      <c r="I1186">
        <f>G1186</f>
        <v/>
      </c>
      <c r="K1186">
        <f>I1186-G1186</f>
        <v/>
      </c>
      <c r="M1186" t="inlineStr">
        <is>
          <t>2400075762</t>
        </is>
      </c>
      <c r="N1186" t="inlineStr"/>
      <c r="O1186">
        <f>M1186=N1186</f>
        <v/>
      </c>
      <c r="P1186">
        <f>AND(MONTH(F1186)=MONTH(S1186), YEAR(F1186)=YEAR(S1186))</f>
        <v/>
      </c>
      <c r="Q1186">
        <f>"L001-902303751"=U1186</f>
        <v/>
      </c>
      <c r="R1186">
        <f>G1186-W1186</f>
        <v/>
      </c>
      <c r="S1186" s="36" t="n">
        <v>45481</v>
      </c>
      <c r="T1186" t="inlineStr"/>
      <c r="U1186" t="inlineStr">
        <is>
          <t>L001-100045995</t>
        </is>
      </c>
      <c r="V1186" t="inlineStr">
        <is>
          <t>ឌីអេចអិល ឡូជីស្ទីក (ខេមបូឌា)</t>
        </is>
      </c>
      <c r="W1186" t="n">
        <v>0</v>
      </c>
      <c r="X1186" t="n">
        <v>0</v>
      </c>
    </row>
    <row r="1187">
      <c r="A1187" t="n">
        <v>1186</v>
      </c>
      <c r="B1187" t="inlineStr">
        <is>
          <t>Customs Clearance Fee</t>
        </is>
      </c>
      <c r="C1187" t="inlineStr">
        <is>
          <t>ត្រាយអ៊ែងហ្គល ឡូជីស្ទីក (ខេមបូឌា) ឯ.ក</t>
        </is>
      </c>
      <c r="D1187" t="inlineStr">
        <is>
          <t>K010-902101743</t>
        </is>
      </c>
      <c r="E1187" t="inlineStr">
        <is>
          <t>TAG-24-00684</t>
        </is>
      </c>
      <c r="F1187" t="inlineStr">
        <is>
          <t>27-09-2024</t>
        </is>
      </c>
      <c r="G1187" t="n">
        <v>8122</v>
      </c>
      <c r="I1187">
        <f>G1187</f>
        <v/>
      </c>
      <c r="K1187">
        <f>I1187-G1187</f>
        <v/>
      </c>
      <c r="M1187" t="inlineStr">
        <is>
          <t>TAG2400684</t>
        </is>
      </c>
      <c r="N1187" t="inlineStr"/>
      <c r="O1187">
        <f>M1187=N1187</f>
        <v/>
      </c>
      <c r="P1187">
        <f>AND(MONTH(F1187)=MONTH(S1187), YEAR(F1187)=YEAR(S1187))</f>
        <v/>
      </c>
      <c r="Q1187">
        <f>"L001-902303751"=U1187</f>
        <v/>
      </c>
      <c r="R1187">
        <f>G1187-W1187</f>
        <v/>
      </c>
      <c r="S1187" s="36" t="n">
        <v>45488</v>
      </c>
      <c r="T1187" t="inlineStr"/>
      <c r="U1187" t="inlineStr">
        <is>
          <t>K005-100150195</t>
        </is>
      </c>
      <c r="V1187" t="inlineStr">
        <is>
          <t>អេស អ វី ស៊ី ហ្វ្រេត សឺវីស (ខេមបូឌា) ខូ អិលធីឌី</t>
        </is>
      </c>
      <c r="W1187" t="n">
        <v>0</v>
      </c>
      <c r="X1187" t="n">
        <v>0</v>
      </c>
    </row>
    <row r="1188">
      <c r="A1188" t="n">
        <v>1187</v>
      </c>
      <c r="B1188" t="inlineStr">
        <is>
          <t>Cargo Terminal</t>
        </is>
      </c>
      <c r="C1188" t="inlineStr">
        <is>
          <t>សូស៊ីយេតេ កុងសេស្យូនែរ ដឺ ឡាអេរ៉ូព័រ</t>
        </is>
      </c>
      <c r="D1188" t="inlineStr">
        <is>
          <t>L001-100047300</t>
        </is>
      </c>
      <c r="E1188" t="inlineStr">
        <is>
          <t>2400-075761</t>
        </is>
      </c>
      <c r="F1188" t="inlineStr">
        <is>
          <t>18-09-2024</t>
        </is>
      </c>
      <c r="G1188" t="n">
        <v>6812</v>
      </c>
      <c r="I1188">
        <f>G1188</f>
        <v/>
      </c>
      <c r="K1188">
        <f>I1188-G1188</f>
        <v/>
      </c>
      <c r="M1188" t="inlineStr">
        <is>
          <t>2400075761</t>
        </is>
      </c>
      <c r="N1188" t="inlineStr"/>
      <c r="O1188">
        <f>M1188=N1188</f>
        <v/>
      </c>
      <c r="P1188">
        <f>AND(MONTH(F1188)=MONTH(S1188), YEAR(F1188)=YEAR(S1188))</f>
        <v/>
      </c>
      <c r="Q1188">
        <f>"L001-902303751"=U1188</f>
        <v/>
      </c>
      <c r="R1188">
        <f>G1188-W1188</f>
        <v/>
      </c>
      <c r="S1188" s="36" t="n">
        <v>45488</v>
      </c>
      <c r="T1188" t="inlineStr"/>
      <c r="U1188" t="inlineStr">
        <is>
          <t>L001-107032791</t>
        </is>
      </c>
      <c r="V1188" t="inlineStr">
        <is>
          <t>នីបផន អិចប្រេស (ខេមបូឌា) ខូ អិលធីឌី</t>
        </is>
      </c>
      <c r="W1188" t="n">
        <v>0</v>
      </c>
      <c r="X1188" t="n">
        <v>0</v>
      </c>
    </row>
    <row r="1189">
      <c r="A1189" t="n">
        <v>1188</v>
      </c>
      <c r="B1189" t="inlineStr">
        <is>
          <t>Customs Clearance Fee</t>
        </is>
      </c>
      <c r="C1189" t="inlineStr">
        <is>
          <t>ត្រាយអ៊ែងហ្គល ឡូជីស្ទីក (ខេមបូឌា) ឯ.ក</t>
        </is>
      </c>
      <c r="D1189" t="inlineStr">
        <is>
          <t>K010-902101743</t>
        </is>
      </c>
      <c r="E1189" t="inlineStr">
        <is>
          <t>TAG-24-00683</t>
        </is>
      </c>
      <c r="F1189" t="inlineStr">
        <is>
          <t>27-09-2024</t>
        </is>
      </c>
      <c r="G1189" t="n">
        <v>8122</v>
      </c>
      <c r="I1189">
        <f>G1189</f>
        <v/>
      </c>
      <c r="K1189">
        <f>I1189-G1189</f>
        <v/>
      </c>
      <c r="M1189" t="inlineStr">
        <is>
          <t>TAG2400683</t>
        </is>
      </c>
      <c r="N1189" t="inlineStr"/>
      <c r="O1189">
        <f>M1189=N1189</f>
        <v/>
      </c>
      <c r="P1189">
        <f>AND(MONTH(F1189)=MONTH(S1189), YEAR(F1189)=YEAR(S1189))</f>
        <v/>
      </c>
      <c r="Q1189">
        <f>"L001-902303751"=U1189</f>
        <v/>
      </c>
      <c r="R1189">
        <f>G1189-W1189</f>
        <v/>
      </c>
      <c r="S1189" s="36" t="n">
        <v>45488</v>
      </c>
      <c r="T1189" t="inlineStr"/>
      <c r="U1189" t="inlineStr">
        <is>
          <t>L001-107032791</t>
        </is>
      </c>
      <c r="V1189" t="inlineStr">
        <is>
          <t>នីបផន អិចប្រេស (ខេមបូឌា) ខូ អិលធីឌី</t>
        </is>
      </c>
      <c r="W1189" t="n">
        <v>0</v>
      </c>
      <c r="X1189" t="n">
        <v>0</v>
      </c>
    </row>
    <row r="1190">
      <c r="A1190" t="n">
        <v>1189</v>
      </c>
      <c r="B1190" t="inlineStr">
        <is>
          <t>Customs Clearance Fee</t>
        </is>
      </c>
      <c r="C1190" t="inlineStr">
        <is>
          <t>ត្រាយអ៊ែងហ្គល ឡូជីស្ទីក (ខេមបូឌា) ឯ.ក</t>
        </is>
      </c>
      <c r="D1190" t="inlineStr">
        <is>
          <t>K010-902101743</t>
        </is>
      </c>
      <c r="E1190" t="inlineStr">
        <is>
          <t>TAG-24-00682</t>
        </is>
      </c>
      <c r="F1190" t="inlineStr">
        <is>
          <t>27-09-2024</t>
        </is>
      </c>
      <c r="G1190" t="n">
        <v>8122</v>
      </c>
      <c r="I1190">
        <f>G1190</f>
        <v/>
      </c>
      <c r="K1190">
        <f>I1190-G1190</f>
        <v/>
      </c>
      <c r="M1190" t="inlineStr">
        <is>
          <t>TAG2400682</t>
        </is>
      </c>
      <c r="N1190" t="inlineStr">
        <is>
          <t>8413200</t>
        </is>
      </c>
      <c r="O1190">
        <f>M1190=N1190</f>
        <v/>
      </c>
      <c r="P1190">
        <f>AND(MONTH(F1190)=MONTH(S1190), YEAR(F1190)=YEAR(S1190))</f>
        <v/>
      </c>
      <c r="Q1190">
        <f>"L001-902303751"=U1190</f>
        <v/>
      </c>
      <c r="R1190">
        <f>G1190-W1190</f>
        <v/>
      </c>
      <c r="S1190" s="36" t="n">
        <v>45502</v>
      </c>
      <c r="T1190" t="n">
        <v>84132</v>
      </c>
      <c r="U1190" t="inlineStr">
        <is>
          <t>L001-107032791</t>
        </is>
      </c>
      <c r="V1190" t="inlineStr">
        <is>
          <t>នីបផន អិចប្រេស (ខេមបូឌា) ខូ អិលធីឌី</t>
        </is>
      </c>
      <c r="W1190" t="n">
        <v>84132</v>
      </c>
      <c r="X1190" t="n">
        <v>0</v>
      </c>
    </row>
    <row r="1191">
      <c r="A1191" t="n">
        <v>1190</v>
      </c>
      <c r="B1191" t="inlineStr">
        <is>
          <t>Cargo Terminal</t>
        </is>
      </c>
      <c r="C1191" t="inlineStr">
        <is>
          <t>សូស៊ីយេតេ កុងសេស្យូនែរ ដឺ ឡាអេរ៉ូព័រ</t>
        </is>
      </c>
      <c r="D1191" t="inlineStr">
        <is>
          <t>L001-100047300</t>
        </is>
      </c>
      <c r="E1191" t="inlineStr">
        <is>
          <t>2400-075027</t>
        </is>
      </c>
      <c r="F1191" t="inlineStr">
        <is>
          <t>16-09-2024</t>
        </is>
      </c>
      <c r="G1191" t="n">
        <v>8690</v>
      </c>
      <c r="I1191">
        <f>G1191</f>
        <v/>
      </c>
      <c r="K1191">
        <f>I1191-G1191</f>
        <v/>
      </c>
      <c r="M1191" t="inlineStr">
        <is>
          <t>2400075027</t>
        </is>
      </c>
      <c r="N1191" t="inlineStr"/>
      <c r="O1191">
        <f>M1191=N1191</f>
        <v/>
      </c>
      <c r="P1191">
        <f>AND(MONTH(F1191)=MONTH(S1191), YEAR(F1191)=YEAR(S1191))</f>
        <v/>
      </c>
      <c r="Q1191">
        <f>"L001-902303751"=U1191</f>
        <v/>
      </c>
      <c r="R1191">
        <f>G1191-W1191</f>
        <v/>
      </c>
      <c r="S1191" s="36" t="n">
        <v>45502</v>
      </c>
      <c r="T1191" t="inlineStr"/>
      <c r="U1191" t="inlineStr">
        <is>
          <t>L001-107032791</t>
        </is>
      </c>
      <c r="V1191" t="inlineStr">
        <is>
          <t>នីបផន អិចប្រេស (ខេមបូឌា) ខូ អិលធីឌី</t>
        </is>
      </c>
      <c r="W1191" t="n">
        <v>0</v>
      </c>
      <c r="X1191" t="n">
        <v>0</v>
      </c>
    </row>
    <row r="1192">
      <c r="A1192" t="n">
        <v>1191</v>
      </c>
      <c r="B1192" t="inlineStr">
        <is>
          <t>Customs Clearance Fee</t>
        </is>
      </c>
      <c r="C1192" t="inlineStr">
        <is>
          <t>ត្រាយអ៊ែងហ្គល ឡូជីស្ទីក (ខេមបូឌា) ឯ.ក</t>
        </is>
      </c>
      <c r="D1192" t="inlineStr">
        <is>
          <t>K010-902101743</t>
        </is>
      </c>
      <c r="E1192" t="inlineStr">
        <is>
          <t>TAG-24-00681</t>
        </is>
      </c>
      <c r="F1192" t="inlineStr">
        <is>
          <t>27-09-2024</t>
        </is>
      </c>
      <c r="G1192" t="n">
        <v>8122</v>
      </c>
      <c r="I1192">
        <f>G1192</f>
        <v/>
      </c>
      <c r="K1192">
        <f>I1192-G1192</f>
        <v/>
      </c>
      <c r="M1192" t="inlineStr">
        <is>
          <t>TAG2400681</t>
        </is>
      </c>
      <c r="N1192" t="inlineStr"/>
      <c r="O1192">
        <f>M1192=N1192</f>
        <v/>
      </c>
      <c r="P1192">
        <f>AND(MONTH(F1192)=MONTH(S1192), YEAR(F1192)=YEAR(S1192))</f>
        <v/>
      </c>
      <c r="Q1192">
        <f>"L001-902303751"=U1192</f>
        <v/>
      </c>
      <c r="R1192">
        <f>G1192-W1192</f>
        <v/>
      </c>
      <c r="S1192" s="36" t="n">
        <v>45502</v>
      </c>
      <c r="T1192" t="inlineStr"/>
      <c r="U1192" t="inlineStr">
        <is>
          <t>L001-107032791</t>
        </is>
      </c>
      <c r="V1192" t="inlineStr">
        <is>
          <t>នីបផន អិចប្រេស (ខេមបូឌា) ខូ អិលធីឌី</t>
        </is>
      </c>
      <c r="W1192" t="n">
        <v>0</v>
      </c>
      <c r="X1192" t="n">
        <v>0</v>
      </c>
    </row>
    <row r="1193">
      <c r="A1193" t="n">
        <v>1192</v>
      </c>
      <c r="B1193" t="inlineStr">
        <is>
          <t>Cargo Terminal</t>
        </is>
      </c>
      <c r="C1193" t="inlineStr">
        <is>
          <t>សូស៊ីយេតេ កុងសេស្យូនែរ ដឺ ឡាអេរ៉ូព័រ</t>
        </is>
      </c>
      <c r="D1193" t="inlineStr">
        <is>
          <t>L001-100047300</t>
        </is>
      </c>
      <c r="E1193" t="inlineStr">
        <is>
          <t>2400-075116</t>
        </is>
      </c>
      <c r="F1193" t="inlineStr">
        <is>
          <t>17-09-2024</t>
        </is>
      </c>
      <c r="G1193" t="n">
        <v>27796</v>
      </c>
      <c r="I1193">
        <f>G1193</f>
        <v/>
      </c>
      <c r="K1193">
        <f>I1193-G1193</f>
        <v/>
      </c>
      <c r="M1193" t="inlineStr">
        <is>
          <t>2400075116</t>
        </is>
      </c>
      <c r="N1193" t="inlineStr">
        <is>
          <t>11546300</t>
        </is>
      </c>
      <c r="O1193">
        <f>M1193=N1193</f>
        <v/>
      </c>
      <c r="P1193">
        <f>AND(MONTH(F1193)=MONTH(S1193), YEAR(F1193)=YEAR(S1193))</f>
        <v/>
      </c>
      <c r="Q1193">
        <f>"L001-902303751"=U1193</f>
        <v/>
      </c>
      <c r="R1193">
        <f>G1193-W1193</f>
        <v/>
      </c>
      <c r="S1193" s="36" t="n">
        <v>45495</v>
      </c>
      <c r="T1193" t="n">
        <v>115463</v>
      </c>
      <c r="U1193" t="inlineStr">
        <is>
          <t>L001-100045340</t>
        </is>
      </c>
      <c r="V1193" t="inlineStr">
        <is>
          <t xml:space="preserve">ស៊ីវ៉ា អ៊ែរ អ៊ែន អូសៀន (ខេមបូឌា) ឯ.ក </t>
        </is>
      </c>
      <c r="W1193" t="n">
        <v>115463</v>
      </c>
      <c r="X1193" t="n">
        <v>0</v>
      </c>
    </row>
    <row r="1194">
      <c r="A1194" t="n">
        <v>1193</v>
      </c>
      <c r="B1194" t="inlineStr">
        <is>
          <t>Customs Clearance Fee</t>
        </is>
      </c>
      <c r="C1194" t="inlineStr">
        <is>
          <t>ត្រាយអ៊ែងហ្គល ឡូជីស្ទីក (ខេមបូឌា) ឯ.ក</t>
        </is>
      </c>
      <c r="D1194" t="inlineStr">
        <is>
          <t>K010-902101743</t>
        </is>
      </c>
      <c r="E1194" t="inlineStr">
        <is>
          <t>TAG-24-00680</t>
        </is>
      </c>
      <c r="F1194" t="inlineStr">
        <is>
          <t>27-09-2024</t>
        </is>
      </c>
      <c r="G1194" t="n">
        <v>8122</v>
      </c>
      <c r="I1194">
        <f>G1194</f>
        <v/>
      </c>
      <c r="K1194">
        <f>I1194-G1194</f>
        <v/>
      </c>
      <c r="M1194" t="inlineStr">
        <is>
          <t>TAG2400680</t>
        </is>
      </c>
      <c r="N1194" t="inlineStr"/>
      <c r="O1194">
        <f>M1194=N1194</f>
        <v/>
      </c>
      <c r="P1194">
        <f>AND(MONTH(F1194)=MONTH(S1194), YEAR(F1194)=YEAR(S1194))</f>
        <v/>
      </c>
      <c r="Q1194">
        <f>"L001-902303751"=U1194</f>
        <v/>
      </c>
      <c r="R1194">
        <f>G1194-W1194</f>
        <v/>
      </c>
      <c r="S1194" s="36" t="n">
        <v>45474</v>
      </c>
      <c r="T1194" t="inlineStr"/>
      <c r="U1194" t="inlineStr">
        <is>
          <t>K003-901635943</t>
        </is>
      </c>
      <c r="V1194" t="inlineStr">
        <is>
          <t>អ៊ីឃ្យូឡាញ វើលវ៉ាយដ៍ ឡូជីស្ទីក</t>
        </is>
      </c>
      <c r="W1194" t="n">
        <v>0</v>
      </c>
      <c r="X1194" t="n">
        <v>0</v>
      </c>
    </row>
    <row r="1195">
      <c r="A1195" t="n">
        <v>1194</v>
      </c>
      <c r="B1195" t="inlineStr">
        <is>
          <t>Customs Clearance Fee</t>
        </is>
      </c>
      <c r="C1195" t="inlineStr">
        <is>
          <t>ត្រាយអ៊ែងហ្គល ឡូជីស្ទីក (ខេមបូឌា) ឯ.ក</t>
        </is>
      </c>
      <c r="D1195" t="inlineStr">
        <is>
          <t>K010-902101743</t>
        </is>
      </c>
      <c r="E1195" t="inlineStr">
        <is>
          <t>TAG-24-00679</t>
        </is>
      </c>
      <c r="F1195" t="inlineStr">
        <is>
          <t>27-09-2024</t>
        </is>
      </c>
      <c r="G1195" t="n">
        <v>8122</v>
      </c>
      <c r="I1195">
        <f>G1195</f>
        <v/>
      </c>
      <c r="K1195">
        <f>I1195-G1195</f>
        <v/>
      </c>
      <c r="M1195" t="inlineStr">
        <is>
          <t>TAG2400679</t>
        </is>
      </c>
      <c r="N1195" t="inlineStr"/>
      <c r="O1195">
        <f>M1195=N1195</f>
        <v/>
      </c>
      <c r="P1195">
        <f>AND(MONTH(F1195)=MONTH(S1195), YEAR(F1195)=YEAR(S1195))</f>
        <v/>
      </c>
      <c r="Q1195">
        <f>"L001-902303751"=U1195</f>
        <v/>
      </c>
      <c r="R1195">
        <f>G1195-W1195</f>
        <v/>
      </c>
      <c r="S1195" s="36" t="n">
        <v>45481</v>
      </c>
      <c r="T1195" t="inlineStr"/>
      <c r="U1195" t="inlineStr">
        <is>
          <t>K005-901805913</t>
        </is>
      </c>
      <c r="V1195" t="inlineStr">
        <is>
          <t>ស្តារ ខង់ខដ (ខេមបូឌា) ឯ.ក</t>
        </is>
      </c>
      <c r="W1195" t="n">
        <v>0</v>
      </c>
      <c r="X1195" t="n">
        <v>0</v>
      </c>
    </row>
    <row r="1196">
      <c r="A1196" t="n">
        <v>1195</v>
      </c>
      <c r="B1196" t="inlineStr">
        <is>
          <t>Cargo Terminal</t>
        </is>
      </c>
      <c r="C1196" t="inlineStr">
        <is>
          <t>សូស៊ីយេតេ កុងសេស្យូនែរ ដឺ ឡាអេរ៉ូព័រ</t>
        </is>
      </c>
      <c r="D1196" t="inlineStr">
        <is>
          <t>L001-100047300</t>
        </is>
      </c>
      <c r="E1196" t="inlineStr">
        <is>
          <t>2400-076550</t>
        </is>
      </c>
      <c r="F1196" t="inlineStr">
        <is>
          <t>21-09-2024</t>
        </is>
      </c>
      <c r="G1196" t="n">
        <v>25145</v>
      </c>
      <c r="I1196">
        <f>G1196</f>
        <v/>
      </c>
      <c r="K1196">
        <f>I1196-G1196</f>
        <v/>
      </c>
      <c r="M1196" t="inlineStr">
        <is>
          <t>2400076550</t>
        </is>
      </c>
      <c r="N1196" t="inlineStr"/>
      <c r="O1196">
        <f>M1196=N1196</f>
        <v/>
      </c>
      <c r="P1196">
        <f>AND(MONTH(F1196)=MONTH(S1196), YEAR(F1196)=YEAR(S1196))</f>
        <v/>
      </c>
      <c r="Q1196">
        <f>"L001-902303751"=U1196</f>
        <v/>
      </c>
      <c r="R1196">
        <f>G1196-W1196</f>
        <v/>
      </c>
      <c r="S1196" s="36" t="n">
        <v>45481</v>
      </c>
      <c r="T1196" t="inlineStr"/>
      <c r="U1196" t="inlineStr">
        <is>
          <t>L001-100011888</t>
        </is>
      </c>
      <c r="V1196" t="inlineStr">
        <is>
          <t>ត្រេន ស្តារ ហ្រេ្វត</t>
        </is>
      </c>
      <c r="W1196" t="n">
        <v>0</v>
      </c>
      <c r="X1196" t="n">
        <v>0</v>
      </c>
    </row>
    <row r="1197">
      <c r="A1197" t="n">
        <v>1196</v>
      </c>
      <c r="B1197" t="inlineStr">
        <is>
          <t>Customs Clearance Fee</t>
        </is>
      </c>
      <c r="C1197" t="inlineStr">
        <is>
          <t>ត្រាយអ៊ែងហ្គល ឡូជីស្ទីក (ខេមបូឌា) ឯ.ក</t>
        </is>
      </c>
      <c r="D1197" t="inlineStr">
        <is>
          <t>K010-902101743</t>
        </is>
      </c>
      <c r="E1197" t="inlineStr">
        <is>
          <t>TAG-24-00678</t>
        </is>
      </c>
      <c r="F1197" t="inlineStr">
        <is>
          <t>27-09-2024</t>
        </is>
      </c>
      <c r="G1197" t="n">
        <v>8122</v>
      </c>
      <c r="I1197">
        <f>G1197</f>
        <v/>
      </c>
      <c r="K1197">
        <f>I1197-G1197</f>
        <v/>
      </c>
      <c r="M1197" t="inlineStr">
        <is>
          <t>TAG2400678</t>
        </is>
      </c>
      <c r="N1197" t="inlineStr">
        <is>
          <t>8417300</t>
        </is>
      </c>
      <c r="O1197">
        <f>M1197=N1197</f>
        <v/>
      </c>
      <c r="P1197">
        <f>AND(MONTH(F1197)=MONTH(S1197), YEAR(F1197)=YEAR(S1197))</f>
        <v/>
      </c>
      <c r="Q1197">
        <f>"L001-902303751"=U1197</f>
        <v/>
      </c>
      <c r="R1197">
        <f>G1197-W1197</f>
        <v/>
      </c>
      <c r="S1197" s="36" t="n">
        <v>45488</v>
      </c>
      <c r="T1197" t="n">
        <v>84173</v>
      </c>
      <c r="U1197" t="inlineStr">
        <is>
          <t>L001-107032791</t>
        </is>
      </c>
      <c r="V1197" t="inlineStr">
        <is>
          <t>នីបផន អិចប្រេស (ខេមបូឌា) ខូ អិលធីឌី</t>
        </is>
      </c>
      <c r="W1197" t="n">
        <v>84173</v>
      </c>
      <c r="X1197" t="n">
        <v>0</v>
      </c>
    </row>
    <row r="1198">
      <c r="A1198" t="n">
        <v>1197</v>
      </c>
      <c r="B1198" t="inlineStr">
        <is>
          <t>Cargo Terminal</t>
        </is>
      </c>
      <c r="C1198" t="inlineStr">
        <is>
          <t>សូស៊ីយេតេ កុងសេស្យូនែរ ដឺ ឡាអេរ៉ូព័រ</t>
        </is>
      </c>
      <c r="D1198" t="inlineStr">
        <is>
          <t>L001-100047300</t>
        </is>
      </c>
      <c r="E1198" t="inlineStr">
        <is>
          <t>2400-073820</t>
        </is>
      </c>
      <c r="F1198" t="inlineStr">
        <is>
          <t>13-09-2024</t>
        </is>
      </c>
      <c r="G1198" t="n">
        <v>4382</v>
      </c>
      <c r="I1198">
        <f>G1198</f>
        <v/>
      </c>
      <c r="K1198">
        <f>I1198-G1198</f>
        <v/>
      </c>
      <c r="M1198" t="inlineStr">
        <is>
          <t>2400073820</t>
        </is>
      </c>
      <c r="N1198" t="inlineStr">
        <is>
          <t>8423500</t>
        </is>
      </c>
      <c r="O1198">
        <f>M1198=N1198</f>
        <v/>
      </c>
      <c r="P1198">
        <f>AND(MONTH(F1198)=MONTH(S1198), YEAR(F1198)=YEAR(S1198))</f>
        <v/>
      </c>
      <c r="Q1198">
        <f>"L001-902303751"=U1198</f>
        <v/>
      </c>
      <c r="R1198">
        <f>G1198-W1198</f>
        <v/>
      </c>
      <c r="S1198" s="36" t="n">
        <v>45495</v>
      </c>
      <c r="T1198" t="n">
        <v>84235</v>
      </c>
      <c r="U1198" t="inlineStr">
        <is>
          <t>L001-107032791</t>
        </is>
      </c>
      <c r="V1198" t="inlineStr">
        <is>
          <t>នីបផន អិចប្រេស (ខេមបូឌា) ខូ អិលធីឌី</t>
        </is>
      </c>
      <c r="W1198" t="n">
        <v>84235</v>
      </c>
      <c r="X1198" t="n">
        <v>0</v>
      </c>
    </row>
    <row r="1199">
      <c r="A1199" t="n">
        <v>1198</v>
      </c>
      <c r="B1199" t="inlineStr">
        <is>
          <t>Customs Clearance Fee</t>
        </is>
      </c>
      <c r="C1199" t="inlineStr">
        <is>
          <t>ត្រាយអ៊ែងហ្គល ឡូជីស្ទីក (ខេមបូឌា) ឯ.ក</t>
        </is>
      </c>
      <c r="D1199" t="inlineStr">
        <is>
          <t>K010-902101743</t>
        </is>
      </c>
      <c r="E1199" t="inlineStr">
        <is>
          <t>TAG-24-00642</t>
        </is>
      </c>
      <c r="F1199" t="inlineStr">
        <is>
          <t>16-09-2024</t>
        </is>
      </c>
      <c r="G1199" t="n">
        <v>8108</v>
      </c>
      <c r="I1199">
        <f>G1199</f>
        <v/>
      </c>
      <c r="K1199">
        <f>I1199-G1199</f>
        <v/>
      </c>
      <c r="M1199" t="inlineStr">
        <is>
          <t>TAG2400642</t>
        </is>
      </c>
      <c r="N1199" t="inlineStr"/>
      <c r="O1199">
        <f>M1199=N1199</f>
        <v/>
      </c>
      <c r="P1199">
        <f>AND(MONTH(F1199)=MONTH(S1199), YEAR(F1199)=YEAR(S1199))</f>
        <v/>
      </c>
      <c r="Q1199">
        <f>"L001-902303751"=U1199</f>
        <v/>
      </c>
      <c r="R1199">
        <f>G1199-W1199</f>
        <v/>
      </c>
      <c r="S1199" s="36" t="n">
        <v>45488</v>
      </c>
      <c r="T1199" t="inlineStr"/>
      <c r="U1199" t="inlineStr">
        <is>
          <t>L001-107032791</t>
        </is>
      </c>
      <c r="V1199" t="inlineStr">
        <is>
          <t>នីបផន អិចប្រេស (ខេមបូឌា) ខូ អិលធីឌី</t>
        </is>
      </c>
      <c r="W1199" t="n">
        <v>0</v>
      </c>
      <c r="X1199" t="n">
        <v>0</v>
      </c>
    </row>
    <row r="1200">
      <c r="A1200" t="n">
        <v>1199</v>
      </c>
      <c r="B1200" t="inlineStr">
        <is>
          <t>Cargo Terminal</t>
        </is>
      </c>
      <c r="C1200" t="inlineStr">
        <is>
          <t>សូស៊ីយេតេ កុងសេស្យូនែរ ដឺ ឡាអេរ៉ូព័រ</t>
        </is>
      </c>
      <c r="D1200" t="inlineStr">
        <is>
          <t>L001-100047300</t>
        </is>
      </c>
      <c r="E1200" t="inlineStr">
        <is>
          <t>2400-074398</t>
        </is>
      </c>
      <c r="F1200" t="inlineStr">
        <is>
          <t>14-09-2024</t>
        </is>
      </c>
      <c r="G1200" t="n">
        <v>13727</v>
      </c>
      <c r="I1200">
        <f>G1200</f>
        <v/>
      </c>
      <c r="K1200">
        <f>I1200-G1200</f>
        <v/>
      </c>
      <c r="M1200" t="inlineStr">
        <is>
          <t>2400074398</t>
        </is>
      </c>
      <c r="N1200" t="inlineStr"/>
      <c r="O1200">
        <f>M1200=N1200</f>
        <v/>
      </c>
      <c r="P1200">
        <f>AND(MONTH(F1200)=MONTH(S1200), YEAR(F1200)=YEAR(S1200))</f>
        <v/>
      </c>
      <c r="Q1200">
        <f>"L001-902303751"=U1200</f>
        <v/>
      </c>
      <c r="R1200">
        <f>G1200-W1200</f>
        <v/>
      </c>
      <c r="S1200" s="36" t="n">
        <v>45495</v>
      </c>
      <c r="T1200" t="inlineStr"/>
      <c r="U1200" t="inlineStr">
        <is>
          <t>L001-107032791</t>
        </is>
      </c>
      <c r="V1200" t="inlineStr">
        <is>
          <t>នីបផន អិចប្រេស (ខេមបូឌា) ខូ អិលធីឌី</t>
        </is>
      </c>
      <c r="W1200" t="n">
        <v>0</v>
      </c>
      <c r="X1200" t="n">
        <v>0</v>
      </c>
    </row>
    <row r="1201">
      <c r="A1201" t="n">
        <v>1200</v>
      </c>
      <c r="B1201" t="inlineStr">
        <is>
          <t>Customs Clearance Fee</t>
        </is>
      </c>
      <c r="C1201" t="inlineStr">
        <is>
          <t>ត្រាយអ៊ែងហ្គល ឡូជីស្ទីក (ខេមបូឌា) ឯ.ក</t>
        </is>
      </c>
      <c r="D1201" t="inlineStr">
        <is>
          <t>K010-902101743</t>
        </is>
      </c>
      <c r="E1201" t="inlineStr">
        <is>
          <t>TAG-24-00641</t>
        </is>
      </c>
      <c r="F1201" t="inlineStr">
        <is>
          <t>16-09-2024</t>
        </is>
      </c>
      <c r="G1201" t="n">
        <v>8108</v>
      </c>
      <c r="I1201">
        <f>G1201</f>
        <v/>
      </c>
      <c r="K1201">
        <f>I1201-G1201</f>
        <v/>
      </c>
      <c r="M1201" t="inlineStr">
        <is>
          <t>TAG2400641</t>
        </is>
      </c>
      <c r="N1201" t="inlineStr"/>
      <c r="O1201">
        <f>M1201=N1201</f>
        <v/>
      </c>
      <c r="P1201">
        <f>AND(MONTH(F1201)=MONTH(S1201), YEAR(F1201)=YEAR(S1201))</f>
        <v/>
      </c>
      <c r="Q1201">
        <f>"L001-902303751"=U1201</f>
        <v/>
      </c>
      <c r="R1201">
        <f>G1201-W1201</f>
        <v/>
      </c>
      <c r="S1201" s="36" t="n">
        <v>45495</v>
      </c>
      <c r="T1201" t="inlineStr"/>
      <c r="U1201" t="inlineStr">
        <is>
          <t>L001-107032791</t>
        </is>
      </c>
      <c r="V1201" t="inlineStr">
        <is>
          <t>នីបផន អិចប្រេស (ខេមបូឌា) ខូ អិលធីឌី</t>
        </is>
      </c>
      <c r="W1201" t="n">
        <v>0</v>
      </c>
      <c r="X1201" t="n">
        <v>0</v>
      </c>
    </row>
    <row r="1202">
      <c r="A1202" t="n">
        <v>1201</v>
      </c>
      <c r="B1202" t="inlineStr">
        <is>
          <t>Cargo Terminal</t>
        </is>
      </c>
      <c r="C1202" t="inlineStr">
        <is>
          <t>សូស៊ីយេតេ កុងសេស្យូនែរ ដឺ ឡាអេរ៉ូព័រ</t>
        </is>
      </c>
      <c r="D1202" t="inlineStr">
        <is>
          <t>L001-100047300</t>
        </is>
      </c>
      <c r="E1202" t="inlineStr">
        <is>
          <t>2400-074395</t>
        </is>
      </c>
      <c r="F1202" t="inlineStr">
        <is>
          <t>14-09-2024</t>
        </is>
      </c>
      <c r="G1202" t="n">
        <v>21908</v>
      </c>
      <c r="I1202">
        <f>G1202</f>
        <v/>
      </c>
      <c r="K1202">
        <f>I1202-G1202</f>
        <v/>
      </c>
      <c r="M1202" t="inlineStr">
        <is>
          <t>2400074395</t>
        </is>
      </c>
      <c r="N1202" t="inlineStr">
        <is>
          <t>11286000</t>
        </is>
      </c>
      <c r="O1202">
        <f>M1202=N1202</f>
        <v/>
      </c>
      <c r="P1202">
        <f>AND(MONTH(F1202)=MONTH(S1202), YEAR(F1202)=YEAR(S1202))</f>
        <v/>
      </c>
      <c r="Q1202">
        <f>"L001-902303751"=U1202</f>
        <v/>
      </c>
      <c r="R1202">
        <f>G1202-W1202</f>
        <v/>
      </c>
      <c r="S1202" s="36" t="n">
        <v>45502</v>
      </c>
      <c r="T1202" t="n">
        <v>112860</v>
      </c>
      <c r="U1202" t="inlineStr">
        <is>
          <t>L001-107032791</t>
        </is>
      </c>
      <c r="V1202" t="inlineStr">
        <is>
          <t>នីបផន អិចប្រេស (ខេមបូឌា) ខូ អិលធីឌី</t>
        </is>
      </c>
      <c r="W1202" t="n">
        <v>112860</v>
      </c>
      <c r="X1202" t="n">
        <v>0</v>
      </c>
    </row>
    <row r="1203">
      <c r="A1203" t="n">
        <v>1202</v>
      </c>
      <c r="B1203" t="inlineStr">
        <is>
          <t>Customs Clearance Fee</t>
        </is>
      </c>
      <c r="C1203" t="inlineStr">
        <is>
          <t>ត្រាយអ៊ែងហ្គល ឡូជីស្ទីក (ខេមបូឌា) ឯ.ក</t>
        </is>
      </c>
      <c r="D1203" t="inlineStr">
        <is>
          <t>K010-902101743</t>
        </is>
      </c>
      <c r="E1203" t="inlineStr">
        <is>
          <t>TAG-24-00640</t>
        </is>
      </c>
      <c r="F1203" t="inlineStr">
        <is>
          <t>16-09-2024</t>
        </is>
      </c>
      <c r="G1203" t="n">
        <v>8108</v>
      </c>
      <c r="I1203">
        <f>G1203</f>
        <v/>
      </c>
      <c r="K1203">
        <f>I1203-G1203</f>
        <v/>
      </c>
      <c r="M1203" t="inlineStr">
        <is>
          <t>TAG2400640</t>
        </is>
      </c>
      <c r="N1203" t="inlineStr"/>
      <c r="O1203">
        <f>M1203=N1203</f>
        <v/>
      </c>
      <c r="P1203">
        <f>AND(MONTH(F1203)=MONTH(S1203), YEAR(F1203)=YEAR(S1203))</f>
        <v/>
      </c>
      <c r="Q1203">
        <f>"L001-902303751"=U1203</f>
        <v/>
      </c>
      <c r="R1203">
        <f>G1203-W1203</f>
        <v/>
      </c>
      <c r="S1203" s="36" t="n">
        <v>45495</v>
      </c>
      <c r="T1203" t="inlineStr"/>
      <c r="U1203" t="inlineStr">
        <is>
          <t>L001-100045340</t>
        </is>
      </c>
      <c r="V1203" t="inlineStr">
        <is>
          <t xml:space="preserve">ស៊ីវ៉ា អ៊ែរ អ៊ែន អូសៀន (ខេមបូឌា) ឯ.ក </t>
        </is>
      </c>
      <c r="W1203" t="n">
        <v>0</v>
      </c>
      <c r="X1203" t="n">
        <v>0</v>
      </c>
    </row>
    <row r="1204">
      <c r="A1204" t="n">
        <v>1203</v>
      </c>
      <c r="B1204" t="inlineStr">
        <is>
          <t>Cargo Terminal</t>
        </is>
      </c>
      <c r="C1204" t="inlineStr">
        <is>
          <t>សូស៊ីយេតេ កុងសេស្យូនែរ ដឺ ឡាអេរ៉ូព័រ</t>
        </is>
      </c>
      <c r="D1204" t="inlineStr">
        <is>
          <t>L001-100047300</t>
        </is>
      </c>
      <c r="E1204" t="inlineStr">
        <is>
          <t>2400-074400</t>
        </is>
      </c>
      <c r="F1204" t="inlineStr">
        <is>
          <t>14-09-2024</t>
        </is>
      </c>
      <c r="G1204" t="n">
        <v>15808</v>
      </c>
      <c r="I1204">
        <f>G1204</f>
        <v/>
      </c>
      <c r="K1204">
        <f>I1204-G1204</f>
        <v/>
      </c>
      <c r="M1204" t="inlineStr">
        <is>
          <t>2400074400</t>
        </is>
      </c>
      <c r="N1204" t="inlineStr">
        <is>
          <t>20883300</t>
        </is>
      </c>
      <c r="O1204">
        <f>M1204=N1204</f>
        <v/>
      </c>
      <c r="P1204">
        <f>AND(MONTH(F1204)=MONTH(S1204), YEAR(F1204)=YEAR(S1204))</f>
        <v/>
      </c>
      <c r="Q1204">
        <f>"L001-902303751"=U1204</f>
        <v/>
      </c>
      <c r="R1204">
        <f>G1204-W1204</f>
        <v/>
      </c>
      <c r="S1204" s="36" t="n">
        <v>45481</v>
      </c>
      <c r="T1204" t="n">
        <v>208833</v>
      </c>
      <c r="U1204" t="inlineStr">
        <is>
          <t>K003-901635943</t>
        </is>
      </c>
      <c r="V1204" t="inlineStr">
        <is>
          <t>អ៊ីឃ្យូឡាញ វើលវ៉ាយដ៍ ឡូជីស្ទីក</t>
        </is>
      </c>
      <c r="W1204" t="n">
        <v>208833</v>
      </c>
      <c r="X1204" t="n">
        <v>0</v>
      </c>
    </row>
    <row r="1205">
      <c r="A1205" t="n">
        <v>1204</v>
      </c>
      <c r="B1205" t="inlineStr">
        <is>
          <t>Customs Clearance Fee</t>
        </is>
      </c>
      <c r="C1205" t="inlineStr">
        <is>
          <t>ត្រាយអ៊ែងហ្គល ឡូជីស្ទីក (ខេមបូឌា) ឯ.ក</t>
        </is>
      </c>
      <c r="D1205" t="inlineStr">
        <is>
          <t>K010-902101743</t>
        </is>
      </c>
      <c r="E1205" t="inlineStr">
        <is>
          <t>TAG-24-00638</t>
        </is>
      </c>
      <c r="F1205" t="inlineStr">
        <is>
          <t>16-09-2024</t>
        </is>
      </c>
      <c r="G1205" t="n">
        <v>8108</v>
      </c>
      <c r="I1205">
        <f>G1205</f>
        <v/>
      </c>
      <c r="K1205">
        <f>I1205-G1205</f>
        <v/>
      </c>
      <c r="M1205" t="inlineStr">
        <is>
          <t>TAG2400638</t>
        </is>
      </c>
      <c r="N1205" t="inlineStr"/>
      <c r="O1205">
        <f>M1205=N1205</f>
        <v/>
      </c>
      <c r="P1205">
        <f>AND(MONTH(F1205)=MONTH(S1205), YEAR(F1205)=YEAR(S1205))</f>
        <v/>
      </c>
      <c r="Q1205">
        <f>"L001-902303751"=U1205</f>
        <v/>
      </c>
      <c r="R1205">
        <f>G1205-W1205</f>
        <v/>
      </c>
      <c r="S1205" s="36" t="n">
        <v>45474</v>
      </c>
      <c r="T1205" t="inlineStr"/>
      <c r="U1205" t="inlineStr">
        <is>
          <t>K005-901805913</t>
        </is>
      </c>
      <c r="V1205" t="inlineStr">
        <is>
          <t>ស្តារ ខង់ខដ (ខេមបូឌា) ឯ.ក</t>
        </is>
      </c>
      <c r="W1205" t="n">
        <v>0</v>
      </c>
      <c r="X1205" t="n">
        <v>0</v>
      </c>
    </row>
    <row r="1206">
      <c r="A1206" t="n">
        <v>1205</v>
      </c>
      <c r="B1206" t="inlineStr">
        <is>
          <t>Cargo Terminal</t>
        </is>
      </c>
      <c r="C1206" t="inlineStr">
        <is>
          <t>សូស៊ីយេតេ កុងសេស្យូនែរ ដឺ ឡាអេរ៉ូព័រ</t>
        </is>
      </c>
      <c r="D1206" t="inlineStr">
        <is>
          <t>L001-100047300</t>
        </is>
      </c>
      <c r="E1206" t="inlineStr">
        <is>
          <t>2400-073488</t>
        </is>
      </c>
      <c r="F1206" t="inlineStr">
        <is>
          <t>12-09-2024</t>
        </is>
      </c>
      <c r="G1206" t="n">
        <v>21274</v>
      </c>
      <c r="I1206">
        <f>G1206</f>
        <v/>
      </c>
      <c r="K1206">
        <f>I1206-G1206</f>
        <v/>
      </c>
      <c r="M1206" t="inlineStr">
        <is>
          <t>2400073488</t>
        </is>
      </c>
      <c r="N1206" t="inlineStr"/>
      <c r="O1206">
        <f>M1206=N1206</f>
        <v/>
      </c>
      <c r="P1206">
        <f>AND(MONTH(F1206)=MONTH(S1206), YEAR(F1206)=YEAR(S1206))</f>
        <v/>
      </c>
      <c r="Q1206">
        <f>"L001-902303751"=U1206</f>
        <v/>
      </c>
      <c r="R1206">
        <f>G1206-W1206</f>
        <v/>
      </c>
      <c r="S1206" s="36" t="n">
        <v>45488</v>
      </c>
      <c r="T1206" t="inlineStr"/>
      <c r="U1206" t="inlineStr">
        <is>
          <t>K003-901635943</t>
        </is>
      </c>
      <c r="V1206" t="inlineStr">
        <is>
          <t>អ៊ីឃ្យូឡាញ វើលវ៉ាយដ៍ ឡូជីស្ទីក</t>
        </is>
      </c>
      <c r="W1206" t="n">
        <v>0</v>
      </c>
      <c r="X1206" t="n">
        <v>0</v>
      </c>
    </row>
    <row r="1207">
      <c r="A1207" t="n">
        <v>1206</v>
      </c>
      <c r="B1207" t="inlineStr">
        <is>
          <t>Customs Clearance Fee</t>
        </is>
      </c>
      <c r="C1207" t="inlineStr">
        <is>
          <t>ត្រាយអ៊ែងហ្គល ឡូជីស្ទីក (ខេមបូឌា) ឯ.ក</t>
        </is>
      </c>
      <c r="D1207" t="inlineStr">
        <is>
          <t>K010-902101743</t>
        </is>
      </c>
      <c r="E1207" t="inlineStr">
        <is>
          <t>TAG-24-00637</t>
        </is>
      </c>
      <c r="F1207" t="inlineStr">
        <is>
          <t>13-09-2024</t>
        </is>
      </c>
      <c r="G1207" t="n">
        <v>8114</v>
      </c>
      <c r="I1207">
        <f>G1207</f>
        <v/>
      </c>
      <c r="K1207">
        <f>I1207-G1207</f>
        <v/>
      </c>
      <c r="M1207" t="inlineStr">
        <is>
          <t>TAG2400637</t>
        </is>
      </c>
      <c r="N1207" t="inlineStr"/>
      <c r="O1207">
        <f>M1207=N1207</f>
        <v/>
      </c>
      <c r="P1207">
        <f>AND(MONTH(F1207)=MONTH(S1207), YEAR(F1207)=YEAR(S1207))</f>
        <v/>
      </c>
      <c r="Q1207">
        <f>"L001-902303751"=U1207</f>
        <v/>
      </c>
      <c r="R1207">
        <f>G1207-W1207</f>
        <v/>
      </c>
      <c r="S1207" s="36" t="n">
        <v>45502</v>
      </c>
      <c r="T1207" t="inlineStr"/>
      <c r="U1207" t="inlineStr">
        <is>
          <t>K005-901805913</t>
        </is>
      </c>
      <c r="V1207" t="inlineStr">
        <is>
          <t>ស្តារ ខង់ខដ (ខេមបូឌា) ឯ.ក</t>
        </is>
      </c>
      <c r="W1207" t="n">
        <v>0</v>
      </c>
      <c r="X1207" t="n">
        <v>0</v>
      </c>
    </row>
    <row r="1208">
      <c r="A1208" t="n">
        <v>1207</v>
      </c>
      <c r="B1208" t="inlineStr">
        <is>
          <t>Cargo Terminal</t>
        </is>
      </c>
      <c r="C1208" t="inlineStr">
        <is>
          <t>សូស៊ីយេតេ កុងសេស្យូនែរ ដឺ ឡាអេរ៉ូព័រ</t>
        </is>
      </c>
      <c r="D1208" t="inlineStr">
        <is>
          <t>L001-100047300</t>
        </is>
      </c>
      <c r="E1208" t="inlineStr">
        <is>
          <t>2400-072711</t>
        </is>
      </c>
      <c r="F1208" t="inlineStr">
        <is>
          <t>09-09-2024</t>
        </is>
      </c>
      <c r="G1208" t="n">
        <v>13133</v>
      </c>
      <c r="I1208">
        <f>G1208</f>
        <v/>
      </c>
      <c r="K1208">
        <f>I1208-G1208</f>
        <v/>
      </c>
      <c r="M1208" t="inlineStr">
        <is>
          <t>2400072711</t>
        </is>
      </c>
      <c r="N1208" t="inlineStr"/>
      <c r="O1208">
        <f>M1208=N1208</f>
        <v/>
      </c>
      <c r="P1208">
        <f>AND(MONTH(F1208)=MONTH(S1208), YEAR(F1208)=YEAR(S1208))</f>
        <v/>
      </c>
      <c r="Q1208">
        <f>"L001-902303751"=U1208</f>
        <v/>
      </c>
      <c r="R1208">
        <f>G1208-W1208</f>
        <v/>
      </c>
      <c r="S1208" s="36" t="n">
        <v>45495</v>
      </c>
      <c r="T1208" t="inlineStr"/>
      <c r="U1208" t="inlineStr">
        <is>
          <t>L001-100045995</t>
        </is>
      </c>
      <c r="V1208" t="inlineStr">
        <is>
          <t>ឌីអេចអិល ឡូជីស្ទីក (ខេមបូឌា)</t>
        </is>
      </c>
      <c r="W1208" t="n">
        <v>0</v>
      </c>
      <c r="X1208" t="n">
        <v>0</v>
      </c>
    </row>
    <row r="1209">
      <c r="A1209" t="n">
        <v>1208</v>
      </c>
      <c r="B1209" t="inlineStr">
        <is>
          <t>Customs Clearance Fee</t>
        </is>
      </c>
      <c r="C1209" t="inlineStr">
        <is>
          <t>ត្រាយអ៊ែងហ្គល ឡូជីស្ទីក (ខេមបូឌា) ឯ.ក</t>
        </is>
      </c>
      <c r="D1209" t="inlineStr">
        <is>
          <t>K010-902101743</t>
        </is>
      </c>
      <c r="E1209" t="inlineStr">
        <is>
          <t>TAG-24-00636</t>
        </is>
      </c>
      <c r="F1209" t="inlineStr">
        <is>
          <t>12-09-2024</t>
        </is>
      </c>
      <c r="G1209" t="n">
        <v>8120</v>
      </c>
      <c r="I1209">
        <f>G1209</f>
        <v/>
      </c>
      <c r="K1209">
        <f>I1209-G1209</f>
        <v/>
      </c>
      <c r="M1209" t="inlineStr">
        <is>
          <t>TAG2400636</t>
        </is>
      </c>
      <c r="N1209" t="inlineStr">
        <is>
          <t>9895500</t>
        </is>
      </c>
      <c r="O1209">
        <f>M1209=N1209</f>
        <v/>
      </c>
      <c r="P1209">
        <f>AND(MONTH(F1209)=MONTH(S1209), YEAR(F1209)=YEAR(S1209))</f>
        <v/>
      </c>
      <c r="Q1209">
        <f>"L001-902303751"=U1209</f>
        <v/>
      </c>
      <c r="R1209">
        <f>G1209-W1209</f>
        <v/>
      </c>
      <c r="S1209" s="36" t="n">
        <v>45488</v>
      </c>
      <c r="T1209" t="n">
        <v>98955</v>
      </c>
      <c r="U1209" t="inlineStr">
        <is>
          <t>L001-100045340</t>
        </is>
      </c>
      <c r="V1209" t="inlineStr">
        <is>
          <t xml:space="preserve">ស៊ីវ៉ា អ៊ែរ អ៊ែន អូសៀន (ខេមបូឌា) ឯ.ក </t>
        </is>
      </c>
      <c r="W1209" t="n">
        <v>98955</v>
      </c>
      <c r="X1209" t="n">
        <v>0</v>
      </c>
    </row>
    <row r="1210">
      <c r="A1210" t="n">
        <v>1209</v>
      </c>
      <c r="B1210" t="inlineStr">
        <is>
          <t>Cargo Terminal</t>
        </is>
      </c>
      <c r="C1210" t="inlineStr">
        <is>
          <t>សូស៊ីយេតេ កុងសេស្យូនែរ ដឺ ឡាអេរ៉ូព័រ</t>
        </is>
      </c>
      <c r="D1210" t="inlineStr">
        <is>
          <t>L001-100047300</t>
        </is>
      </c>
      <c r="E1210" t="inlineStr">
        <is>
          <t>2400-072709</t>
        </is>
      </c>
      <c r="F1210" t="inlineStr">
        <is>
          <t>09-09-2024</t>
        </is>
      </c>
      <c r="G1210" t="n">
        <v>27670</v>
      </c>
      <c r="I1210">
        <f>G1210</f>
        <v/>
      </c>
      <c r="K1210">
        <f>I1210-G1210</f>
        <v/>
      </c>
      <c r="M1210" t="inlineStr">
        <is>
          <t>2400072709</t>
        </is>
      </c>
      <c r="N1210" t="inlineStr">
        <is>
          <t>11308000</t>
        </is>
      </c>
      <c r="O1210">
        <f>M1210=N1210</f>
        <v/>
      </c>
      <c r="P1210">
        <f>AND(MONTH(F1210)=MONTH(S1210), YEAR(F1210)=YEAR(S1210))</f>
        <v/>
      </c>
      <c r="Q1210">
        <f>"L001-902303751"=U1210</f>
        <v/>
      </c>
      <c r="R1210">
        <f>G1210-W1210</f>
        <v/>
      </c>
      <c r="S1210" s="36" t="n">
        <v>45474</v>
      </c>
      <c r="T1210" t="n">
        <v>113080</v>
      </c>
      <c r="U1210" t="inlineStr">
        <is>
          <t>L001-107032791</t>
        </is>
      </c>
      <c r="V1210" t="inlineStr">
        <is>
          <t>នីបផន អិចប្រេស (ខេមបូឌា) ខូ អិលធីឌី</t>
        </is>
      </c>
      <c r="W1210" t="n">
        <v>113080</v>
      </c>
      <c r="X1210" t="n">
        <v>0</v>
      </c>
    </row>
    <row r="1211">
      <c r="A1211" t="n">
        <v>1210</v>
      </c>
      <c r="B1211" t="inlineStr">
        <is>
          <t>Customs Clearance Fee</t>
        </is>
      </c>
      <c r="C1211" t="inlineStr">
        <is>
          <t>ត្រាយអ៊ែងហ្គល ឡូជីស្ទីក (ខេមបូឌា) ឯ.ក</t>
        </is>
      </c>
      <c r="D1211" t="inlineStr">
        <is>
          <t>K010-902101743</t>
        </is>
      </c>
      <c r="E1211" t="inlineStr">
        <is>
          <t>TAG-24-00635</t>
        </is>
      </c>
      <c r="F1211" t="inlineStr">
        <is>
          <t>12-09-2024</t>
        </is>
      </c>
      <c r="G1211" t="n">
        <v>8120</v>
      </c>
      <c r="I1211">
        <f>G1211</f>
        <v/>
      </c>
      <c r="K1211">
        <f>I1211-G1211</f>
        <v/>
      </c>
      <c r="M1211" t="inlineStr">
        <is>
          <t>TAG2400635</t>
        </is>
      </c>
      <c r="N1211" t="inlineStr">
        <is>
          <t>1644000</t>
        </is>
      </c>
      <c r="O1211">
        <f>M1211=N1211</f>
        <v/>
      </c>
      <c r="P1211">
        <f>AND(MONTH(F1211)=MONTH(S1211), YEAR(F1211)=YEAR(S1211))</f>
        <v/>
      </c>
      <c r="Q1211">
        <f>"L001-902303751"=U1211</f>
        <v/>
      </c>
      <c r="R1211">
        <f>G1211-W1211</f>
        <v/>
      </c>
      <c r="S1211" s="36" t="n">
        <v>45483</v>
      </c>
      <c r="T1211" t="n">
        <v>16440</v>
      </c>
      <c r="U1211" t="inlineStr">
        <is>
          <t>K003-901635943</t>
        </is>
      </c>
      <c r="V1211" t="inlineStr">
        <is>
          <t>អ៊ីឃ្យូឡាញ វើលវ៉ាយដ៍ ឡូជីស្ទីក</t>
        </is>
      </c>
      <c r="W1211" t="n">
        <v>16440</v>
      </c>
      <c r="X1211" t="n">
        <v>0</v>
      </c>
    </row>
    <row r="1212">
      <c r="A1212" t="n">
        <v>1211</v>
      </c>
      <c r="B1212" t="inlineStr">
        <is>
          <t>Cargo Terminal</t>
        </is>
      </c>
      <c r="C1212" t="inlineStr">
        <is>
          <t>សូស៊ីយេតេ កុងសេស្យូនែរ ដឺ ឡាអេរ៉ូព័រ</t>
        </is>
      </c>
      <c r="D1212" t="inlineStr">
        <is>
          <t>L001-100047300</t>
        </is>
      </c>
      <c r="E1212" t="inlineStr">
        <is>
          <t>2400-072713</t>
        </is>
      </c>
      <c r="F1212" t="inlineStr">
        <is>
          <t>09-09-2024</t>
        </is>
      </c>
      <c r="G1212" t="n">
        <v>32885</v>
      </c>
      <c r="I1212">
        <f>G1212</f>
        <v/>
      </c>
      <c r="K1212">
        <f>I1212-G1212</f>
        <v/>
      </c>
      <c r="M1212" t="inlineStr">
        <is>
          <t>2400072713</t>
        </is>
      </c>
      <c r="N1212" t="inlineStr">
        <is>
          <t>11291500</t>
        </is>
      </c>
      <c r="O1212">
        <f>M1212=N1212</f>
        <v/>
      </c>
      <c r="P1212">
        <f>AND(MONTH(F1212)=MONTH(S1212), YEAR(F1212)=YEAR(S1212))</f>
        <v/>
      </c>
      <c r="Q1212">
        <f>"L001-902303751"=U1212</f>
        <v/>
      </c>
      <c r="R1212">
        <f>G1212-W1212</f>
        <v/>
      </c>
      <c r="S1212" s="36" t="n">
        <v>45488</v>
      </c>
      <c r="T1212" t="n">
        <v>112915</v>
      </c>
      <c r="U1212" t="inlineStr">
        <is>
          <t>L001-107032791</t>
        </is>
      </c>
      <c r="V1212" t="inlineStr">
        <is>
          <t>នីបផន អិចប្រេស (ខេមបូឌា) ខូ អិលធីឌី</t>
        </is>
      </c>
      <c r="W1212" t="n">
        <v>112915</v>
      </c>
      <c r="X1212" t="n">
        <v>0</v>
      </c>
    </row>
    <row r="1213">
      <c r="A1213" t="n">
        <v>1212</v>
      </c>
      <c r="B1213" t="inlineStr">
        <is>
          <t>Customs Clearance Fee</t>
        </is>
      </c>
      <c r="C1213" t="inlineStr">
        <is>
          <t>ត្រាយអ៊ែងហ្គល ឡូជីស្ទីក (ខេមបូឌា) ឯ.ក</t>
        </is>
      </c>
      <c r="D1213" t="inlineStr">
        <is>
          <t>K010-902101743</t>
        </is>
      </c>
      <c r="E1213" t="inlineStr">
        <is>
          <t>TAG-24-00634</t>
        </is>
      </c>
      <c r="F1213" t="inlineStr">
        <is>
          <t>12-09-2024</t>
        </is>
      </c>
      <c r="G1213" t="n">
        <v>8120</v>
      </c>
      <c r="I1213">
        <f>G1213</f>
        <v/>
      </c>
      <c r="K1213">
        <f>I1213-G1213</f>
        <v/>
      </c>
      <c r="M1213" t="inlineStr">
        <is>
          <t>TAG2400634</t>
        </is>
      </c>
      <c r="N1213" t="inlineStr"/>
      <c r="O1213">
        <f>M1213=N1213</f>
        <v/>
      </c>
      <c r="P1213">
        <f>AND(MONTH(F1213)=MONTH(S1213), YEAR(F1213)=YEAR(S1213))</f>
        <v/>
      </c>
      <c r="Q1213">
        <f>"L001-902303751"=U1213</f>
        <v/>
      </c>
      <c r="R1213">
        <f>G1213-W1213</f>
        <v/>
      </c>
      <c r="S1213" s="36" t="n">
        <v>45502</v>
      </c>
      <c r="T1213" t="inlineStr"/>
      <c r="U1213" t="inlineStr">
        <is>
          <t>L001-107032791</t>
        </is>
      </c>
      <c r="V1213" t="inlineStr">
        <is>
          <t>នីបផន អិចប្រេស (ខេមបូឌា) ខូ អិលធីឌី</t>
        </is>
      </c>
      <c r="W1213" t="n">
        <v>0</v>
      </c>
      <c r="X1213" t="n">
        <v>0</v>
      </c>
    </row>
    <row r="1214">
      <c r="A1214" t="n">
        <v>1213</v>
      </c>
      <c r="B1214" t="inlineStr">
        <is>
          <t>Cargo Terminal</t>
        </is>
      </c>
      <c r="C1214" t="inlineStr">
        <is>
          <t>សូស៊ីយេតេ កុងសេស្យូនែរ ដឺ ឡាអេរ៉ូព័រ</t>
        </is>
      </c>
      <c r="D1214" t="inlineStr">
        <is>
          <t>L001-100047300</t>
        </is>
      </c>
      <c r="E1214" t="inlineStr">
        <is>
          <t>2400-073421</t>
        </is>
      </c>
      <c r="F1214" t="inlineStr">
        <is>
          <t>11-09-2024</t>
        </is>
      </c>
      <c r="G1214" t="n">
        <v>28285</v>
      </c>
      <c r="I1214">
        <f>G1214</f>
        <v/>
      </c>
      <c r="K1214">
        <f>I1214-G1214</f>
        <v/>
      </c>
      <c r="M1214" t="inlineStr">
        <is>
          <t>2400073421</t>
        </is>
      </c>
      <c r="N1214" t="inlineStr"/>
      <c r="O1214">
        <f>M1214=N1214</f>
        <v/>
      </c>
      <c r="P1214">
        <f>AND(MONTH(F1214)=MONTH(S1214), YEAR(F1214)=YEAR(S1214))</f>
        <v/>
      </c>
      <c r="Q1214">
        <f>"L001-902303751"=U1214</f>
        <v/>
      </c>
      <c r="R1214">
        <f>G1214-W1214</f>
        <v/>
      </c>
      <c r="S1214" s="36" t="n">
        <v>45502</v>
      </c>
      <c r="T1214" t="inlineStr"/>
      <c r="U1214" t="inlineStr">
        <is>
          <t>L001-107032791</t>
        </is>
      </c>
      <c r="V1214" t="inlineStr">
        <is>
          <t>នីបផន អិចប្រេស (ខេមបូឌា) ខូ អិលធីឌី</t>
        </is>
      </c>
      <c r="W1214" t="n">
        <v>0</v>
      </c>
      <c r="X1214" t="n">
        <v>0</v>
      </c>
    </row>
    <row r="1215">
      <c r="A1215" t="n">
        <v>1214</v>
      </c>
      <c r="B1215" t="inlineStr">
        <is>
          <t>Customs Clearance Fee</t>
        </is>
      </c>
      <c r="C1215" t="inlineStr">
        <is>
          <t>ត្រាយអ៊ែងហ្គល ឡូជីស្ទីក (ខេមបូឌា) ឯ.ក</t>
        </is>
      </c>
      <c r="D1215" t="inlineStr">
        <is>
          <t>K010-902101743</t>
        </is>
      </c>
      <c r="E1215" t="inlineStr">
        <is>
          <t>TAG-24-00633</t>
        </is>
      </c>
      <c r="F1215" t="inlineStr">
        <is>
          <t>12-09-2024</t>
        </is>
      </c>
      <c r="G1215" t="n">
        <v>8120</v>
      </c>
      <c r="I1215">
        <f>G1215</f>
        <v/>
      </c>
      <c r="K1215">
        <f>I1215-G1215</f>
        <v/>
      </c>
      <c r="M1215" t="inlineStr">
        <is>
          <t>TAG2400633</t>
        </is>
      </c>
      <c r="N1215" t="inlineStr">
        <is>
          <t>11297000</t>
        </is>
      </c>
      <c r="O1215">
        <f>M1215=N1215</f>
        <v/>
      </c>
      <c r="P1215">
        <f>AND(MONTH(F1215)=MONTH(S1215), YEAR(F1215)=YEAR(S1215))</f>
        <v/>
      </c>
      <c r="Q1215">
        <f>"L001-902303751"=U1215</f>
        <v/>
      </c>
      <c r="R1215">
        <f>G1215-W1215</f>
        <v/>
      </c>
      <c r="S1215" s="36" t="n">
        <v>45496</v>
      </c>
      <c r="T1215" t="n">
        <v>112970</v>
      </c>
      <c r="U1215" t="inlineStr">
        <is>
          <t>K002-901800477</t>
        </is>
      </c>
      <c r="V1215" t="inlineStr">
        <is>
          <t>អាយធីអាយ អ៊ិនធើណេសិនណល ត្រេនស័្ពរថេសិន (ខេមបូឌា) ឯ.ក</t>
        </is>
      </c>
      <c r="W1215" t="n">
        <v>112970</v>
      </c>
      <c r="X1215" t="n">
        <v>0</v>
      </c>
    </row>
    <row r="1216">
      <c r="A1216" t="n">
        <v>1215</v>
      </c>
      <c r="B1216" t="inlineStr">
        <is>
          <t>Cargo Terminal</t>
        </is>
      </c>
      <c r="C1216" t="inlineStr">
        <is>
          <t>សូស៊ីយេតេ កុងសេស្យូនែរ ដឺ ឡាអេរ៉ូព័រ</t>
        </is>
      </c>
      <c r="D1216" t="inlineStr">
        <is>
          <t>L001-100047300</t>
        </is>
      </c>
      <c r="E1216" t="inlineStr">
        <is>
          <t>2400-070712</t>
        </is>
      </c>
      <c r="F1216" t="inlineStr">
        <is>
          <t>03-09-2024</t>
        </is>
      </c>
      <c r="G1216" t="n">
        <v>1496</v>
      </c>
      <c r="I1216">
        <f>G1216</f>
        <v/>
      </c>
      <c r="K1216">
        <f>I1216-G1216</f>
        <v/>
      </c>
      <c r="M1216" t="inlineStr">
        <is>
          <t>2400070712</t>
        </is>
      </c>
      <c r="N1216" t="inlineStr"/>
      <c r="O1216">
        <f>M1216=N1216</f>
        <v/>
      </c>
      <c r="P1216">
        <f>AND(MONTH(F1216)=MONTH(S1216), YEAR(F1216)=YEAR(S1216))</f>
        <v/>
      </c>
      <c r="Q1216">
        <f>"L001-902303751"=U1216</f>
        <v/>
      </c>
      <c r="R1216">
        <f>G1216-W1216</f>
        <v/>
      </c>
      <c r="S1216" s="36" t="n">
        <v>45483</v>
      </c>
      <c r="T1216" t="inlineStr"/>
      <c r="U1216" t="inlineStr">
        <is>
          <t>L001-107032791</t>
        </is>
      </c>
      <c r="V1216" t="inlineStr">
        <is>
          <t>នីបផន អិចប្រេស (ខេមបូឌា) ខូ អិលធីឌី</t>
        </is>
      </c>
      <c r="W1216" t="n">
        <v>0</v>
      </c>
      <c r="X1216" t="n">
        <v>0</v>
      </c>
    </row>
    <row r="1217">
      <c r="A1217" t="n">
        <v>1216</v>
      </c>
      <c r="B1217" t="inlineStr">
        <is>
          <t>Cargo Terminal</t>
        </is>
      </c>
      <c r="C1217" t="inlineStr">
        <is>
          <t>សូស៊ីយេតេ កុងសេស្យូនែរ ដឺ ឡាអេរ៉ូព័រ</t>
        </is>
      </c>
      <c r="D1217" t="inlineStr">
        <is>
          <t>L001-100047300</t>
        </is>
      </c>
      <c r="E1217" t="inlineStr">
        <is>
          <t>2400-071397</t>
        </is>
      </c>
      <c r="F1217" t="inlineStr">
        <is>
          <t>04-09-2024</t>
        </is>
      </c>
      <c r="G1217" t="n">
        <v>1107</v>
      </c>
      <c r="I1217">
        <f>G1217</f>
        <v/>
      </c>
      <c r="K1217">
        <f>I1217-G1217</f>
        <v/>
      </c>
      <c r="M1217" t="inlineStr">
        <is>
          <t>2400071397</t>
        </is>
      </c>
      <c r="N1217" t="inlineStr"/>
      <c r="O1217">
        <f>M1217=N1217</f>
        <v/>
      </c>
      <c r="P1217">
        <f>AND(MONTH(F1217)=MONTH(S1217), YEAR(F1217)=YEAR(S1217))</f>
        <v/>
      </c>
      <c r="Q1217">
        <f>"L001-902303751"=U1217</f>
        <v/>
      </c>
      <c r="R1217">
        <f>G1217-W1217</f>
        <v/>
      </c>
      <c r="S1217" s="36" t="n">
        <v>45481</v>
      </c>
      <c r="T1217" t="inlineStr"/>
      <c r="U1217" t="inlineStr">
        <is>
          <t>L001-100045995</t>
        </is>
      </c>
      <c r="V1217" t="inlineStr">
        <is>
          <t>ឌីអេចអិល ឡូជីស្ទីក (ខេមបូឌា)</t>
        </is>
      </c>
      <c r="W1217" t="n">
        <v>0</v>
      </c>
      <c r="X1217" t="n">
        <v>0</v>
      </c>
    </row>
    <row r="1218">
      <c r="A1218" t="n">
        <v>1217</v>
      </c>
      <c r="B1218" t="inlineStr">
        <is>
          <t>Customs Clearance Fee</t>
        </is>
      </c>
      <c r="C1218" t="inlineStr">
        <is>
          <t>ត្រាយអ៊ែងហ្គល ឡូជីស្ទីក (ខេមបូឌា) ឯ.ក</t>
        </is>
      </c>
      <c r="D1218" t="inlineStr">
        <is>
          <t>K010-902101743</t>
        </is>
      </c>
      <c r="E1218" t="inlineStr">
        <is>
          <t>TAG-24-00631</t>
        </is>
      </c>
      <c r="F1218" t="inlineStr">
        <is>
          <t>11-09-2024</t>
        </is>
      </c>
      <c r="G1218" t="n">
        <v>8128</v>
      </c>
      <c r="I1218">
        <f>G1218</f>
        <v/>
      </c>
      <c r="K1218">
        <f>I1218-G1218</f>
        <v/>
      </c>
      <c r="M1218" t="inlineStr">
        <is>
          <t>TAG2400631</t>
        </is>
      </c>
      <c r="N1218" t="inlineStr"/>
      <c r="O1218">
        <f>M1218=N1218</f>
        <v/>
      </c>
      <c r="P1218">
        <f>AND(MONTH(F1218)=MONTH(S1218), YEAR(F1218)=YEAR(S1218))</f>
        <v/>
      </c>
      <c r="Q1218">
        <f>"L001-902303751"=U1218</f>
        <v/>
      </c>
      <c r="R1218">
        <f>G1218-W1218</f>
        <v/>
      </c>
      <c r="S1218" s="36" t="n">
        <v>45481</v>
      </c>
      <c r="T1218" t="inlineStr"/>
      <c r="U1218" t="inlineStr">
        <is>
          <t>L001-107032791</t>
        </is>
      </c>
      <c r="V1218" t="inlineStr">
        <is>
          <t>នីបផន អិចប្រេស (ខេមបូឌា) ខូ អិលធីឌី</t>
        </is>
      </c>
      <c r="W1218" t="n">
        <v>0</v>
      </c>
      <c r="X1218" t="n">
        <v>0</v>
      </c>
    </row>
    <row r="1219">
      <c r="A1219" t="n">
        <v>1218</v>
      </c>
      <c r="B1219" t="inlineStr">
        <is>
          <t>Cargo Terminal</t>
        </is>
      </c>
      <c r="C1219" t="inlineStr">
        <is>
          <t>សូស៊ីយេតេ កុងសេស្យូនែរ ដឺ ឡាអេរ៉ូព័រ</t>
        </is>
      </c>
      <c r="D1219" t="inlineStr">
        <is>
          <t>L001-100047300</t>
        </is>
      </c>
      <c r="E1219" t="inlineStr">
        <is>
          <t>2400-071394</t>
        </is>
      </c>
      <c r="F1219" t="inlineStr">
        <is>
          <t>04-09-2024</t>
        </is>
      </c>
      <c r="G1219" t="n">
        <v>4888</v>
      </c>
      <c r="I1219">
        <f>G1219</f>
        <v/>
      </c>
      <c r="K1219">
        <f>I1219-G1219</f>
        <v/>
      </c>
      <c r="M1219" t="inlineStr">
        <is>
          <t>2400071394</t>
        </is>
      </c>
      <c r="N1219" t="inlineStr">
        <is>
          <t>8417300</t>
        </is>
      </c>
      <c r="O1219">
        <f>M1219=N1219</f>
        <v/>
      </c>
      <c r="P1219">
        <f>AND(MONTH(F1219)=MONTH(S1219), YEAR(F1219)=YEAR(S1219))</f>
        <v/>
      </c>
      <c r="Q1219">
        <f>"L001-902303751"=U1219</f>
        <v/>
      </c>
      <c r="R1219">
        <f>G1219-W1219</f>
        <v/>
      </c>
      <c r="S1219" s="36" t="n">
        <v>45488</v>
      </c>
      <c r="T1219" t="n">
        <v>84173</v>
      </c>
      <c r="U1219" t="inlineStr">
        <is>
          <t>K005-100150195</t>
        </is>
      </c>
      <c r="V1219" t="inlineStr">
        <is>
          <t>អេស អ វី ស៊ី ហ្វ្រេត សឺវីស (ខេមបូឌា) ខូ អិលធីឌី</t>
        </is>
      </c>
      <c r="W1219" t="n">
        <v>84173</v>
      </c>
      <c r="X1219" t="n">
        <v>0</v>
      </c>
    </row>
    <row r="1220">
      <c r="A1220" t="n">
        <v>1219</v>
      </c>
      <c r="B1220" t="inlineStr">
        <is>
          <t>Customs Clearance Fee</t>
        </is>
      </c>
      <c r="C1220" t="inlineStr">
        <is>
          <t>ត្រាយអ៊ែងហ្គល ឡូជីស្ទីក (ខេមបូឌា) ឯ.ក</t>
        </is>
      </c>
      <c r="D1220" t="inlineStr">
        <is>
          <t>K010-902101743</t>
        </is>
      </c>
      <c r="E1220" t="inlineStr">
        <is>
          <t>TAG-24-00630</t>
        </is>
      </c>
      <c r="F1220" t="inlineStr">
        <is>
          <t>11-09-2024</t>
        </is>
      </c>
      <c r="G1220" t="n">
        <v>8128</v>
      </c>
      <c r="I1220">
        <f>G1220</f>
        <v/>
      </c>
      <c r="K1220">
        <f>I1220-G1220</f>
        <v/>
      </c>
      <c r="M1220" t="inlineStr">
        <is>
          <t>TAG2400630</t>
        </is>
      </c>
      <c r="N1220" t="inlineStr">
        <is>
          <t>56457500</t>
        </is>
      </c>
      <c r="O1220">
        <f>M1220=N1220</f>
        <v/>
      </c>
      <c r="P1220">
        <f>AND(MONTH(F1220)=MONTH(S1220), YEAR(F1220)=YEAR(S1220))</f>
        <v/>
      </c>
      <c r="Q1220">
        <f>"L001-902303751"=U1220</f>
        <v/>
      </c>
      <c r="R1220">
        <f>G1220-W1220</f>
        <v/>
      </c>
      <c r="S1220" s="36" t="n">
        <v>45488</v>
      </c>
      <c r="T1220" t="n">
        <v>564575</v>
      </c>
      <c r="U1220" t="inlineStr">
        <is>
          <t>L001-100011888</t>
        </is>
      </c>
      <c r="V1220" t="inlineStr">
        <is>
          <t>ត្រេន ស្តារ ហ្រេ្វត</t>
        </is>
      </c>
      <c r="W1220" t="n">
        <v>564575</v>
      </c>
      <c r="X1220" t="n">
        <v>0</v>
      </c>
    </row>
    <row r="1221">
      <c r="A1221" t="n">
        <v>1220</v>
      </c>
      <c r="B1221" t="inlineStr">
        <is>
          <t>Cargo Terminal</t>
        </is>
      </c>
      <c r="C1221" t="inlineStr">
        <is>
          <t>សូស៊ីយេតេ កុងសេស្យូនែរ ដឺ ឡាអេរ៉ូព័រ</t>
        </is>
      </c>
      <c r="D1221" t="inlineStr">
        <is>
          <t>L001-100047300</t>
        </is>
      </c>
      <c r="E1221" t="inlineStr">
        <is>
          <t>2400-071396</t>
        </is>
      </c>
      <c r="F1221" t="inlineStr">
        <is>
          <t>04-09-2024</t>
        </is>
      </c>
      <c r="G1221" t="n">
        <v>25056</v>
      </c>
      <c r="I1221">
        <f>G1221</f>
        <v/>
      </c>
      <c r="K1221">
        <f>I1221-G1221</f>
        <v/>
      </c>
      <c r="M1221" t="inlineStr">
        <is>
          <t>2400071396</t>
        </is>
      </c>
      <c r="N1221" t="inlineStr"/>
      <c r="O1221">
        <f>M1221=N1221</f>
        <v/>
      </c>
      <c r="P1221">
        <f>AND(MONTH(F1221)=MONTH(S1221), YEAR(F1221)=YEAR(S1221))</f>
        <v/>
      </c>
      <c r="Q1221">
        <f>"L001-902303751"=U1221</f>
        <v/>
      </c>
      <c r="R1221">
        <f>G1221-W1221</f>
        <v/>
      </c>
      <c r="S1221" s="36" t="n">
        <v>45488</v>
      </c>
      <c r="T1221" t="inlineStr"/>
      <c r="U1221" t="inlineStr">
        <is>
          <t>L001-107032791</t>
        </is>
      </c>
      <c r="V1221" t="inlineStr">
        <is>
          <t>នីបផន អិចប្រេស (ខេមបូឌា) ខូ អិលធីឌី</t>
        </is>
      </c>
      <c r="W1221" t="n">
        <v>0</v>
      </c>
      <c r="X1221" t="n">
        <v>0</v>
      </c>
    </row>
    <row r="1222">
      <c r="A1222" t="n">
        <v>1221</v>
      </c>
      <c r="B1222" t="inlineStr">
        <is>
          <t>Customs Clearance Fee</t>
        </is>
      </c>
      <c r="C1222" t="inlineStr">
        <is>
          <t>ត្រាយអ៊ែងហ្គល ឡូជីស្ទីក (ខេមបូឌា) ឯ.ក</t>
        </is>
      </c>
      <c r="D1222" t="inlineStr">
        <is>
          <t>K010-902101743</t>
        </is>
      </c>
      <c r="E1222" t="inlineStr">
        <is>
          <t>TAG-24-00629</t>
        </is>
      </c>
      <c r="F1222" t="inlineStr">
        <is>
          <t>11-09-2024</t>
        </is>
      </c>
      <c r="G1222" t="n">
        <v>8128</v>
      </c>
      <c r="I1222">
        <f>G1222</f>
        <v/>
      </c>
      <c r="K1222">
        <f>I1222-G1222</f>
        <v/>
      </c>
      <c r="M1222" t="inlineStr">
        <is>
          <t>TAG2400629</t>
        </is>
      </c>
      <c r="N1222" t="inlineStr">
        <is>
          <t>86677700</t>
        </is>
      </c>
      <c r="O1222">
        <f>M1222=N1222</f>
        <v/>
      </c>
      <c r="P1222">
        <f>AND(MONTH(F1222)=MONTH(S1222), YEAR(F1222)=YEAR(S1222))</f>
        <v/>
      </c>
      <c r="Q1222">
        <f>"L001-902303751"=U1222</f>
        <v/>
      </c>
      <c r="R1222">
        <f>G1222-W1222</f>
        <v/>
      </c>
      <c r="S1222" s="36" t="n">
        <v>45488</v>
      </c>
      <c r="T1222" t="n">
        <v>866777</v>
      </c>
      <c r="U1222" t="inlineStr">
        <is>
          <t>K004-105012505</t>
        </is>
      </c>
      <c r="V1222" t="inlineStr">
        <is>
          <t>អេស៊ាន ហ្វ្រេត (ខេមបូឌា)</t>
        </is>
      </c>
      <c r="W1222" t="n">
        <v>866777</v>
      </c>
      <c r="X1222" t="n">
        <v>0</v>
      </c>
    </row>
    <row r="1223">
      <c r="A1223" t="n">
        <v>1222</v>
      </c>
      <c r="B1223" t="inlineStr">
        <is>
          <t>Cargo Terminal</t>
        </is>
      </c>
      <c r="C1223" t="inlineStr">
        <is>
          <t>សូស៊ីយេតេ កុងសេស្យូនែរ ដឺ ឡាអេរ៉ូព័រ</t>
        </is>
      </c>
      <c r="D1223" t="inlineStr">
        <is>
          <t>L001-100047300</t>
        </is>
      </c>
      <c r="E1223" t="inlineStr">
        <is>
          <t>2400-071392</t>
        </is>
      </c>
      <c r="F1223" t="inlineStr">
        <is>
          <t>04-09-2024</t>
        </is>
      </c>
      <c r="G1223" t="n">
        <v>815</v>
      </c>
      <c r="I1223">
        <f>G1223</f>
        <v/>
      </c>
      <c r="K1223">
        <f>I1223-G1223</f>
        <v/>
      </c>
      <c r="M1223" t="inlineStr">
        <is>
          <t>2400071392</t>
        </is>
      </c>
      <c r="N1223" t="inlineStr">
        <is>
          <t>11291500</t>
        </is>
      </c>
      <c r="O1223">
        <f>M1223=N1223</f>
        <v/>
      </c>
      <c r="P1223">
        <f>AND(MONTH(F1223)=MONTH(S1223), YEAR(F1223)=YEAR(S1223))</f>
        <v/>
      </c>
      <c r="Q1223">
        <f>"L001-902303751"=U1223</f>
        <v/>
      </c>
      <c r="R1223">
        <f>G1223-W1223</f>
        <v/>
      </c>
      <c r="S1223" s="36" t="n">
        <v>45488</v>
      </c>
      <c r="T1223" t="n">
        <v>112915</v>
      </c>
      <c r="U1223" t="inlineStr">
        <is>
          <t>L001-107032791</t>
        </is>
      </c>
      <c r="V1223" t="inlineStr">
        <is>
          <t>នីបផន អិចប្រេស (ខេមបូឌា) ខូ អិលធីឌី</t>
        </is>
      </c>
      <c r="W1223" t="n">
        <v>112915</v>
      </c>
      <c r="X1223" t="n">
        <v>0</v>
      </c>
    </row>
    <row r="1224">
      <c r="A1224" t="n">
        <v>1223</v>
      </c>
      <c r="B1224" t="inlineStr">
        <is>
          <t>Customs Clearance Fee</t>
        </is>
      </c>
      <c r="C1224" t="inlineStr">
        <is>
          <t>ត្រាយអ៊ែងហ្គល ឡូជីស្ទីក (ខេមបូឌា) ឯ.ក</t>
        </is>
      </c>
      <c r="D1224" t="inlineStr">
        <is>
          <t>K010-902101743</t>
        </is>
      </c>
      <c r="E1224" t="inlineStr">
        <is>
          <t>TAG-24-00628</t>
        </is>
      </c>
      <c r="F1224" t="inlineStr">
        <is>
          <t>11-09-2024</t>
        </is>
      </c>
      <c r="G1224" t="n">
        <v>8128</v>
      </c>
      <c r="I1224">
        <f>G1224</f>
        <v/>
      </c>
      <c r="K1224">
        <f>I1224-G1224</f>
        <v/>
      </c>
      <c r="M1224" t="inlineStr">
        <is>
          <t>TAG2400628</t>
        </is>
      </c>
      <c r="N1224" t="inlineStr">
        <is>
          <t>8423500</t>
        </is>
      </c>
      <c r="O1224">
        <f>M1224=N1224</f>
        <v/>
      </c>
      <c r="P1224">
        <f>AND(MONTH(F1224)=MONTH(S1224), YEAR(F1224)=YEAR(S1224))</f>
        <v/>
      </c>
      <c r="Q1224">
        <f>"L001-902303751"=U1224</f>
        <v/>
      </c>
      <c r="R1224">
        <f>G1224-W1224</f>
        <v/>
      </c>
      <c r="S1224" s="36" t="n">
        <v>45495</v>
      </c>
      <c r="T1224" t="n">
        <v>84235</v>
      </c>
      <c r="U1224" t="inlineStr">
        <is>
          <t>L001-100045995</t>
        </is>
      </c>
      <c r="V1224" t="inlineStr">
        <is>
          <t>ឌីអេចអិល ឡូជីស្ទីក (ខេមបូឌា)</t>
        </is>
      </c>
      <c r="W1224" t="n">
        <v>84235</v>
      </c>
      <c r="X1224" t="n">
        <v>0</v>
      </c>
    </row>
    <row r="1225">
      <c r="A1225" t="n">
        <v>1224</v>
      </c>
      <c r="B1225" t="inlineStr">
        <is>
          <t>Cargo Terminal</t>
        </is>
      </c>
      <c r="C1225" t="inlineStr">
        <is>
          <t>សូស៊ីយេតេ កុងសេស្យូនែរ ដឺ ឡាអេរ៉ូព័រ</t>
        </is>
      </c>
      <c r="D1225" t="inlineStr">
        <is>
          <t>L001-100047300</t>
        </is>
      </c>
      <c r="E1225" t="inlineStr">
        <is>
          <t>2400-071482</t>
        </is>
      </c>
      <c r="F1225" t="inlineStr">
        <is>
          <t>05-09-2024</t>
        </is>
      </c>
      <c r="G1225" t="n">
        <v>2349</v>
      </c>
      <c r="I1225">
        <f>G1225</f>
        <v/>
      </c>
      <c r="K1225">
        <f>I1225-G1225</f>
        <v/>
      </c>
      <c r="M1225" t="inlineStr">
        <is>
          <t>2400071482</t>
        </is>
      </c>
      <c r="N1225" t="inlineStr"/>
      <c r="O1225">
        <f>M1225=N1225</f>
        <v/>
      </c>
      <c r="P1225">
        <f>AND(MONTH(F1225)=MONTH(S1225), YEAR(F1225)=YEAR(S1225))</f>
        <v/>
      </c>
      <c r="Q1225">
        <f>"L001-902303751"=U1225</f>
        <v/>
      </c>
      <c r="R1225">
        <f>G1225-W1225</f>
        <v/>
      </c>
      <c r="S1225" s="36" t="n">
        <v>45496</v>
      </c>
      <c r="T1225" t="inlineStr"/>
      <c r="U1225" t="inlineStr">
        <is>
          <t>K002-901800477</t>
        </is>
      </c>
      <c r="V1225" t="inlineStr">
        <is>
          <t>អាយធីអាយ អ៊ិនធើណេសិនណល ត្រេនស័្ពរថេសិន (ខេមបូឌា) ឯ.ក</t>
        </is>
      </c>
      <c r="W1225" t="n">
        <v>0</v>
      </c>
      <c r="X1225" t="n">
        <v>0</v>
      </c>
    </row>
    <row r="1226">
      <c r="A1226" t="n">
        <v>1225</v>
      </c>
      <c r="B1226" t="inlineStr">
        <is>
          <t>Customs Clearance Fee</t>
        </is>
      </c>
      <c r="C1226" t="inlineStr">
        <is>
          <t>ត្រាយអ៊ែងហ្គល ឡូជីស្ទីក (ខេមបូឌា) ឯ.ក</t>
        </is>
      </c>
      <c r="D1226" t="inlineStr">
        <is>
          <t>K010-902101743</t>
        </is>
      </c>
      <c r="E1226" t="inlineStr">
        <is>
          <t>TAG-24-00627</t>
        </is>
      </c>
      <c r="F1226" t="inlineStr">
        <is>
          <t>11-09-2024</t>
        </is>
      </c>
      <c r="G1226" t="n">
        <v>8128</v>
      </c>
      <c r="I1226">
        <f>G1226</f>
        <v/>
      </c>
      <c r="K1226">
        <f>I1226-G1226</f>
        <v/>
      </c>
      <c r="M1226" t="inlineStr">
        <is>
          <t>TAG2400627</t>
        </is>
      </c>
      <c r="N1226" t="inlineStr">
        <is>
          <t>11308000</t>
        </is>
      </c>
      <c r="O1226">
        <f>M1226=N1226</f>
        <v/>
      </c>
      <c r="P1226">
        <f>AND(MONTH(F1226)=MONTH(S1226), YEAR(F1226)=YEAR(S1226))</f>
        <v/>
      </c>
      <c r="Q1226">
        <f>"L001-902303751"=U1226</f>
        <v/>
      </c>
      <c r="R1226">
        <f>G1226-W1226</f>
        <v/>
      </c>
      <c r="S1226" s="36" t="n">
        <v>45474</v>
      </c>
      <c r="T1226" t="n">
        <v>113080</v>
      </c>
      <c r="U1226" t="inlineStr">
        <is>
          <t>L001-107032791</t>
        </is>
      </c>
      <c r="V1226" t="inlineStr">
        <is>
          <t>នីបផន អិចប្រេស (ខេមបូឌា) ខូ អិលធីឌី</t>
        </is>
      </c>
      <c r="W1226" t="n">
        <v>113080</v>
      </c>
      <c r="X1226" t="n">
        <v>0</v>
      </c>
    </row>
    <row r="1227">
      <c r="A1227" t="n">
        <v>1226</v>
      </c>
      <c r="B1227" t="inlineStr">
        <is>
          <t>Cargo Terminal</t>
        </is>
      </c>
      <c r="C1227" t="inlineStr">
        <is>
          <t>សូស៊ីយេតេ កុងសេស្យូនែរ ដឺ ឡាអេរ៉ូព័រ</t>
        </is>
      </c>
      <c r="D1227" t="inlineStr">
        <is>
          <t>L001-100047300</t>
        </is>
      </c>
      <c r="E1227" t="inlineStr">
        <is>
          <t>2400-072058</t>
        </is>
      </c>
      <c r="F1227" t="inlineStr">
        <is>
          <t>06-09-2024</t>
        </is>
      </c>
      <c r="G1227" t="n">
        <v>1883</v>
      </c>
      <c r="I1227">
        <f>G1227</f>
        <v/>
      </c>
      <c r="K1227">
        <f>I1227-G1227</f>
        <v/>
      </c>
      <c r="M1227" t="inlineStr">
        <is>
          <t>2400072058</t>
        </is>
      </c>
      <c r="N1227" t="inlineStr"/>
      <c r="O1227">
        <f>M1227=N1227</f>
        <v/>
      </c>
      <c r="P1227">
        <f>AND(MONTH(F1227)=MONTH(S1227), YEAR(F1227)=YEAR(S1227))</f>
        <v/>
      </c>
      <c r="Q1227">
        <f>"L001-902303751"=U1227</f>
        <v/>
      </c>
      <c r="R1227">
        <f>G1227-W1227</f>
        <v/>
      </c>
      <c r="S1227" s="36" t="n">
        <v>45474</v>
      </c>
      <c r="T1227" t="inlineStr"/>
      <c r="U1227" t="inlineStr">
        <is>
          <t>L001-100011888</t>
        </is>
      </c>
      <c r="V1227" t="inlineStr">
        <is>
          <t>ត្រេន ស្តារ ហ្រេ្វត</t>
        </is>
      </c>
      <c r="W1227" t="n">
        <v>0</v>
      </c>
      <c r="X1227" t="n">
        <v>0</v>
      </c>
    </row>
    <row r="1228">
      <c r="A1228" t="n">
        <v>1227</v>
      </c>
      <c r="B1228" t="inlineStr">
        <is>
          <t>Customs Clearance Fee</t>
        </is>
      </c>
      <c r="C1228" t="inlineStr">
        <is>
          <t>ត្រាយអ៊ែងហ្គល ឡូជីស្ទីក (ខេមបូឌា) ឯ.ក</t>
        </is>
      </c>
      <c r="D1228" t="inlineStr">
        <is>
          <t>K010-902101743</t>
        </is>
      </c>
      <c r="E1228" t="inlineStr">
        <is>
          <t>TAG-24-00626</t>
        </is>
      </c>
      <c r="F1228" t="inlineStr">
        <is>
          <t>11-09-2024</t>
        </is>
      </c>
      <c r="G1228" t="n">
        <v>8128</v>
      </c>
      <c r="I1228">
        <f>G1228</f>
        <v/>
      </c>
      <c r="K1228">
        <f>I1228-G1228</f>
        <v/>
      </c>
      <c r="M1228" t="inlineStr">
        <is>
          <t>TAG2400626</t>
        </is>
      </c>
      <c r="N1228" t="inlineStr">
        <is>
          <t>11308000</t>
        </is>
      </c>
      <c r="O1228">
        <f>M1228=N1228</f>
        <v/>
      </c>
      <c r="P1228">
        <f>AND(MONTH(F1228)=MONTH(S1228), YEAR(F1228)=YEAR(S1228))</f>
        <v/>
      </c>
      <c r="Q1228">
        <f>"L001-902303751"=U1228</f>
        <v/>
      </c>
      <c r="R1228">
        <f>G1228-W1228</f>
        <v/>
      </c>
      <c r="S1228" s="36" t="n">
        <v>45474</v>
      </c>
      <c r="T1228" t="n">
        <v>113080</v>
      </c>
      <c r="U1228" t="inlineStr">
        <is>
          <t>L001-107032791</t>
        </is>
      </c>
      <c r="V1228" t="inlineStr">
        <is>
          <t>នីបផន អិចប្រេស (ខេមបូឌា) ខូ អិលធីឌី</t>
        </is>
      </c>
      <c r="W1228" t="n">
        <v>113080</v>
      </c>
      <c r="X1228" t="n">
        <v>0</v>
      </c>
    </row>
    <row r="1229">
      <c r="A1229" t="n">
        <v>1228</v>
      </c>
      <c r="B1229" t="inlineStr">
        <is>
          <t>Non Woven Interlining</t>
        </is>
      </c>
      <c r="C1229" t="inlineStr">
        <is>
          <t>ដេលី ហ្គាមេន អេកសេសឺរី</t>
        </is>
      </c>
      <c r="D1229" t="inlineStr">
        <is>
          <t>L001-108012794</t>
        </is>
      </c>
      <c r="E1229" t="inlineStr">
        <is>
          <t>00408</t>
        </is>
      </c>
      <c r="F1229" t="inlineStr">
        <is>
          <t>28-09-2024</t>
        </is>
      </c>
      <c r="G1229" t="n">
        <v>616357</v>
      </c>
      <c r="I1229">
        <f>G1229</f>
        <v/>
      </c>
      <c r="K1229">
        <f>I1229-G1229</f>
        <v/>
      </c>
      <c r="M1229" t="inlineStr">
        <is>
          <t>00408</t>
        </is>
      </c>
      <c r="N1229" t="inlineStr">
        <is>
          <t>8444000</t>
        </is>
      </c>
      <c r="O1229">
        <f>M1229=N1229</f>
        <v/>
      </c>
      <c r="P1229">
        <f>AND(MONTH(F1229)=MONTH(S1229), YEAR(F1229)=YEAR(S1229))</f>
        <v/>
      </c>
      <c r="Q1229">
        <f>"L001-902303751"=U1229</f>
        <v/>
      </c>
      <c r="R1229">
        <f>G1229-W1229</f>
        <v/>
      </c>
      <c r="S1229" s="36" t="n">
        <v>45481</v>
      </c>
      <c r="T1229" t="n">
        <v>84440</v>
      </c>
      <c r="U1229" t="inlineStr">
        <is>
          <t>L001-100045995</t>
        </is>
      </c>
      <c r="V1229" t="inlineStr">
        <is>
          <t>ឌីអេចអិល ឡូជីស្ទីក (ខេមបូឌា)</t>
        </is>
      </c>
      <c r="W1229" t="n">
        <v>84440</v>
      </c>
      <c r="X1229" t="n">
        <v>0</v>
      </c>
    </row>
    <row r="1230">
      <c r="A1230" t="n">
        <v>1229</v>
      </c>
      <c r="B1230" t="inlineStr">
        <is>
          <t>Stationary</t>
        </is>
      </c>
      <c r="C1230" t="inlineStr">
        <is>
          <t>ស៊ី &amp; ជី ត្រេឌីង ឯ.ក</t>
        </is>
      </c>
      <c r="D1230" t="inlineStr">
        <is>
          <t>K010-902205065</t>
        </is>
      </c>
      <c r="E1230" t="inlineStr">
        <is>
          <t>2024-0070</t>
        </is>
      </c>
      <c r="F1230" t="inlineStr">
        <is>
          <t>25-09-2024</t>
        </is>
      </c>
      <c r="G1230" t="n">
        <v>910884</v>
      </c>
      <c r="I1230">
        <f>G1230</f>
        <v/>
      </c>
      <c r="K1230">
        <f>I1230-G1230</f>
        <v/>
      </c>
      <c r="M1230" t="inlineStr">
        <is>
          <t>20240070</t>
        </is>
      </c>
      <c r="N1230" t="inlineStr">
        <is>
          <t>17505800</t>
        </is>
      </c>
      <c r="O1230">
        <f>M1230=N1230</f>
        <v/>
      </c>
      <c r="P1230">
        <f>AND(MONTH(F1230)=MONTH(S1230), YEAR(F1230)=YEAR(S1230))</f>
        <v/>
      </c>
      <c r="Q1230">
        <f>"L001-902303751"=U1230</f>
        <v/>
      </c>
      <c r="R1230">
        <f>G1230-W1230</f>
        <v/>
      </c>
      <c r="S1230" s="36" t="n">
        <v>45481</v>
      </c>
      <c r="T1230" t="n">
        <v>175058</v>
      </c>
      <c r="U1230" t="inlineStr">
        <is>
          <t>L001-100011888</t>
        </is>
      </c>
      <c r="V1230" t="inlineStr">
        <is>
          <t>ត្រេន ស្តារ ហ្រេ្វត</t>
        </is>
      </c>
      <c r="W1230" t="n">
        <v>175058</v>
      </c>
      <c r="X1230" t="n">
        <v>0</v>
      </c>
    </row>
    <row r="1231">
      <c r="A1231" t="n">
        <v>1230</v>
      </c>
      <c r="B1231" t="inlineStr">
        <is>
          <t>Shipping</t>
        </is>
      </c>
      <c r="C1231" t="inlineStr">
        <is>
          <t>យូ អេហ្វ អេស គ្លូប៊ល អិចប្រេស ឡូជីស្ទីក</t>
        </is>
      </c>
      <c r="D1231" t="inlineStr">
        <is>
          <t>K010-108005623</t>
        </is>
      </c>
      <c r="E1231" t="inlineStr">
        <is>
          <t>UFS-00716</t>
        </is>
      </c>
      <c r="F1231" t="inlineStr">
        <is>
          <t>27-09-2024</t>
        </is>
      </c>
      <c r="G1231" t="n">
        <v>4328652</v>
      </c>
      <c r="I1231">
        <f>G1231</f>
        <v/>
      </c>
      <c r="K1231">
        <f>I1231-G1231</f>
        <v/>
      </c>
      <c r="M1231" t="inlineStr">
        <is>
          <t>UFS00716</t>
        </is>
      </c>
      <c r="N1231" t="inlineStr"/>
      <c r="O1231">
        <f>M1231=N1231</f>
        <v/>
      </c>
      <c r="P1231">
        <f>AND(MONTH(F1231)=MONTH(S1231), YEAR(F1231)=YEAR(S1231))</f>
        <v/>
      </c>
      <c r="Q1231">
        <f>"L001-902303751"=U1231</f>
        <v/>
      </c>
      <c r="R1231">
        <f>G1231-W1231</f>
        <v/>
      </c>
      <c r="S1231" s="36" t="n">
        <v>45481</v>
      </c>
      <c r="T1231" t="inlineStr"/>
      <c r="U1231" t="inlineStr">
        <is>
          <t>L001-107032791</t>
        </is>
      </c>
      <c r="V1231" t="inlineStr">
        <is>
          <t>នីបផន អិចប្រេស (ខេមបូឌា) ខូ អិលធីឌី</t>
        </is>
      </c>
      <c r="W1231" t="n">
        <v>0</v>
      </c>
      <c r="X1231" t="n">
        <v>0</v>
      </c>
    </row>
    <row r="1232">
      <c r="A1232" t="n">
        <v>1231</v>
      </c>
      <c r="B1232" t="inlineStr">
        <is>
          <t>Import Shipment Expense</t>
        </is>
      </c>
      <c r="C1232" t="inlineStr">
        <is>
          <t>ឌីអេចអិល ឡូជីស្ទីក (ខេមបូឌា)</t>
        </is>
      </c>
      <c r="D1232" t="inlineStr">
        <is>
          <t>L001-100045995</t>
        </is>
      </c>
      <c r="E1232" t="inlineStr">
        <is>
          <t>INV2407537</t>
        </is>
      </c>
      <c r="F1232" t="inlineStr">
        <is>
          <t>12-09-2024</t>
        </is>
      </c>
      <c r="G1232" t="n">
        <v>176544</v>
      </c>
      <c r="I1232">
        <f>G1232</f>
        <v/>
      </c>
      <c r="K1232">
        <f>I1232-G1232</f>
        <v/>
      </c>
      <c r="M1232" t="inlineStr">
        <is>
          <t>INV2407537</t>
        </is>
      </c>
      <c r="N1232" t="inlineStr"/>
      <c r="O1232">
        <f>M1232=N1232</f>
        <v/>
      </c>
      <c r="P1232">
        <f>AND(MONTH(F1232)=MONTH(S1232), YEAR(F1232)=YEAR(S1232))</f>
        <v/>
      </c>
      <c r="Q1232">
        <f>"L001-902303751"=U1232</f>
        <v/>
      </c>
      <c r="R1232">
        <f>G1232-W1232</f>
        <v/>
      </c>
      <c r="S1232" s="36" t="n">
        <v>45488</v>
      </c>
      <c r="T1232" t="inlineStr"/>
      <c r="U1232" t="inlineStr">
        <is>
          <t>K005-901805913</t>
        </is>
      </c>
      <c r="V1232" t="inlineStr">
        <is>
          <t>ស្តារ ខង់ខដ (ខេមបូឌា) ឯ.ក</t>
        </is>
      </c>
      <c r="W1232" t="n">
        <v>0</v>
      </c>
      <c r="X1232" t="n">
        <v>0</v>
      </c>
    </row>
    <row r="1233">
      <c r="A1233" t="n">
        <v>1232</v>
      </c>
      <c r="B1233" t="inlineStr">
        <is>
          <t>Export Administration Fee and Customs Processing Fee</t>
        </is>
      </c>
      <c r="C1233" t="inlineStr">
        <is>
          <t>ជី លីង អិចប្រេស ឡូជីស្ទីក (ខេមបូឌា) លីមីធីត</t>
        </is>
      </c>
      <c r="D1233" t="inlineStr">
        <is>
          <t>L001-100044956</t>
        </is>
      </c>
      <c r="E1233" t="inlineStr">
        <is>
          <t>24158063</t>
        </is>
      </c>
      <c r="F1233" t="inlineStr">
        <is>
          <t>12-09-2024</t>
        </is>
      </c>
      <c r="G1233" t="n">
        <v>64960</v>
      </c>
      <c r="I1233">
        <f>G1233</f>
        <v/>
      </c>
      <c r="K1233">
        <f>I1233-G1233</f>
        <v/>
      </c>
      <c r="M1233" t="inlineStr">
        <is>
          <t>24158063</t>
        </is>
      </c>
      <c r="N1233" t="inlineStr">
        <is>
          <t>8423500</t>
        </is>
      </c>
      <c r="O1233">
        <f>M1233=N1233</f>
        <v/>
      </c>
      <c r="P1233">
        <f>AND(MONTH(F1233)=MONTH(S1233), YEAR(F1233)=YEAR(S1233))</f>
        <v/>
      </c>
      <c r="Q1233">
        <f>"L001-902303751"=U1233</f>
        <v/>
      </c>
      <c r="R1233">
        <f>G1233-W1233</f>
        <v/>
      </c>
      <c r="S1233" s="36" t="n">
        <v>45495</v>
      </c>
      <c r="T1233" t="n">
        <v>84235</v>
      </c>
      <c r="U1233" t="inlineStr">
        <is>
          <t>L001-107032791</t>
        </is>
      </c>
      <c r="V1233" t="inlineStr">
        <is>
          <t>នីបផន អិចប្រេស (ខេមបូឌា) ខូ អិលធីឌី</t>
        </is>
      </c>
      <c r="W1233" t="n">
        <v>84235</v>
      </c>
      <c r="X1233" t="n">
        <v>0</v>
      </c>
    </row>
    <row r="1234">
      <c r="A1234" t="n">
        <v>1233</v>
      </c>
      <c r="B1234" t="inlineStr">
        <is>
          <t>HAWB Fee, AMS Fee and Handling Fee</t>
        </is>
      </c>
      <c r="C1234" t="inlineStr">
        <is>
          <t>រែភីដ ហ្រ្វេត ឡូជីស្ទីក (ខេមបូឌា)</t>
        </is>
      </c>
      <c r="D1234" t="inlineStr">
        <is>
          <t>L001-105000965</t>
        </is>
      </c>
      <c r="E1234" t="inlineStr">
        <is>
          <t>2024-1460</t>
        </is>
      </c>
      <c r="F1234" t="inlineStr">
        <is>
          <t>04-09-2024</t>
        </is>
      </c>
      <c r="G1234" t="n">
        <v>40730</v>
      </c>
      <c r="I1234">
        <f>G1234</f>
        <v/>
      </c>
      <c r="K1234">
        <f>I1234-G1234</f>
        <v/>
      </c>
      <c r="M1234" t="inlineStr">
        <is>
          <t>20241460</t>
        </is>
      </c>
      <c r="N1234" t="inlineStr"/>
      <c r="O1234">
        <f>M1234=N1234</f>
        <v/>
      </c>
      <c r="P1234">
        <f>AND(MONTH(F1234)=MONTH(S1234), YEAR(F1234)=YEAR(S1234))</f>
        <v/>
      </c>
      <c r="Q1234">
        <f>"L001-902303751"=U1234</f>
        <v/>
      </c>
      <c r="R1234">
        <f>G1234-W1234</f>
        <v/>
      </c>
      <c r="S1234" s="36" t="n">
        <v>45474</v>
      </c>
      <c r="T1234" t="inlineStr"/>
      <c r="U1234" t="inlineStr">
        <is>
          <t>L001-107032791</t>
        </is>
      </c>
      <c r="V1234" t="inlineStr">
        <is>
          <t>នីបផន អិចប្រេស (ខេមបូឌា) ខូ អិលធីឌី</t>
        </is>
      </c>
      <c r="W1234" t="n">
        <v>0</v>
      </c>
      <c r="X1234" t="n">
        <v>0</v>
      </c>
    </row>
    <row r="1235">
      <c r="A1235" t="n">
        <v>1234</v>
      </c>
      <c r="B1235" t="inlineStr">
        <is>
          <t>Export Administration Fee, Port Formality, Service Charge</t>
        </is>
      </c>
      <c r="C1235" t="inlineStr">
        <is>
          <t>ឆាយ ដា ឡូយីស្ទីក</t>
        </is>
      </c>
      <c r="D1235" t="inlineStr">
        <is>
          <t>L001-100063098</t>
        </is>
      </c>
      <c r="E1235" t="inlineStr">
        <is>
          <t>2409013233</t>
        </is>
      </c>
      <c r="F1235" t="inlineStr">
        <is>
          <t>03-09-2024</t>
        </is>
      </c>
      <c r="G1235" t="n">
        <v>76772</v>
      </c>
      <c r="I1235">
        <f>G1235</f>
        <v/>
      </c>
      <c r="K1235">
        <f>I1235-G1235</f>
        <v/>
      </c>
      <c r="M1235" t="inlineStr">
        <is>
          <t>2409013233</t>
        </is>
      </c>
      <c r="N1235" t="inlineStr">
        <is>
          <t>9909900</t>
        </is>
      </c>
      <c r="O1235">
        <f>M1235=N1235</f>
        <v/>
      </c>
      <c r="P1235">
        <f>AND(MONTH(F1235)=MONTH(S1235), YEAR(F1235)=YEAR(S1235))</f>
        <v/>
      </c>
      <c r="Q1235">
        <f>"L001-902303751"=U1235</f>
        <v/>
      </c>
      <c r="R1235">
        <f>G1235-W1235</f>
        <v/>
      </c>
      <c r="S1235" s="36" t="n">
        <v>45474</v>
      </c>
      <c r="T1235" t="n">
        <v>99099</v>
      </c>
      <c r="U1235" t="inlineStr">
        <is>
          <t>K005-901805913</t>
        </is>
      </c>
      <c r="V1235" t="inlineStr">
        <is>
          <t>ស្តារ ខង់ខដ (ខេមបូឌា) ឯ.ក</t>
        </is>
      </c>
      <c r="W1235" t="n">
        <v>99099</v>
      </c>
      <c r="X1235" t="n">
        <v>0</v>
      </c>
    </row>
    <row r="1236">
      <c r="A1236" t="n">
        <v>1235</v>
      </c>
      <c r="B1236" t="inlineStr">
        <is>
          <t>Export Adminstration Fee and Customs Processing Fee</t>
        </is>
      </c>
      <c r="C1236" t="inlineStr">
        <is>
          <t>ជី លីង អិចប្រេស ឡូជីស្ទីក (ខេមបូឌា) លីមីធីត</t>
        </is>
      </c>
      <c r="D1236" t="inlineStr">
        <is>
          <t>L001-100044956</t>
        </is>
      </c>
      <c r="E1236" t="inlineStr">
        <is>
          <t>24157906</t>
        </is>
      </c>
      <c r="F1236" t="inlineStr">
        <is>
          <t>05-09-2024</t>
        </is>
      </c>
      <c r="G1236" t="n">
        <v>65216</v>
      </c>
      <c r="I1236">
        <f>G1236</f>
        <v/>
      </c>
      <c r="K1236">
        <f>I1236-G1236</f>
        <v/>
      </c>
      <c r="M1236" t="inlineStr">
        <is>
          <t>24157906</t>
        </is>
      </c>
      <c r="N1236" t="inlineStr">
        <is>
          <t>78055100</t>
        </is>
      </c>
      <c r="O1236">
        <f>M1236=N1236</f>
        <v/>
      </c>
      <c r="P1236">
        <f>AND(MONTH(F1236)=MONTH(S1236), YEAR(F1236)=YEAR(S1236))</f>
        <v/>
      </c>
      <c r="Q1236">
        <f>"L001-902303751"=U1236</f>
        <v/>
      </c>
      <c r="R1236">
        <f>G1236-W1236</f>
        <v/>
      </c>
      <c r="S1236" s="36" t="n">
        <v>45481</v>
      </c>
      <c r="T1236" t="n">
        <v>780551</v>
      </c>
      <c r="U1236" t="inlineStr">
        <is>
          <t>K005-901501155</t>
        </is>
      </c>
      <c r="V1236" t="inlineStr">
        <is>
          <t>ផេនដា គ្លូប៊ល ឡូជីស្ទីក (ខេមបូឌា)</t>
        </is>
      </c>
      <c r="W1236" t="n">
        <v>780551</v>
      </c>
      <c r="X1236" t="n">
        <v>0</v>
      </c>
    </row>
    <row r="1237">
      <c r="A1237" t="n">
        <v>1236</v>
      </c>
      <c r="B1237" t="inlineStr">
        <is>
          <t>Export Administration Fee and Customs Processing Fee</t>
        </is>
      </c>
      <c r="C1237" t="inlineStr">
        <is>
          <t>ជី លីង អិចប្រេស ឡូជីស្ទីក (ខេមបូឌា) លីមីធីត</t>
        </is>
      </c>
      <c r="D1237" t="inlineStr">
        <is>
          <t>L001-100044956</t>
        </is>
      </c>
      <c r="E1237" t="inlineStr">
        <is>
          <t>24157918</t>
        </is>
      </c>
      <c r="F1237" t="inlineStr">
        <is>
          <t>05-09-2024</t>
        </is>
      </c>
      <c r="G1237" t="n">
        <v>65216</v>
      </c>
      <c r="I1237">
        <f>G1237</f>
        <v/>
      </c>
      <c r="K1237">
        <f>I1237-G1237</f>
        <v/>
      </c>
      <c r="M1237" t="inlineStr">
        <is>
          <t>24157918</t>
        </is>
      </c>
      <c r="N1237" t="inlineStr"/>
      <c r="O1237">
        <f>M1237=N1237</f>
        <v/>
      </c>
      <c r="P1237">
        <f>AND(MONTH(F1237)=MONTH(S1237), YEAR(F1237)=YEAR(S1237))</f>
        <v/>
      </c>
      <c r="Q1237">
        <f>"L001-902303751"=U1237</f>
        <v/>
      </c>
      <c r="R1237">
        <f>G1237-W1237</f>
        <v/>
      </c>
      <c r="S1237" s="36" t="n">
        <v>45481</v>
      </c>
      <c r="T1237" t="inlineStr"/>
      <c r="U1237" t="inlineStr">
        <is>
          <t>K002-901800477</t>
        </is>
      </c>
      <c r="V1237" t="inlineStr">
        <is>
          <t>អាយធីអាយ អ៊ិនធើណេសិនណល ត្រេនស័្ពរថេសិន (ខេមបូឌា) ឯ.ក</t>
        </is>
      </c>
      <c r="W1237" t="n">
        <v>0</v>
      </c>
      <c r="X1237" t="n">
        <v>0</v>
      </c>
    </row>
    <row r="1238">
      <c r="A1238" t="n">
        <v>1237</v>
      </c>
      <c r="B1238" t="inlineStr">
        <is>
          <t>THC FEE, CFS FEE, DOCUMENT FEE, ADMINISTRATION FEE, CUSTOMS CLEARANCE AND TELEX-RELEASE B/L FEE</t>
        </is>
      </c>
      <c r="C1238" t="inlineStr">
        <is>
          <t>សេហ្វធី គ្លូប៊ល ឡូជីស្ទីក (ខេមបូឌា) ឯ.ក</t>
        </is>
      </c>
      <c r="D1238" t="inlineStr">
        <is>
          <t>K005-901901220</t>
        </is>
      </c>
      <c r="E1238" t="inlineStr">
        <is>
          <t>TI2024-1588</t>
        </is>
      </c>
      <c r="F1238" t="inlineStr">
        <is>
          <t>09-09-2024</t>
        </is>
      </c>
      <c r="G1238" t="n">
        <v>141897</v>
      </c>
      <c r="I1238">
        <f>G1238</f>
        <v/>
      </c>
      <c r="K1238">
        <f>I1238-G1238</f>
        <v/>
      </c>
      <c r="M1238" t="inlineStr">
        <is>
          <t>TI20241588</t>
        </is>
      </c>
      <c r="N1238" t="inlineStr">
        <is>
          <t>8444000</t>
        </is>
      </c>
      <c r="O1238">
        <f>M1238=N1238</f>
        <v/>
      </c>
      <c r="P1238">
        <f>AND(MONTH(F1238)=MONTH(S1238), YEAR(F1238)=YEAR(S1238))</f>
        <v/>
      </c>
      <c r="Q1238">
        <f>"L001-902303751"=U1238</f>
        <v/>
      </c>
      <c r="R1238">
        <f>G1238-W1238</f>
        <v/>
      </c>
      <c r="S1238" s="36" t="n">
        <v>45481</v>
      </c>
      <c r="T1238" t="n">
        <v>84440</v>
      </c>
      <c r="U1238" t="inlineStr">
        <is>
          <t>L001-107032791</t>
        </is>
      </c>
      <c r="V1238" t="inlineStr">
        <is>
          <t>នីបផន អិចប្រេស (ខេមបូឌា) ខូ អិលធីឌី</t>
        </is>
      </c>
      <c r="W1238" t="n">
        <v>84440</v>
      </c>
      <c r="X1238" t="n">
        <v>0</v>
      </c>
    </row>
    <row r="1239">
      <c r="A1239" t="n">
        <v>1238</v>
      </c>
      <c r="B1239" t="inlineStr">
        <is>
          <t>Import Shipment Expense</t>
        </is>
      </c>
      <c r="C1239" t="inlineStr">
        <is>
          <t>ត្រេនម៉ារីន ឡូជីស្ទីក (ខេមបូឌា)</t>
        </is>
      </c>
      <c r="D1239" t="inlineStr">
        <is>
          <t>L001-106004107</t>
        </is>
      </c>
      <c r="E1239" t="inlineStr">
        <is>
          <t>9961033983</t>
        </is>
      </c>
      <c r="F1239" t="inlineStr">
        <is>
          <t>04-09-2024</t>
        </is>
      </c>
      <c r="G1239" t="n">
        <v>194101</v>
      </c>
      <c r="I1239">
        <f>G1239</f>
        <v/>
      </c>
      <c r="K1239">
        <f>I1239-G1239</f>
        <v/>
      </c>
      <c r="M1239" t="inlineStr">
        <is>
          <t>9961033983</t>
        </is>
      </c>
      <c r="N1239" t="inlineStr">
        <is>
          <t>8417300</t>
        </is>
      </c>
      <c r="O1239">
        <f>M1239=N1239</f>
        <v/>
      </c>
      <c r="P1239">
        <f>AND(MONTH(F1239)=MONTH(S1239), YEAR(F1239)=YEAR(S1239))</f>
        <v/>
      </c>
      <c r="Q1239">
        <f>"L001-902303751"=U1239</f>
        <v/>
      </c>
      <c r="R1239">
        <f>G1239-W1239</f>
        <v/>
      </c>
      <c r="S1239" s="36" t="n">
        <v>45488</v>
      </c>
      <c r="T1239" t="n">
        <v>84173</v>
      </c>
      <c r="U1239" t="inlineStr">
        <is>
          <t>L001-100011888</t>
        </is>
      </c>
      <c r="V1239" t="inlineStr">
        <is>
          <t>ត្រេន ស្តារ ហ្រេ្វត</t>
        </is>
      </c>
      <c r="W1239" t="n">
        <v>84173</v>
      </c>
      <c r="X1239" t="n">
        <v>0</v>
      </c>
    </row>
    <row r="1240">
      <c r="A1240" t="n">
        <v>1239</v>
      </c>
      <c r="B1240" t="inlineStr">
        <is>
          <t>Pest Control Service</t>
        </is>
      </c>
      <c r="C1240" t="inlineStr">
        <is>
          <t>ជីស៊ី ផេស ខិនត្រូល ឯ.ក</t>
        </is>
      </c>
      <c r="D1240" t="inlineStr">
        <is>
          <t>K004-902104767</t>
        </is>
      </c>
      <c r="E1240" t="inlineStr">
        <is>
          <t>2024-00020</t>
        </is>
      </c>
      <c r="F1240" t="inlineStr">
        <is>
          <t>12-09-2024</t>
        </is>
      </c>
      <c r="G1240" t="n">
        <v>1141875</v>
      </c>
      <c r="I1240">
        <f>G1240</f>
        <v/>
      </c>
      <c r="K1240">
        <f>I1240-G1240</f>
        <v/>
      </c>
      <c r="M1240" t="inlineStr">
        <is>
          <t>202400020</t>
        </is>
      </c>
      <c r="N1240" t="inlineStr">
        <is>
          <t>8413200</t>
        </is>
      </c>
      <c r="O1240">
        <f>M1240=N1240</f>
        <v/>
      </c>
      <c r="P1240">
        <f>AND(MONTH(F1240)=MONTH(S1240), YEAR(F1240)=YEAR(S1240))</f>
        <v/>
      </c>
      <c r="Q1240">
        <f>"L001-902303751"=U1240</f>
        <v/>
      </c>
      <c r="R1240">
        <f>G1240-W1240</f>
        <v/>
      </c>
      <c r="S1240" s="36" t="n">
        <v>45502</v>
      </c>
      <c r="T1240" t="n">
        <v>84132</v>
      </c>
      <c r="U1240" t="inlineStr">
        <is>
          <t>L001-107032791</t>
        </is>
      </c>
      <c r="V1240" t="inlineStr">
        <is>
          <t>នីបផន អិចប្រេស (ខេមបូឌា) ខូ អិលធីឌី</t>
        </is>
      </c>
      <c r="W1240" t="n">
        <v>84132</v>
      </c>
      <c r="X1240" t="n">
        <v>0</v>
      </c>
    </row>
    <row r="1241">
      <c r="A1241" t="n">
        <v>1240</v>
      </c>
      <c r="B1241" t="inlineStr">
        <is>
          <t>Pest Control Service</t>
        </is>
      </c>
      <c r="C1241" t="inlineStr">
        <is>
          <t>ជីស៊ី ផេស ខិនត្រូល ឯ.ក</t>
        </is>
      </c>
      <c r="D1241" t="inlineStr">
        <is>
          <t>K004-902104767</t>
        </is>
      </c>
      <c r="E1241" t="inlineStr">
        <is>
          <t>2024-00019</t>
        </is>
      </c>
      <c r="F1241" t="inlineStr">
        <is>
          <t>12-09-2024</t>
        </is>
      </c>
      <c r="G1241" t="n">
        <v>259840</v>
      </c>
      <c r="I1241">
        <f>G1241</f>
        <v/>
      </c>
      <c r="K1241">
        <f>I1241-G1241</f>
        <v/>
      </c>
      <c r="M1241" t="inlineStr">
        <is>
          <t>202400019</t>
        </is>
      </c>
      <c r="N1241" t="inlineStr"/>
      <c r="O1241">
        <f>M1241=N1241</f>
        <v/>
      </c>
      <c r="P1241">
        <f>AND(MONTH(F1241)=MONTH(S1241), YEAR(F1241)=YEAR(S1241))</f>
        <v/>
      </c>
      <c r="Q1241">
        <f>"L001-902303751"=U1241</f>
        <v/>
      </c>
      <c r="R1241">
        <f>G1241-W1241</f>
        <v/>
      </c>
      <c r="S1241" s="36" t="n">
        <v>45495</v>
      </c>
      <c r="T1241" t="inlineStr"/>
      <c r="U1241" t="inlineStr">
        <is>
          <t>L001-100045340</t>
        </is>
      </c>
      <c r="V1241" t="inlineStr">
        <is>
          <t xml:space="preserve">ស៊ីវ៉ា អ៊ែរ អ៊ែន អូសៀន (ខេមបូឌា) ឯ.ក </t>
        </is>
      </c>
      <c r="W1241" t="n">
        <v>0</v>
      </c>
      <c r="X1241" t="n">
        <v>0</v>
      </c>
    </row>
    <row r="1242">
      <c r="A1242" t="n">
        <v>1241</v>
      </c>
      <c r="B1242" t="inlineStr">
        <is>
          <t>Rental Machine</t>
        </is>
      </c>
      <c r="C1242" t="inlineStr">
        <is>
          <t>ក្លាក ហ៊ូ ឯ.ក</t>
        </is>
      </c>
      <c r="D1242" t="inlineStr">
        <is>
          <t>K007-901639199</t>
        </is>
      </c>
      <c r="E1242" t="inlineStr">
        <is>
          <t>IN2179</t>
        </is>
      </c>
      <c r="F1242" t="inlineStr">
        <is>
          <t>27-09-2024</t>
        </is>
      </c>
      <c r="G1242" t="n">
        <v>246097</v>
      </c>
      <c r="I1242">
        <f>G1242</f>
        <v/>
      </c>
      <c r="K1242">
        <f>I1242-G1242</f>
        <v/>
      </c>
      <c r="M1242" t="inlineStr">
        <is>
          <t>IN2179</t>
        </is>
      </c>
      <c r="N1242" t="inlineStr"/>
      <c r="O1242">
        <f>M1242=N1242</f>
        <v/>
      </c>
      <c r="P1242">
        <f>AND(MONTH(F1242)=MONTH(S1242), YEAR(F1242)=YEAR(S1242))</f>
        <v/>
      </c>
      <c r="Q1242">
        <f>"L001-902303751"=U1242</f>
        <v/>
      </c>
      <c r="R1242">
        <f>G1242-W1242</f>
        <v/>
      </c>
      <c r="S1242" s="36" t="n">
        <v>45474</v>
      </c>
      <c r="T1242" t="inlineStr"/>
      <c r="U1242" t="inlineStr">
        <is>
          <t>L001-107032791</t>
        </is>
      </c>
      <c r="V1242" t="inlineStr">
        <is>
          <t>នីបផន អិចប្រេស (ខេមបូឌា) ខូ អិលធីឌី</t>
        </is>
      </c>
      <c r="W1242" t="n">
        <v>0</v>
      </c>
      <c r="X1242" t="n">
        <v>0</v>
      </c>
    </row>
    <row r="1243">
      <c r="A1243" t="n">
        <v>1242</v>
      </c>
      <c r="B1243" t="inlineStr">
        <is>
          <t>Rental Machine</t>
        </is>
      </c>
      <c r="C1243" t="inlineStr">
        <is>
          <t>ក្លាក ហ៊ូ ឯ.ក</t>
        </is>
      </c>
      <c r="D1243" t="inlineStr">
        <is>
          <t>K007-901639199</t>
        </is>
      </c>
      <c r="E1243" t="inlineStr">
        <is>
          <t>IN2178</t>
        </is>
      </c>
      <c r="F1243" t="inlineStr">
        <is>
          <t>27-09-2024</t>
        </is>
      </c>
      <c r="G1243" t="n">
        <v>394242</v>
      </c>
      <c r="I1243">
        <f>G1243</f>
        <v/>
      </c>
      <c r="K1243">
        <f>I1243-G1243</f>
        <v/>
      </c>
      <c r="M1243" t="inlineStr">
        <is>
          <t>IN2178</t>
        </is>
      </c>
      <c r="N1243" t="inlineStr">
        <is>
          <t>11327300</t>
        </is>
      </c>
      <c r="O1243">
        <f>M1243=N1243</f>
        <v/>
      </c>
      <c r="P1243">
        <f>AND(MONTH(F1243)=MONTH(S1243), YEAR(F1243)=YEAR(S1243))</f>
        <v/>
      </c>
      <c r="Q1243">
        <f>"L001-902303751"=U1243</f>
        <v/>
      </c>
      <c r="R1243">
        <f>G1243-W1243</f>
        <v/>
      </c>
      <c r="S1243" s="36" t="n">
        <v>45481</v>
      </c>
      <c r="T1243" t="n">
        <v>113273</v>
      </c>
      <c r="U1243" t="inlineStr">
        <is>
          <t>L001-100045995</t>
        </is>
      </c>
      <c r="V1243" t="inlineStr">
        <is>
          <t>ឌីអេចអិល ឡូជីស្ទីក (ខេមបូឌា)</t>
        </is>
      </c>
      <c r="W1243" t="n">
        <v>113273</v>
      </c>
      <c r="X1243" t="n">
        <v>0</v>
      </c>
    </row>
    <row r="1244">
      <c r="A1244" t="n">
        <v>1243</v>
      </c>
      <c r="B1244" t="inlineStr">
        <is>
          <t>Rental Machine</t>
        </is>
      </c>
      <c r="C1244" t="inlineStr">
        <is>
          <t>ក្លាក ហ៊ូ ឯ.ក</t>
        </is>
      </c>
      <c r="D1244" t="inlineStr">
        <is>
          <t>K007-901639199</t>
        </is>
      </c>
      <c r="E1244" t="inlineStr">
        <is>
          <t>IN2177</t>
        </is>
      </c>
      <c r="F1244" t="inlineStr">
        <is>
          <t>27-09-2024</t>
        </is>
      </c>
      <c r="G1244" t="n">
        <v>612805</v>
      </c>
      <c r="I1244">
        <f>G1244</f>
        <v/>
      </c>
      <c r="K1244">
        <f>I1244-G1244</f>
        <v/>
      </c>
      <c r="M1244" t="inlineStr">
        <is>
          <t>IN2177</t>
        </is>
      </c>
      <c r="N1244" t="inlineStr">
        <is>
          <t>8417300</t>
        </is>
      </c>
      <c r="O1244">
        <f>M1244=N1244</f>
        <v/>
      </c>
      <c r="P1244">
        <f>AND(MONTH(F1244)=MONTH(S1244), YEAR(F1244)=YEAR(S1244))</f>
        <v/>
      </c>
      <c r="Q1244">
        <f>"L001-902303751"=U1244</f>
        <v/>
      </c>
      <c r="R1244">
        <f>G1244-W1244</f>
        <v/>
      </c>
      <c r="S1244" s="36" t="n">
        <v>45488</v>
      </c>
      <c r="T1244" t="n">
        <v>84173</v>
      </c>
      <c r="U1244" t="inlineStr">
        <is>
          <t>L001-107032791</t>
        </is>
      </c>
      <c r="V1244" t="inlineStr">
        <is>
          <t>នីបផន អិចប្រេស (ខេមបូឌា) ខូ អិលធីឌី</t>
        </is>
      </c>
      <c r="W1244" t="n">
        <v>84173</v>
      </c>
      <c r="X1244" t="n">
        <v>0</v>
      </c>
    </row>
    <row r="1245">
      <c r="A1245" t="n">
        <v>1244</v>
      </c>
      <c r="B1245" t="inlineStr">
        <is>
          <t>Rental Machine</t>
        </is>
      </c>
      <c r="C1245" t="inlineStr">
        <is>
          <t>ក្លាក ហ៊ូ ឯ.ក</t>
        </is>
      </c>
      <c r="D1245" t="inlineStr">
        <is>
          <t>K007-901639199</t>
        </is>
      </c>
      <c r="E1245" t="inlineStr">
        <is>
          <t>IN2176</t>
        </is>
      </c>
      <c r="F1245" t="inlineStr">
        <is>
          <t>27-09-2024</t>
        </is>
      </c>
      <c r="G1245" t="n">
        <v>186603</v>
      </c>
      <c r="I1245">
        <f>G1245</f>
        <v/>
      </c>
      <c r="K1245">
        <f>I1245-G1245</f>
        <v/>
      </c>
      <c r="M1245" t="inlineStr">
        <is>
          <t>IN2176</t>
        </is>
      </c>
      <c r="N1245" t="inlineStr">
        <is>
          <t>213358700</t>
        </is>
      </c>
      <c r="O1245">
        <f>M1245=N1245</f>
        <v/>
      </c>
      <c r="P1245">
        <f>AND(MONTH(F1245)=MONTH(S1245), YEAR(F1245)=YEAR(S1245))</f>
        <v/>
      </c>
      <c r="Q1245">
        <f>"L001-902303751"=U1245</f>
        <v/>
      </c>
      <c r="R1245">
        <f>G1245-W1245</f>
        <v/>
      </c>
      <c r="S1245" s="36" t="n">
        <v>45491</v>
      </c>
      <c r="T1245" t="n">
        <v>2133587</v>
      </c>
      <c r="U1245" t="inlineStr">
        <is>
          <t>K004-105012505</t>
        </is>
      </c>
      <c r="V1245" t="inlineStr">
        <is>
          <t>អេស៊ាន ហ្វ្រេត (ខេមបូឌា)</t>
        </is>
      </c>
      <c r="W1245" t="n">
        <v>2133587</v>
      </c>
      <c r="X1245" t="n">
        <v>0</v>
      </c>
    </row>
    <row r="1246">
      <c r="A1246" t="n">
        <v>1245</v>
      </c>
      <c r="B1246" t="inlineStr">
        <is>
          <t>Rental Machine</t>
        </is>
      </c>
      <c r="C1246" t="inlineStr">
        <is>
          <t>ក្លាក ហ៊ូ ឯ.ក</t>
        </is>
      </c>
      <c r="D1246" t="inlineStr">
        <is>
          <t>K007-901639199</t>
        </is>
      </c>
      <c r="E1246" t="inlineStr">
        <is>
          <t>IN2175</t>
        </is>
      </c>
      <c r="F1246" t="inlineStr">
        <is>
          <t>27-09-2024</t>
        </is>
      </c>
      <c r="G1246" t="n">
        <v>496254</v>
      </c>
      <c r="I1246">
        <f>G1246</f>
        <v/>
      </c>
      <c r="K1246">
        <f>I1246-G1246</f>
        <v/>
      </c>
      <c r="M1246" t="inlineStr">
        <is>
          <t>IN2175</t>
        </is>
      </c>
      <c r="N1246" t="inlineStr">
        <is>
          <t>17459000</t>
        </is>
      </c>
      <c r="O1246">
        <f>M1246=N1246</f>
        <v/>
      </c>
      <c r="P1246">
        <f>AND(MONTH(F1246)=MONTH(S1246), YEAR(F1246)=YEAR(S1246))</f>
        <v/>
      </c>
      <c r="Q1246">
        <f>"L001-902303751"=U1246</f>
        <v/>
      </c>
      <c r="R1246">
        <f>G1246-W1246</f>
        <v/>
      </c>
      <c r="S1246" s="36" t="n">
        <v>45504</v>
      </c>
      <c r="T1246" t="n">
        <v>174590</v>
      </c>
      <c r="U1246" t="inlineStr">
        <is>
          <t>K002-901800477</t>
        </is>
      </c>
      <c r="V1246" t="inlineStr">
        <is>
          <t>អាយធីអាយ អ៊ិនធើណេសិនណល ត្រេនស័្ពរថេសិន (ខេមបូឌា) ឯ.ក</t>
        </is>
      </c>
      <c r="W1246" t="n">
        <v>174590</v>
      </c>
      <c r="X1246" t="n">
        <v>0</v>
      </c>
    </row>
    <row r="1247">
      <c r="A1247" t="n">
        <v>1246</v>
      </c>
      <c r="B1247" t="inlineStr">
        <is>
          <t>Rental Machine</t>
        </is>
      </c>
      <c r="C1247" t="inlineStr">
        <is>
          <t>ក្លាក ហ៊ូ ឯ.ក</t>
        </is>
      </c>
      <c r="D1247" t="inlineStr">
        <is>
          <t>K007-901639199</t>
        </is>
      </c>
      <c r="E1247" t="inlineStr">
        <is>
          <t>IN2059</t>
        </is>
      </c>
      <c r="F1247" t="inlineStr">
        <is>
          <t>23-09-2024</t>
        </is>
      </c>
      <c r="G1247" t="n">
        <v>54851</v>
      </c>
      <c r="I1247">
        <f>G1247</f>
        <v/>
      </c>
      <c r="K1247">
        <f>I1247-G1247</f>
        <v/>
      </c>
      <c r="M1247" t="inlineStr">
        <is>
          <t>IN2059</t>
        </is>
      </c>
      <c r="N1247" t="inlineStr">
        <is>
          <t>11286000</t>
        </is>
      </c>
      <c r="O1247">
        <f>M1247=N1247</f>
        <v/>
      </c>
      <c r="P1247">
        <f>AND(MONTH(F1247)=MONTH(S1247), YEAR(F1247)=YEAR(S1247))</f>
        <v/>
      </c>
      <c r="Q1247">
        <f>"L001-902303751"=U1247</f>
        <v/>
      </c>
      <c r="R1247">
        <f>G1247-W1247</f>
        <v/>
      </c>
      <c r="S1247" s="36" t="n">
        <v>45502</v>
      </c>
      <c r="T1247" t="n">
        <v>112860</v>
      </c>
      <c r="U1247" t="inlineStr">
        <is>
          <t>L001-107032791</t>
        </is>
      </c>
      <c r="V1247" t="inlineStr">
        <is>
          <t>នីបផន អិចប្រេស (ខេមបូឌា) ខូ អិលធីឌី</t>
        </is>
      </c>
      <c r="W1247" t="n">
        <v>112860</v>
      </c>
      <c r="X1247" t="n">
        <v>0</v>
      </c>
    </row>
    <row r="1248">
      <c r="A1248" t="n">
        <v>1247</v>
      </c>
      <c r="B1248" t="inlineStr">
        <is>
          <t>Rental Machine</t>
        </is>
      </c>
      <c r="C1248" t="inlineStr">
        <is>
          <t>ក្លាក ហ៊ូ ឯ.ក</t>
        </is>
      </c>
      <c r="D1248" t="inlineStr">
        <is>
          <t>K007-901639199</t>
        </is>
      </c>
      <c r="E1248" t="inlineStr">
        <is>
          <t>IN2060</t>
        </is>
      </c>
      <c r="F1248" t="inlineStr">
        <is>
          <t>23-09-2024</t>
        </is>
      </c>
      <c r="G1248" t="n">
        <v>60945</v>
      </c>
      <c r="I1248">
        <f>G1248</f>
        <v/>
      </c>
      <c r="K1248">
        <f>I1248-G1248</f>
        <v/>
      </c>
      <c r="M1248" t="inlineStr">
        <is>
          <t>IN2060</t>
        </is>
      </c>
      <c r="N1248" t="inlineStr">
        <is>
          <t>8670000</t>
        </is>
      </c>
      <c r="O1248">
        <f>M1248=N1248</f>
        <v/>
      </c>
      <c r="P1248">
        <f>AND(MONTH(F1248)=MONTH(S1248), YEAR(F1248)=YEAR(S1248))</f>
        <v/>
      </c>
      <c r="Q1248">
        <f>"L001-902303751"=U1248</f>
        <v/>
      </c>
      <c r="R1248">
        <f>G1248-W1248</f>
        <v/>
      </c>
      <c r="S1248" s="36" t="n">
        <v>45495</v>
      </c>
      <c r="T1248" t="n">
        <v>86700</v>
      </c>
      <c r="U1248" t="inlineStr">
        <is>
          <t>L001-100045340</t>
        </is>
      </c>
      <c r="V1248" t="inlineStr">
        <is>
          <t xml:space="preserve">ស៊ីវ៉ា អ៊ែរ អ៊ែន អូសៀន (ខេមបូឌា) ឯ.ក </t>
        </is>
      </c>
      <c r="W1248" t="n">
        <v>86700</v>
      </c>
      <c r="X1248" t="n">
        <v>0</v>
      </c>
    </row>
    <row r="1249">
      <c r="A1249" t="n">
        <v>1248</v>
      </c>
      <c r="B1249" t="inlineStr">
        <is>
          <t>Rental Machine</t>
        </is>
      </c>
      <c r="C1249" t="inlineStr">
        <is>
          <t>ក្លាក ហ៊ូ ឯ.ក</t>
        </is>
      </c>
      <c r="D1249" t="inlineStr">
        <is>
          <t>K007-901639199</t>
        </is>
      </c>
      <c r="E1249" t="inlineStr">
        <is>
          <t>IN2061</t>
        </is>
      </c>
      <c r="F1249" t="inlineStr">
        <is>
          <t>23-09-2024</t>
        </is>
      </c>
      <c r="G1249" t="n">
        <v>60945</v>
      </c>
      <c r="I1249">
        <f>G1249</f>
        <v/>
      </c>
      <c r="K1249">
        <f>I1249-G1249</f>
        <v/>
      </c>
      <c r="M1249" t="inlineStr">
        <is>
          <t>IN2061</t>
        </is>
      </c>
      <c r="N1249" t="inlineStr"/>
      <c r="O1249">
        <f>M1249=N1249</f>
        <v/>
      </c>
      <c r="P1249">
        <f>AND(MONTH(F1249)=MONTH(S1249), YEAR(F1249)=YEAR(S1249))</f>
        <v/>
      </c>
      <c r="Q1249">
        <f>"L001-902303751"=U1249</f>
        <v/>
      </c>
      <c r="R1249">
        <f>G1249-W1249</f>
        <v/>
      </c>
      <c r="S1249" s="36" t="n">
        <v>45474</v>
      </c>
      <c r="T1249" t="inlineStr"/>
      <c r="U1249" t="inlineStr">
        <is>
          <t>K005-901805913</t>
        </is>
      </c>
      <c r="V1249" t="inlineStr">
        <is>
          <t>ស្តារ ខង់ខដ (ខេមបូឌា) ឯ.ក</t>
        </is>
      </c>
      <c r="W1249" t="n">
        <v>0</v>
      </c>
      <c r="X1249" t="n">
        <v>0</v>
      </c>
    </row>
    <row r="1250">
      <c r="A1250" t="n">
        <v>1249</v>
      </c>
      <c r="B1250" t="inlineStr">
        <is>
          <t>Rental Machine</t>
        </is>
      </c>
      <c r="C1250" t="inlineStr">
        <is>
          <t>ក្លាក ហ៊ូ ឯ.ក</t>
        </is>
      </c>
      <c r="D1250" t="inlineStr">
        <is>
          <t>K007-901639199</t>
        </is>
      </c>
      <c r="E1250" t="inlineStr">
        <is>
          <t>IN2062</t>
        </is>
      </c>
      <c r="F1250" t="inlineStr">
        <is>
          <t>23-09-2024</t>
        </is>
      </c>
      <c r="G1250" t="n">
        <v>60945</v>
      </c>
      <c r="I1250">
        <f>G1250</f>
        <v/>
      </c>
      <c r="K1250">
        <f>I1250-G1250</f>
        <v/>
      </c>
      <c r="M1250" t="inlineStr">
        <is>
          <t>IN2062</t>
        </is>
      </c>
      <c r="N1250" t="inlineStr"/>
      <c r="O1250">
        <f>M1250=N1250</f>
        <v/>
      </c>
      <c r="P1250">
        <f>AND(MONTH(F1250)=MONTH(S1250), YEAR(F1250)=YEAR(S1250))</f>
        <v/>
      </c>
      <c r="Q1250">
        <f>"L001-902303751"=U1250</f>
        <v/>
      </c>
      <c r="R1250">
        <f>G1250-W1250</f>
        <v/>
      </c>
      <c r="S1250" s="36" t="n">
        <v>45474</v>
      </c>
      <c r="T1250" t="inlineStr"/>
      <c r="U1250" t="inlineStr">
        <is>
          <t>L001-107032791</t>
        </is>
      </c>
      <c r="V1250" t="inlineStr">
        <is>
          <t>នីបផន អិចប្រេស (ខេមបូឌា) ខូ អិលធីឌី</t>
        </is>
      </c>
      <c r="W1250" t="n">
        <v>0</v>
      </c>
      <c r="X1250" t="n">
        <v>0</v>
      </c>
    </row>
    <row r="1251">
      <c r="A1251" t="n">
        <v>1250</v>
      </c>
      <c r="B1251" t="inlineStr">
        <is>
          <t>Monthly Security for September 2024</t>
        </is>
      </c>
      <c r="C1251" t="inlineStr">
        <is>
          <t>អិល.ប៊ី.អិល.អេច ស៊ីឃ្យូរឹធី ឯ.ក</t>
        </is>
      </c>
      <c r="D1251" t="inlineStr">
        <is>
          <t>K010-902202247</t>
        </is>
      </c>
      <c r="E1251" t="inlineStr">
        <is>
          <t>L.B.L.H00009</t>
        </is>
      </c>
      <c r="F1251" t="inlineStr">
        <is>
          <t>25-09-2024</t>
        </is>
      </c>
      <c r="G1251" t="n">
        <v>1487058</v>
      </c>
      <c r="I1251">
        <f>G1251</f>
        <v/>
      </c>
      <c r="K1251">
        <f>I1251-G1251</f>
        <v/>
      </c>
      <c r="M1251" t="inlineStr">
        <is>
          <t>LBLH00009</t>
        </is>
      </c>
      <c r="N1251" t="inlineStr"/>
      <c r="O1251">
        <f>M1251=N1251</f>
        <v/>
      </c>
      <c r="P1251">
        <f>AND(MONTH(F1251)=MONTH(S1251), YEAR(F1251)=YEAR(S1251))</f>
        <v/>
      </c>
      <c r="Q1251">
        <f>"L001-902303751"=U1251</f>
        <v/>
      </c>
      <c r="R1251">
        <f>G1251-W1251</f>
        <v/>
      </c>
      <c r="S1251" s="36" t="n">
        <v>45481</v>
      </c>
      <c r="T1251" t="inlineStr"/>
      <c r="U1251" t="inlineStr">
        <is>
          <t>K005-100150195</t>
        </is>
      </c>
      <c r="V1251" t="inlineStr">
        <is>
          <t>អេស អ វី ស៊ី ហ្វ្រេត សឺវីស (ខេមបូឌា) ខូ អិលធីឌី</t>
        </is>
      </c>
      <c r="W1251" t="n">
        <v>0</v>
      </c>
      <c r="X1251" t="n">
        <v>0</v>
      </c>
    </row>
    <row r="1252">
      <c r="A1252" t="n">
        <v>1251</v>
      </c>
      <c r="B1252" t="inlineStr">
        <is>
          <t>Rental Machine</t>
        </is>
      </c>
      <c r="C1252" t="inlineStr">
        <is>
          <t>ក្លាក ហ៊ូ ឯ.ក</t>
        </is>
      </c>
      <c r="D1252" t="inlineStr">
        <is>
          <t>K007-901639199</t>
        </is>
      </c>
      <c r="E1252" t="inlineStr">
        <is>
          <t>IN2063</t>
        </is>
      </c>
      <c r="F1252" t="inlineStr">
        <is>
          <t>23-09-2024</t>
        </is>
      </c>
      <c r="G1252" t="n">
        <v>72728</v>
      </c>
      <c r="I1252">
        <f>G1252</f>
        <v/>
      </c>
      <c r="K1252">
        <f>I1252-G1252</f>
        <v/>
      </c>
      <c r="M1252" t="inlineStr">
        <is>
          <t>IN2063</t>
        </is>
      </c>
      <c r="N1252" t="inlineStr">
        <is>
          <t>11327300</t>
        </is>
      </c>
      <c r="O1252">
        <f>M1252=N1252</f>
        <v/>
      </c>
      <c r="P1252">
        <f>AND(MONTH(F1252)=MONTH(S1252), YEAR(F1252)=YEAR(S1252))</f>
        <v/>
      </c>
      <c r="Q1252">
        <f>"L001-902303751"=U1252</f>
        <v/>
      </c>
      <c r="R1252">
        <f>G1252-W1252</f>
        <v/>
      </c>
      <c r="S1252" s="36" t="n">
        <v>45481</v>
      </c>
      <c r="T1252" t="n">
        <v>113273</v>
      </c>
      <c r="U1252" t="inlineStr">
        <is>
          <t>L001-107032791</t>
        </is>
      </c>
      <c r="V1252" t="inlineStr">
        <is>
          <t>នីបផន អិចប្រេស (ខេមបូឌា) ខូ អិលធីឌី</t>
        </is>
      </c>
      <c r="W1252" t="n">
        <v>113273</v>
      </c>
      <c r="X1252" t="n">
        <v>0</v>
      </c>
    </row>
    <row r="1253">
      <c r="A1253" t="n">
        <v>1252</v>
      </c>
      <c r="B1253" t="inlineStr">
        <is>
          <t>Rental Machine</t>
        </is>
      </c>
      <c r="C1253" t="inlineStr">
        <is>
          <t>ក្លាក ហ៊ូ ឯ.ក</t>
        </is>
      </c>
      <c r="D1253" t="inlineStr">
        <is>
          <t>K007-901639199</t>
        </is>
      </c>
      <c r="E1253" t="inlineStr">
        <is>
          <t>IN2064</t>
        </is>
      </c>
      <c r="F1253" t="inlineStr">
        <is>
          <t>23-09-2024</t>
        </is>
      </c>
      <c r="G1253" t="n">
        <v>452345</v>
      </c>
      <c r="I1253">
        <f>G1253</f>
        <v/>
      </c>
      <c r="K1253">
        <f>I1253-G1253</f>
        <v/>
      </c>
      <c r="M1253" t="inlineStr">
        <is>
          <t>IN2064</t>
        </is>
      </c>
      <c r="N1253" t="inlineStr"/>
      <c r="O1253">
        <f>M1253=N1253</f>
        <v/>
      </c>
      <c r="P1253">
        <f>AND(MONTH(F1253)=MONTH(S1253), YEAR(F1253)=YEAR(S1253))</f>
        <v/>
      </c>
      <c r="Q1253">
        <f>"L001-902303751"=U1253</f>
        <v/>
      </c>
      <c r="R1253">
        <f>G1253-W1253</f>
        <v/>
      </c>
      <c r="S1253" s="36" t="n">
        <v>45504</v>
      </c>
      <c r="T1253" t="inlineStr"/>
      <c r="U1253" t="inlineStr">
        <is>
          <t>K002-901800477</t>
        </is>
      </c>
      <c r="V1253" t="inlineStr">
        <is>
          <t>អាយធីអាយ អ៊ិនធើណេសិនណល ត្រេនស័្ពរថេសិន (ខេមបូឌា) ឯ.ក</t>
        </is>
      </c>
      <c r="W1253" t="n">
        <v>0</v>
      </c>
      <c r="X1253" t="n">
        <v>0</v>
      </c>
    </row>
    <row r="1254">
      <c r="A1254" t="n">
        <v>1253</v>
      </c>
      <c r="B1254" t="inlineStr">
        <is>
          <t>Thread</t>
        </is>
      </c>
      <c r="C1254" t="inlineStr">
        <is>
          <t>គ្លូប៊ល សុីលីន ហ្គាមុិន អេកសេសឺរី ឯ.ក</t>
        </is>
      </c>
      <c r="D1254" t="inlineStr">
        <is>
          <t>L001-902200857</t>
        </is>
      </c>
      <c r="E1254" t="inlineStr">
        <is>
          <t>000726</t>
        </is>
      </c>
      <c r="F1254" t="inlineStr">
        <is>
          <t>25-09-2024</t>
        </is>
      </c>
      <c r="G1254" t="n">
        <v>2362552</v>
      </c>
      <c r="I1254">
        <f>G1254</f>
        <v/>
      </c>
      <c r="K1254">
        <f>I1254-G1254</f>
        <v/>
      </c>
      <c r="M1254" t="inlineStr">
        <is>
          <t>000726</t>
        </is>
      </c>
      <c r="N1254" t="inlineStr"/>
      <c r="O1254">
        <f>M1254=N1254</f>
        <v/>
      </c>
      <c r="P1254">
        <f>AND(MONTH(F1254)=MONTH(S1254), YEAR(F1254)=YEAR(S1254))</f>
        <v/>
      </c>
      <c r="Q1254">
        <f>"L001-902303751"=U1254</f>
        <v/>
      </c>
      <c r="R1254">
        <f>G1254-W1254</f>
        <v/>
      </c>
      <c r="S1254" s="36" t="n">
        <v>45488</v>
      </c>
      <c r="T1254" t="inlineStr"/>
      <c r="U1254" t="inlineStr">
        <is>
          <t>L001-107032791</t>
        </is>
      </c>
      <c r="V1254" t="inlineStr">
        <is>
          <t>នីបផន អិចប្រេស (ខេមបូឌា) ខូ អិលធីឌី</t>
        </is>
      </c>
      <c r="W1254" t="n">
        <v>0</v>
      </c>
      <c r="X1254" t="n">
        <v>0</v>
      </c>
    </row>
    <row r="1255">
      <c r="A1255" t="n">
        <v>1254</v>
      </c>
      <c r="B1255" t="inlineStr">
        <is>
          <t>Rental Machine</t>
        </is>
      </c>
      <c r="C1255" t="inlineStr">
        <is>
          <t>ក្លាក ហ៊ូ ឯ.ក</t>
        </is>
      </c>
      <c r="D1255" t="inlineStr">
        <is>
          <t>K007-901639199</t>
        </is>
      </c>
      <c r="E1255" t="inlineStr">
        <is>
          <t>IN2065</t>
        </is>
      </c>
      <c r="F1255" t="inlineStr">
        <is>
          <t>23-09-2024</t>
        </is>
      </c>
      <c r="G1255" t="n">
        <v>1828350</v>
      </c>
      <c r="I1255">
        <f>G1255</f>
        <v/>
      </c>
      <c r="K1255">
        <f>I1255-G1255</f>
        <v/>
      </c>
      <c r="M1255" t="inlineStr">
        <is>
          <t>IN2065</t>
        </is>
      </c>
      <c r="N1255" t="inlineStr"/>
      <c r="O1255">
        <f>M1255=N1255</f>
        <v/>
      </c>
      <c r="P1255">
        <f>AND(MONTH(F1255)=MONTH(S1255), YEAR(F1255)=YEAR(S1255))</f>
        <v/>
      </c>
      <c r="Q1255">
        <f>"L001-902303751"=U1255</f>
        <v/>
      </c>
      <c r="R1255">
        <f>G1255-W1255</f>
        <v/>
      </c>
      <c r="S1255" s="36" t="n">
        <v>45488</v>
      </c>
      <c r="T1255" t="inlineStr"/>
      <c r="U1255" t="inlineStr">
        <is>
          <t>L001-107032791</t>
        </is>
      </c>
      <c r="V1255" t="inlineStr">
        <is>
          <t>នីបផន អិចប្រេស (ខេមបូឌា) ខូ អិលធីឌី</t>
        </is>
      </c>
      <c r="W1255" t="n">
        <v>0</v>
      </c>
      <c r="X1255" t="n">
        <v>0</v>
      </c>
    </row>
    <row r="1256">
      <c r="A1256" t="n">
        <v>1255</v>
      </c>
      <c r="B1256" t="inlineStr">
        <is>
          <t>Purchase Misc Material MM</t>
        </is>
      </c>
      <c r="C1256" t="inlineStr">
        <is>
          <t>យីស៊ូ ធេមផ្លេត ក្រាហ្វ ឯ.ក</t>
        </is>
      </c>
      <c r="D1256" t="inlineStr">
        <is>
          <t>K010-902200360</t>
        </is>
      </c>
      <c r="E1256" t="inlineStr">
        <is>
          <t>24-0203</t>
        </is>
      </c>
      <c r="F1256" t="inlineStr">
        <is>
          <t>27-09-2024</t>
        </is>
      </c>
      <c r="G1256" t="n">
        <v>1776688</v>
      </c>
      <c r="I1256">
        <f>G1256</f>
        <v/>
      </c>
      <c r="K1256">
        <f>I1256-G1256</f>
        <v/>
      </c>
      <c r="M1256" t="inlineStr">
        <is>
          <t>240203</t>
        </is>
      </c>
      <c r="N1256" t="inlineStr"/>
      <c r="O1256">
        <f>M1256=N1256</f>
        <v/>
      </c>
      <c r="P1256">
        <f>AND(MONTH(F1256)=MONTH(S1256), YEAR(F1256)=YEAR(S1256))</f>
        <v/>
      </c>
      <c r="Q1256">
        <f>"L001-902303751"=U1256</f>
        <v/>
      </c>
      <c r="R1256">
        <f>G1256-W1256</f>
        <v/>
      </c>
      <c r="S1256" s="36" t="n">
        <v>45488</v>
      </c>
      <c r="T1256" t="inlineStr"/>
      <c r="U1256" t="inlineStr">
        <is>
          <t>L001-107032791</t>
        </is>
      </c>
      <c r="V1256" t="inlineStr">
        <is>
          <t>នីបផន អិចប្រេស (ខេមបូឌា) ខូ អិលធីឌី</t>
        </is>
      </c>
      <c r="W1256" t="n">
        <v>0</v>
      </c>
      <c r="X1256" t="n">
        <v>0</v>
      </c>
    </row>
    <row r="1257">
      <c r="A1257" t="n">
        <v>1256</v>
      </c>
      <c r="B1257" t="inlineStr">
        <is>
          <t>Rental Machine</t>
        </is>
      </c>
      <c r="C1257" t="inlineStr">
        <is>
          <t>ក្លាក ហ៊ូ ឯ.ក</t>
        </is>
      </c>
      <c r="D1257" t="inlineStr">
        <is>
          <t>K007-901639199</t>
        </is>
      </c>
      <c r="E1257" t="inlineStr">
        <is>
          <t>IN2066</t>
        </is>
      </c>
      <c r="F1257" t="inlineStr">
        <is>
          <t>23-09-2024</t>
        </is>
      </c>
      <c r="G1257" t="n">
        <v>116475</v>
      </c>
      <c r="I1257">
        <f>G1257</f>
        <v/>
      </c>
      <c r="K1257">
        <f>I1257-G1257</f>
        <v/>
      </c>
      <c r="M1257" t="inlineStr">
        <is>
          <t>IN2066</t>
        </is>
      </c>
      <c r="N1257" t="inlineStr"/>
      <c r="O1257">
        <f>M1257=N1257</f>
        <v/>
      </c>
      <c r="P1257">
        <f>AND(MONTH(F1257)=MONTH(S1257), YEAR(F1257)=YEAR(S1257))</f>
        <v/>
      </c>
      <c r="Q1257">
        <f>"L001-902303751"=U1257</f>
        <v/>
      </c>
      <c r="R1257">
        <f>G1257-W1257</f>
        <v/>
      </c>
      <c r="S1257" s="36" t="n">
        <v>45474</v>
      </c>
      <c r="T1257" t="inlineStr"/>
      <c r="U1257" t="inlineStr">
        <is>
          <t>L001-107032791</t>
        </is>
      </c>
      <c r="V1257" t="inlineStr">
        <is>
          <t>នីបផន អិចប្រេស (ខេមបូឌា) ខូ អិលធីឌី</t>
        </is>
      </c>
      <c r="W1257" t="n">
        <v>0</v>
      </c>
      <c r="X1257" t="n">
        <v>0</v>
      </c>
    </row>
    <row r="1258">
      <c r="A1258" t="n">
        <v>1257</v>
      </c>
      <c r="B1258" t="inlineStr">
        <is>
          <t>Rental Machine</t>
        </is>
      </c>
      <c r="C1258" t="inlineStr">
        <is>
          <t>ក្លាក ហ៊ូ ឯ.ក</t>
        </is>
      </c>
      <c r="D1258" t="inlineStr">
        <is>
          <t>K007-901639199</t>
        </is>
      </c>
      <c r="E1258" t="inlineStr">
        <is>
          <t>IN2067</t>
        </is>
      </c>
      <c r="F1258" t="inlineStr">
        <is>
          <t>23-09-2024</t>
        </is>
      </c>
      <c r="G1258" t="n">
        <v>50108</v>
      </c>
      <c r="I1258">
        <f>G1258</f>
        <v/>
      </c>
      <c r="K1258">
        <f>I1258-G1258</f>
        <v/>
      </c>
      <c r="M1258" t="inlineStr">
        <is>
          <t>IN2067</t>
        </is>
      </c>
      <c r="N1258" t="inlineStr">
        <is>
          <t>11291500</t>
        </is>
      </c>
      <c r="O1258">
        <f>M1258=N1258</f>
        <v/>
      </c>
      <c r="P1258">
        <f>AND(MONTH(F1258)=MONTH(S1258), YEAR(F1258)=YEAR(S1258))</f>
        <v/>
      </c>
      <c r="Q1258">
        <f>"L001-902303751"=U1258</f>
        <v/>
      </c>
      <c r="R1258">
        <f>G1258-W1258</f>
        <v/>
      </c>
      <c r="S1258" s="36" t="n">
        <v>45488</v>
      </c>
      <c r="T1258" t="n">
        <v>112915</v>
      </c>
      <c r="U1258" t="inlineStr">
        <is>
          <t>L001-107032791</t>
        </is>
      </c>
      <c r="V1258" t="inlineStr">
        <is>
          <t>នីបផន អិចប្រេស (ខេមបូឌា) ខូ អិលធីឌី</t>
        </is>
      </c>
      <c r="W1258" t="n">
        <v>112915</v>
      </c>
      <c r="X1258" t="n">
        <v>0</v>
      </c>
    </row>
    <row r="1259">
      <c r="A1259" t="n">
        <v>1258</v>
      </c>
      <c r="B1259" t="inlineStr">
        <is>
          <t>Monthly Security for September 2024</t>
        </is>
      </c>
      <c r="C1259" t="inlineStr">
        <is>
          <t>អិល.ប៊ី.អិល.អេច ស៊ីឃ្យូរឹធី ឯ.ក</t>
        </is>
      </c>
      <c r="D1259" t="inlineStr">
        <is>
          <t>K010-902202247</t>
        </is>
      </c>
      <c r="E1259" t="inlineStr">
        <is>
          <t>L.B.L.H00023</t>
        </is>
      </c>
      <c r="F1259" t="inlineStr">
        <is>
          <t>25-09-2024</t>
        </is>
      </c>
      <c r="G1259" t="n">
        <v>609450</v>
      </c>
      <c r="I1259">
        <f>G1259</f>
        <v/>
      </c>
      <c r="K1259">
        <f>I1259-G1259</f>
        <v/>
      </c>
      <c r="M1259" t="inlineStr">
        <is>
          <t>LBLH00023</t>
        </is>
      </c>
      <c r="N1259" t="inlineStr">
        <is>
          <t>11291500</t>
        </is>
      </c>
      <c r="O1259">
        <f>M1259=N1259</f>
        <v/>
      </c>
      <c r="P1259">
        <f>AND(MONTH(F1259)=MONTH(S1259), YEAR(F1259)=YEAR(S1259))</f>
        <v/>
      </c>
      <c r="Q1259">
        <f>"L001-902303751"=U1259</f>
        <v/>
      </c>
      <c r="R1259">
        <f>G1259-W1259</f>
        <v/>
      </c>
      <c r="S1259" s="36" t="n">
        <v>45488</v>
      </c>
      <c r="T1259" t="n">
        <v>112915</v>
      </c>
      <c r="U1259" t="inlineStr">
        <is>
          <t>L001-107032791</t>
        </is>
      </c>
      <c r="V1259" t="inlineStr">
        <is>
          <t>នីបផន អិចប្រេស (ខេមបូឌា) ខូ អិលធីឌី</t>
        </is>
      </c>
      <c r="W1259" t="n">
        <v>112915</v>
      </c>
      <c r="X1259" t="n">
        <v>0</v>
      </c>
    </row>
    <row r="1260">
      <c r="A1260" t="n">
        <v>1259</v>
      </c>
      <c r="B1260" t="inlineStr">
        <is>
          <t>Rental Machine</t>
        </is>
      </c>
      <c r="C1260" t="inlineStr">
        <is>
          <t>ក្លាក ហ៊ូ ឯ.ក</t>
        </is>
      </c>
      <c r="D1260" t="inlineStr">
        <is>
          <t>K007-901639199</t>
        </is>
      </c>
      <c r="E1260" t="inlineStr">
        <is>
          <t>IN2068</t>
        </is>
      </c>
      <c r="F1260" t="inlineStr">
        <is>
          <t>23-09-2024</t>
        </is>
      </c>
      <c r="G1260" t="n">
        <v>379891</v>
      </c>
      <c r="I1260">
        <f>G1260</f>
        <v/>
      </c>
      <c r="K1260">
        <f>I1260-G1260</f>
        <v/>
      </c>
      <c r="M1260" t="inlineStr">
        <is>
          <t>IN2068</t>
        </is>
      </c>
      <c r="N1260" t="inlineStr">
        <is>
          <t>8417300</t>
        </is>
      </c>
      <c r="O1260">
        <f>M1260=N1260</f>
        <v/>
      </c>
      <c r="P1260">
        <f>AND(MONTH(F1260)=MONTH(S1260), YEAR(F1260)=YEAR(S1260))</f>
        <v/>
      </c>
      <c r="Q1260">
        <f>"L001-902303751"=U1260</f>
        <v/>
      </c>
      <c r="R1260">
        <f>G1260-W1260</f>
        <v/>
      </c>
      <c r="S1260" s="36" t="n">
        <v>45488</v>
      </c>
      <c r="T1260" t="n">
        <v>84173</v>
      </c>
      <c r="U1260" t="inlineStr">
        <is>
          <t>L001-107032791</t>
        </is>
      </c>
      <c r="V1260" t="inlineStr">
        <is>
          <t>នីបផន អិចប្រេស (ខេមបូឌា) ខូ អិលធីឌី</t>
        </is>
      </c>
      <c r="W1260" t="n">
        <v>84173</v>
      </c>
      <c r="X1260" t="n">
        <v>0</v>
      </c>
    </row>
    <row r="1261">
      <c r="A1261" t="n">
        <v>1260</v>
      </c>
      <c r="B1261" t="inlineStr">
        <is>
          <t>Rental Machine</t>
        </is>
      </c>
      <c r="C1261" t="inlineStr">
        <is>
          <t>ក្លាក ហ៊ូ ឯ.ក</t>
        </is>
      </c>
      <c r="D1261" t="inlineStr">
        <is>
          <t>K007-901639199</t>
        </is>
      </c>
      <c r="E1261" t="inlineStr">
        <is>
          <t>IN2069</t>
        </is>
      </c>
      <c r="F1261" t="inlineStr">
        <is>
          <t>23-09-2024</t>
        </is>
      </c>
      <c r="G1261" t="n">
        <v>207213</v>
      </c>
      <c r="I1261">
        <f>G1261</f>
        <v/>
      </c>
      <c r="K1261">
        <f>I1261-G1261</f>
        <v/>
      </c>
      <c r="M1261" t="inlineStr">
        <is>
          <t>IN2069</t>
        </is>
      </c>
      <c r="N1261" t="inlineStr"/>
      <c r="O1261">
        <f>M1261=N1261</f>
        <v/>
      </c>
      <c r="P1261">
        <f>AND(MONTH(F1261)=MONTH(S1261), YEAR(F1261)=YEAR(S1261))</f>
        <v/>
      </c>
      <c r="Q1261">
        <f>"L001-902303751"=U1261</f>
        <v/>
      </c>
      <c r="R1261">
        <f>G1261-W1261</f>
        <v/>
      </c>
      <c r="S1261" s="36" t="n">
        <v>45502</v>
      </c>
      <c r="T1261" t="inlineStr"/>
      <c r="U1261" t="inlineStr">
        <is>
          <t>L001-107032791</t>
        </is>
      </c>
      <c r="V1261" t="inlineStr">
        <is>
          <t>នីបផន អិចប្រេស (ខេមបូឌា) ខូ អិលធីឌី</t>
        </is>
      </c>
      <c r="W1261" t="n">
        <v>0</v>
      </c>
      <c r="X1261" t="n">
        <v>0</v>
      </c>
    </row>
    <row r="1262">
      <c r="A1262" t="n">
        <v>1261</v>
      </c>
      <c r="B1262" t="inlineStr">
        <is>
          <t>Rental Machine</t>
        </is>
      </c>
      <c r="C1262" t="inlineStr">
        <is>
          <t>ក្លាក ហ៊ូ ឯ.ក</t>
        </is>
      </c>
      <c r="D1262" t="inlineStr">
        <is>
          <t>K007-901639199</t>
        </is>
      </c>
      <c r="E1262" t="inlineStr">
        <is>
          <t>IN2070</t>
        </is>
      </c>
      <c r="F1262" t="inlineStr">
        <is>
          <t>23-09-2024</t>
        </is>
      </c>
      <c r="G1262" t="n">
        <v>201119</v>
      </c>
      <c r="I1262">
        <f>G1262</f>
        <v/>
      </c>
      <c r="K1262">
        <f>I1262-G1262</f>
        <v/>
      </c>
      <c r="M1262" t="inlineStr">
        <is>
          <t>IN2070</t>
        </is>
      </c>
      <c r="N1262" t="inlineStr"/>
      <c r="O1262">
        <f>M1262=N1262</f>
        <v/>
      </c>
      <c r="P1262">
        <f>AND(MONTH(F1262)=MONTH(S1262), YEAR(F1262)=YEAR(S1262))</f>
        <v/>
      </c>
      <c r="Q1262">
        <f>"L001-902303751"=U1262</f>
        <v/>
      </c>
      <c r="R1262">
        <f>G1262-W1262</f>
        <v/>
      </c>
      <c r="S1262" s="36" t="n">
        <v>45502</v>
      </c>
      <c r="T1262" t="inlineStr"/>
      <c r="U1262" t="inlineStr">
        <is>
          <t>L001-107032791</t>
        </is>
      </c>
      <c r="V1262" t="inlineStr">
        <is>
          <t>នីបផន អិចប្រេស (ខេមបូឌា) ខូ អិលធីឌី</t>
        </is>
      </c>
      <c r="W1262" t="n">
        <v>0</v>
      </c>
      <c r="X1262" t="n">
        <v>0</v>
      </c>
    </row>
    <row r="1263">
      <c r="A1263" t="n">
        <v>1262</v>
      </c>
      <c r="B1263" t="inlineStr">
        <is>
          <t>Rental Machine</t>
        </is>
      </c>
      <c r="C1263" t="inlineStr">
        <is>
          <t>ក្លាក ហ៊ូ ឯ.ក</t>
        </is>
      </c>
      <c r="D1263" t="inlineStr">
        <is>
          <t>K007-901639199</t>
        </is>
      </c>
      <c r="E1263" t="inlineStr">
        <is>
          <t>IN2071</t>
        </is>
      </c>
      <c r="F1263" t="inlineStr">
        <is>
          <t>23-09-2024</t>
        </is>
      </c>
      <c r="G1263" t="n">
        <v>308788</v>
      </c>
      <c r="I1263">
        <f>G1263</f>
        <v/>
      </c>
      <c r="K1263">
        <f>I1263-G1263</f>
        <v/>
      </c>
      <c r="M1263" t="inlineStr">
        <is>
          <t>IN2071</t>
        </is>
      </c>
      <c r="N1263" t="inlineStr">
        <is>
          <t>11546300</t>
        </is>
      </c>
      <c r="O1263">
        <f>M1263=N1263</f>
        <v/>
      </c>
      <c r="P1263">
        <f>AND(MONTH(F1263)=MONTH(S1263), YEAR(F1263)=YEAR(S1263))</f>
        <v/>
      </c>
      <c r="Q1263">
        <f>"L001-902303751"=U1263</f>
        <v/>
      </c>
      <c r="R1263">
        <f>G1263-W1263</f>
        <v/>
      </c>
      <c r="S1263" s="36" t="n">
        <v>45495</v>
      </c>
      <c r="T1263" t="n">
        <v>115463</v>
      </c>
      <c r="U1263" t="inlineStr">
        <is>
          <t>L001-100045340</t>
        </is>
      </c>
      <c r="V1263" t="inlineStr">
        <is>
          <t xml:space="preserve">ស៊ីវ៉ា អ៊ែរ អ៊ែន អូសៀន (ខេមបូឌា) ឯ.ក </t>
        </is>
      </c>
      <c r="W1263" t="n">
        <v>115463</v>
      </c>
      <c r="X1263" t="n">
        <v>0</v>
      </c>
    </row>
    <row r="1264">
      <c r="A1264" t="n">
        <v>1263</v>
      </c>
      <c r="B1264" t="inlineStr">
        <is>
          <t>PVC Thin Film</t>
        </is>
      </c>
      <c r="C1264" t="inlineStr">
        <is>
          <t>ដឹ សាយ អេឡិកត្រូមេឃែនីខល អេនជីនារីង ឯ.ក</t>
        </is>
      </c>
      <c r="D1264" t="inlineStr">
        <is>
          <t>K009-902303599</t>
        </is>
      </c>
      <c r="E1264" t="inlineStr">
        <is>
          <t>00016</t>
        </is>
      </c>
      <c r="F1264" t="inlineStr">
        <is>
          <t>20-09-2024</t>
        </is>
      </c>
      <c r="G1264" t="n">
        <v>89342</v>
      </c>
      <c r="I1264">
        <f>G1264</f>
        <v/>
      </c>
      <c r="K1264">
        <f>I1264-G1264</f>
        <v/>
      </c>
      <c r="M1264" t="inlineStr">
        <is>
          <t>00016</t>
        </is>
      </c>
      <c r="N1264" t="inlineStr"/>
      <c r="O1264">
        <f>M1264=N1264</f>
        <v/>
      </c>
      <c r="P1264">
        <f>AND(MONTH(F1264)=MONTH(S1264), YEAR(F1264)=YEAR(S1264))</f>
        <v/>
      </c>
      <c r="Q1264">
        <f>"L001-902303751"=U1264</f>
        <v/>
      </c>
      <c r="R1264">
        <f>G1264-W1264</f>
        <v/>
      </c>
      <c r="S1264" s="36" t="n">
        <v>45474</v>
      </c>
      <c r="T1264" t="inlineStr"/>
      <c r="U1264" t="inlineStr">
        <is>
          <t>L001-107032791</t>
        </is>
      </c>
      <c r="V1264" t="inlineStr">
        <is>
          <t>នីបផន អិចប្រេស (ខេមបូឌា) ខូ អិលធីឌី</t>
        </is>
      </c>
      <c r="W1264" t="n">
        <v>0</v>
      </c>
      <c r="X1264" t="n">
        <v>0</v>
      </c>
    </row>
    <row r="1265">
      <c r="A1265" t="n">
        <v>1264</v>
      </c>
      <c r="B1265" t="inlineStr">
        <is>
          <t>Customs Clearance of LCL shipment, THC Charge of LCL, CFs Charge, Charge of LCL, Trucking Fee of LCL, CARGO HANDLING FEE and Bill Fee or Document Fee</t>
        </is>
      </c>
      <c r="C1265" t="inlineStr">
        <is>
          <t>អេវើរស្តារ ស៊ីលែនឌែរ</t>
        </is>
      </c>
      <c r="D1265" t="inlineStr">
        <is>
          <t>K002-100160492</t>
        </is>
      </c>
      <c r="E1265" t="inlineStr">
        <is>
          <t>TI-2024-047</t>
        </is>
      </c>
      <c r="F1265" t="inlineStr">
        <is>
          <t>19-09-2024</t>
        </is>
      </c>
      <c r="G1265" t="n">
        <v>112245</v>
      </c>
      <c r="I1265">
        <f>G1265</f>
        <v/>
      </c>
      <c r="K1265">
        <f>I1265-G1265</f>
        <v/>
      </c>
      <c r="M1265" t="inlineStr">
        <is>
          <t>TI2024047</t>
        </is>
      </c>
      <c r="N1265" t="inlineStr">
        <is>
          <t>17505800</t>
        </is>
      </c>
      <c r="O1265">
        <f>M1265=N1265</f>
        <v/>
      </c>
      <c r="P1265">
        <f>AND(MONTH(F1265)=MONTH(S1265), YEAR(F1265)=YEAR(S1265))</f>
        <v/>
      </c>
      <c r="Q1265">
        <f>"L001-902303751"=U1265</f>
        <v/>
      </c>
      <c r="R1265">
        <f>G1265-W1265</f>
        <v/>
      </c>
      <c r="S1265" s="36" t="n">
        <v>45481</v>
      </c>
      <c r="T1265" t="n">
        <v>175058</v>
      </c>
      <c r="U1265" t="inlineStr">
        <is>
          <t>K002-901800477</t>
        </is>
      </c>
      <c r="V1265" t="inlineStr">
        <is>
          <t>អាយធីអាយ អ៊ិនធើណេសិនណល ត្រេនស័្ពរថេសិន (ខេមបូឌា) ឯ.ក</t>
        </is>
      </c>
      <c r="W1265" t="n">
        <v>175058</v>
      </c>
      <c r="X1265" t="n">
        <v>0</v>
      </c>
    </row>
    <row r="1266">
      <c r="A1266" t="n">
        <v>1265</v>
      </c>
      <c r="B1266" t="inlineStr">
        <is>
          <t>EXPORT CUSTOMS CLEARANCE, ORG. TERMINAL HANDLING-CARRIER, ORG. CARGO SCREENING, ORG. MANAGEMENT FEE, VGM ADMINISTRATION FEE, ORG. DOCUMENT HANDOVER, ORG. WAYBILL/BILL OF LADING AND ORG. TERMINAL HANDL</t>
        </is>
      </c>
      <c r="C1266" t="inlineStr">
        <is>
          <t>ឌីអេចអិល ឡូជីស្ទីក (ខេមបូឌា)</t>
        </is>
      </c>
      <c r="D1266" t="inlineStr">
        <is>
          <t>L001-100045995</t>
        </is>
      </c>
      <c r="E1266" t="inlineStr">
        <is>
          <t>INV2407649</t>
        </is>
      </c>
      <c r="F1266" t="inlineStr">
        <is>
          <t>16-09-2024</t>
        </is>
      </c>
      <c r="G1266" t="n">
        <v>210318</v>
      </c>
      <c r="I1266">
        <f>G1266</f>
        <v/>
      </c>
      <c r="K1266">
        <f>I1266-G1266</f>
        <v/>
      </c>
      <c r="M1266" t="inlineStr">
        <is>
          <t>INV2407649</t>
        </is>
      </c>
      <c r="N1266" t="inlineStr"/>
      <c r="O1266">
        <f>M1266=N1266</f>
        <v/>
      </c>
      <c r="P1266">
        <f>AND(MONTH(F1266)=MONTH(S1266), YEAR(F1266)=YEAR(S1266))</f>
        <v/>
      </c>
      <c r="Q1266">
        <f>"L001-902303751"=U1266</f>
        <v/>
      </c>
      <c r="R1266">
        <f>G1266-W1266</f>
        <v/>
      </c>
      <c r="S1266" s="36" t="n">
        <v>45481</v>
      </c>
      <c r="T1266" t="inlineStr"/>
      <c r="U1266" t="inlineStr">
        <is>
          <t>L001-107032791</t>
        </is>
      </c>
      <c r="V1266" t="inlineStr">
        <is>
          <t>នីបផន អិចប្រេស (ខេមបូឌា) ខូ អិលធីឌី</t>
        </is>
      </c>
      <c r="W1266" t="n">
        <v>0</v>
      </c>
      <c r="X1266" t="n">
        <v>0</v>
      </c>
    </row>
    <row r="1267">
      <c r="A1267" t="n">
        <v>1266</v>
      </c>
      <c r="B1267" t="inlineStr">
        <is>
          <t>Rental Machine</t>
        </is>
      </c>
      <c r="C1267" t="inlineStr">
        <is>
          <t>ក្លាក ហ៊ូ ឯ.ក</t>
        </is>
      </c>
      <c r="D1267" t="inlineStr">
        <is>
          <t>K007-901639199</t>
        </is>
      </c>
      <c r="E1267" t="inlineStr">
        <is>
          <t>IN2072</t>
        </is>
      </c>
      <c r="F1267" t="inlineStr">
        <is>
          <t>23-09-2024</t>
        </is>
      </c>
      <c r="G1267" t="n">
        <v>195024</v>
      </c>
      <c r="I1267">
        <f>G1267</f>
        <v/>
      </c>
      <c r="K1267">
        <f>I1267-G1267</f>
        <v/>
      </c>
      <c r="M1267" t="inlineStr">
        <is>
          <t>IN2072</t>
        </is>
      </c>
      <c r="N1267" t="inlineStr"/>
      <c r="O1267">
        <f>M1267=N1267</f>
        <v/>
      </c>
      <c r="P1267">
        <f>AND(MONTH(F1267)=MONTH(S1267), YEAR(F1267)=YEAR(S1267))</f>
        <v/>
      </c>
      <c r="Q1267">
        <f>"L001-902303751"=U1267</f>
        <v/>
      </c>
      <c r="R1267">
        <f>G1267-W1267</f>
        <v/>
      </c>
      <c r="S1267" s="36" t="n">
        <v>45488</v>
      </c>
      <c r="T1267" t="inlineStr"/>
      <c r="U1267" t="inlineStr">
        <is>
          <t>L001-107032791</t>
        </is>
      </c>
      <c r="V1267" t="inlineStr">
        <is>
          <t>នីបផន អិចប្រេស (ខេមបូឌា) ខូ អិលធីឌី</t>
        </is>
      </c>
      <c r="W1267" t="n">
        <v>0</v>
      </c>
      <c r="X1267" t="n">
        <v>0</v>
      </c>
    </row>
    <row r="1268">
      <c r="A1268" t="n">
        <v>1267</v>
      </c>
      <c r="B1268" t="inlineStr">
        <is>
          <t>Rental Machine</t>
        </is>
      </c>
      <c r="C1268" t="inlineStr">
        <is>
          <t>ក្លាក ហ៊ូ ឯ.ក</t>
        </is>
      </c>
      <c r="D1268" t="inlineStr">
        <is>
          <t>K007-901639199</t>
        </is>
      </c>
      <c r="E1268" t="inlineStr">
        <is>
          <t>IN2073</t>
        </is>
      </c>
      <c r="F1268" t="inlineStr">
        <is>
          <t>23-09-2024</t>
        </is>
      </c>
      <c r="G1268" t="n">
        <v>162520</v>
      </c>
      <c r="I1268">
        <f>G1268</f>
        <v/>
      </c>
      <c r="K1268">
        <f>I1268-G1268</f>
        <v/>
      </c>
      <c r="M1268" t="inlineStr">
        <is>
          <t>IN2073</t>
        </is>
      </c>
      <c r="N1268" t="inlineStr"/>
      <c r="O1268">
        <f>M1268=N1268</f>
        <v/>
      </c>
      <c r="P1268">
        <f>AND(MONTH(F1268)=MONTH(S1268), YEAR(F1268)=YEAR(S1268))</f>
        <v/>
      </c>
      <c r="Q1268">
        <f>"L001-902303751"=U1268</f>
        <v/>
      </c>
      <c r="R1268">
        <f>G1268-W1268</f>
        <v/>
      </c>
      <c r="S1268" s="36" t="n">
        <v>45488</v>
      </c>
      <c r="T1268" t="inlineStr"/>
      <c r="U1268" t="inlineStr">
        <is>
          <t>K002-901800477</t>
        </is>
      </c>
      <c r="V1268" t="inlineStr">
        <is>
          <t>អាយធីអាយ អ៊ិនធើណេសិនណល ត្រេនស័្ពរថេសិន (ខេមបូឌា) ឯ.ក</t>
        </is>
      </c>
      <c r="W1268" t="n">
        <v>0</v>
      </c>
      <c r="X1268" t="n">
        <v>0</v>
      </c>
    </row>
    <row r="1269">
      <c r="A1269" t="n">
        <v>1268</v>
      </c>
      <c r="B1269" t="inlineStr">
        <is>
          <t>Rental Machine</t>
        </is>
      </c>
      <c r="C1269" t="inlineStr">
        <is>
          <t>ក្លាក ហ៊ូ ឯ.ក</t>
        </is>
      </c>
      <c r="D1269" t="inlineStr">
        <is>
          <t>K007-901639199</t>
        </is>
      </c>
      <c r="E1269" t="inlineStr">
        <is>
          <t>IN2074</t>
        </is>
      </c>
      <c r="F1269" t="inlineStr">
        <is>
          <t>23-09-2024</t>
        </is>
      </c>
      <c r="G1269" t="n">
        <v>292536</v>
      </c>
      <c r="I1269">
        <f>G1269</f>
        <v/>
      </c>
      <c r="K1269">
        <f>I1269-G1269</f>
        <v/>
      </c>
      <c r="M1269" t="inlineStr">
        <is>
          <t>IN2074</t>
        </is>
      </c>
      <c r="N1269" t="inlineStr">
        <is>
          <t>8423500</t>
        </is>
      </c>
      <c r="O1269">
        <f>M1269=N1269</f>
        <v/>
      </c>
      <c r="P1269">
        <f>AND(MONTH(F1269)=MONTH(S1269), YEAR(F1269)=YEAR(S1269))</f>
        <v/>
      </c>
      <c r="Q1269">
        <f>"L001-902303751"=U1269</f>
        <v/>
      </c>
      <c r="R1269">
        <f>G1269-W1269</f>
        <v/>
      </c>
      <c r="S1269" s="36" t="n">
        <v>45495</v>
      </c>
      <c r="T1269" t="n">
        <v>84235</v>
      </c>
      <c r="U1269" t="inlineStr">
        <is>
          <t>L001-107032791</t>
        </is>
      </c>
      <c r="V1269" t="inlineStr">
        <is>
          <t>នីបផន អិចប្រេស (ខេមបូឌា) ខូ អិលធីឌី</t>
        </is>
      </c>
      <c r="W1269" t="n">
        <v>84235</v>
      </c>
      <c r="X1269" t="n">
        <v>0</v>
      </c>
    </row>
    <row r="1270">
      <c r="A1270" t="n">
        <v>1269</v>
      </c>
      <c r="B1270" t="inlineStr">
        <is>
          <t>Rental Machine</t>
        </is>
      </c>
      <c r="C1270" t="inlineStr">
        <is>
          <t>ក្លាក ហ៊ូ ឯ.ក</t>
        </is>
      </c>
      <c r="D1270" t="inlineStr">
        <is>
          <t>K007-901639199</t>
        </is>
      </c>
      <c r="E1270" t="inlineStr">
        <is>
          <t>IN2075</t>
        </is>
      </c>
      <c r="F1270" t="inlineStr">
        <is>
          <t>23-09-2024</t>
        </is>
      </c>
      <c r="G1270" t="n">
        <v>211276</v>
      </c>
      <c r="I1270">
        <f>G1270</f>
        <v/>
      </c>
      <c r="K1270">
        <f>I1270-G1270</f>
        <v/>
      </c>
      <c r="M1270" t="inlineStr">
        <is>
          <t>IN2075</t>
        </is>
      </c>
      <c r="N1270" t="inlineStr"/>
      <c r="O1270">
        <f>M1270=N1270</f>
        <v/>
      </c>
      <c r="P1270">
        <f>AND(MONTH(F1270)=MONTH(S1270), YEAR(F1270)=YEAR(S1270))</f>
        <v/>
      </c>
      <c r="Q1270">
        <f>"L001-902303751"=U1270</f>
        <v/>
      </c>
      <c r="R1270">
        <f>G1270-W1270</f>
        <v/>
      </c>
      <c r="S1270" s="36" t="n">
        <v>45495</v>
      </c>
      <c r="T1270" t="inlineStr"/>
      <c r="U1270" t="inlineStr">
        <is>
          <t>K005-901805913</t>
        </is>
      </c>
      <c r="V1270" t="inlineStr">
        <is>
          <t>ស្តារ ខង់ខដ (ខេមបូឌា) ឯ.ក</t>
        </is>
      </c>
      <c r="W1270" t="n">
        <v>0</v>
      </c>
      <c r="X1270" t="n">
        <v>0</v>
      </c>
    </row>
    <row r="1271">
      <c r="A1271" t="n">
        <v>1270</v>
      </c>
      <c r="B1271" t="inlineStr">
        <is>
          <t>Rental Machine</t>
        </is>
      </c>
      <c r="C1271" t="inlineStr">
        <is>
          <t>ក្លាក ហ៊ូ ឯ.ក</t>
        </is>
      </c>
      <c r="D1271" t="inlineStr">
        <is>
          <t>K007-901639199</t>
        </is>
      </c>
      <c r="E1271" t="inlineStr">
        <is>
          <t>IN2076</t>
        </is>
      </c>
      <c r="F1271" t="inlineStr">
        <is>
          <t>23-09-2024</t>
        </is>
      </c>
      <c r="G1271" t="n">
        <v>195024</v>
      </c>
      <c r="I1271">
        <f>G1271</f>
        <v/>
      </c>
      <c r="K1271">
        <f>I1271-G1271</f>
        <v/>
      </c>
      <c r="M1271" t="inlineStr">
        <is>
          <t>IN2076</t>
        </is>
      </c>
      <c r="N1271" t="inlineStr">
        <is>
          <t>8429600</t>
        </is>
      </c>
      <c r="O1271">
        <f>M1271=N1271</f>
        <v/>
      </c>
      <c r="P1271">
        <f>AND(MONTH(F1271)=MONTH(S1271), YEAR(F1271)=YEAR(S1271))</f>
        <v/>
      </c>
      <c r="Q1271">
        <f>"L001-902303751"=U1271</f>
        <v/>
      </c>
      <c r="R1271">
        <f>G1271-W1271</f>
        <v/>
      </c>
      <c r="S1271" s="36" t="n">
        <v>45474</v>
      </c>
      <c r="T1271" t="n">
        <v>84296</v>
      </c>
      <c r="U1271" t="inlineStr">
        <is>
          <t>L001-107032791</t>
        </is>
      </c>
      <c r="V1271" t="inlineStr">
        <is>
          <t>នីបផន អិចប្រេស (ខេមបូឌា) ខូ អិលធីឌី</t>
        </is>
      </c>
      <c r="W1271" t="n">
        <v>84296</v>
      </c>
      <c r="X1271" t="n">
        <v>0</v>
      </c>
    </row>
    <row r="1272">
      <c r="A1272" t="n">
        <v>1271</v>
      </c>
      <c r="B1272" t="inlineStr">
        <is>
          <t>HAWB FIEIGHT, AWB FEE, OM FORWARDING FEE AND H/C</t>
        </is>
      </c>
      <c r="C1272" t="inlineStr">
        <is>
          <t>អ៊ិចស្ពែឌីធ័រ ខេមបូឌា អិលធីឌី</t>
        </is>
      </c>
      <c r="D1272" t="inlineStr">
        <is>
          <t>L001-100045898</t>
        </is>
      </c>
      <c r="E1272" t="inlineStr">
        <is>
          <t>TI-0290949</t>
        </is>
      </c>
      <c r="F1272" t="inlineStr">
        <is>
          <t>29-09-2024</t>
        </is>
      </c>
      <c r="G1272" t="n">
        <v>46702</v>
      </c>
      <c r="I1272">
        <f>G1272</f>
        <v/>
      </c>
      <c r="K1272">
        <f>I1272-G1272</f>
        <v/>
      </c>
      <c r="M1272" t="inlineStr">
        <is>
          <t>TI0290949</t>
        </is>
      </c>
      <c r="N1272" t="inlineStr">
        <is>
          <t>213930100</t>
        </is>
      </c>
      <c r="O1272">
        <f>M1272=N1272</f>
        <v/>
      </c>
      <c r="P1272">
        <f>AND(MONTH(F1272)=MONTH(S1272), YEAR(F1272)=YEAR(S1272))</f>
        <v/>
      </c>
      <c r="Q1272">
        <f>"L001-902303751"=U1272</f>
        <v/>
      </c>
      <c r="R1272">
        <f>G1272-W1272</f>
        <v/>
      </c>
      <c r="S1272" s="36" t="n">
        <v>45476</v>
      </c>
      <c r="T1272" t="n">
        <v>2139301</v>
      </c>
      <c r="U1272" t="inlineStr">
        <is>
          <t>K004-105012505</t>
        </is>
      </c>
      <c r="V1272" t="inlineStr">
        <is>
          <t>អេស៊ាន ហ្វ្រេត (ខេមបូឌា)</t>
        </is>
      </c>
      <c r="W1272" t="n">
        <v>2139301</v>
      </c>
      <c r="X1272" t="n">
        <v>0</v>
      </c>
    </row>
    <row r="1273">
      <c r="A1273" t="n">
        <v>1272</v>
      </c>
      <c r="B1273" t="inlineStr">
        <is>
          <t>HAWB FIEIGHT, AWB FEE, OM FORWARDING FEE AND H/C</t>
        </is>
      </c>
      <c r="C1273" t="inlineStr">
        <is>
          <t>អ៊ិចស្ពែឌីធ័រ ខេមបូឌា អិលធីឌី</t>
        </is>
      </c>
      <c r="D1273" t="inlineStr">
        <is>
          <t>L001-100045898</t>
        </is>
      </c>
      <c r="E1273" t="inlineStr">
        <is>
          <t>TI-0289596</t>
        </is>
      </c>
      <c r="F1273" t="inlineStr">
        <is>
          <t>19-09-2024</t>
        </is>
      </c>
      <c r="G1273" t="n">
        <v>46679</v>
      </c>
      <c r="I1273">
        <f>G1273</f>
        <v/>
      </c>
      <c r="K1273">
        <f>I1273-G1273</f>
        <v/>
      </c>
      <c r="M1273" t="inlineStr">
        <is>
          <t>TI0289596</t>
        </is>
      </c>
      <c r="N1273" t="inlineStr"/>
      <c r="O1273">
        <f>M1273=N1273</f>
        <v/>
      </c>
      <c r="P1273">
        <f>AND(MONTH(F1273)=MONTH(S1273), YEAR(F1273)=YEAR(S1273))</f>
        <v/>
      </c>
      <c r="Q1273">
        <f>"L001-902303751"=U1273</f>
        <v/>
      </c>
      <c r="R1273">
        <f>G1273-W1273</f>
        <v/>
      </c>
      <c r="S1273" s="36" t="n">
        <v>45474</v>
      </c>
      <c r="T1273" t="inlineStr"/>
      <c r="U1273" t="inlineStr">
        <is>
          <t>L001-107032791</t>
        </is>
      </c>
      <c r="V1273" t="inlineStr">
        <is>
          <t>នីបផន អិចប្រេស (ខេមបូឌា) ខូ អិលធីឌី</t>
        </is>
      </c>
      <c r="W1273" t="n">
        <v>0</v>
      </c>
      <c r="X1273" t="n">
        <v>0</v>
      </c>
    </row>
    <row r="1274">
      <c r="A1274" t="n">
        <v>1273</v>
      </c>
      <c r="B1274" t="inlineStr">
        <is>
          <t>HAWB FIEIGHT, AWB FEE, OM FORWARDING FEE AND H/C</t>
        </is>
      </c>
      <c r="C1274" t="inlineStr">
        <is>
          <t>អ៊ិចស្ពែឌីធ័រ ខេមបូឌា អិលធីឌី</t>
        </is>
      </c>
      <c r="D1274" t="inlineStr">
        <is>
          <t>L001-100045898</t>
        </is>
      </c>
      <c r="E1274" t="inlineStr">
        <is>
          <t>TI-0290157</t>
        </is>
      </c>
      <c r="F1274" t="inlineStr">
        <is>
          <t>24-09-2024</t>
        </is>
      </c>
      <c r="G1274" t="n">
        <v>97024</v>
      </c>
      <c r="I1274">
        <f>G1274</f>
        <v/>
      </c>
      <c r="K1274">
        <f>I1274-G1274</f>
        <v/>
      </c>
      <c r="M1274" t="inlineStr">
        <is>
          <t>TI0290157</t>
        </is>
      </c>
      <c r="N1274" t="inlineStr"/>
      <c r="O1274">
        <f>M1274=N1274</f>
        <v/>
      </c>
      <c r="P1274">
        <f>AND(MONTH(F1274)=MONTH(S1274), YEAR(F1274)=YEAR(S1274))</f>
        <v/>
      </c>
      <c r="Q1274">
        <f>"L001-902303751"=U1274</f>
        <v/>
      </c>
      <c r="R1274">
        <f>G1274-W1274</f>
        <v/>
      </c>
      <c r="S1274" s="36" t="n">
        <v>45481</v>
      </c>
      <c r="T1274" t="inlineStr"/>
      <c r="U1274" t="inlineStr">
        <is>
          <t>L001-107032791</t>
        </is>
      </c>
      <c r="V1274" t="inlineStr">
        <is>
          <t>នីបផន អិចប្រេស (ខេមបូឌា) ខូ អិលធីឌី</t>
        </is>
      </c>
      <c r="W1274" t="n">
        <v>0</v>
      </c>
      <c r="X1274" t="n">
        <v>0</v>
      </c>
    </row>
    <row r="1275">
      <c r="A1275" t="n">
        <v>1274</v>
      </c>
      <c r="B1275" t="inlineStr">
        <is>
          <t>HAWB FIEIGHT, AWB FEE, OM FORWARDING FEE AND H/C</t>
        </is>
      </c>
      <c r="C1275" t="inlineStr">
        <is>
          <t>អ៊ិចស្ពែឌីធ័រ ខេមបូឌា អិលធីឌី</t>
        </is>
      </c>
      <c r="D1275" t="inlineStr">
        <is>
          <t>L001-100045898</t>
        </is>
      </c>
      <c r="E1275" t="inlineStr">
        <is>
          <t>TI-0290158</t>
        </is>
      </c>
      <c r="F1275" t="inlineStr">
        <is>
          <t>24-09-2024</t>
        </is>
      </c>
      <c r="G1275" t="n">
        <v>276975</v>
      </c>
      <c r="I1275">
        <f>G1275</f>
        <v/>
      </c>
      <c r="K1275">
        <f>I1275-G1275</f>
        <v/>
      </c>
      <c r="M1275" t="inlineStr">
        <is>
          <t>TI0290158</t>
        </is>
      </c>
      <c r="N1275" t="inlineStr"/>
      <c r="O1275">
        <f>M1275=N1275</f>
        <v/>
      </c>
      <c r="P1275">
        <f>AND(MONTH(F1275)=MONTH(S1275), YEAR(F1275)=YEAR(S1275))</f>
        <v/>
      </c>
      <c r="Q1275">
        <f>"L001-902303751"=U1275</f>
        <v/>
      </c>
      <c r="R1275">
        <f>G1275-W1275</f>
        <v/>
      </c>
      <c r="S1275" s="36" t="n">
        <v>45481</v>
      </c>
      <c r="T1275" t="inlineStr"/>
      <c r="U1275" t="inlineStr">
        <is>
          <t>L001-107032791</t>
        </is>
      </c>
      <c r="V1275" t="inlineStr">
        <is>
          <t>នីបផន អិចប្រេស (ខេមបូឌា) ខូ អិលធីឌី</t>
        </is>
      </c>
      <c r="W1275" t="n">
        <v>0</v>
      </c>
      <c r="X1275" t="n">
        <v>0</v>
      </c>
    </row>
    <row r="1276">
      <c r="A1276" t="n">
        <v>1275</v>
      </c>
      <c r="B1276" t="inlineStr">
        <is>
          <t>HAWB FIEIGHT, AWB FEE, OM FORWARDING FEE AND H/C</t>
        </is>
      </c>
      <c r="C1276" t="inlineStr">
        <is>
          <t>អ៊ិចស្ពែឌីធ័រ ខេមបូឌា អិលធីឌី</t>
        </is>
      </c>
      <c r="D1276" t="inlineStr">
        <is>
          <t>L001-100045898</t>
        </is>
      </c>
      <c r="E1276" t="inlineStr">
        <is>
          <t>TI-0289957</t>
        </is>
      </c>
      <c r="F1276" t="inlineStr">
        <is>
          <t>22-09-2024</t>
        </is>
      </c>
      <c r="G1276" t="n">
        <v>83657</v>
      </c>
      <c r="I1276">
        <f>G1276</f>
        <v/>
      </c>
      <c r="K1276">
        <f>I1276-G1276</f>
        <v/>
      </c>
      <c r="M1276" t="inlineStr">
        <is>
          <t>TI0289957</t>
        </is>
      </c>
      <c r="N1276" t="inlineStr">
        <is>
          <t>11327300</t>
        </is>
      </c>
      <c r="O1276">
        <f>M1276=N1276</f>
        <v/>
      </c>
      <c r="P1276">
        <f>AND(MONTH(F1276)=MONTH(S1276), YEAR(F1276)=YEAR(S1276))</f>
        <v/>
      </c>
      <c r="Q1276">
        <f>"L001-902303751"=U1276</f>
        <v/>
      </c>
      <c r="R1276">
        <f>G1276-W1276</f>
        <v/>
      </c>
      <c r="S1276" s="36" t="n">
        <v>45481</v>
      </c>
      <c r="T1276" t="n">
        <v>113273</v>
      </c>
      <c r="U1276" t="inlineStr">
        <is>
          <t>L001-107032791</t>
        </is>
      </c>
      <c r="V1276" t="inlineStr">
        <is>
          <t>នីបផន អិចប្រេស (ខេមបូឌា) ខូ អិលធីឌី</t>
        </is>
      </c>
      <c r="W1276" t="n">
        <v>113273</v>
      </c>
      <c r="X1276" t="n">
        <v>0</v>
      </c>
    </row>
    <row r="1277">
      <c r="A1277" t="n">
        <v>1276</v>
      </c>
      <c r="B1277" t="inlineStr">
        <is>
          <t>HAWB FIEIGHT, AWB FEE, OM FORWARDING FEE AND H/C</t>
        </is>
      </c>
      <c r="C1277" t="inlineStr">
        <is>
          <t>អ៊ិចស្ពែឌីធ័រ ខេមបូឌា អិលធីឌី</t>
        </is>
      </c>
      <c r="D1277" t="inlineStr">
        <is>
          <t>L001-100045898</t>
        </is>
      </c>
      <c r="E1277" t="inlineStr">
        <is>
          <t>TI-0289412</t>
        </is>
      </c>
      <c r="F1277" t="inlineStr">
        <is>
          <t>19-09-2024</t>
        </is>
      </c>
      <c r="G1277" t="n">
        <v>74686</v>
      </c>
      <c r="I1277">
        <f>G1277</f>
        <v/>
      </c>
      <c r="K1277">
        <f>I1277-G1277</f>
        <v/>
      </c>
      <c r="M1277" t="inlineStr">
        <is>
          <t>TI0289412</t>
        </is>
      </c>
      <c r="N1277" t="inlineStr">
        <is>
          <t>8417300</t>
        </is>
      </c>
      <c r="O1277">
        <f>M1277=N1277</f>
        <v/>
      </c>
      <c r="P1277">
        <f>AND(MONTH(F1277)=MONTH(S1277), YEAR(F1277)=YEAR(S1277))</f>
        <v/>
      </c>
      <c r="Q1277">
        <f>"L001-902303751"=U1277</f>
        <v/>
      </c>
      <c r="R1277">
        <f>G1277-W1277</f>
        <v/>
      </c>
      <c r="S1277" s="36" t="n">
        <v>45488</v>
      </c>
      <c r="T1277" t="n">
        <v>84173</v>
      </c>
      <c r="U1277" t="inlineStr">
        <is>
          <t>L001-107032791</t>
        </is>
      </c>
      <c r="V1277" t="inlineStr">
        <is>
          <t>នីបផន អិចប្រេស (ខេមបូឌា) ខូ អិលធីឌី</t>
        </is>
      </c>
      <c r="W1277" t="n">
        <v>84173</v>
      </c>
      <c r="X1277" t="n">
        <v>0</v>
      </c>
    </row>
    <row r="1278">
      <c r="A1278" t="n">
        <v>1277</v>
      </c>
      <c r="B1278" t="inlineStr">
        <is>
          <t>HAWB FIEIGHT, AWB FEE, OM FORWARDING FEE AND H/C</t>
        </is>
      </c>
      <c r="C1278" t="inlineStr">
        <is>
          <t>អ៊ិចស្ពែឌីធ័រ ខេមបូឌា អិលធីឌី</t>
        </is>
      </c>
      <c r="D1278" t="inlineStr">
        <is>
          <t>L001-100045898</t>
        </is>
      </c>
      <c r="E1278" t="inlineStr">
        <is>
          <t>TI-0289737</t>
        </is>
      </c>
      <c r="F1278" t="inlineStr">
        <is>
          <t>21-09-2024</t>
        </is>
      </c>
      <c r="G1278" t="n">
        <v>46702</v>
      </c>
      <c r="I1278">
        <f>G1278</f>
        <v/>
      </c>
      <c r="K1278">
        <f>I1278-G1278</f>
        <v/>
      </c>
      <c r="M1278" t="inlineStr">
        <is>
          <t>TI0289737</t>
        </is>
      </c>
      <c r="N1278" t="inlineStr">
        <is>
          <t>17450500</t>
        </is>
      </c>
      <c r="O1278">
        <f>M1278=N1278</f>
        <v/>
      </c>
      <c r="P1278">
        <f>AND(MONTH(F1278)=MONTH(S1278), YEAR(F1278)=YEAR(S1278))</f>
        <v/>
      </c>
      <c r="Q1278">
        <f>"L001-902303751"=U1278</f>
        <v/>
      </c>
      <c r="R1278">
        <f>G1278-W1278</f>
        <v/>
      </c>
      <c r="S1278" s="36" t="n">
        <v>45488</v>
      </c>
      <c r="T1278" t="n">
        <v>174505</v>
      </c>
      <c r="U1278" t="inlineStr">
        <is>
          <t>K002-901800477</t>
        </is>
      </c>
      <c r="V1278" t="inlineStr">
        <is>
          <t>អាយធីអាយ អ៊ិនធើណេសិនណល ត្រេនស័្ពរថេសិន (ខេមបូឌា) ឯ.ក</t>
        </is>
      </c>
      <c r="W1278" t="n">
        <v>174505</v>
      </c>
      <c r="X1278" t="n">
        <v>0</v>
      </c>
    </row>
    <row r="1279">
      <c r="A1279" t="n">
        <v>1278</v>
      </c>
      <c r="B1279" t="inlineStr">
        <is>
          <t>HAWB FIEIGHT, AWB FEE, OM FORWARDING FEE AND H/C</t>
        </is>
      </c>
      <c r="C1279" t="inlineStr">
        <is>
          <t>អ៊ិចស្ពែឌីធ័រ ខេមបូឌា អិលធីឌី</t>
        </is>
      </c>
      <c r="D1279" t="inlineStr">
        <is>
          <t>L001-100045898</t>
        </is>
      </c>
      <c r="E1279" t="inlineStr">
        <is>
          <t>TI-0289216</t>
        </is>
      </c>
      <c r="F1279" t="inlineStr">
        <is>
          <t>18-09-2024</t>
        </is>
      </c>
      <c r="G1279" t="n">
        <v>46633</v>
      </c>
      <c r="I1279">
        <f>G1279</f>
        <v/>
      </c>
      <c r="K1279">
        <f>I1279-G1279</f>
        <v/>
      </c>
      <c r="M1279" t="inlineStr">
        <is>
          <t>TI0289216</t>
        </is>
      </c>
      <c r="N1279" t="inlineStr"/>
      <c r="O1279">
        <f>M1279=N1279</f>
        <v/>
      </c>
      <c r="P1279">
        <f>AND(MONTH(F1279)=MONTH(S1279), YEAR(F1279)=YEAR(S1279))</f>
        <v/>
      </c>
      <c r="Q1279">
        <f>"L001-902303751"=U1279</f>
        <v/>
      </c>
      <c r="R1279">
        <f>G1279-W1279</f>
        <v/>
      </c>
      <c r="S1279" s="36" t="n">
        <v>45488</v>
      </c>
      <c r="T1279" t="inlineStr"/>
      <c r="U1279" t="inlineStr">
        <is>
          <t>L001-100011888</t>
        </is>
      </c>
      <c r="V1279" t="inlineStr">
        <is>
          <t>ត្រេន ស្តារ ហ្រេ្វត</t>
        </is>
      </c>
      <c r="W1279" t="n">
        <v>0</v>
      </c>
      <c r="X1279" t="n">
        <v>0</v>
      </c>
    </row>
    <row r="1280">
      <c r="A1280" t="n">
        <v>1279</v>
      </c>
      <c r="B1280" t="inlineStr">
        <is>
          <t>HAWB FIEIGHT, AWB FEE, OM FORWARDING FEE AND H/C</t>
        </is>
      </c>
      <c r="C1280" t="inlineStr">
        <is>
          <t>អ៊ិចស្ពែឌីធ័រ ខេមបូឌា អិលធីឌី</t>
        </is>
      </c>
      <c r="D1280" t="inlineStr">
        <is>
          <t>L001-100045898</t>
        </is>
      </c>
      <c r="E1280" t="inlineStr">
        <is>
          <t>TI-0289213</t>
        </is>
      </c>
      <c r="F1280" t="inlineStr">
        <is>
          <t>18-09-2024</t>
        </is>
      </c>
      <c r="G1280" t="n">
        <v>46633</v>
      </c>
      <c r="I1280">
        <f>G1280</f>
        <v/>
      </c>
      <c r="K1280">
        <f>I1280-G1280</f>
        <v/>
      </c>
      <c r="M1280" t="inlineStr">
        <is>
          <t>TI0289213</t>
        </is>
      </c>
      <c r="N1280" t="inlineStr">
        <is>
          <t>213254800</t>
        </is>
      </c>
      <c r="O1280">
        <f>M1280=N1280</f>
        <v/>
      </c>
      <c r="P1280">
        <f>AND(MONTH(F1280)=MONTH(S1280), YEAR(F1280)=YEAR(S1280))</f>
        <v/>
      </c>
      <c r="Q1280">
        <f>"L001-902303751"=U1280</f>
        <v/>
      </c>
      <c r="R1280">
        <f>G1280-W1280</f>
        <v/>
      </c>
      <c r="S1280" s="36" t="n">
        <v>45498</v>
      </c>
      <c r="T1280" t="n">
        <v>2132548</v>
      </c>
      <c r="U1280" t="inlineStr">
        <is>
          <t>K004-105012505</t>
        </is>
      </c>
      <c r="V1280" t="inlineStr">
        <is>
          <t>អេស៊ាន ហ្វ្រេត (ខេមបូឌា)</t>
        </is>
      </c>
      <c r="W1280" t="n">
        <v>2132548</v>
      </c>
      <c r="X1280" t="n">
        <v>0</v>
      </c>
    </row>
    <row r="1281">
      <c r="A1281" t="n">
        <v>1280</v>
      </c>
      <c r="B1281" t="inlineStr">
        <is>
          <t>HAWB FIEIGHT, AWB FEE, OM FORWARDING FEE AND H/C</t>
        </is>
      </c>
      <c r="C1281" t="inlineStr">
        <is>
          <t>អ៊ិចស្ពែឌីធ័រ ខេមបូឌា អិលធីឌី</t>
        </is>
      </c>
      <c r="D1281" t="inlineStr">
        <is>
          <t>L001-100045898</t>
        </is>
      </c>
      <c r="E1281" t="inlineStr">
        <is>
          <t>TI-0289025</t>
        </is>
      </c>
      <c r="F1281" t="inlineStr">
        <is>
          <t>16-09-2024</t>
        </is>
      </c>
      <c r="G1281" t="n">
        <v>46656</v>
      </c>
      <c r="I1281">
        <f>G1281</f>
        <v/>
      </c>
      <c r="K1281">
        <f>I1281-G1281</f>
        <v/>
      </c>
      <c r="M1281" t="inlineStr">
        <is>
          <t>TI0289025</t>
        </is>
      </c>
      <c r="N1281" t="inlineStr"/>
      <c r="O1281">
        <f>M1281=N1281</f>
        <v/>
      </c>
      <c r="P1281">
        <f>AND(MONTH(F1281)=MONTH(S1281), YEAR(F1281)=YEAR(S1281))</f>
        <v/>
      </c>
      <c r="Q1281">
        <f>"L001-902303751"=U1281</f>
        <v/>
      </c>
      <c r="R1281">
        <f>G1281-W1281</f>
        <v/>
      </c>
      <c r="S1281" s="36" t="n">
        <v>45474</v>
      </c>
      <c r="T1281" t="inlineStr"/>
      <c r="U1281" t="inlineStr">
        <is>
          <t>L001-107032791</t>
        </is>
      </c>
      <c r="V1281" t="inlineStr">
        <is>
          <t>នីបផន អិចប្រេស (ខេមបូឌា) ខូ អិលធីឌី</t>
        </is>
      </c>
      <c r="W1281" t="n">
        <v>0</v>
      </c>
      <c r="X1281" t="n">
        <v>0</v>
      </c>
    </row>
    <row r="1282">
      <c r="A1282" t="n">
        <v>1281</v>
      </c>
      <c r="B1282" t="inlineStr">
        <is>
          <t>HAWB FIEIGHT, AWB FEE, OM FORWARDING FEE AND H/C</t>
        </is>
      </c>
      <c r="C1282" t="inlineStr">
        <is>
          <t>អ៊ិចស្ពែឌីធ័រ ខេមបូឌា អិលធីឌី</t>
        </is>
      </c>
      <c r="D1282" t="inlineStr">
        <is>
          <t>L001-100045898</t>
        </is>
      </c>
      <c r="E1282" t="inlineStr">
        <is>
          <t>TI-0288637</t>
        </is>
      </c>
      <c r="F1282" t="inlineStr">
        <is>
          <t>13-09-2024</t>
        </is>
      </c>
      <c r="G1282" t="n">
        <v>46656</v>
      </c>
      <c r="I1282">
        <f>G1282</f>
        <v/>
      </c>
      <c r="K1282">
        <f>I1282-G1282</f>
        <v/>
      </c>
      <c r="M1282" t="inlineStr">
        <is>
          <t>TI0288637</t>
        </is>
      </c>
      <c r="N1282" t="inlineStr">
        <is>
          <t>11308000</t>
        </is>
      </c>
      <c r="O1282">
        <f>M1282=N1282</f>
        <v/>
      </c>
      <c r="P1282">
        <f>AND(MONTH(F1282)=MONTH(S1282), YEAR(F1282)=YEAR(S1282))</f>
        <v/>
      </c>
      <c r="Q1282">
        <f>"L001-902303751"=U1282</f>
        <v/>
      </c>
      <c r="R1282">
        <f>G1282-W1282</f>
        <v/>
      </c>
      <c r="S1282" s="36" t="n">
        <v>45474</v>
      </c>
      <c r="T1282" t="n">
        <v>113080</v>
      </c>
      <c r="U1282" t="inlineStr">
        <is>
          <t>L001-107032791</t>
        </is>
      </c>
      <c r="V1282" t="inlineStr">
        <is>
          <t>នីបផន អិចប្រេស (ខេមបូឌា) ខូ អិលធីឌី</t>
        </is>
      </c>
      <c r="W1282" t="n">
        <v>113080</v>
      </c>
      <c r="X1282" t="n">
        <v>0</v>
      </c>
    </row>
    <row r="1283">
      <c r="A1283" t="n">
        <v>1282</v>
      </c>
      <c r="B1283" t="inlineStr">
        <is>
          <t>HAWB FIEIGHT, AWB FEE, OM FORWARDING FEE AND H/C</t>
        </is>
      </c>
      <c r="C1283" t="inlineStr">
        <is>
          <t>អ៊ិចស្ពែឌីធ័រ ខេមបូឌា អិលធីឌី</t>
        </is>
      </c>
      <c r="D1283" t="inlineStr">
        <is>
          <t>L001-100045898</t>
        </is>
      </c>
      <c r="E1283" t="inlineStr">
        <is>
          <t>TI-0288665</t>
        </is>
      </c>
      <c r="F1283" t="inlineStr">
        <is>
          <t>14-09-2024</t>
        </is>
      </c>
      <c r="G1283" t="n">
        <v>46656</v>
      </c>
      <c r="I1283">
        <f>G1283</f>
        <v/>
      </c>
      <c r="K1283">
        <f>I1283-G1283</f>
        <v/>
      </c>
      <c r="M1283" t="inlineStr">
        <is>
          <t>TI0288665</t>
        </is>
      </c>
      <c r="N1283" t="inlineStr">
        <is>
          <t>8429600</t>
        </is>
      </c>
      <c r="O1283">
        <f>M1283=N1283</f>
        <v/>
      </c>
      <c r="P1283">
        <f>AND(MONTH(F1283)=MONTH(S1283), YEAR(F1283)=YEAR(S1283))</f>
        <v/>
      </c>
      <c r="Q1283">
        <f>"L001-902303751"=U1283</f>
        <v/>
      </c>
      <c r="R1283">
        <f>G1283-W1283</f>
        <v/>
      </c>
      <c r="S1283" s="36" t="n">
        <v>45474</v>
      </c>
      <c r="T1283" t="n">
        <v>84296</v>
      </c>
      <c r="U1283" t="inlineStr">
        <is>
          <t>L001-107032791</t>
        </is>
      </c>
      <c r="V1283" t="inlineStr">
        <is>
          <t>នីបផន អិចប្រេស (ខេមបូឌា) ខូ អិលធីឌី</t>
        </is>
      </c>
      <c r="W1283" t="n">
        <v>84296</v>
      </c>
      <c r="X1283" t="n">
        <v>0</v>
      </c>
    </row>
    <row r="1284">
      <c r="A1284" t="n">
        <v>1283</v>
      </c>
      <c r="B1284" t="inlineStr">
        <is>
          <t>Document Origin, Handling Charges Origin, Airfreight, Overtime Fee, PLACI fee and HAWB Transmission Fee</t>
        </is>
      </c>
      <c r="C1284" t="inlineStr">
        <is>
          <t>ឌីប៊ី សេនឃើរ (ខេមបូឌា) លីមីធីត</t>
        </is>
      </c>
      <c r="D1284" t="inlineStr">
        <is>
          <t>L001-107041723</t>
        </is>
      </c>
      <c r="E1284" t="inlineStr">
        <is>
          <t>2400007827</t>
        </is>
      </c>
      <c r="F1284" t="inlineStr">
        <is>
          <t>30-09-2024</t>
        </is>
      </c>
      <c r="G1284" t="n">
        <v>102743</v>
      </c>
      <c r="I1284">
        <f>G1284</f>
        <v/>
      </c>
      <c r="K1284">
        <f>I1284-G1284</f>
        <v/>
      </c>
      <c r="M1284" t="inlineStr">
        <is>
          <t>2400007827</t>
        </is>
      </c>
      <c r="N1284" t="inlineStr">
        <is>
          <t>8444000</t>
        </is>
      </c>
      <c r="O1284">
        <f>M1284=N1284</f>
        <v/>
      </c>
      <c r="P1284">
        <f>AND(MONTH(F1284)=MONTH(S1284), YEAR(F1284)=YEAR(S1284))</f>
        <v/>
      </c>
      <c r="Q1284">
        <f>"L001-902303751"=U1284</f>
        <v/>
      </c>
      <c r="R1284">
        <f>G1284-W1284</f>
        <v/>
      </c>
      <c r="S1284" s="36" t="n">
        <v>45481</v>
      </c>
      <c r="T1284" t="n">
        <v>84440</v>
      </c>
      <c r="U1284" t="inlineStr">
        <is>
          <t>L001-107032791</t>
        </is>
      </c>
      <c r="V1284" t="inlineStr">
        <is>
          <t>នីបផន អិចប្រេស (ខេមបូឌា) ខូ អិលធីឌី</t>
        </is>
      </c>
      <c r="W1284" t="n">
        <v>84440</v>
      </c>
      <c r="X1284" t="n">
        <v>0</v>
      </c>
    </row>
    <row r="1285">
      <c r="A1285" t="n">
        <v>1284</v>
      </c>
      <c r="B1285" t="inlineStr">
        <is>
          <t>Document Origin, Handling Charges Origin, Airfreight, Overtime Fee, PLACI fee and HAWB Transmission Fee</t>
        </is>
      </c>
      <c r="C1285" t="inlineStr">
        <is>
          <t>ឌីប៊ី សេនឃើរ (ខេមបូឌា) លីមីធីត</t>
        </is>
      </c>
      <c r="D1285" t="inlineStr">
        <is>
          <t>L001-107041723</t>
        </is>
      </c>
      <c r="E1285" t="inlineStr">
        <is>
          <t>2400007693</t>
        </is>
      </c>
      <c r="F1285" t="inlineStr">
        <is>
          <t>25-09-2024</t>
        </is>
      </c>
      <c r="G1285" t="n">
        <v>49975</v>
      </c>
      <c r="I1285">
        <f>G1285</f>
        <v/>
      </c>
      <c r="K1285">
        <f>I1285-G1285</f>
        <v/>
      </c>
      <c r="M1285" t="inlineStr">
        <is>
          <t>2400007693</t>
        </is>
      </c>
      <c r="N1285" t="inlineStr">
        <is>
          <t>8444000</t>
        </is>
      </c>
      <c r="O1285">
        <f>M1285=N1285</f>
        <v/>
      </c>
      <c r="P1285">
        <f>AND(MONTH(F1285)=MONTH(S1285), YEAR(F1285)=YEAR(S1285))</f>
        <v/>
      </c>
      <c r="Q1285">
        <f>"L001-902303751"=U1285</f>
        <v/>
      </c>
      <c r="R1285">
        <f>G1285-W1285</f>
        <v/>
      </c>
      <c r="S1285" s="36" t="n">
        <v>45481</v>
      </c>
      <c r="T1285" t="n">
        <v>84440</v>
      </c>
      <c r="U1285" t="inlineStr">
        <is>
          <t>L001-100045995</t>
        </is>
      </c>
      <c r="V1285" t="inlineStr">
        <is>
          <t>ឌីអេចអិល ឡូជីស្ទីក (ខេមបូឌា)</t>
        </is>
      </c>
      <c r="W1285" t="n">
        <v>84440</v>
      </c>
      <c r="X1285" t="n">
        <v>0</v>
      </c>
    </row>
    <row r="1286">
      <c r="A1286" t="n">
        <v>1285</v>
      </c>
      <c r="B1286" t="inlineStr">
        <is>
          <t>Document Origin, Handling Charges Origin, Airfreight, Overtime Fee, PLACI fee and HAWB Transmission Fee</t>
        </is>
      </c>
      <c r="C1286" t="inlineStr">
        <is>
          <t>ឌីប៊ី សេនឃើរ (ខេមបូឌា) លីមីធីត</t>
        </is>
      </c>
      <c r="D1286" t="inlineStr">
        <is>
          <t>L001-107041723</t>
        </is>
      </c>
      <c r="E1286" t="inlineStr">
        <is>
          <t>2400007616</t>
        </is>
      </c>
      <c r="F1286" t="inlineStr">
        <is>
          <t>20-09-2024</t>
        </is>
      </c>
      <c r="G1286" t="n">
        <v>49950</v>
      </c>
      <c r="I1286">
        <f>G1286</f>
        <v/>
      </c>
      <c r="K1286">
        <f>I1286-G1286</f>
        <v/>
      </c>
      <c r="M1286" t="inlineStr">
        <is>
          <t>2400007616</t>
        </is>
      </c>
      <c r="N1286" t="inlineStr">
        <is>
          <t>8444000</t>
        </is>
      </c>
      <c r="O1286">
        <f>M1286=N1286</f>
        <v/>
      </c>
      <c r="P1286">
        <f>AND(MONTH(F1286)=MONTH(S1286), YEAR(F1286)=YEAR(S1286))</f>
        <v/>
      </c>
      <c r="Q1286">
        <f>"L001-902303751"=U1286</f>
        <v/>
      </c>
      <c r="R1286">
        <f>G1286-W1286</f>
        <v/>
      </c>
      <c r="S1286" s="36" t="n">
        <v>45481</v>
      </c>
      <c r="T1286" t="n">
        <v>84440</v>
      </c>
      <c r="U1286" t="inlineStr">
        <is>
          <t>L001-107032791</t>
        </is>
      </c>
      <c r="V1286" t="inlineStr">
        <is>
          <t>នីបផន អិចប្រេស (ខេមបូឌា) ខូ អិលធីឌី</t>
        </is>
      </c>
      <c r="W1286" t="n">
        <v>84440</v>
      </c>
      <c r="X1286" t="n">
        <v>0</v>
      </c>
    </row>
    <row r="1287">
      <c r="A1287" t="n">
        <v>1286</v>
      </c>
      <c r="B1287" t="inlineStr">
        <is>
          <t>Document Origin, Handling Charges Origin, Airfreight, Overtime Fee, PLACI fee and HAWB Transmission Fee</t>
        </is>
      </c>
      <c r="C1287" t="inlineStr">
        <is>
          <t>ឌីប៊ី សេនឃើរ (ខេមបូឌា) លីមីធីត</t>
        </is>
      </c>
      <c r="D1287" t="inlineStr">
        <is>
          <t>L001-107041723</t>
        </is>
      </c>
      <c r="E1287" t="inlineStr">
        <is>
          <t>2400007499</t>
        </is>
      </c>
      <c r="F1287" t="inlineStr">
        <is>
          <t>17-09-2024</t>
        </is>
      </c>
      <c r="G1287" t="n">
        <v>49864</v>
      </c>
      <c r="I1287">
        <f>G1287</f>
        <v/>
      </c>
      <c r="K1287">
        <f>I1287-G1287</f>
        <v/>
      </c>
      <c r="M1287" t="inlineStr">
        <is>
          <t>2400007499</t>
        </is>
      </c>
      <c r="N1287" t="inlineStr"/>
      <c r="O1287">
        <f>M1287=N1287</f>
        <v/>
      </c>
      <c r="P1287">
        <f>AND(MONTH(F1287)=MONTH(S1287), YEAR(F1287)=YEAR(S1287))</f>
        <v/>
      </c>
      <c r="Q1287">
        <f>"L001-902303751"=U1287</f>
        <v/>
      </c>
      <c r="R1287">
        <f>G1287-W1287</f>
        <v/>
      </c>
      <c r="S1287" s="36" t="n">
        <v>45481</v>
      </c>
      <c r="T1287" t="inlineStr"/>
      <c r="U1287" t="inlineStr">
        <is>
          <t>L001-107032791</t>
        </is>
      </c>
      <c r="V1287" t="inlineStr">
        <is>
          <t>នីបផន អិចប្រេស (ខេមបូឌា) ខូ អិលធីឌី</t>
        </is>
      </c>
      <c r="W1287" t="n">
        <v>0</v>
      </c>
      <c r="X1287" t="n">
        <v>0</v>
      </c>
    </row>
    <row r="1288">
      <c r="A1288" t="n">
        <v>1287</v>
      </c>
      <c r="B1288" t="inlineStr">
        <is>
          <t>Document Origin, Handling Charges Origin, Airfreight, Overtime Fee, PLACI fee and HAWB Transmission Fee</t>
        </is>
      </c>
      <c r="C1288" t="inlineStr">
        <is>
          <t>ឌីប៊ី សេនឃើរ (ខេមបូឌា) លីមីធីត</t>
        </is>
      </c>
      <c r="D1288" t="inlineStr">
        <is>
          <t>L001-107041723</t>
        </is>
      </c>
      <c r="E1288" t="inlineStr">
        <is>
          <t>2400007459</t>
        </is>
      </c>
      <c r="F1288" t="inlineStr">
        <is>
          <t>16-09-2024</t>
        </is>
      </c>
      <c r="G1288" t="n">
        <v>90404</v>
      </c>
      <c r="I1288">
        <f>G1288</f>
        <v/>
      </c>
      <c r="K1288">
        <f>I1288-G1288</f>
        <v/>
      </c>
      <c r="M1288" t="inlineStr">
        <is>
          <t>2400007459</t>
        </is>
      </c>
      <c r="N1288" t="inlineStr"/>
      <c r="O1288">
        <f>M1288=N1288</f>
        <v/>
      </c>
      <c r="P1288">
        <f>AND(MONTH(F1288)=MONTH(S1288), YEAR(F1288)=YEAR(S1288))</f>
        <v/>
      </c>
      <c r="Q1288">
        <f>"L001-902303751"=U1288</f>
        <v/>
      </c>
      <c r="R1288">
        <f>G1288-W1288</f>
        <v/>
      </c>
      <c r="S1288" s="36" t="n">
        <v>45516</v>
      </c>
      <c r="T1288" t="inlineStr"/>
      <c r="U1288" t="inlineStr">
        <is>
          <t>L001-107032791</t>
        </is>
      </c>
      <c r="V1288" t="inlineStr">
        <is>
          <t>នីបផន អិចប្រេស (ខេមបូឌា) ខូ អិលធីឌី</t>
        </is>
      </c>
      <c r="W1288" t="n">
        <v>0</v>
      </c>
      <c r="X1288" t="n">
        <v>0</v>
      </c>
    </row>
    <row r="1289">
      <c r="A1289" t="n">
        <v>1288</v>
      </c>
      <c r="B1289" t="inlineStr">
        <is>
          <t>Document Origin, Handling Charges Origin, Airfreight, Overtime Fee, PLACI fee and HAWB Transmission Fee</t>
        </is>
      </c>
      <c r="C1289" t="inlineStr">
        <is>
          <t>ឌីប៊ី សេនឃើរ (ខេមបូឌា) លីមីធីត</t>
        </is>
      </c>
      <c r="D1289" t="inlineStr">
        <is>
          <t>L001-107041723</t>
        </is>
      </c>
      <c r="E1289" t="inlineStr">
        <is>
          <t>2400007433</t>
        </is>
      </c>
      <c r="F1289" t="inlineStr">
        <is>
          <t>13-09-2024</t>
        </is>
      </c>
      <c r="G1289" t="n">
        <v>49901</v>
      </c>
      <c r="I1289">
        <f>G1289</f>
        <v/>
      </c>
      <c r="K1289">
        <f>I1289-G1289</f>
        <v/>
      </c>
      <c r="M1289" t="inlineStr">
        <is>
          <t>2400007433</t>
        </is>
      </c>
      <c r="N1289" t="inlineStr"/>
      <c r="O1289">
        <f>M1289=N1289</f>
        <v/>
      </c>
      <c r="P1289">
        <f>AND(MONTH(F1289)=MONTH(S1289), YEAR(F1289)=YEAR(S1289))</f>
        <v/>
      </c>
      <c r="Q1289">
        <f>"L001-902303751"=U1289</f>
        <v/>
      </c>
      <c r="R1289">
        <f>G1289-W1289</f>
        <v/>
      </c>
      <c r="S1289" s="36" t="n">
        <v>45523</v>
      </c>
      <c r="T1289" t="inlineStr"/>
      <c r="U1289" t="inlineStr">
        <is>
          <t>L001-100045995</t>
        </is>
      </c>
      <c r="V1289" t="inlineStr">
        <is>
          <t>ឌីអេចអិល ឡូជីស្ទីក (ខេមបូឌា)</t>
        </is>
      </c>
      <c r="W1289" t="n">
        <v>0</v>
      </c>
      <c r="X1289" t="n">
        <v>0</v>
      </c>
    </row>
    <row r="1290">
      <c r="A1290" t="n">
        <v>1289</v>
      </c>
      <c r="B1290" t="inlineStr">
        <is>
          <t>HAWB FIEIGHT, AWB FEE, OM FORWARDING FEE AND H/C</t>
        </is>
      </c>
      <c r="C1290" t="inlineStr">
        <is>
          <t>អ៊ិចស្ពែឌីធ័រ ខេមបូឌា អិលធីឌី</t>
        </is>
      </c>
      <c r="D1290" t="inlineStr">
        <is>
          <t>L001-100045898</t>
        </is>
      </c>
      <c r="E1290" t="inlineStr">
        <is>
          <t>TI-0287932</t>
        </is>
      </c>
      <c r="F1290" t="inlineStr">
        <is>
          <t>11-09-2024</t>
        </is>
      </c>
      <c r="G1290" t="n">
        <v>46736</v>
      </c>
      <c r="I1290">
        <f>G1290</f>
        <v/>
      </c>
      <c r="K1290">
        <f>I1290-G1290</f>
        <v/>
      </c>
      <c r="M1290" t="inlineStr">
        <is>
          <t>TI0287932</t>
        </is>
      </c>
      <c r="N1290" t="inlineStr">
        <is>
          <t>8398900</t>
        </is>
      </c>
      <c r="O1290">
        <f>M1290=N1290</f>
        <v/>
      </c>
      <c r="P1290">
        <f>AND(MONTH(F1290)=MONTH(S1290), YEAR(F1290)=YEAR(S1290))</f>
        <v/>
      </c>
      <c r="Q1290">
        <f>"L001-902303751"=U1290</f>
        <v/>
      </c>
      <c r="R1290">
        <f>G1290-W1290</f>
        <v/>
      </c>
      <c r="S1290" s="36" t="n">
        <v>45516</v>
      </c>
      <c r="T1290" t="n">
        <v>83989</v>
      </c>
      <c r="U1290" t="inlineStr">
        <is>
          <t>L001-107032791</t>
        </is>
      </c>
      <c r="V1290" t="inlineStr">
        <is>
          <t>នីបផន អិចប្រេស (ខេមបូឌា) ខូ អិលធីឌី</t>
        </is>
      </c>
      <c r="W1290" t="n">
        <v>83989</v>
      </c>
      <c r="X1290" t="n">
        <v>0</v>
      </c>
    </row>
    <row r="1291">
      <c r="A1291" t="n">
        <v>1290</v>
      </c>
      <c r="B1291" t="inlineStr">
        <is>
          <t>HAWB FIEIGHT, AWB FEE, OM FORWARDING FEE AND H/C</t>
        </is>
      </c>
      <c r="C1291" t="inlineStr">
        <is>
          <t>អ៊ិចស្ពែឌីធ័រ ខេមបូឌា អិលធីឌី</t>
        </is>
      </c>
      <c r="D1291" t="inlineStr">
        <is>
          <t>L001-100045898</t>
        </is>
      </c>
      <c r="E1291" t="inlineStr">
        <is>
          <t>TI-0287888</t>
        </is>
      </c>
      <c r="F1291" t="inlineStr">
        <is>
          <t>11-09-2024</t>
        </is>
      </c>
      <c r="G1291" t="n">
        <v>46736</v>
      </c>
      <c r="I1291">
        <f>G1291</f>
        <v/>
      </c>
      <c r="K1291">
        <f>I1291-G1291</f>
        <v/>
      </c>
      <c r="M1291" t="inlineStr">
        <is>
          <t>TI0287888</t>
        </is>
      </c>
      <c r="N1291" t="inlineStr">
        <is>
          <t>8398900</t>
        </is>
      </c>
      <c r="O1291">
        <f>M1291=N1291</f>
        <v/>
      </c>
      <c r="P1291">
        <f>AND(MONTH(F1291)=MONTH(S1291), YEAR(F1291)=YEAR(S1291))</f>
        <v/>
      </c>
      <c r="Q1291">
        <f>"L001-902303751"=U1291</f>
        <v/>
      </c>
      <c r="R1291">
        <f>G1291-W1291</f>
        <v/>
      </c>
      <c r="S1291" s="36" t="n">
        <v>45516</v>
      </c>
      <c r="T1291" t="n">
        <v>83989</v>
      </c>
      <c r="U1291" t="inlineStr">
        <is>
          <t>L001-100045995</t>
        </is>
      </c>
      <c r="V1291" t="inlineStr">
        <is>
          <t>ឌីអេចអិល ឡូជីស្ទីក (ខេមបូឌា)</t>
        </is>
      </c>
      <c r="W1291" t="n">
        <v>83989</v>
      </c>
      <c r="X1291" t="n">
        <v>0</v>
      </c>
    </row>
    <row r="1292">
      <c r="A1292" t="n">
        <v>1291</v>
      </c>
      <c r="B1292" t="inlineStr">
        <is>
          <t>Document Origin, Handling Charges Origin, Airfreight, Overtime Fee, PLACI fee and HAWB Transmission Fee</t>
        </is>
      </c>
      <c r="C1292" t="inlineStr">
        <is>
          <t>ឌីប៊ី សេនឃើរ (ខេមបូឌា) លីមីធីត</t>
        </is>
      </c>
      <c r="D1292" t="inlineStr">
        <is>
          <t>L001-107041723</t>
        </is>
      </c>
      <c r="E1292" t="inlineStr">
        <is>
          <t>2400007409</t>
        </is>
      </c>
      <c r="F1292" t="inlineStr">
        <is>
          <t>12-09-2024</t>
        </is>
      </c>
      <c r="G1292" t="n">
        <v>49938</v>
      </c>
      <c r="I1292">
        <f>G1292</f>
        <v/>
      </c>
      <c r="K1292">
        <f>I1292-G1292</f>
        <v/>
      </c>
      <c r="M1292" t="inlineStr">
        <is>
          <t>2400007409</t>
        </is>
      </c>
      <c r="N1292" t="inlineStr">
        <is>
          <t>11266800</t>
        </is>
      </c>
      <c r="O1292">
        <f>M1292=N1292</f>
        <v/>
      </c>
      <c r="P1292">
        <f>AND(MONTH(F1292)=MONTH(S1292), YEAR(F1292)=YEAR(S1292))</f>
        <v/>
      </c>
      <c r="Q1292">
        <f>"L001-902303751"=U1292</f>
        <v/>
      </c>
      <c r="R1292">
        <f>G1292-W1292</f>
        <v/>
      </c>
      <c r="S1292" s="36" t="n">
        <v>45516</v>
      </c>
      <c r="T1292" t="n">
        <v>112668</v>
      </c>
      <c r="U1292" t="inlineStr">
        <is>
          <t>L001-100045995</t>
        </is>
      </c>
      <c r="V1292" t="inlineStr">
        <is>
          <t>ឌីអេចអិល ឡូជីស្ទីក (ខេមបូឌា)</t>
        </is>
      </c>
      <c r="W1292" t="n">
        <v>112668</v>
      </c>
      <c r="X1292" t="n">
        <v>0</v>
      </c>
    </row>
    <row r="1293">
      <c r="A1293" t="n">
        <v>1292</v>
      </c>
      <c r="B1293" t="inlineStr">
        <is>
          <t>Document Origin, Handling Charges Origin, Airfreight, Overtime Fee, PLACI fee and HAWB Transmission Fee</t>
        </is>
      </c>
      <c r="C1293" t="inlineStr">
        <is>
          <t>ឌីប៊ី សេនឃើរ (ខេមបូឌា) លីមីធីត</t>
        </is>
      </c>
      <c r="D1293" t="inlineStr">
        <is>
          <t>L001-107041723</t>
        </is>
      </c>
      <c r="E1293" t="inlineStr">
        <is>
          <t>2400007425</t>
        </is>
      </c>
      <c r="F1293" t="inlineStr">
        <is>
          <t>12-09-2024</t>
        </is>
      </c>
      <c r="G1293" t="n">
        <v>49938</v>
      </c>
      <c r="I1293">
        <f>G1293</f>
        <v/>
      </c>
      <c r="K1293">
        <f>I1293-G1293</f>
        <v/>
      </c>
      <c r="M1293" t="inlineStr">
        <is>
          <t>2400007425</t>
        </is>
      </c>
      <c r="N1293" t="inlineStr"/>
      <c r="O1293">
        <f>M1293=N1293</f>
        <v/>
      </c>
      <c r="P1293">
        <f>AND(MONTH(F1293)=MONTH(S1293), YEAR(F1293)=YEAR(S1293))</f>
        <v/>
      </c>
      <c r="Q1293">
        <f>"L001-902303751"=U1293</f>
        <v/>
      </c>
      <c r="R1293">
        <f>G1293-W1293</f>
        <v/>
      </c>
      <c r="S1293" s="36" t="n">
        <v>45530</v>
      </c>
      <c r="T1293" t="inlineStr"/>
      <c r="U1293" t="inlineStr">
        <is>
          <t>L001-107032791</t>
        </is>
      </c>
      <c r="V1293" t="inlineStr">
        <is>
          <t>នីបផន អិចប្រេស (ខេមបូឌា) ខូ អិលធីឌី</t>
        </is>
      </c>
      <c r="W1293" t="n">
        <v>0</v>
      </c>
      <c r="X1293" t="n">
        <v>0</v>
      </c>
    </row>
    <row r="1294">
      <c r="A1294" t="n">
        <v>1293</v>
      </c>
      <c r="B1294" t="inlineStr">
        <is>
          <t>Document Origin, Handling Charges Origin, Airfreight, Overtime Fee, PLACI fee and HAWB Transmission Fee</t>
        </is>
      </c>
      <c r="C1294" t="inlineStr">
        <is>
          <t>ឌីប៊ី សេនឃើរ (ខេមបូឌា) លីមីធីត</t>
        </is>
      </c>
      <c r="D1294" t="inlineStr">
        <is>
          <t>L001-107041723</t>
        </is>
      </c>
      <c r="E1294" t="inlineStr">
        <is>
          <t>2400007133</t>
        </is>
      </c>
      <c r="F1294" t="inlineStr">
        <is>
          <t>04-09-2024</t>
        </is>
      </c>
      <c r="G1294" t="n">
        <v>50098</v>
      </c>
      <c r="I1294">
        <f>G1294</f>
        <v/>
      </c>
      <c r="K1294">
        <f>I1294-G1294</f>
        <v/>
      </c>
      <c r="M1294" t="inlineStr">
        <is>
          <t>2400007133</t>
        </is>
      </c>
      <c r="N1294" t="inlineStr">
        <is>
          <t>11467600</t>
        </is>
      </c>
      <c r="O1294">
        <f>M1294=N1294</f>
        <v/>
      </c>
      <c r="P1294">
        <f>AND(MONTH(F1294)=MONTH(S1294), YEAR(F1294)=YEAR(S1294))</f>
        <v/>
      </c>
      <c r="Q1294">
        <f>"L001-902303751"=U1294</f>
        <v/>
      </c>
      <c r="R1294">
        <f>G1294-W1294</f>
        <v/>
      </c>
      <c r="S1294" s="36" t="n">
        <v>45530</v>
      </c>
      <c r="T1294" t="n">
        <v>114676</v>
      </c>
      <c r="U1294" t="inlineStr">
        <is>
          <t>K005-901805913</t>
        </is>
      </c>
      <c r="V1294" t="inlineStr">
        <is>
          <t>ស្តារ ខង់ខដ (ខេមបូឌា) ឯ.ក</t>
        </is>
      </c>
      <c r="W1294" t="n">
        <v>114676</v>
      </c>
      <c r="X1294" t="n">
        <v>0</v>
      </c>
    </row>
    <row r="1295">
      <c r="A1295" t="n">
        <v>1294</v>
      </c>
      <c r="B1295" t="inlineStr">
        <is>
          <t>Monthly Tax Service for August 2024</t>
        </is>
      </c>
      <c r="C1295" t="inlineStr">
        <is>
          <t>ខេឌី ខនសាល់ធេន ឯ.ក</t>
        </is>
      </c>
      <c r="D1295" t="inlineStr">
        <is>
          <t>K005-901704277</t>
        </is>
      </c>
      <c r="E1295" t="inlineStr">
        <is>
          <t>20240001185</t>
        </is>
      </c>
      <c r="F1295" t="inlineStr">
        <is>
          <t>17-09-2024</t>
        </is>
      </c>
      <c r="G1295" t="n">
        <v>101350</v>
      </c>
      <c r="I1295">
        <f>G1295</f>
        <v/>
      </c>
      <c r="K1295">
        <f>I1295-G1295</f>
        <v/>
      </c>
      <c r="M1295" t="inlineStr">
        <is>
          <t>20240001185</t>
        </is>
      </c>
      <c r="N1295" t="inlineStr"/>
      <c r="O1295">
        <f>M1295=N1295</f>
        <v/>
      </c>
      <c r="P1295">
        <f>AND(MONTH(F1295)=MONTH(S1295), YEAR(F1295)=YEAR(S1295))</f>
        <v/>
      </c>
      <c r="Q1295">
        <f>"L001-902303751"=U1295</f>
        <v/>
      </c>
      <c r="R1295">
        <f>G1295-W1295</f>
        <v/>
      </c>
      <c r="S1295" s="36" t="n">
        <v>45530</v>
      </c>
      <c r="T1295" t="inlineStr"/>
      <c r="U1295" t="inlineStr">
        <is>
          <t>L001-107032791</t>
        </is>
      </c>
      <c r="V1295" t="inlineStr">
        <is>
          <t>នីបផន អិចប្រេស (ខេមបូឌា) ខូ អិលធីឌី</t>
        </is>
      </c>
      <c r="W1295" t="n">
        <v>0</v>
      </c>
      <c r="X1295" t="n">
        <v>0</v>
      </c>
    </row>
    <row r="1296">
      <c r="A1296" t="n">
        <v>1295</v>
      </c>
      <c r="B1296" t="inlineStr">
        <is>
          <t>Document Origin, Handling Charges Origin, Airfreight, Overtime Fee, PLACI fee and HAWB Transmission Fee</t>
        </is>
      </c>
      <c r="C1296" t="inlineStr">
        <is>
          <t>ឌីប៊ី សេនឃើរ (ខេមបូឌា) លីមីធីត</t>
        </is>
      </c>
      <c r="D1296" t="inlineStr">
        <is>
          <t>L001-107041723</t>
        </is>
      </c>
      <c r="E1296" t="inlineStr">
        <is>
          <t>2400007131</t>
        </is>
      </c>
      <c r="F1296" t="inlineStr">
        <is>
          <t>04-09-2024</t>
        </is>
      </c>
      <c r="G1296" t="n">
        <v>50098</v>
      </c>
      <c r="I1296">
        <f>G1296</f>
        <v/>
      </c>
      <c r="K1296">
        <f>I1296-G1296</f>
        <v/>
      </c>
      <c r="M1296" t="inlineStr">
        <is>
          <t>2400007131</t>
        </is>
      </c>
      <c r="N1296" t="inlineStr">
        <is>
          <t>17416500</t>
        </is>
      </c>
      <c r="O1296">
        <f>M1296=N1296</f>
        <v/>
      </c>
      <c r="P1296">
        <f>AND(MONTH(F1296)=MONTH(S1296), YEAR(F1296)=YEAR(S1296))</f>
        <v/>
      </c>
      <c r="Q1296">
        <f>"L001-902303751"=U1296</f>
        <v/>
      </c>
      <c r="R1296">
        <f>G1296-W1296</f>
        <v/>
      </c>
      <c r="S1296" s="36" t="n">
        <v>45523</v>
      </c>
      <c r="T1296" t="n">
        <v>174165</v>
      </c>
      <c r="U1296" t="inlineStr">
        <is>
          <t>L001-107032791</t>
        </is>
      </c>
      <c r="V1296" t="inlineStr">
        <is>
          <t>នីបផន អិចប្រេស (ខេមបូឌា) ខូ អិលធីឌី</t>
        </is>
      </c>
      <c r="W1296" t="n">
        <v>174165</v>
      </c>
      <c r="X1296" t="n">
        <v>0</v>
      </c>
    </row>
    <row r="1297">
      <c r="A1297" t="n">
        <v>1296</v>
      </c>
      <c r="B1297" t="inlineStr">
        <is>
          <t>Cargo Terminal</t>
        </is>
      </c>
      <c r="C1297" t="inlineStr">
        <is>
          <t>សូស៊ីយេតេ កុងសេស្យូនែរ ដឺ ឡាអេរ៉ូព័រ</t>
        </is>
      </c>
      <c r="D1297" t="inlineStr">
        <is>
          <t>L001-100047300</t>
        </is>
      </c>
      <c r="E1297" t="inlineStr">
        <is>
          <t>2400-070366</t>
        </is>
      </c>
      <c r="F1297" t="inlineStr">
        <is>
          <t>02-09-2024</t>
        </is>
      </c>
      <c r="G1297" t="n">
        <v>30166</v>
      </c>
      <c r="I1297">
        <f>G1297</f>
        <v/>
      </c>
      <c r="K1297">
        <f>I1297-G1297</f>
        <v/>
      </c>
      <c r="M1297" t="inlineStr">
        <is>
          <t>2400070366</t>
        </is>
      </c>
      <c r="N1297" t="inlineStr"/>
      <c r="O1297">
        <f>M1297=N1297</f>
        <v/>
      </c>
      <c r="P1297">
        <f>AND(MONTH(F1297)=MONTH(S1297), YEAR(F1297)=YEAR(S1297))</f>
        <v/>
      </c>
      <c r="Q1297">
        <f>"L001-902303751"=U1297</f>
        <v/>
      </c>
      <c r="R1297">
        <f>G1297-W1297</f>
        <v/>
      </c>
      <c r="S1297" s="36" t="n">
        <v>45510</v>
      </c>
      <c r="T1297" t="inlineStr"/>
      <c r="U1297" t="inlineStr">
        <is>
          <t>L001-107032791</t>
        </is>
      </c>
      <c r="V1297" t="inlineStr">
        <is>
          <t>នីបផន អិចប្រេស (ខេមបូឌា) ខូ អិលធីឌី</t>
        </is>
      </c>
      <c r="W1297" t="n">
        <v>0</v>
      </c>
      <c r="X1297" t="n">
        <v>0</v>
      </c>
    </row>
    <row r="1298">
      <c r="A1298" t="n">
        <v>1297</v>
      </c>
      <c r="B1298" t="inlineStr">
        <is>
          <t>Cargo Terminal</t>
        </is>
      </c>
      <c r="C1298" t="inlineStr">
        <is>
          <t>សូស៊ីយេតេ កុងសេស្យូនែរ ដឺ ឡាអេរ៉ូព័រ</t>
        </is>
      </c>
      <c r="D1298" t="inlineStr">
        <is>
          <t>L001-100047300</t>
        </is>
      </c>
      <c r="E1298" t="inlineStr">
        <is>
          <t>2400-070365</t>
        </is>
      </c>
      <c r="F1298" t="inlineStr">
        <is>
          <t>02-09-2024</t>
        </is>
      </c>
      <c r="G1298" t="n">
        <v>15845</v>
      </c>
      <c r="I1298">
        <f>G1298</f>
        <v/>
      </c>
      <c r="K1298">
        <f>I1298-G1298</f>
        <v/>
      </c>
      <c r="M1298" t="inlineStr">
        <is>
          <t>2400070365</t>
        </is>
      </c>
      <c r="N1298" t="inlineStr">
        <is>
          <t>11269500</t>
        </is>
      </c>
      <c r="O1298">
        <f>M1298=N1298</f>
        <v/>
      </c>
      <c r="P1298">
        <f>AND(MONTH(F1298)=MONTH(S1298), YEAR(F1298)=YEAR(S1298))</f>
        <v/>
      </c>
      <c r="Q1298">
        <f>"L001-902303751"=U1298</f>
        <v/>
      </c>
      <c r="R1298">
        <f>G1298-W1298</f>
        <v/>
      </c>
      <c r="S1298" s="36" t="n">
        <v>45523</v>
      </c>
      <c r="T1298" t="n">
        <v>112695</v>
      </c>
      <c r="U1298" t="inlineStr">
        <is>
          <t>L001-100045995</t>
        </is>
      </c>
      <c r="V1298" t="inlineStr">
        <is>
          <t>ឌីអេចអិល ឡូជីស្ទីក (ខេមបូឌា)</t>
        </is>
      </c>
      <c r="W1298" t="n">
        <v>112695</v>
      </c>
      <c r="X1298" t="n">
        <v>0</v>
      </c>
    </row>
    <row r="1299">
      <c r="A1299" t="n">
        <v>1298</v>
      </c>
      <c r="B1299" t="inlineStr">
        <is>
          <t>Cargo Terminal</t>
        </is>
      </c>
      <c r="C1299" t="inlineStr">
        <is>
          <t>សូស៊ីយេតេ កុងសេស្យូនែរ ដឺ ឡាអេរ៉ូព័រ</t>
        </is>
      </c>
      <c r="D1299" t="inlineStr">
        <is>
          <t>L001-100047300</t>
        </is>
      </c>
      <c r="E1299" t="inlineStr">
        <is>
          <t>2400-070251</t>
        </is>
      </c>
      <c r="F1299" t="inlineStr">
        <is>
          <t>01-09-2024</t>
        </is>
      </c>
      <c r="G1299" t="n">
        <v>42842</v>
      </c>
      <c r="I1299">
        <f>G1299</f>
        <v/>
      </c>
      <c r="K1299">
        <f>I1299-G1299</f>
        <v/>
      </c>
      <c r="M1299" t="inlineStr">
        <is>
          <t>2400070251</t>
        </is>
      </c>
      <c r="N1299" t="inlineStr"/>
      <c r="O1299">
        <f>M1299=N1299</f>
        <v/>
      </c>
      <c r="P1299">
        <f>AND(MONTH(F1299)=MONTH(S1299), YEAR(F1299)=YEAR(S1299))</f>
        <v/>
      </c>
      <c r="Q1299">
        <f>"L001-902303751"=U1299</f>
        <v/>
      </c>
      <c r="R1299">
        <f>G1299-W1299</f>
        <v/>
      </c>
      <c r="S1299" s="36" t="n">
        <v>45510</v>
      </c>
      <c r="T1299" t="inlineStr"/>
      <c r="U1299" t="inlineStr">
        <is>
          <t>L001-100045995</t>
        </is>
      </c>
      <c r="V1299" t="inlineStr">
        <is>
          <t>ឌីអេចអិល ឡូជីស្ទីក (ខេមបូឌា)</t>
        </is>
      </c>
      <c r="W1299" t="n">
        <v>0</v>
      </c>
      <c r="X1299" t="n">
        <v>0</v>
      </c>
    </row>
    <row r="1300">
      <c r="A1300" t="n">
        <v>1299</v>
      </c>
      <c r="B1300" t="inlineStr">
        <is>
          <t>Cargo Terminal</t>
        </is>
      </c>
      <c r="C1300" t="inlineStr">
        <is>
          <t>សូស៊ីយេតេ កុងសេស្យូនែរ ដឺ ឡាអេរ៉ូព័រ</t>
        </is>
      </c>
      <c r="D1300" t="inlineStr">
        <is>
          <t>L001-100047300</t>
        </is>
      </c>
      <c r="E1300" t="inlineStr">
        <is>
          <t>2400-070304</t>
        </is>
      </c>
      <c r="F1300" t="inlineStr">
        <is>
          <t>01-09-2024</t>
        </is>
      </c>
      <c r="G1300" t="n">
        <v>13598</v>
      </c>
      <c r="I1300">
        <f>G1300</f>
        <v/>
      </c>
      <c r="K1300">
        <f>I1300-G1300</f>
        <v/>
      </c>
      <c r="M1300" t="inlineStr">
        <is>
          <t>2400070304</t>
        </is>
      </c>
      <c r="N1300" t="inlineStr">
        <is>
          <t>8423500</t>
        </is>
      </c>
      <c r="O1300">
        <f>M1300=N1300</f>
        <v/>
      </c>
      <c r="P1300">
        <f>AND(MONTH(F1300)=MONTH(S1300), YEAR(F1300)=YEAR(S1300))</f>
        <v/>
      </c>
      <c r="Q1300">
        <f>"L001-902303751"=U1300</f>
        <v/>
      </c>
      <c r="R1300">
        <f>G1300-W1300</f>
        <v/>
      </c>
      <c r="S1300" s="36" t="n">
        <v>45510</v>
      </c>
      <c r="T1300" t="n">
        <v>84235</v>
      </c>
      <c r="U1300" t="inlineStr">
        <is>
          <t>L001-100045995</t>
        </is>
      </c>
      <c r="V1300" t="inlineStr">
        <is>
          <t>ឌីអេចអិល ឡូជីស្ទីក (ខេមបូឌា)</t>
        </is>
      </c>
      <c r="W1300" t="n">
        <v>84235</v>
      </c>
      <c r="X1300" t="n">
        <v>0</v>
      </c>
    </row>
    <row r="1301">
      <c r="A1301" t="n">
        <v>1300</v>
      </c>
      <c r="B1301" t="inlineStr">
        <is>
          <t>Cargo Terminal</t>
        </is>
      </c>
      <c r="C1301" t="inlineStr">
        <is>
          <t>សូស៊ីយេតេ កុងសេស្យូនែរ ដឺ ឡាអេរ៉ូព័រ</t>
        </is>
      </c>
      <c r="D1301" t="inlineStr">
        <is>
          <t>L001-100047300</t>
        </is>
      </c>
      <c r="E1301" t="inlineStr">
        <is>
          <t>2400-070299</t>
        </is>
      </c>
      <c r="F1301" t="inlineStr">
        <is>
          <t>01-09-2024</t>
        </is>
      </c>
      <c r="G1301" t="n">
        <v>11588</v>
      </c>
      <c r="I1301">
        <f>G1301</f>
        <v/>
      </c>
      <c r="K1301">
        <f>I1301-G1301</f>
        <v/>
      </c>
      <c r="M1301" t="inlineStr">
        <is>
          <t>2400070299</t>
        </is>
      </c>
      <c r="N1301" t="inlineStr"/>
      <c r="O1301">
        <f>M1301=N1301</f>
        <v/>
      </c>
      <c r="P1301">
        <f>AND(MONTH(F1301)=MONTH(S1301), YEAR(F1301)=YEAR(S1301))</f>
        <v/>
      </c>
      <c r="Q1301">
        <f>"L001-902303751"=U1301</f>
        <v/>
      </c>
      <c r="R1301">
        <f>G1301-W1301</f>
        <v/>
      </c>
      <c r="S1301" s="36" t="n">
        <v>45510</v>
      </c>
      <c r="T1301" t="inlineStr"/>
      <c r="U1301" t="inlineStr">
        <is>
          <t>L001-100045995</t>
        </is>
      </c>
      <c r="V1301" t="inlineStr">
        <is>
          <t>ឌីអេចអិល ឡូជីស្ទីក (ខេមបូឌា)</t>
        </is>
      </c>
      <c r="W1301" t="n">
        <v>0</v>
      </c>
      <c r="X1301" t="n">
        <v>0</v>
      </c>
    </row>
    <row r="1302">
      <c r="A1302" t="n">
        <v>1301</v>
      </c>
      <c r="B1302" t="inlineStr">
        <is>
          <t>Laco QC inspection fee in August</t>
        </is>
      </c>
      <c r="C1302" t="inlineStr">
        <is>
          <t>តេនតាក់ (ខេមបូឌា) អ៊ិនស្ពេកសិន</t>
        </is>
      </c>
      <c r="D1302" t="inlineStr">
        <is>
          <t>K009-901638542</t>
        </is>
      </c>
      <c r="E1302" t="inlineStr">
        <is>
          <t>TI2024-0106</t>
        </is>
      </c>
      <c r="F1302" t="inlineStr">
        <is>
          <t>05-09-2024</t>
        </is>
      </c>
      <c r="G1302" t="n">
        <v>957689</v>
      </c>
      <c r="I1302">
        <f>G1302</f>
        <v/>
      </c>
      <c r="K1302">
        <f>I1302-G1302</f>
        <v/>
      </c>
      <c r="M1302" t="inlineStr">
        <is>
          <t>TI20240106</t>
        </is>
      </c>
      <c r="N1302" t="inlineStr">
        <is>
          <t>11299800</t>
        </is>
      </c>
      <c r="O1302">
        <f>M1302=N1302</f>
        <v/>
      </c>
      <c r="P1302">
        <f>AND(MONTH(F1302)=MONTH(S1302), YEAR(F1302)=YEAR(S1302))</f>
        <v/>
      </c>
      <c r="Q1302">
        <f>"L001-902303751"=U1302</f>
        <v/>
      </c>
      <c r="R1302">
        <f>G1302-W1302</f>
        <v/>
      </c>
      <c r="S1302" s="36" t="n">
        <v>45510</v>
      </c>
      <c r="T1302" t="n">
        <v>112998</v>
      </c>
      <c r="U1302" t="inlineStr">
        <is>
          <t>L001-107032791</t>
        </is>
      </c>
      <c r="V1302" t="inlineStr">
        <is>
          <t>នីបផន អិចប្រេស (ខេមបូឌា) ខូ អិលធីឌី</t>
        </is>
      </c>
      <c r="W1302" t="n">
        <v>112998</v>
      </c>
      <c r="X1302" t="n">
        <v>0</v>
      </c>
    </row>
    <row r="1303">
      <c r="A1303" t="n">
        <v>1302</v>
      </c>
      <c r="B1303" t="inlineStr">
        <is>
          <t>Structural Safety Assessment 13 September 2024</t>
        </is>
      </c>
      <c r="C1303" t="inlineStr">
        <is>
          <t>ប្យួរ៉ូ វេរីតាស (ខេមបូឌា) លីមីធីត</t>
        </is>
      </c>
      <c r="D1303" t="inlineStr">
        <is>
          <t>L001-107024462</t>
        </is>
      </c>
      <c r="E1303" t="inlineStr">
        <is>
          <t>57000187</t>
        </is>
      </c>
      <c r="F1303" t="inlineStr">
        <is>
          <t>12-09-2024</t>
        </is>
      </c>
      <c r="G1303" t="n">
        <v>751100</v>
      </c>
      <c r="I1303">
        <f>G1303</f>
        <v/>
      </c>
      <c r="K1303">
        <f>I1303-G1303</f>
        <v/>
      </c>
      <c r="M1303" t="inlineStr">
        <is>
          <t>57000187</t>
        </is>
      </c>
      <c r="N1303" t="inlineStr"/>
      <c r="O1303">
        <f>M1303=N1303</f>
        <v/>
      </c>
      <c r="P1303">
        <f>AND(MONTH(F1303)=MONTH(S1303), YEAR(F1303)=YEAR(S1303))</f>
        <v/>
      </c>
      <c r="Q1303">
        <f>"L001-902303751"=U1303</f>
        <v/>
      </c>
      <c r="R1303">
        <f>G1303-W1303</f>
        <v/>
      </c>
      <c r="S1303" s="36" t="n">
        <v>45510</v>
      </c>
      <c r="T1303" t="inlineStr"/>
      <c r="U1303" t="inlineStr">
        <is>
          <t>L001-100045340</t>
        </is>
      </c>
      <c r="V1303" t="inlineStr">
        <is>
          <t xml:space="preserve">ស៊ីវ៉ា អ៊ែរ អ៊ែន អូសៀន (ខេមបូឌា) ឯ.ក </t>
        </is>
      </c>
      <c r="W1303" t="n">
        <v>0</v>
      </c>
      <c r="X1303" t="n">
        <v>0</v>
      </c>
    </row>
    <row r="1304">
      <c r="A1304" t="n">
        <v>1303</v>
      </c>
      <c r="B1304" t="inlineStr">
        <is>
          <t>Monthly Charge of Photo Copier from 06/08/2024-06/09/2024</t>
        </is>
      </c>
      <c r="C1304" t="inlineStr">
        <is>
          <t>វី.អាយ.អេស ខភៀ ឯ.ក</t>
        </is>
      </c>
      <c r="D1304" t="inlineStr">
        <is>
          <t>K007-901705195</t>
        </is>
      </c>
      <c r="E1304" t="inlineStr">
        <is>
          <t>RNT240922</t>
        </is>
      </c>
      <c r="F1304" t="inlineStr">
        <is>
          <t>06-09-2024</t>
        </is>
      </c>
      <c r="G1304" t="n">
        <v>57036</v>
      </c>
      <c r="I1304">
        <f>G1304</f>
        <v/>
      </c>
      <c r="K1304">
        <f>I1304-G1304</f>
        <v/>
      </c>
      <c r="M1304" t="inlineStr">
        <is>
          <t>RNT240922</t>
        </is>
      </c>
      <c r="N1304" t="inlineStr">
        <is>
          <t>8400900</t>
        </is>
      </c>
      <c r="O1304">
        <f>M1304=N1304</f>
        <v/>
      </c>
      <c r="P1304">
        <f>AND(MONTH(F1304)=MONTH(S1304), YEAR(F1304)=YEAR(S1304))</f>
        <v/>
      </c>
      <c r="Q1304">
        <f>"L001-902303751"=U1304</f>
        <v/>
      </c>
      <c r="R1304">
        <f>G1304-W1304</f>
        <v/>
      </c>
      <c r="S1304" s="36" t="n">
        <v>45523</v>
      </c>
      <c r="T1304" t="n">
        <v>84009</v>
      </c>
      <c r="U1304" t="inlineStr">
        <is>
          <t>L001-107032791</t>
        </is>
      </c>
      <c r="V1304" t="inlineStr">
        <is>
          <t>នីបផន អិចប្រេស (ខេមបូឌា) ខូ អិលធីឌី</t>
        </is>
      </c>
      <c r="W1304" t="n">
        <v>84009</v>
      </c>
      <c r="X1304" t="n">
        <v>0</v>
      </c>
    </row>
    <row r="1305">
      <c r="A1305" t="n">
        <v>1304</v>
      </c>
      <c r="B1305" t="inlineStr">
        <is>
          <t>Monthly Charge of Photo Copier from 06/08/2024-06/09/2024</t>
        </is>
      </c>
      <c r="C1305" t="inlineStr">
        <is>
          <t>វី.អាយ.អេស ខភៀ ឯ.ក</t>
        </is>
      </c>
      <c r="D1305" t="inlineStr">
        <is>
          <t>K007-901705195</t>
        </is>
      </c>
      <c r="E1305" t="inlineStr">
        <is>
          <t>RNT240925</t>
        </is>
      </c>
      <c r="F1305" t="inlineStr">
        <is>
          <t>06-09-2024</t>
        </is>
      </c>
      <c r="G1305" t="n">
        <v>57036</v>
      </c>
      <c r="I1305">
        <f>G1305</f>
        <v/>
      </c>
      <c r="K1305">
        <f>I1305-G1305</f>
        <v/>
      </c>
      <c r="M1305" t="inlineStr">
        <is>
          <t>RNT240925</t>
        </is>
      </c>
      <c r="N1305" t="inlineStr">
        <is>
          <t>8400900</t>
        </is>
      </c>
      <c r="O1305">
        <f>M1305=N1305</f>
        <v/>
      </c>
      <c r="P1305">
        <f>AND(MONTH(F1305)=MONTH(S1305), YEAR(F1305)=YEAR(S1305))</f>
        <v/>
      </c>
      <c r="Q1305">
        <f>"L001-902303751"=U1305</f>
        <v/>
      </c>
      <c r="R1305">
        <f>G1305-W1305</f>
        <v/>
      </c>
      <c r="S1305" s="36" t="n">
        <v>45523</v>
      </c>
      <c r="T1305" t="n">
        <v>84009</v>
      </c>
      <c r="U1305" t="inlineStr">
        <is>
          <t>L001-107032791</t>
        </is>
      </c>
      <c r="V1305" t="inlineStr">
        <is>
          <t>នីបផន អិចប្រេស (ខេមបូឌា) ខូ អិលធីឌី</t>
        </is>
      </c>
      <c r="W1305" t="n">
        <v>84009</v>
      </c>
      <c r="X1305" t="n">
        <v>0</v>
      </c>
    </row>
    <row r="1306">
      <c r="A1306" t="n">
        <v>1305</v>
      </c>
      <c r="B1306" t="inlineStr">
        <is>
          <t>Monthly Charge of Photo Copier from 06/08/2024-06/09/2024</t>
        </is>
      </c>
      <c r="C1306" t="inlineStr">
        <is>
          <t>វី.អាយ.អេស ខភៀ ឯ.ក</t>
        </is>
      </c>
      <c r="D1306" t="inlineStr">
        <is>
          <t>K007-901705195</t>
        </is>
      </c>
      <c r="E1306" t="inlineStr">
        <is>
          <t>RNT240924</t>
        </is>
      </c>
      <c r="F1306" t="inlineStr">
        <is>
          <t>06-09-2024</t>
        </is>
      </c>
      <c r="G1306" t="n">
        <v>28518</v>
      </c>
      <c r="I1306">
        <f>G1306</f>
        <v/>
      </c>
      <c r="K1306">
        <f>I1306-G1306</f>
        <v/>
      </c>
      <c r="M1306" t="inlineStr">
        <is>
          <t>RNT240924</t>
        </is>
      </c>
      <c r="N1306" t="inlineStr">
        <is>
          <t>11269500</t>
        </is>
      </c>
      <c r="O1306">
        <f>M1306=N1306</f>
        <v/>
      </c>
      <c r="P1306">
        <f>AND(MONTH(F1306)=MONTH(S1306), YEAR(F1306)=YEAR(S1306))</f>
        <v/>
      </c>
      <c r="Q1306">
        <f>"L001-902303751"=U1306</f>
        <v/>
      </c>
      <c r="R1306">
        <f>G1306-W1306</f>
        <v/>
      </c>
      <c r="S1306" s="36" t="n">
        <v>45523</v>
      </c>
      <c r="T1306" t="n">
        <v>112695</v>
      </c>
      <c r="U1306" t="inlineStr">
        <is>
          <t>L001-100045995</t>
        </is>
      </c>
      <c r="V1306" t="inlineStr">
        <is>
          <t>ឌីអេចអិល ឡូជីស្ទីក (ខេមបូឌា)</t>
        </is>
      </c>
      <c r="W1306" t="n">
        <v>112695</v>
      </c>
      <c r="X1306" t="n">
        <v>0</v>
      </c>
    </row>
    <row r="1307">
      <c r="A1307" t="n">
        <v>1306</v>
      </c>
      <c r="B1307" t="inlineStr">
        <is>
          <t>Monthly Charge of Photo Copier from 06/08/2024-06/09/2024</t>
        </is>
      </c>
      <c r="C1307" t="inlineStr">
        <is>
          <t>វី.អាយ.អេស ខភៀ ឯ.ក</t>
        </is>
      </c>
      <c r="D1307" t="inlineStr">
        <is>
          <t>K007-901705195</t>
        </is>
      </c>
      <c r="E1307" t="inlineStr">
        <is>
          <t>RNT240923</t>
        </is>
      </c>
      <c r="F1307" t="inlineStr">
        <is>
          <t>06-09-2024</t>
        </is>
      </c>
      <c r="G1307" t="n">
        <v>26481</v>
      </c>
      <c r="I1307">
        <f>G1307</f>
        <v/>
      </c>
      <c r="K1307">
        <f>I1307-G1307</f>
        <v/>
      </c>
      <c r="M1307" t="inlineStr">
        <is>
          <t>RNT240923</t>
        </is>
      </c>
      <c r="N1307" t="inlineStr">
        <is>
          <t>8423500</t>
        </is>
      </c>
      <c r="O1307">
        <f>M1307=N1307</f>
        <v/>
      </c>
      <c r="P1307">
        <f>AND(MONTH(F1307)=MONTH(S1307), YEAR(F1307)=YEAR(S1307))</f>
        <v/>
      </c>
      <c r="Q1307">
        <f>"L001-902303751"=U1307</f>
        <v/>
      </c>
      <c r="R1307">
        <f>G1307-W1307</f>
        <v/>
      </c>
      <c r="S1307" s="36" t="n">
        <v>45510</v>
      </c>
      <c r="T1307" t="n">
        <v>84235</v>
      </c>
      <c r="U1307" t="inlineStr">
        <is>
          <t>L001-107032791</t>
        </is>
      </c>
      <c r="V1307" t="inlineStr">
        <is>
          <t>នីបផន អិចប្រេស (ខេមបូឌា) ខូ អិលធីឌី</t>
        </is>
      </c>
      <c r="W1307" t="n">
        <v>84235</v>
      </c>
      <c r="X1307" t="n">
        <v>0</v>
      </c>
    </row>
    <row r="1308">
      <c r="A1308" t="n">
        <v>1307</v>
      </c>
      <c r="B1308" t="inlineStr">
        <is>
          <t>Monthly Charge of Photo Copier from 06/08/2024-06/09/2024</t>
        </is>
      </c>
      <c r="C1308" t="inlineStr">
        <is>
          <t>វី.អាយ.អេស ខភៀ ឯ.ក</t>
        </is>
      </c>
      <c r="D1308" t="inlineStr">
        <is>
          <t>K007-901705195</t>
        </is>
      </c>
      <c r="E1308" t="inlineStr">
        <is>
          <t>RNT240926</t>
        </is>
      </c>
      <c r="F1308" t="inlineStr">
        <is>
          <t>06-09-2024</t>
        </is>
      </c>
      <c r="G1308" t="n">
        <v>28518</v>
      </c>
      <c r="I1308">
        <f>G1308</f>
        <v/>
      </c>
      <c r="K1308">
        <f>I1308-G1308</f>
        <v/>
      </c>
      <c r="M1308" t="inlineStr">
        <is>
          <t>RNT240926</t>
        </is>
      </c>
      <c r="N1308" t="inlineStr"/>
      <c r="O1308">
        <f>M1308=N1308</f>
        <v/>
      </c>
      <c r="P1308">
        <f>AND(MONTH(F1308)=MONTH(S1308), YEAR(F1308)=YEAR(S1308))</f>
        <v/>
      </c>
      <c r="Q1308">
        <f>"L001-902303751"=U1308</f>
        <v/>
      </c>
      <c r="R1308">
        <f>G1308-W1308</f>
        <v/>
      </c>
      <c r="S1308" s="36" t="n">
        <v>45523</v>
      </c>
      <c r="T1308" t="inlineStr"/>
      <c r="U1308" t="inlineStr">
        <is>
          <t>L001-107032791</t>
        </is>
      </c>
      <c r="V1308" t="inlineStr">
        <is>
          <t>នីបផន អិចប្រេស (ខេមបូឌា) ខូ អិលធីឌី</t>
        </is>
      </c>
      <c r="W1308" t="n">
        <v>0</v>
      </c>
      <c r="X1308" t="n">
        <v>0</v>
      </c>
    </row>
    <row r="1309">
      <c r="A1309" t="n">
        <v>1308</v>
      </c>
      <c r="B1309" t="inlineStr">
        <is>
          <t>Import Shipment Expense</t>
        </is>
      </c>
      <c r="C1309" t="inlineStr">
        <is>
          <t>ហ្វ្រេត ខនសិប (ខេមបូឌា)</t>
        </is>
      </c>
      <c r="D1309" t="inlineStr">
        <is>
          <t>K009-901502482</t>
        </is>
      </c>
      <c r="E1309" t="inlineStr">
        <is>
          <t>240961</t>
        </is>
      </c>
      <c r="F1309" t="inlineStr">
        <is>
          <t>18-09-2024</t>
        </is>
      </c>
      <c r="G1309" t="n">
        <v>85155</v>
      </c>
      <c r="I1309">
        <f>G1309</f>
        <v/>
      </c>
      <c r="K1309">
        <f>I1309-G1309</f>
        <v/>
      </c>
      <c r="M1309" t="inlineStr">
        <is>
          <t>240961</t>
        </is>
      </c>
      <c r="N1309" t="inlineStr"/>
      <c r="O1309">
        <f>M1309=N1309</f>
        <v/>
      </c>
      <c r="P1309">
        <f>AND(MONTH(F1309)=MONTH(S1309), YEAR(F1309)=YEAR(S1309))</f>
        <v/>
      </c>
      <c r="Q1309">
        <f>"L001-902303751"=U1309</f>
        <v/>
      </c>
      <c r="R1309">
        <f>G1309-W1309</f>
        <v/>
      </c>
      <c r="S1309" s="36" t="n">
        <v>45530</v>
      </c>
      <c r="T1309" t="inlineStr"/>
      <c r="U1309" t="inlineStr">
        <is>
          <t>L001-100045995</t>
        </is>
      </c>
      <c r="V1309" t="inlineStr">
        <is>
          <t>ឌីអេចអិល ឡូជីស្ទីក (ខេមបូឌា)</t>
        </is>
      </c>
      <c r="W1309" t="n">
        <v>0</v>
      </c>
      <c r="X1309" t="n">
        <v>0</v>
      </c>
    </row>
    <row r="1310">
      <c r="A1310" t="n">
        <v>1309</v>
      </c>
      <c r="B1310" t="inlineStr">
        <is>
          <t>Charge from Warehouse/cy to trucks and Storage Charges</t>
        </is>
      </c>
      <c r="C1310" t="inlineStr">
        <is>
          <t>កំពង់ផែស្វយ័តក្រុងព្រះសីហនុ</t>
        </is>
      </c>
      <c r="D1310" t="inlineStr">
        <is>
          <t>L001-100044638</t>
        </is>
      </c>
      <c r="E1310" t="inlineStr">
        <is>
          <t>200426</t>
        </is>
      </c>
      <c r="F1310" t="inlineStr">
        <is>
          <t>27-09-2024</t>
        </is>
      </c>
      <c r="G1310" t="n">
        <v>701</v>
      </c>
      <c r="I1310">
        <f>G1310</f>
        <v/>
      </c>
      <c r="K1310">
        <f>I1310-G1310</f>
        <v/>
      </c>
      <c r="M1310" t="inlineStr">
        <is>
          <t>200426</t>
        </is>
      </c>
      <c r="N1310" t="inlineStr">
        <is>
          <t>8366100</t>
        </is>
      </c>
      <c r="O1310">
        <f>M1310=N1310</f>
        <v/>
      </c>
      <c r="P1310">
        <f>AND(MONTH(F1310)=MONTH(S1310), YEAR(F1310)=YEAR(S1310))</f>
        <v/>
      </c>
      <c r="Q1310">
        <f>"L001-902303751"=U1310</f>
        <v/>
      </c>
      <c r="R1310">
        <f>G1310-W1310</f>
        <v/>
      </c>
      <c r="S1310" s="36" t="n">
        <v>45530</v>
      </c>
      <c r="T1310" t="n">
        <v>83661</v>
      </c>
      <c r="U1310" t="inlineStr">
        <is>
          <t>L001-107032791</t>
        </is>
      </c>
      <c r="V1310" t="inlineStr">
        <is>
          <t>នីបផន អិចប្រេស (ខេមបូឌា) ខូ អិលធីឌី</t>
        </is>
      </c>
      <c r="W1310" t="n">
        <v>83661</v>
      </c>
      <c r="X1310" t="n">
        <v>0</v>
      </c>
    </row>
    <row r="1311">
      <c r="A1311" t="n">
        <v>1310</v>
      </c>
      <c r="B1311" t="inlineStr">
        <is>
          <t>Customs Clearance Fee and Trucking Fee</t>
        </is>
      </c>
      <c r="C1311" t="inlineStr">
        <is>
          <t>ត្រាយអ៊ែងហ្គល ឡូជីស្ទីក (ខេមបូឌា) ឯ.ក</t>
        </is>
      </c>
      <c r="D1311" t="inlineStr">
        <is>
          <t>K010-902101743</t>
        </is>
      </c>
      <c r="E1311" t="inlineStr">
        <is>
          <t>TAG-24-00726</t>
        </is>
      </c>
      <c r="F1311" t="inlineStr">
        <is>
          <t>30-09-2024</t>
        </is>
      </c>
      <c r="G1311" t="n">
        <v>32488</v>
      </c>
      <c r="I1311">
        <f>G1311</f>
        <v/>
      </c>
      <c r="K1311">
        <f>I1311-G1311</f>
        <v/>
      </c>
      <c r="M1311" t="inlineStr">
        <is>
          <t>TAG2400726</t>
        </is>
      </c>
      <c r="N1311" t="inlineStr">
        <is>
          <t>17344300</t>
        </is>
      </c>
      <c r="O1311">
        <f>M1311=N1311</f>
        <v/>
      </c>
      <c r="P1311">
        <f>AND(MONTH(F1311)=MONTH(S1311), YEAR(F1311)=YEAR(S1311))</f>
        <v/>
      </c>
      <c r="Q1311">
        <f>"L001-902303751"=U1311</f>
        <v/>
      </c>
      <c r="R1311">
        <f>G1311-W1311</f>
        <v/>
      </c>
      <c r="S1311" s="36" t="n">
        <v>45530</v>
      </c>
      <c r="T1311" t="n">
        <v>173443</v>
      </c>
      <c r="U1311" t="inlineStr">
        <is>
          <t>L001-107032791</t>
        </is>
      </c>
      <c r="V1311" t="inlineStr">
        <is>
          <t>នីបផន អិចប្រេស (ខេមបូឌា) ខូ អិលធីឌី</t>
        </is>
      </c>
      <c r="W1311" t="n">
        <v>173443</v>
      </c>
      <c r="X1311" t="n">
        <v>0</v>
      </c>
    </row>
    <row r="1312">
      <c r="A1312" t="n">
        <v>1311</v>
      </c>
      <c r="B1312" t="inlineStr">
        <is>
          <t>Import Shipment Expense</t>
        </is>
      </c>
      <c r="C1312" t="inlineStr">
        <is>
          <t>ខេអិលអិន ហ្វ្រេត (ខេមបូឌា) ឯ.ក</t>
        </is>
      </c>
      <c r="D1312" t="inlineStr">
        <is>
          <t>L001-100074669</t>
        </is>
      </c>
      <c r="E1312" t="inlineStr">
        <is>
          <t>IVO15158</t>
        </is>
      </c>
      <c r="F1312" t="inlineStr">
        <is>
          <t>25-09-2024</t>
        </is>
      </c>
      <c r="G1312" t="n">
        <v>151753</v>
      </c>
      <c r="I1312">
        <f>G1312</f>
        <v/>
      </c>
      <c r="K1312">
        <f>I1312-G1312</f>
        <v/>
      </c>
      <c r="M1312" t="inlineStr">
        <is>
          <t>IVO15158</t>
        </is>
      </c>
      <c r="N1312" t="inlineStr">
        <is>
          <t>20280200</t>
        </is>
      </c>
      <c r="O1312">
        <f>M1312=N1312</f>
        <v/>
      </c>
      <c r="P1312">
        <f>AND(MONTH(F1312)=MONTH(S1312), YEAR(F1312)=YEAR(S1312))</f>
        <v/>
      </c>
      <c r="Q1312">
        <f>"L001-902303751"=U1312</f>
        <v/>
      </c>
      <c r="R1312">
        <f>G1312-W1312</f>
        <v/>
      </c>
      <c r="S1312" s="36" t="n">
        <v>45516</v>
      </c>
      <c r="T1312" t="n">
        <v>202802</v>
      </c>
      <c r="U1312" t="inlineStr">
        <is>
          <t>L001-107032791</t>
        </is>
      </c>
      <c r="V1312" t="inlineStr">
        <is>
          <t>នីបផន អិចប្រេស (ខេមបូឌា) ខូ អិលធីឌី</t>
        </is>
      </c>
      <c r="W1312" t="n">
        <v>202802</v>
      </c>
      <c r="X1312" t="n">
        <v>0</v>
      </c>
    </row>
    <row r="1313">
      <c r="A1313" t="n">
        <v>1312</v>
      </c>
      <c r="B1313" t="inlineStr">
        <is>
          <t>Customs Clearance Fee and Trucking Fee</t>
        </is>
      </c>
      <c r="C1313" t="inlineStr">
        <is>
          <t>ត្រាយអ៊ែងហ្គល ឡូជីស្ទីក (ខេមបូឌា) ឯ.ក</t>
        </is>
      </c>
      <c r="D1313" t="inlineStr">
        <is>
          <t>K010-902101743</t>
        </is>
      </c>
      <c r="E1313" t="inlineStr">
        <is>
          <t>TAG-24-00718</t>
        </is>
      </c>
      <c r="F1313" t="inlineStr">
        <is>
          <t>30-09-2024</t>
        </is>
      </c>
      <c r="G1313" t="n">
        <v>109647</v>
      </c>
      <c r="I1313">
        <f>G1313</f>
        <v/>
      </c>
      <c r="K1313">
        <f>I1313-G1313</f>
        <v/>
      </c>
      <c r="M1313" t="inlineStr">
        <is>
          <t>TAG2400718</t>
        </is>
      </c>
      <c r="N1313" t="inlineStr">
        <is>
          <t>12696800</t>
        </is>
      </c>
      <c r="O1313">
        <f>M1313=N1313</f>
        <v/>
      </c>
      <c r="P1313">
        <f>AND(MONTH(F1313)=MONTH(S1313), YEAR(F1313)=YEAR(S1313))</f>
        <v/>
      </c>
      <c r="Q1313">
        <f>"L001-902303751"=U1313</f>
        <v/>
      </c>
      <c r="R1313">
        <f>G1313-W1313</f>
        <v/>
      </c>
      <c r="S1313" s="36" t="n">
        <v>45505</v>
      </c>
      <c r="T1313" t="n">
        <v>126968</v>
      </c>
      <c r="U1313" t="inlineStr">
        <is>
          <t>L001-100011888</t>
        </is>
      </c>
      <c r="V1313" t="inlineStr">
        <is>
          <t>ត្រេន ស្តារ ហ្រេ្វត</t>
        </is>
      </c>
      <c r="W1313" t="n">
        <v>126968</v>
      </c>
      <c r="X1313" t="n">
        <v>0</v>
      </c>
    </row>
    <row r="1314">
      <c r="A1314" t="n">
        <v>1313</v>
      </c>
      <c r="B1314" t="inlineStr">
        <is>
          <t>THC GMD24SGNPNH1082, DOC Fee GMD24SGNPNH1082 and Container Imbalance GMD24SGNPNH1082</t>
        </is>
      </c>
      <c r="C1314" t="inlineStr">
        <is>
          <t>សាខាក្រុមហ៊ុន ជីម៉ាឌីប ស៊ីបភីង ខមភេនី លីមីធីត</t>
        </is>
      </c>
      <c r="D1314" t="inlineStr">
        <is>
          <t>L001-901704777</t>
        </is>
      </c>
      <c r="E1314" t="inlineStr">
        <is>
          <t>24-03470</t>
        </is>
      </c>
      <c r="F1314" t="inlineStr">
        <is>
          <t>25-09-2024</t>
        </is>
      </c>
      <c r="G1314" t="n">
        <v>95481</v>
      </c>
      <c r="I1314">
        <f>G1314</f>
        <v/>
      </c>
      <c r="K1314">
        <f>I1314-G1314</f>
        <v/>
      </c>
      <c r="M1314" t="inlineStr">
        <is>
          <t>2403470</t>
        </is>
      </c>
      <c r="N1314" t="inlineStr"/>
      <c r="O1314">
        <f>M1314=N1314</f>
        <v/>
      </c>
      <c r="P1314">
        <f>AND(MONTH(F1314)=MONTH(S1314), YEAR(F1314)=YEAR(S1314))</f>
        <v/>
      </c>
      <c r="Q1314">
        <f>"L001-902303751"=U1314</f>
        <v/>
      </c>
      <c r="R1314">
        <f>G1314-W1314</f>
        <v/>
      </c>
      <c r="S1314" s="36" t="n">
        <v>45530</v>
      </c>
      <c r="T1314" t="inlineStr"/>
      <c r="U1314" t="inlineStr">
        <is>
          <t>L001-107032791</t>
        </is>
      </c>
      <c r="V1314" t="inlineStr">
        <is>
          <t>នីបផន អិចប្រេស (ខេមបូឌា) ខូ អិលធីឌី</t>
        </is>
      </c>
      <c r="W1314" t="n">
        <v>0</v>
      </c>
      <c r="X1314" t="n">
        <v>0</v>
      </c>
    </row>
    <row r="1315">
      <c r="A1315" t="n">
        <v>1314</v>
      </c>
      <c r="B1315" t="inlineStr">
        <is>
          <t>LIFT-ON Charges 20" Full and Gate Fee Charges 20" Full</t>
        </is>
      </c>
      <c r="C1315" t="inlineStr">
        <is>
          <t>កំពង់ផែស្វយ័តភ្នំពេញ "ក.ស.ភ"</t>
        </is>
      </c>
      <c r="D1315" t="inlineStr">
        <is>
          <t>L001-100044999</t>
        </is>
      </c>
      <c r="E1315" t="inlineStr">
        <is>
          <t>INV20240972094</t>
        </is>
      </c>
      <c r="F1315" t="inlineStr">
        <is>
          <t>26-09-2024</t>
        </is>
      </c>
      <c r="G1315" t="n">
        <v>18690</v>
      </c>
      <c r="I1315">
        <f>G1315</f>
        <v/>
      </c>
      <c r="K1315">
        <f>I1315-G1315</f>
        <v/>
      </c>
      <c r="M1315" t="inlineStr">
        <is>
          <t>INV20240972094</t>
        </is>
      </c>
      <c r="N1315" t="inlineStr">
        <is>
          <t>8398900</t>
        </is>
      </c>
      <c r="O1315">
        <f>M1315=N1315</f>
        <v/>
      </c>
      <c r="P1315">
        <f>AND(MONTH(F1315)=MONTH(S1315), YEAR(F1315)=YEAR(S1315))</f>
        <v/>
      </c>
      <c r="Q1315">
        <f>"L001-902303751"=U1315</f>
        <v/>
      </c>
      <c r="R1315">
        <f>G1315-W1315</f>
        <v/>
      </c>
      <c r="S1315" s="36" t="n">
        <v>45516</v>
      </c>
      <c r="T1315" t="n">
        <v>83989</v>
      </c>
      <c r="U1315" t="inlineStr">
        <is>
          <t>L001-107032791</t>
        </is>
      </c>
      <c r="V1315" t="inlineStr">
        <is>
          <t>នីបផន អិចប្រេស (ខេមបូឌា) ខូ អិលធីឌី</t>
        </is>
      </c>
      <c r="W1315" t="n">
        <v>83989</v>
      </c>
      <c r="X1315" t="n">
        <v>0</v>
      </c>
    </row>
    <row r="1316">
      <c r="A1316" t="n">
        <v>1315</v>
      </c>
      <c r="B1316" t="inlineStr">
        <is>
          <t>Customs Clearance Fee and Trucking Fee</t>
        </is>
      </c>
      <c r="C1316" t="inlineStr">
        <is>
          <t>ត្រាយអ៊ែងហ្គល ឡូជីស្ទីក (ខេមបូឌា) ឯ.ក</t>
        </is>
      </c>
      <c r="D1316" t="inlineStr">
        <is>
          <t>K010-902101743</t>
        </is>
      </c>
      <c r="E1316" t="inlineStr">
        <is>
          <t>TAG-24-00703</t>
        </is>
      </c>
      <c r="F1316" t="inlineStr">
        <is>
          <t>27-09-2024</t>
        </is>
      </c>
      <c r="G1316" t="n">
        <v>64976</v>
      </c>
      <c r="I1316">
        <f>G1316</f>
        <v/>
      </c>
      <c r="K1316">
        <f>I1316-G1316</f>
        <v/>
      </c>
      <c r="M1316" t="inlineStr">
        <is>
          <t>TAG2400703</t>
        </is>
      </c>
      <c r="N1316" t="inlineStr">
        <is>
          <t>8398900</t>
        </is>
      </c>
      <c r="O1316">
        <f>M1316=N1316</f>
        <v/>
      </c>
      <c r="P1316">
        <f>AND(MONTH(F1316)=MONTH(S1316), YEAR(F1316)=YEAR(S1316))</f>
        <v/>
      </c>
      <c r="Q1316">
        <f>"L001-902303751"=U1316</f>
        <v/>
      </c>
      <c r="R1316">
        <f>G1316-W1316</f>
        <v/>
      </c>
      <c r="S1316" s="36" t="n">
        <v>45516</v>
      </c>
      <c r="T1316" t="n">
        <v>83989</v>
      </c>
      <c r="U1316" t="inlineStr">
        <is>
          <t>L001-100011888</t>
        </is>
      </c>
      <c r="V1316" t="inlineStr">
        <is>
          <t>ត្រេន ស្តារ ហ្រេ្វត</t>
        </is>
      </c>
      <c r="W1316" t="n">
        <v>83989</v>
      </c>
      <c r="X1316" t="n">
        <v>0</v>
      </c>
    </row>
    <row r="1317">
      <c r="A1317" t="n">
        <v>1316</v>
      </c>
      <c r="B1317" t="inlineStr">
        <is>
          <t>Document Fee and Agency Fee</t>
        </is>
      </c>
      <c r="C1317" t="inlineStr">
        <is>
          <t>អ៊ីហ្វាវ ឡូជីស</t>
        </is>
      </c>
      <c r="D1317" t="inlineStr">
        <is>
          <t>K009-100186262</t>
        </is>
      </c>
      <c r="E1317" t="inlineStr">
        <is>
          <t>EFAW2024-158</t>
        </is>
      </c>
      <c r="F1317" t="inlineStr">
        <is>
          <t>23-09-2024</t>
        </is>
      </c>
      <c r="G1317" t="n">
        <v>24378</v>
      </c>
      <c r="I1317">
        <f>G1317</f>
        <v/>
      </c>
      <c r="K1317">
        <f>I1317-G1317</f>
        <v/>
      </c>
      <c r="M1317" t="inlineStr">
        <is>
          <t>EFAW2024158</t>
        </is>
      </c>
      <c r="N1317" t="inlineStr"/>
      <c r="O1317">
        <f>M1317=N1317</f>
        <v/>
      </c>
      <c r="P1317">
        <f>AND(MONTH(F1317)=MONTH(S1317), YEAR(F1317)=YEAR(S1317))</f>
        <v/>
      </c>
      <c r="Q1317">
        <f>"L001-902303751"=U1317</f>
        <v/>
      </c>
      <c r="R1317">
        <f>G1317-W1317</f>
        <v/>
      </c>
      <c r="S1317" s="36" t="n">
        <v>45510</v>
      </c>
      <c r="T1317" t="inlineStr"/>
      <c r="U1317" t="inlineStr">
        <is>
          <t>L001-100045995</t>
        </is>
      </c>
      <c r="V1317" t="inlineStr">
        <is>
          <t>ឌីអេចអិល ឡូជីស្ទីក (ខេមបូឌា)</t>
        </is>
      </c>
      <c r="W1317" t="n">
        <v>0</v>
      </c>
      <c r="X1317" t="n">
        <v>0</v>
      </c>
    </row>
    <row r="1318">
      <c r="A1318" t="n">
        <v>1317</v>
      </c>
      <c r="B1318" t="inlineStr">
        <is>
          <t>Cargo Terminal</t>
        </is>
      </c>
      <c r="C1318" t="inlineStr">
        <is>
          <t>សូស៊ីយេតេ កុងសេស្យូនែរ ដឺ ឡាអេរ៉ូព័រ</t>
        </is>
      </c>
      <c r="D1318" t="inlineStr">
        <is>
          <t>L001-100047300</t>
        </is>
      </c>
      <c r="E1318" t="inlineStr">
        <is>
          <t>2400-077500</t>
        </is>
      </c>
      <c r="F1318" t="inlineStr">
        <is>
          <t>25-09-2024</t>
        </is>
      </c>
      <c r="G1318" t="n">
        <v>28604</v>
      </c>
      <c r="I1318">
        <f>G1318</f>
        <v/>
      </c>
      <c r="K1318">
        <f>I1318-G1318</f>
        <v/>
      </c>
      <c r="M1318" t="inlineStr">
        <is>
          <t>2400077500</t>
        </is>
      </c>
      <c r="N1318" t="inlineStr">
        <is>
          <t>8366100</t>
        </is>
      </c>
      <c r="O1318">
        <f>M1318=N1318</f>
        <v/>
      </c>
      <c r="P1318">
        <f>AND(MONTH(F1318)=MONTH(S1318), YEAR(F1318)=YEAR(S1318))</f>
        <v/>
      </c>
      <c r="Q1318">
        <f>"L001-902303751"=U1318</f>
        <v/>
      </c>
      <c r="R1318">
        <f>G1318-W1318</f>
        <v/>
      </c>
      <c r="S1318" s="36" t="n">
        <v>45530</v>
      </c>
      <c r="T1318" t="n">
        <v>83661</v>
      </c>
      <c r="U1318" t="inlineStr">
        <is>
          <t>L001-107032791</t>
        </is>
      </c>
      <c r="V1318" t="inlineStr">
        <is>
          <t>នីបផន អិចប្រេស (ខេមបូឌា) ខូ អិលធីឌី</t>
        </is>
      </c>
      <c r="W1318" t="n">
        <v>83661</v>
      </c>
      <c r="X1318" t="n">
        <v>0</v>
      </c>
    </row>
    <row r="1319">
      <c r="A1319" t="n">
        <v>1318</v>
      </c>
      <c r="B1319" t="inlineStr">
        <is>
          <t>Customs Clearance Fee and Trucking Fee</t>
        </is>
      </c>
      <c r="C1319" t="inlineStr">
        <is>
          <t>ត្រាយអ៊ែងហ្គល ឡូជីស្ទីក (ខេមបូឌា) ឯ.ក</t>
        </is>
      </c>
      <c r="D1319" t="inlineStr">
        <is>
          <t>K010-902101743</t>
        </is>
      </c>
      <c r="E1319" t="inlineStr">
        <is>
          <t>TAG-24-00677</t>
        </is>
      </c>
      <c r="F1319" t="inlineStr">
        <is>
          <t>23-09-2024</t>
        </is>
      </c>
      <c r="G1319" t="n">
        <v>28686</v>
      </c>
      <c r="I1319">
        <f>G1319</f>
        <v/>
      </c>
      <c r="K1319">
        <f>I1319-G1319</f>
        <v/>
      </c>
      <c r="M1319" t="inlineStr">
        <is>
          <t>TAG2400677</t>
        </is>
      </c>
      <c r="N1319" t="inlineStr"/>
      <c r="O1319">
        <f>M1319=N1319</f>
        <v/>
      </c>
      <c r="P1319">
        <f>AND(MONTH(F1319)=MONTH(S1319), YEAR(F1319)=YEAR(S1319))</f>
        <v/>
      </c>
      <c r="Q1319">
        <f>"L001-902303751"=U1319</f>
        <v/>
      </c>
      <c r="R1319">
        <f>G1319-W1319</f>
        <v/>
      </c>
      <c r="S1319" s="36" t="n">
        <v>45530</v>
      </c>
      <c r="T1319" t="inlineStr"/>
      <c r="U1319" t="inlineStr">
        <is>
          <t>K005-901805913</t>
        </is>
      </c>
      <c r="V1319" t="inlineStr">
        <is>
          <t>ស្តារ ខង់ខដ (ខេមបូឌា) ឯ.ក</t>
        </is>
      </c>
      <c r="W1319" t="n">
        <v>0</v>
      </c>
      <c r="X1319" t="n">
        <v>0</v>
      </c>
    </row>
    <row r="1320">
      <c r="A1320" t="n">
        <v>1319</v>
      </c>
      <c r="B1320" t="inlineStr">
        <is>
          <t>Customs Clearance Fee</t>
        </is>
      </c>
      <c r="C1320" t="inlineStr">
        <is>
          <t>ត្រាយអ៊ែងហ្គល ឡូជីស្ទីក (ខេមបូឌា) ឯ.ក</t>
        </is>
      </c>
      <c r="D1320" t="inlineStr">
        <is>
          <t>K010-902101743</t>
        </is>
      </c>
      <c r="E1320" t="inlineStr">
        <is>
          <t>TAG-24-00695</t>
        </is>
      </c>
      <c r="F1320" t="inlineStr">
        <is>
          <t>27-09-2024</t>
        </is>
      </c>
      <c r="G1320" t="n">
        <v>8122</v>
      </c>
      <c r="I1320">
        <f>G1320</f>
        <v/>
      </c>
      <c r="K1320">
        <f>I1320-G1320</f>
        <v/>
      </c>
      <c r="M1320" t="inlineStr">
        <is>
          <t>TAG2400695</t>
        </is>
      </c>
      <c r="N1320" t="inlineStr"/>
      <c r="O1320">
        <f>M1320=N1320</f>
        <v/>
      </c>
      <c r="P1320">
        <f>AND(MONTH(F1320)=MONTH(S1320), YEAR(F1320)=YEAR(S1320))</f>
        <v/>
      </c>
      <c r="Q1320">
        <f>"L001-902303751"=U1320</f>
        <v/>
      </c>
      <c r="R1320">
        <f>G1320-W1320</f>
        <v/>
      </c>
      <c r="S1320" s="36" t="n">
        <v>45530</v>
      </c>
      <c r="T1320" t="inlineStr"/>
      <c r="U1320" t="inlineStr">
        <is>
          <t>L001-107032791</t>
        </is>
      </c>
      <c r="V1320" t="inlineStr">
        <is>
          <t>នីបផន អិចប្រេស (ខេមបូឌា) ខូ អិលធីឌី</t>
        </is>
      </c>
      <c r="W1320" t="n">
        <v>0</v>
      </c>
      <c r="X1320" t="n">
        <v>0</v>
      </c>
    </row>
    <row r="1321">
      <c r="A1321" t="n">
        <v>1320</v>
      </c>
      <c r="B1321" t="inlineStr">
        <is>
          <t>Import Shipment Expense</t>
        </is>
      </c>
      <c r="C1321" t="inlineStr">
        <is>
          <t>អេស៊ាន ហ្វ្រេត (ខេមបូឌា)</t>
        </is>
      </c>
      <c r="D1321" t="inlineStr">
        <is>
          <t>K004-105012505</t>
        </is>
      </c>
      <c r="E1321" t="inlineStr">
        <is>
          <t>PPTI24-2031</t>
        </is>
      </c>
      <c r="F1321" t="inlineStr">
        <is>
          <t>23-09-2024</t>
        </is>
      </c>
      <c r="G1321" t="n">
        <v>54038</v>
      </c>
      <c r="I1321">
        <f>G1321</f>
        <v/>
      </c>
      <c r="K1321">
        <f>I1321-G1321</f>
        <v/>
      </c>
      <c r="M1321" t="inlineStr">
        <is>
          <t>PPTI242031</t>
        </is>
      </c>
      <c r="N1321" t="inlineStr">
        <is>
          <t>8400900</t>
        </is>
      </c>
      <c r="O1321">
        <f>M1321=N1321</f>
        <v/>
      </c>
      <c r="P1321">
        <f>AND(MONTH(F1321)=MONTH(S1321), YEAR(F1321)=YEAR(S1321))</f>
        <v/>
      </c>
      <c r="Q1321">
        <f>"L001-902303751"=U1321</f>
        <v/>
      </c>
      <c r="R1321">
        <f>G1321-W1321</f>
        <v/>
      </c>
      <c r="S1321" s="36" t="n">
        <v>45523</v>
      </c>
      <c r="T1321" t="n">
        <v>84009</v>
      </c>
      <c r="U1321" t="inlineStr">
        <is>
          <t>L001-107032791</t>
        </is>
      </c>
      <c r="V1321" t="inlineStr">
        <is>
          <t>នីបផន អិចប្រេស (ខេមបូឌា) ខូ អិលធីឌី</t>
        </is>
      </c>
      <c r="W1321" t="n">
        <v>84009</v>
      </c>
      <c r="X1321" t="n">
        <v>0</v>
      </c>
    </row>
    <row r="1322">
      <c r="A1322" t="n">
        <v>1321</v>
      </c>
      <c r="B1322" t="inlineStr">
        <is>
          <t>Customs Clearance Fee and Trucking Fee</t>
        </is>
      </c>
      <c r="C1322" t="inlineStr">
        <is>
          <t>ត្រាយអ៊ែងហ្គល ឡូជីស្ទីក (ខេមបូឌា) ឯ.ក</t>
        </is>
      </c>
      <c r="D1322" t="inlineStr">
        <is>
          <t>K010-902101743</t>
        </is>
      </c>
      <c r="E1322" t="inlineStr">
        <is>
          <t>TAG-24-00701</t>
        </is>
      </c>
      <c r="F1322" t="inlineStr">
        <is>
          <t>27-09-2024</t>
        </is>
      </c>
      <c r="G1322" t="n">
        <v>28427</v>
      </c>
      <c r="I1322">
        <f>G1322</f>
        <v/>
      </c>
      <c r="K1322">
        <f>I1322-G1322</f>
        <v/>
      </c>
      <c r="M1322" t="inlineStr">
        <is>
          <t>TAG2400701</t>
        </is>
      </c>
      <c r="N1322" t="inlineStr">
        <is>
          <t>8400900</t>
        </is>
      </c>
      <c r="O1322">
        <f>M1322=N1322</f>
        <v/>
      </c>
      <c r="P1322">
        <f>AND(MONTH(F1322)=MONTH(S1322), YEAR(F1322)=YEAR(S1322))</f>
        <v/>
      </c>
      <c r="Q1322">
        <f>"L001-902303751"=U1322</f>
        <v/>
      </c>
      <c r="R1322">
        <f>G1322-W1322</f>
        <v/>
      </c>
      <c r="S1322" s="36" t="n">
        <v>45523</v>
      </c>
      <c r="T1322" t="n">
        <v>84009</v>
      </c>
      <c r="U1322" t="inlineStr">
        <is>
          <t>L001-107032791</t>
        </is>
      </c>
      <c r="V1322" t="inlineStr">
        <is>
          <t>នីបផន អិចប្រេស (ខេមបូឌា) ខូ អិលធីឌី</t>
        </is>
      </c>
      <c r="W1322" t="n">
        <v>84009</v>
      </c>
      <c r="X1322" t="n">
        <v>0</v>
      </c>
    </row>
    <row r="1323">
      <c r="A1323" t="n">
        <v>1322</v>
      </c>
      <c r="B1323" t="inlineStr">
        <is>
          <t>Import Shipment Expense</t>
        </is>
      </c>
      <c r="C1323" t="inlineStr">
        <is>
          <t>ហ្វ្រេតាស (ខេមបូឌា) ឯ.ក</t>
        </is>
      </c>
      <c r="D1323" t="inlineStr">
        <is>
          <t>K007-901638107</t>
        </is>
      </c>
      <c r="E1323" t="inlineStr">
        <is>
          <t>Y24-117</t>
        </is>
      </c>
      <c r="F1323" t="inlineStr">
        <is>
          <t>25-09-2024</t>
        </is>
      </c>
      <c r="G1323" t="n">
        <v>210057</v>
      </c>
      <c r="I1323">
        <f>G1323</f>
        <v/>
      </c>
      <c r="K1323">
        <f>I1323-G1323</f>
        <v/>
      </c>
      <c r="M1323" t="inlineStr">
        <is>
          <t>Y24117</t>
        </is>
      </c>
      <c r="N1323" t="inlineStr">
        <is>
          <t>140605700</t>
        </is>
      </c>
      <c r="O1323">
        <f>M1323=N1323</f>
        <v/>
      </c>
      <c r="P1323">
        <f>AND(MONTH(F1323)=MONTH(S1323), YEAR(F1323)=YEAR(S1323))</f>
        <v/>
      </c>
      <c r="Q1323">
        <f>"L001-902303751"=U1323</f>
        <v/>
      </c>
      <c r="R1323">
        <f>G1323-W1323</f>
        <v/>
      </c>
      <c r="S1323" s="36" t="n">
        <v>45526</v>
      </c>
      <c r="T1323" t="n">
        <v>1406057</v>
      </c>
      <c r="U1323" t="inlineStr">
        <is>
          <t>K004-105012505</t>
        </is>
      </c>
      <c r="V1323" t="inlineStr">
        <is>
          <t>អេស៊ាន ហ្វ្រេត (ខេមបូឌា)</t>
        </is>
      </c>
      <c r="W1323" t="n">
        <v>1406057</v>
      </c>
      <c r="X1323" t="n">
        <v>0</v>
      </c>
    </row>
    <row r="1324">
      <c r="A1324" t="n">
        <v>1323</v>
      </c>
      <c r="B1324" t="inlineStr">
        <is>
          <t>Gate Fee Charges-GC Truck-1-6 Tons</t>
        </is>
      </c>
      <c r="C1324" t="inlineStr">
        <is>
          <t>កំពង់ផែស្វយ័តភ្នំពេញ "ក.ស.ភ"</t>
        </is>
      </c>
      <c r="D1324" t="inlineStr">
        <is>
          <t>L001-100044999</t>
        </is>
      </c>
      <c r="E1324" t="inlineStr">
        <is>
          <t>INV20240972269</t>
        </is>
      </c>
      <c r="F1324" t="inlineStr">
        <is>
          <t>27-09-2024</t>
        </is>
      </c>
      <c r="G1324" t="n">
        <v>812</v>
      </c>
      <c r="I1324">
        <f>G1324</f>
        <v/>
      </c>
      <c r="K1324">
        <f>I1324-G1324</f>
        <v/>
      </c>
      <c r="M1324" t="inlineStr">
        <is>
          <t>INV20240972269</t>
        </is>
      </c>
      <c r="N1324" t="inlineStr">
        <is>
          <t>8398900</t>
        </is>
      </c>
      <c r="O1324">
        <f>M1324=N1324</f>
        <v/>
      </c>
      <c r="P1324">
        <f>AND(MONTH(F1324)=MONTH(S1324), YEAR(F1324)=YEAR(S1324))</f>
        <v/>
      </c>
      <c r="Q1324">
        <f>"L001-902303751"=U1324</f>
        <v/>
      </c>
      <c r="R1324">
        <f>G1324-W1324</f>
        <v/>
      </c>
      <c r="S1324" s="36" t="n">
        <v>45516</v>
      </c>
      <c r="T1324" t="n">
        <v>83989</v>
      </c>
      <c r="U1324" t="inlineStr">
        <is>
          <t>L001-107032791</t>
        </is>
      </c>
      <c r="V1324" t="inlineStr">
        <is>
          <t>នីបផន អិចប្រេស (ខេមបូឌា) ខូ អិលធីឌី</t>
        </is>
      </c>
      <c r="W1324" t="n">
        <v>83989</v>
      </c>
      <c r="X1324" t="n">
        <v>0</v>
      </c>
    </row>
    <row r="1325">
      <c r="A1325" t="n">
        <v>1324</v>
      </c>
      <c r="B1325" t="inlineStr">
        <is>
          <t>Customs Clearance Fee and Trucking Fee</t>
        </is>
      </c>
      <c r="C1325" t="inlineStr">
        <is>
          <t>ត្រាយអ៊ែងហ្គល ឡូជីស្ទីក (ខេមបូឌា) ឯ.ក</t>
        </is>
      </c>
      <c r="D1325" t="inlineStr">
        <is>
          <t>K010-902101743</t>
        </is>
      </c>
      <c r="E1325" t="inlineStr">
        <is>
          <t>TAG-24-00699</t>
        </is>
      </c>
      <c r="F1325" t="inlineStr">
        <is>
          <t>27-09-2024</t>
        </is>
      </c>
      <c r="G1325" t="n">
        <v>35079</v>
      </c>
      <c r="I1325">
        <f>G1325</f>
        <v/>
      </c>
      <c r="K1325">
        <f>I1325-G1325</f>
        <v/>
      </c>
      <c r="M1325" t="inlineStr">
        <is>
          <t>TAG2400699</t>
        </is>
      </c>
      <c r="N1325" t="inlineStr"/>
      <c r="O1325">
        <f>M1325=N1325</f>
        <v/>
      </c>
      <c r="P1325">
        <f>AND(MONTH(F1325)=MONTH(S1325), YEAR(F1325)=YEAR(S1325))</f>
        <v/>
      </c>
      <c r="Q1325">
        <f>"L001-902303751"=U1325</f>
        <v/>
      </c>
      <c r="R1325">
        <f>G1325-W1325</f>
        <v/>
      </c>
      <c r="S1325" s="36" t="n">
        <v>45510</v>
      </c>
      <c r="T1325" t="inlineStr"/>
      <c r="U1325" t="inlineStr">
        <is>
          <t>L001-107032791</t>
        </is>
      </c>
      <c r="V1325" t="inlineStr">
        <is>
          <t>នីបផន អិចប្រេស (ខេមបូឌា) ខូ អិលធីឌី</t>
        </is>
      </c>
      <c r="W1325" t="n">
        <v>0</v>
      </c>
      <c r="X1325" t="n">
        <v>0</v>
      </c>
    </row>
    <row r="1326">
      <c r="A1326" t="n">
        <v>1325</v>
      </c>
      <c r="B1326" t="inlineStr">
        <is>
          <t>Import Shipment Expense</t>
        </is>
      </c>
      <c r="C1326" t="inlineStr">
        <is>
          <t>ហ្វ្រេត ខនសិប (ខេមបូឌា)</t>
        </is>
      </c>
      <c r="D1326" t="inlineStr">
        <is>
          <t>K009-901502482</t>
        </is>
      </c>
      <c r="E1326" t="inlineStr">
        <is>
          <t>240976</t>
        </is>
      </c>
      <c r="F1326" t="inlineStr">
        <is>
          <t>23-09-2024</t>
        </is>
      </c>
      <c r="G1326" t="n">
        <v>122296</v>
      </c>
      <c r="I1326">
        <f>G1326</f>
        <v/>
      </c>
      <c r="K1326">
        <f>I1326-G1326</f>
        <v/>
      </c>
      <c r="M1326" t="inlineStr">
        <is>
          <t>240976</t>
        </is>
      </c>
      <c r="N1326" t="inlineStr">
        <is>
          <t>17463300</t>
        </is>
      </c>
      <c r="O1326">
        <f>M1326=N1326</f>
        <v/>
      </c>
      <c r="P1326">
        <f>AND(MONTH(F1326)=MONTH(S1326), YEAR(F1326)=YEAR(S1326))</f>
        <v/>
      </c>
      <c r="Q1326">
        <f>"L001-902303751"=U1326</f>
        <v/>
      </c>
      <c r="R1326">
        <f>G1326-W1326</f>
        <v/>
      </c>
      <c r="S1326" s="36" t="n">
        <v>45510</v>
      </c>
      <c r="T1326" t="n">
        <v>174633</v>
      </c>
      <c r="U1326" t="inlineStr">
        <is>
          <t>L001-107032791</t>
        </is>
      </c>
      <c r="V1326" t="inlineStr">
        <is>
          <t>នីបផន អិចប្រេស (ខេមបូឌា) ខូ អិលធីឌី</t>
        </is>
      </c>
      <c r="W1326" t="n">
        <v>174633</v>
      </c>
      <c r="X1326" t="n">
        <v>0</v>
      </c>
    </row>
    <row r="1327">
      <c r="A1327" t="n">
        <v>1326</v>
      </c>
      <c r="B1327" t="inlineStr">
        <is>
          <t>Customs Clearance Fee and Trucking Fee</t>
        </is>
      </c>
      <c r="C1327" t="inlineStr">
        <is>
          <t>ត្រាយអ៊ែងហ្គល ឡូជីស្ទីក (ខេមបូឌា) ឯ.ក</t>
        </is>
      </c>
      <c r="D1327" t="inlineStr">
        <is>
          <t>K010-902101743</t>
        </is>
      </c>
      <c r="E1327" t="inlineStr">
        <is>
          <t>TAG-24-00700</t>
        </is>
      </c>
      <c r="F1327" t="inlineStr">
        <is>
          <t>27-09-2024</t>
        </is>
      </c>
      <c r="G1327" t="n">
        <v>28427</v>
      </c>
      <c r="I1327">
        <f>G1327</f>
        <v/>
      </c>
      <c r="K1327">
        <f>I1327-G1327</f>
        <v/>
      </c>
      <c r="M1327" t="inlineStr">
        <is>
          <t>TAG2400700</t>
        </is>
      </c>
      <c r="N1327" t="inlineStr">
        <is>
          <t>11222800</t>
        </is>
      </c>
      <c r="O1327">
        <f>M1327=N1327</f>
        <v/>
      </c>
      <c r="P1327">
        <f>AND(MONTH(F1327)=MONTH(S1327), YEAR(F1327)=YEAR(S1327))</f>
        <v/>
      </c>
      <c r="Q1327">
        <f>"L001-902303751"=U1327</f>
        <v/>
      </c>
      <c r="R1327">
        <f>G1327-W1327</f>
        <v/>
      </c>
      <c r="S1327" s="36" t="n">
        <v>45530</v>
      </c>
      <c r="T1327" t="n">
        <v>112228</v>
      </c>
      <c r="U1327" t="inlineStr">
        <is>
          <t>L001-107032791</t>
        </is>
      </c>
      <c r="V1327" t="inlineStr">
        <is>
          <t>នីបផន អិចប្រេស (ខេមបូឌា) ខូ អិលធីឌី</t>
        </is>
      </c>
      <c r="W1327" t="n">
        <v>112228</v>
      </c>
      <c r="X1327" t="n">
        <v>0</v>
      </c>
    </row>
    <row r="1328">
      <c r="A1328" t="n">
        <v>1327</v>
      </c>
      <c r="B1328" t="inlineStr">
        <is>
          <t>Import Shipment Expense</t>
        </is>
      </c>
      <c r="C1328" t="inlineStr">
        <is>
          <t>អូរៀនថល ឡូជីស្ទីក &amp; ឌីស្ទ្រីប៊្យូសិន (ខេមបូឌា)</t>
        </is>
      </c>
      <c r="D1328" t="inlineStr">
        <is>
          <t>L001-103007369</t>
        </is>
      </c>
      <c r="E1328" t="inlineStr">
        <is>
          <t>24-10186</t>
        </is>
      </c>
      <c r="F1328" t="inlineStr">
        <is>
          <t>25-09-2024</t>
        </is>
      </c>
      <c r="G1328" t="n">
        <v>235654</v>
      </c>
      <c r="I1328">
        <f>G1328</f>
        <v/>
      </c>
      <c r="K1328">
        <f>I1328-G1328</f>
        <v/>
      </c>
      <c r="M1328" t="inlineStr">
        <is>
          <t>2410186</t>
        </is>
      </c>
      <c r="N1328" t="inlineStr"/>
      <c r="O1328">
        <f>M1328=N1328</f>
        <v/>
      </c>
      <c r="P1328">
        <f>AND(MONTH(F1328)=MONTH(S1328), YEAR(F1328)=YEAR(S1328))</f>
        <v/>
      </c>
      <c r="Q1328">
        <f>"L001-902303751"=U1328</f>
        <v/>
      </c>
      <c r="R1328">
        <f>G1328-W1328</f>
        <v/>
      </c>
      <c r="S1328" s="36" t="n">
        <v>45531</v>
      </c>
      <c r="T1328" t="inlineStr"/>
      <c r="U1328" t="inlineStr">
        <is>
          <t>K002-901800477</t>
        </is>
      </c>
      <c r="V1328" t="inlineStr">
        <is>
          <t>អាយធីអាយ អ៊ិនធើណេសិនណល ត្រេនស័្ពរថេសិន (ខេមបូឌា) ឯ.ក</t>
        </is>
      </c>
      <c r="W1328" t="n">
        <v>0</v>
      </c>
      <c r="X1328" t="n">
        <v>0</v>
      </c>
    </row>
    <row r="1329">
      <c r="A1329" t="n">
        <v>1328</v>
      </c>
      <c r="B1329" t="inlineStr">
        <is>
          <t>Lift-On &amp; Lift-Off</t>
        </is>
      </c>
      <c r="C1329" t="inlineStr">
        <is>
          <t>កំពង់ផែស្វយ័តក្រុងព្រះសីហនុ</t>
        </is>
      </c>
      <c r="D1329" t="inlineStr">
        <is>
          <t>L001-100044638</t>
        </is>
      </c>
      <c r="E1329" t="inlineStr">
        <is>
          <t>199512</t>
        </is>
      </c>
      <c r="F1329" t="inlineStr">
        <is>
          <t>26-09-2024</t>
        </is>
      </c>
      <c r="G1329" t="n">
        <v>35348</v>
      </c>
      <c r="I1329">
        <f>G1329</f>
        <v/>
      </c>
      <c r="K1329">
        <f>I1329-G1329</f>
        <v/>
      </c>
      <c r="M1329" t="inlineStr">
        <is>
          <t>199512</t>
        </is>
      </c>
      <c r="N1329" t="inlineStr">
        <is>
          <t>1634000</t>
        </is>
      </c>
      <c r="O1329">
        <f>M1329=N1329</f>
        <v/>
      </c>
      <c r="P1329">
        <f>AND(MONTH(F1329)=MONTH(S1329), YEAR(F1329)=YEAR(S1329))</f>
        <v/>
      </c>
      <c r="Q1329">
        <f>"L001-902303751"=U1329</f>
        <v/>
      </c>
      <c r="R1329">
        <f>G1329-W1329</f>
        <v/>
      </c>
      <c r="S1329" s="36" t="n">
        <v>45526</v>
      </c>
      <c r="T1329" t="n">
        <v>16340</v>
      </c>
      <c r="U1329" t="inlineStr">
        <is>
          <t>L001-107032791</t>
        </is>
      </c>
      <c r="V1329" t="inlineStr">
        <is>
          <t>នីបផន អិចប្រេស (ខេមបូឌា) ខូ អិលធីឌី</t>
        </is>
      </c>
      <c r="W1329" t="n">
        <v>16340</v>
      </c>
      <c r="X1329" t="n">
        <v>0</v>
      </c>
    </row>
    <row r="1330">
      <c r="A1330" t="n">
        <v>1329</v>
      </c>
      <c r="B1330" t="inlineStr">
        <is>
          <t>Customs Clearance Fee and Trucking Fee</t>
        </is>
      </c>
      <c r="C1330" t="inlineStr">
        <is>
          <t>ត្រាយអ៊ែងហ្គល ឡូជីស្ទីក (ខេមបូឌា) ឯ.ក</t>
        </is>
      </c>
      <c r="D1330" t="inlineStr">
        <is>
          <t>K010-902101743</t>
        </is>
      </c>
      <c r="E1330" t="inlineStr">
        <is>
          <t>TAG-24-00725</t>
        </is>
      </c>
      <c r="F1330" t="inlineStr">
        <is>
          <t>30-09-2024</t>
        </is>
      </c>
      <c r="G1330" t="n">
        <v>109647</v>
      </c>
      <c r="I1330">
        <f>G1330</f>
        <v/>
      </c>
      <c r="K1330">
        <f>I1330-G1330</f>
        <v/>
      </c>
      <c r="M1330" t="inlineStr">
        <is>
          <t>TAG2400725</t>
        </is>
      </c>
      <c r="N1330" t="inlineStr"/>
      <c r="O1330">
        <f>M1330=N1330</f>
        <v/>
      </c>
      <c r="P1330">
        <f>AND(MONTH(F1330)=MONTH(S1330), YEAR(F1330)=YEAR(S1330))</f>
        <v/>
      </c>
      <c r="Q1330">
        <f>"L001-902303751"=U1330</f>
        <v/>
      </c>
      <c r="R1330">
        <f>G1330-W1330</f>
        <v/>
      </c>
      <c r="S1330" s="36" t="n">
        <v>45523</v>
      </c>
      <c r="T1330" t="inlineStr"/>
      <c r="U1330" t="inlineStr">
        <is>
          <t>L001-107032791</t>
        </is>
      </c>
      <c r="V1330" t="inlineStr">
        <is>
          <t>នីបផន អិចប្រេស (ខេមបូឌា) ខូ អិលធីឌី</t>
        </is>
      </c>
      <c r="W1330" t="n">
        <v>0</v>
      </c>
      <c r="X1330" t="n">
        <v>0</v>
      </c>
    </row>
    <row r="1331">
      <c r="A1331" t="n">
        <v>1330</v>
      </c>
      <c r="B1331" t="inlineStr">
        <is>
          <t>Import Shipment Expense</t>
        </is>
      </c>
      <c r="C1331" t="inlineStr">
        <is>
          <t>អូរៀនថល ឡូជីស្ទីក &amp; ឌីស្ទ្រីប៊្យូសិន (ខេមបូឌា)</t>
        </is>
      </c>
      <c r="D1331" t="inlineStr">
        <is>
          <t>L001-103007369</t>
        </is>
      </c>
      <c r="E1331" t="inlineStr">
        <is>
          <t>24-10057</t>
        </is>
      </c>
      <c r="F1331" t="inlineStr">
        <is>
          <t>21-09-2024</t>
        </is>
      </c>
      <c r="G1331" t="n">
        <v>66803</v>
      </c>
      <c r="I1331">
        <f>G1331</f>
        <v/>
      </c>
      <c r="K1331">
        <f>I1331-G1331</f>
        <v/>
      </c>
      <c r="M1331" t="inlineStr">
        <is>
          <t>2410057</t>
        </is>
      </c>
      <c r="N1331" t="inlineStr">
        <is>
          <t>11269500</t>
        </is>
      </c>
      <c r="O1331">
        <f>M1331=N1331</f>
        <v/>
      </c>
      <c r="P1331">
        <f>AND(MONTH(F1331)=MONTH(S1331), YEAR(F1331)=YEAR(S1331))</f>
        <v/>
      </c>
      <c r="Q1331">
        <f>"L001-902303751"=U1331</f>
        <v/>
      </c>
      <c r="R1331">
        <f>G1331-W1331</f>
        <v/>
      </c>
      <c r="S1331" s="36" t="n">
        <v>45523</v>
      </c>
      <c r="T1331" t="n">
        <v>112695</v>
      </c>
      <c r="U1331" t="inlineStr">
        <is>
          <t>L001-107032791</t>
        </is>
      </c>
      <c r="V1331" t="inlineStr">
        <is>
          <t>នីបផន អិចប្រេស (ខេមបូឌា) ខូ អិលធីឌី</t>
        </is>
      </c>
      <c r="W1331" t="n">
        <v>112695</v>
      </c>
      <c r="X1331" t="n">
        <v>0</v>
      </c>
    </row>
    <row r="1332">
      <c r="A1332" t="n">
        <v>1331</v>
      </c>
      <c r="B1332" t="inlineStr">
        <is>
          <t>Warehouse Fee</t>
        </is>
      </c>
      <c r="C1332" t="inlineStr">
        <is>
          <t>ហាន​ &amp; ជុន ត្រេនស្ព័ត ខូ អិលធីឌី</t>
        </is>
      </c>
      <c r="D1332" t="inlineStr">
        <is>
          <t>L001-104016647</t>
        </is>
      </c>
      <c r="E1332" t="inlineStr">
        <is>
          <t>HJ24-3113</t>
        </is>
      </c>
      <c r="F1332" t="inlineStr">
        <is>
          <t>23-09-2024</t>
        </is>
      </c>
      <c r="G1332" t="n">
        <v>713</v>
      </c>
      <c r="I1332">
        <f>G1332</f>
        <v/>
      </c>
      <c r="K1332">
        <f>I1332-G1332</f>
        <v/>
      </c>
      <c r="M1332" t="inlineStr">
        <is>
          <t>HJ243113</t>
        </is>
      </c>
      <c r="N1332" t="inlineStr"/>
      <c r="O1332">
        <f>M1332=N1332</f>
        <v/>
      </c>
      <c r="P1332">
        <f>AND(MONTH(F1332)=MONTH(S1332), YEAR(F1332)=YEAR(S1332))</f>
        <v/>
      </c>
      <c r="Q1332">
        <f>"L001-902303751"=U1332</f>
        <v/>
      </c>
      <c r="R1332">
        <f>G1332-W1332</f>
        <v/>
      </c>
      <c r="S1332" s="36" t="n">
        <v>45523</v>
      </c>
      <c r="T1332" t="inlineStr"/>
      <c r="U1332" t="inlineStr">
        <is>
          <t>L001-107032791</t>
        </is>
      </c>
      <c r="V1332" t="inlineStr">
        <is>
          <t>នីបផន អិចប្រេស (ខេមបូឌា) ខូ អិលធីឌី</t>
        </is>
      </c>
      <c r="W1332" t="n">
        <v>0</v>
      </c>
      <c r="X1332" t="n">
        <v>0</v>
      </c>
    </row>
    <row r="1333">
      <c r="A1333" t="n">
        <v>1332</v>
      </c>
      <c r="B1333" t="inlineStr">
        <is>
          <t>Warehouse Fee</t>
        </is>
      </c>
      <c r="C1333" t="inlineStr">
        <is>
          <t>ហាន​ &amp; ជុន ត្រេនស្ព័ត ខូ អិលធីឌី</t>
        </is>
      </c>
      <c r="D1333" t="inlineStr">
        <is>
          <t>L001-104016647</t>
        </is>
      </c>
      <c r="E1333" t="inlineStr">
        <is>
          <t>HJ24-3037</t>
        </is>
      </c>
      <c r="F1333" t="inlineStr">
        <is>
          <t>23-09-2024</t>
        </is>
      </c>
      <c r="G1333" t="n">
        <v>4746</v>
      </c>
      <c r="I1333">
        <f>G1333</f>
        <v/>
      </c>
      <c r="K1333">
        <f>I1333-G1333</f>
        <v/>
      </c>
      <c r="M1333" t="inlineStr">
        <is>
          <t>HJ243037</t>
        </is>
      </c>
      <c r="N1333" t="inlineStr"/>
      <c r="O1333">
        <f>M1333=N1333</f>
        <v/>
      </c>
      <c r="P1333">
        <f>AND(MONTH(F1333)=MONTH(S1333), YEAR(F1333)=YEAR(S1333))</f>
        <v/>
      </c>
      <c r="Q1333">
        <f>"L001-902303751"=U1333</f>
        <v/>
      </c>
      <c r="R1333">
        <f>G1333-W1333</f>
        <v/>
      </c>
      <c r="S1333" s="36" t="n">
        <v>45530</v>
      </c>
      <c r="T1333" t="inlineStr"/>
      <c r="U1333" t="inlineStr">
        <is>
          <t>L001-107032791</t>
        </is>
      </c>
      <c r="V1333" t="inlineStr">
        <is>
          <t>នីបផន អិចប្រេស (ខេមបូឌា) ខូ អិលធីឌី</t>
        </is>
      </c>
      <c r="W1333" t="n">
        <v>0</v>
      </c>
      <c r="X1333" t="n">
        <v>0</v>
      </c>
    </row>
    <row r="1334">
      <c r="A1334" t="n">
        <v>1333</v>
      </c>
      <c r="B1334" t="inlineStr">
        <is>
          <t>Customs Clearance Fee and Trucking Fee</t>
        </is>
      </c>
      <c r="C1334" t="inlineStr">
        <is>
          <t>ត្រាយអ៊ែងហ្គល ឡូជីស្ទីក (ខេមបូឌា) ឯ.ក</t>
        </is>
      </c>
      <c r="D1334" t="inlineStr">
        <is>
          <t>K010-902101743</t>
        </is>
      </c>
      <c r="E1334" t="inlineStr">
        <is>
          <t>TAG-24-00704</t>
        </is>
      </c>
      <c r="F1334" t="inlineStr">
        <is>
          <t>27-09-2024</t>
        </is>
      </c>
      <c r="G1334" t="n">
        <v>28427</v>
      </c>
      <c r="I1334">
        <f>G1334</f>
        <v/>
      </c>
      <c r="K1334">
        <f>I1334-G1334</f>
        <v/>
      </c>
      <c r="M1334" t="inlineStr">
        <is>
          <t>TAG2400704</t>
        </is>
      </c>
      <c r="N1334" t="inlineStr">
        <is>
          <t>8398900</t>
        </is>
      </c>
      <c r="O1334">
        <f>M1334=N1334</f>
        <v/>
      </c>
      <c r="P1334">
        <f>AND(MONTH(F1334)=MONTH(S1334), YEAR(F1334)=YEAR(S1334))</f>
        <v/>
      </c>
      <c r="Q1334">
        <f>"L001-902303751"=U1334</f>
        <v/>
      </c>
      <c r="R1334">
        <f>G1334-W1334</f>
        <v/>
      </c>
      <c r="S1334" s="36" t="n">
        <v>45516</v>
      </c>
      <c r="T1334" t="n">
        <v>83989</v>
      </c>
      <c r="U1334" t="inlineStr">
        <is>
          <t>L001-100045995</t>
        </is>
      </c>
      <c r="V1334" t="inlineStr">
        <is>
          <t>ឌីអេចអិល ឡូជីស្ទីក (ខេមបូឌា)</t>
        </is>
      </c>
      <c r="W1334" t="n">
        <v>83989</v>
      </c>
      <c r="X1334" t="n">
        <v>0</v>
      </c>
    </row>
    <row r="1335">
      <c r="A1335" t="n">
        <v>1334</v>
      </c>
      <c r="B1335" t="inlineStr">
        <is>
          <t>Import Shipment Expense</t>
        </is>
      </c>
      <c r="C1335" t="inlineStr">
        <is>
          <t>ខេអិលអិន ហ្វ្រេត (ខេមបូឌា) ឯ.ក</t>
        </is>
      </c>
      <c r="D1335" t="inlineStr">
        <is>
          <t>L001-100074669</t>
        </is>
      </c>
      <c r="E1335" t="inlineStr">
        <is>
          <t>IVO15114</t>
        </is>
      </c>
      <c r="F1335" t="inlineStr">
        <is>
          <t>25-09-2024</t>
        </is>
      </c>
      <c r="G1335" t="n">
        <v>123766</v>
      </c>
      <c r="I1335">
        <f>G1335</f>
        <v/>
      </c>
      <c r="K1335">
        <f>I1335-G1335</f>
        <v/>
      </c>
      <c r="M1335" t="inlineStr">
        <is>
          <t>IVO15114</t>
        </is>
      </c>
      <c r="N1335" t="inlineStr">
        <is>
          <t>8398900</t>
        </is>
      </c>
      <c r="O1335">
        <f>M1335=N1335</f>
        <v/>
      </c>
      <c r="P1335">
        <f>AND(MONTH(F1335)=MONTH(S1335), YEAR(F1335)=YEAR(S1335))</f>
        <v/>
      </c>
      <c r="Q1335">
        <f>"L001-902303751"=U1335</f>
        <v/>
      </c>
      <c r="R1335">
        <f>G1335-W1335</f>
        <v/>
      </c>
      <c r="S1335" s="36" t="n">
        <v>45516</v>
      </c>
      <c r="T1335" t="n">
        <v>83989</v>
      </c>
      <c r="U1335" t="inlineStr">
        <is>
          <t>L001-107032791</t>
        </is>
      </c>
      <c r="V1335" t="inlineStr">
        <is>
          <t>នីបផន អិចប្រេស (ខេមបូឌា) ខូ អិលធីឌី</t>
        </is>
      </c>
      <c r="W1335" t="n">
        <v>83989</v>
      </c>
      <c r="X1335" t="n">
        <v>0</v>
      </c>
    </row>
    <row r="1336">
      <c r="A1336" t="n">
        <v>1335</v>
      </c>
      <c r="B1336" t="inlineStr">
        <is>
          <t>Lift-On &amp; Lift-Off</t>
        </is>
      </c>
      <c r="C1336" t="inlineStr">
        <is>
          <t>កំពង់ផែស្វយ័តក្រុងព្រះសីហនុ</t>
        </is>
      </c>
      <c r="D1336" t="inlineStr">
        <is>
          <t>L001-100044638</t>
        </is>
      </c>
      <c r="E1336" t="inlineStr">
        <is>
          <t>196326</t>
        </is>
      </c>
      <c r="F1336" t="inlineStr">
        <is>
          <t>21-09-2024</t>
        </is>
      </c>
      <c r="G1336" t="n">
        <v>23148</v>
      </c>
      <c r="I1336">
        <f>G1336</f>
        <v/>
      </c>
      <c r="K1336">
        <f>I1336-G1336</f>
        <v/>
      </c>
      <c r="M1336" t="inlineStr">
        <is>
          <t>196326</t>
        </is>
      </c>
      <c r="N1336" t="inlineStr"/>
      <c r="O1336">
        <f>M1336=N1336</f>
        <v/>
      </c>
      <c r="P1336">
        <f>AND(MONTH(F1336)=MONTH(S1336), YEAR(F1336)=YEAR(S1336))</f>
        <v/>
      </c>
      <c r="Q1336">
        <f>"L001-902303751"=U1336</f>
        <v/>
      </c>
      <c r="R1336">
        <f>G1336-W1336</f>
        <v/>
      </c>
      <c r="S1336" s="36" t="n">
        <v>45510</v>
      </c>
      <c r="T1336" t="inlineStr"/>
      <c r="U1336" t="inlineStr">
        <is>
          <t>L001-107032791</t>
        </is>
      </c>
      <c r="V1336" t="inlineStr">
        <is>
          <t>នីបផន អិចប្រេស (ខេមបូឌា) ខូ អិលធីឌី</t>
        </is>
      </c>
      <c r="W1336" t="n">
        <v>0</v>
      </c>
      <c r="X1336" t="n">
        <v>0</v>
      </c>
    </row>
    <row r="1337">
      <c r="A1337" t="n">
        <v>1336</v>
      </c>
      <c r="B1337" t="inlineStr">
        <is>
          <t>Customs Clearance Fee and Trucking Fee</t>
        </is>
      </c>
      <c r="C1337" t="inlineStr">
        <is>
          <t>ត្រាយអ៊ែងហ្គល ឡូជីស្ទីក (ខេមបូឌា) ឯ.ក</t>
        </is>
      </c>
      <c r="D1337" t="inlineStr">
        <is>
          <t>K010-902101743</t>
        </is>
      </c>
      <c r="E1337" t="inlineStr">
        <is>
          <t>TAG-24-00707</t>
        </is>
      </c>
      <c r="F1337" t="inlineStr">
        <is>
          <t>30-09-2024</t>
        </is>
      </c>
      <c r="G1337" t="n">
        <v>69037</v>
      </c>
      <c r="I1337">
        <f>G1337</f>
        <v/>
      </c>
      <c r="K1337">
        <f>I1337-G1337</f>
        <v/>
      </c>
      <c r="M1337" t="inlineStr">
        <is>
          <t>TAG2400707</t>
        </is>
      </c>
      <c r="N1337" t="inlineStr">
        <is>
          <t>8423500</t>
        </is>
      </c>
      <c r="O1337">
        <f>M1337=N1337</f>
        <v/>
      </c>
      <c r="P1337">
        <f>AND(MONTH(F1337)=MONTH(S1337), YEAR(F1337)=YEAR(S1337))</f>
        <v/>
      </c>
      <c r="Q1337">
        <f>"L001-902303751"=U1337</f>
        <v/>
      </c>
      <c r="R1337">
        <f>G1337-W1337</f>
        <v/>
      </c>
      <c r="S1337" s="36" t="n">
        <v>45510</v>
      </c>
      <c r="T1337" t="n">
        <v>84235</v>
      </c>
      <c r="U1337" t="inlineStr">
        <is>
          <t>L001-107032791</t>
        </is>
      </c>
      <c r="V1337" t="inlineStr">
        <is>
          <t>នីបផន អិចប្រេស (ខេមបូឌា) ខូ អិលធីឌី</t>
        </is>
      </c>
      <c r="W1337" t="n">
        <v>84235</v>
      </c>
      <c r="X1337" t="n">
        <v>0</v>
      </c>
    </row>
    <row r="1338">
      <c r="A1338" t="n">
        <v>1337</v>
      </c>
      <c r="B1338" t="inlineStr">
        <is>
          <t>Customs Clearance Fee</t>
        </is>
      </c>
      <c r="C1338" t="inlineStr">
        <is>
          <t>ត្រាយអ៊ែងហ្គល ឡូជីស្ទីក (ខេមបូឌា) ឯ.ក</t>
        </is>
      </c>
      <c r="D1338" t="inlineStr">
        <is>
          <t>K010-902101743</t>
        </is>
      </c>
      <c r="E1338" t="inlineStr">
        <is>
          <t>TAG-24-00696</t>
        </is>
      </c>
      <c r="F1338" t="inlineStr">
        <is>
          <t>27-09-2024</t>
        </is>
      </c>
      <c r="G1338" t="n">
        <v>8122</v>
      </c>
      <c r="I1338">
        <f>G1338</f>
        <v/>
      </c>
      <c r="K1338">
        <f>I1338-G1338</f>
        <v/>
      </c>
      <c r="M1338" t="inlineStr">
        <is>
          <t>TAG2400696</t>
        </is>
      </c>
      <c r="N1338" t="inlineStr">
        <is>
          <t>8423500</t>
        </is>
      </c>
      <c r="O1338">
        <f>M1338=N1338</f>
        <v/>
      </c>
      <c r="P1338">
        <f>AND(MONTH(F1338)=MONTH(S1338), YEAR(F1338)=YEAR(S1338))</f>
        <v/>
      </c>
      <c r="Q1338">
        <f>"L001-902303751"=U1338</f>
        <v/>
      </c>
      <c r="R1338">
        <f>G1338-W1338</f>
        <v/>
      </c>
      <c r="S1338" s="36" t="n">
        <v>45510</v>
      </c>
      <c r="T1338" t="n">
        <v>84235</v>
      </c>
      <c r="U1338" t="inlineStr">
        <is>
          <t>L001-107032791</t>
        </is>
      </c>
      <c r="V1338" t="inlineStr">
        <is>
          <t>នីបផន អិចប្រេស (ខេមបូឌា) ខូ អិលធីឌី</t>
        </is>
      </c>
      <c r="W1338" t="n">
        <v>84235</v>
      </c>
      <c r="X1338" t="n">
        <v>0</v>
      </c>
    </row>
    <row r="1339">
      <c r="A1339" t="n">
        <v>1338</v>
      </c>
      <c r="B1339" t="inlineStr">
        <is>
          <t>Import Shipment Expense</t>
        </is>
      </c>
      <c r="C1339" t="inlineStr">
        <is>
          <t>ហ្វ្រេត ខនសិប (ខេមបូឌា)</t>
        </is>
      </c>
      <c r="D1339" t="inlineStr">
        <is>
          <t>K009-901502482</t>
        </is>
      </c>
      <c r="E1339" t="inlineStr">
        <is>
          <t>240964</t>
        </is>
      </c>
      <c r="F1339" t="inlineStr">
        <is>
          <t>18-09-2024</t>
        </is>
      </c>
      <c r="G1339" t="n">
        <v>112161</v>
      </c>
      <c r="I1339">
        <f>G1339</f>
        <v/>
      </c>
      <c r="K1339">
        <f>I1339-G1339</f>
        <v/>
      </c>
      <c r="M1339" t="inlineStr">
        <is>
          <t>240964</t>
        </is>
      </c>
      <c r="N1339" t="inlineStr"/>
      <c r="O1339">
        <f>M1339=N1339</f>
        <v/>
      </c>
      <c r="P1339">
        <f>AND(MONTH(F1339)=MONTH(S1339), YEAR(F1339)=YEAR(S1339))</f>
        <v/>
      </c>
      <c r="Q1339">
        <f>"L001-902303751"=U1339</f>
        <v/>
      </c>
      <c r="R1339">
        <f>G1339-W1339</f>
        <v/>
      </c>
      <c r="S1339" s="36" t="n">
        <v>45523</v>
      </c>
      <c r="T1339" t="inlineStr"/>
      <c r="U1339" t="inlineStr">
        <is>
          <t>L001-107032791</t>
        </is>
      </c>
      <c r="V1339" t="inlineStr">
        <is>
          <t>នីបផន អិចប្រេស (ខេមបូឌា) ខូ អិលធីឌី</t>
        </is>
      </c>
      <c r="W1339" t="n">
        <v>0</v>
      </c>
      <c r="X1339" t="n">
        <v>0</v>
      </c>
    </row>
    <row r="1340">
      <c r="A1340" t="n">
        <v>1339</v>
      </c>
      <c r="B1340" t="inlineStr">
        <is>
          <t>Charge from Warehouse/cy to trucks</t>
        </is>
      </c>
      <c r="C1340" t="inlineStr">
        <is>
          <t>កំពង់ផែស្វយ័តក្រុងព្រះសីហនុ</t>
        </is>
      </c>
      <c r="D1340" t="inlineStr">
        <is>
          <t>L001-100044638</t>
        </is>
      </c>
      <c r="E1340" t="inlineStr">
        <is>
          <t>200430</t>
        </is>
      </c>
      <c r="F1340" t="inlineStr">
        <is>
          <t>27-09-2024</t>
        </is>
      </c>
      <c r="G1340" t="n">
        <v>1244</v>
      </c>
      <c r="I1340">
        <f>G1340</f>
        <v/>
      </c>
      <c r="K1340">
        <f>I1340-G1340</f>
        <v/>
      </c>
      <c r="M1340" t="inlineStr">
        <is>
          <t>200430</t>
        </is>
      </c>
      <c r="N1340" t="inlineStr">
        <is>
          <t>11222800</t>
        </is>
      </c>
      <c r="O1340">
        <f>M1340=N1340</f>
        <v/>
      </c>
      <c r="P1340">
        <f>AND(MONTH(F1340)=MONTH(S1340), YEAR(F1340)=YEAR(S1340))</f>
        <v/>
      </c>
      <c r="Q1340">
        <f>"L001-902303751"=U1340</f>
        <v/>
      </c>
      <c r="R1340">
        <f>G1340-W1340</f>
        <v/>
      </c>
      <c r="S1340" s="36" t="n">
        <v>45530</v>
      </c>
      <c r="T1340" t="n">
        <v>112228</v>
      </c>
      <c r="U1340" t="inlineStr">
        <is>
          <t>L001-107032791</t>
        </is>
      </c>
      <c r="V1340" t="inlineStr">
        <is>
          <t>នីបផន អិចប្រេស (ខេមបូឌា) ខូ អិលធីឌី</t>
        </is>
      </c>
      <c r="W1340" t="n">
        <v>112228</v>
      </c>
      <c r="X1340" t="n">
        <v>0</v>
      </c>
    </row>
    <row r="1341">
      <c r="A1341" t="n">
        <v>1340</v>
      </c>
      <c r="B1341" t="inlineStr">
        <is>
          <t>Customs Clearance Fee and Trucking Fee</t>
        </is>
      </c>
      <c r="C1341" t="inlineStr">
        <is>
          <t>ត្រាយអ៊ែងហ្គល ឡូជីស្ទីក (ខេមបូឌា) ឯ.ក</t>
        </is>
      </c>
      <c r="D1341" t="inlineStr">
        <is>
          <t>K010-902101743</t>
        </is>
      </c>
      <c r="E1341" t="inlineStr">
        <is>
          <t>TAG-24-00727</t>
        </is>
      </c>
      <c r="F1341" t="inlineStr">
        <is>
          <t>30-09-2024</t>
        </is>
      </c>
      <c r="G1341" t="n">
        <v>32488</v>
      </c>
      <c r="I1341">
        <f>G1341</f>
        <v/>
      </c>
      <c r="K1341">
        <f>I1341-G1341</f>
        <v/>
      </c>
      <c r="M1341" t="inlineStr">
        <is>
          <t>TAG2400727</t>
        </is>
      </c>
      <c r="N1341" t="inlineStr">
        <is>
          <t>8366100</t>
        </is>
      </c>
      <c r="O1341">
        <f>M1341=N1341</f>
        <v/>
      </c>
      <c r="P1341">
        <f>AND(MONTH(F1341)=MONTH(S1341), YEAR(F1341)=YEAR(S1341))</f>
        <v/>
      </c>
      <c r="Q1341">
        <f>"L001-902303751"=U1341</f>
        <v/>
      </c>
      <c r="R1341">
        <f>G1341-W1341</f>
        <v/>
      </c>
      <c r="S1341" s="36" t="n">
        <v>45530</v>
      </c>
      <c r="T1341" t="n">
        <v>83661</v>
      </c>
      <c r="U1341" t="inlineStr">
        <is>
          <t>L001-107032791</t>
        </is>
      </c>
      <c r="V1341" t="inlineStr">
        <is>
          <t>នីបផន អិចប្រេស (ខេមបូឌា) ខូ អិលធីឌី</t>
        </is>
      </c>
      <c r="W1341" t="n">
        <v>83661</v>
      </c>
      <c r="X1341" t="n">
        <v>0</v>
      </c>
    </row>
    <row r="1342">
      <c r="A1342" t="n">
        <v>1341</v>
      </c>
      <c r="B1342" t="inlineStr">
        <is>
          <t>Import Shipment Expense</t>
        </is>
      </c>
      <c r="C1342" t="inlineStr">
        <is>
          <t>គ្លូប៊ល ស៊ី &amp; លែន ឯ.ក</t>
        </is>
      </c>
      <c r="D1342" t="inlineStr">
        <is>
          <t>K007-901702732</t>
        </is>
      </c>
      <c r="E1342" t="inlineStr">
        <is>
          <t>PPTI24-09-056</t>
        </is>
      </c>
      <c r="F1342" t="inlineStr">
        <is>
          <t>23-09-2024</t>
        </is>
      </c>
      <c r="G1342" t="n">
        <v>114651</v>
      </c>
      <c r="I1342">
        <f>G1342</f>
        <v/>
      </c>
      <c r="K1342">
        <f>I1342-G1342</f>
        <v/>
      </c>
      <c r="M1342" t="inlineStr">
        <is>
          <t>PPTI2409056</t>
        </is>
      </c>
      <c r="N1342" t="inlineStr">
        <is>
          <t>11222800</t>
        </is>
      </c>
      <c r="O1342">
        <f>M1342=N1342</f>
        <v/>
      </c>
      <c r="P1342">
        <f>AND(MONTH(F1342)=MONTH(S1342), YEAR(F1342)=YEAR(S1342))</f>
        <v/>
      </c>
      <c r="Q1342">
        <f>"L001-902303751"=U1342</f>
        <v/>
      </c>
      <c r="R1342">
        <f>G1342-W1342</f>
        <v/>
      </c>
      <c r="S1342" s="36" t="n">
        <v>45530</v>
      </c>
      <c r="T1342" t="n">
        <v>112228</v>
      </c>
      <c r="U1342" t="inlineStr">
        <is>
          <t>L001-107032791</t>
        </is>
      </c>
      <c r="V1342" t="inlineStr">
        <is>
          <t>នីបផន អិចប្រេស (ខេមបូឌា) ខូ អិលធីឌី</t>
        </is>
      </c>
      <c r="W1342" t="n">
        <v>112228</v>
      </c>
      <c r="X1342" t="n">
        <v>0</v>
      </c>
    </row>
    <row r="1343">
      <c r="A1343" t="n">
        <v>1342</v>
      </c>
      <c r="B1343" t="inlineStr">
        <is>
          <t>Charge from Warehouse/cy to trucks</t>
        </is>
      </c>
      <c r="C1343" t="inlineStr">
        <is>
          <t>កំពង់ផែស្វយ័តក្រុងព្រះសីហនុ</t>
        </is>
      </c>
      <c r="D1343" t="inlineStr">
        <is>
          <t>L001-100044638</t>
        </is>
      </c>
      <c r="E1343" t="inlineStr">
        <is>
          <t>200436</t>
        </is>
      </c>
      <c r="F1343" t="inlineStr">
        <is>
          <t>27-09-2024</t>
        </is>
      </c>
      <c r="G1343" t="n">
        <v>1864</v>
      </c>
      <c r="I1343">
        <f>G1343</f>
        <v/>
      </c>
      <c r="K1343">
        <f>I1343-G1343</f>
        <v/>
      </c>
      <c r="M1343" t="inlineStr">
        <is>
          <t>200436</t>
        </is>
      </c>
      <c r="N1343" t="inlineStr"/>
      <c r="O1343">
        <f>M1343=N1343</f>
        <v/>
      </c>
      <c r="P1343">
        <f>AND(MONTH(F1343)=MONTH(S1343), YEAR(F1343)=YEAR(S1343))</f>
        <v/>
      </c>
      <c r="Q1343">
        <f>"L001-902303751"=U1343</f>
        <v/>
      </c>
      <c r="R1343">
        <f>G1343-W1343</f>
        <v/>
      </c>
      <c r="S1343" s="36" t="n">
        <v>45523</v>
      </c>
      <c r="T1343" t="inlineStr"/>
      <c r="U1343" t="inlineStr">
        <is>
          <t>L001-107032791</t>
        </is>
      </c>
      <c r="V1343" t="inlineStr">
        <is>
          <t>នីបផន អិចប្រេស (ខេមបូឌា) ខូ អិលធីឌី</t>
        </is>
      </c>
      <c r="W1343" t="n">
        <v>0</v>
      </c>
      <c r="X1343" t="n">
        <v>0</v>
      </c>
    </row>
    <row r="1344">
      <c r="A1344" t="n">
        <v>1343</v>
      </c>
      <c r="B1344" t="inlineStr">
        <is>
          <t>Customs Clearance Fee and Trucking Fee</t>
        </is>
      </c>
      <c r="C1344" t="inlineStr">
        <is>
          <t>ត្រាយអ៊ែងហ្គល ឡូជីស្ទីក (ខេមបូឌា) ឯ.ក</t>
        </is>
      </c>
      <c r="D1344" t="inlineStr">
        <is>
          <t>K010-902101743</t>
        </is>
      </c>
      <c r="E1344" t="inlineStr">
        <is>
          <t>TAG-24-00728</t>
        </is>
      </c>
      <c r="F1344" t="inlineStr">
        <is>
          <t>30-09-2024</t>
        </is>
      </c>
      <c r="G1344" t="n">
        <v>32488</v>
      </c>
      <c r="I1344">
        <f>G1344</f>
        <v/>
      </c>
      <c r="K1344">
        <f>I1344-G1344</f>
        <v/>
      </c>
      <c r="M1344" t="inlineStr">
        <is>
          <t>TAG2400728</t>
        </is>
      </c>
      <c r="N1344" t="inlineStr">
        <is>
          <t>149225100</t>
        </is>
      </c>
      <c r="O1344">
        <f>M1344=N1344</f>
        <v/>
      </c>
      <c r="P1344">
        <f>AND(MONTH(F1344)=MONTH(S1344), YEAR(F1344)=YEAR(S1344))</f>
        <v/>
      </c>
      <c r="Q1344">
        <f>"L001-902303751"=U1344</f>
        <v/>
      </c>
      <c r="R1344">
        <f>G1344-W1344</f>
        <v/>
      </c>
      <c r="S1344" s="36" t="n">
        <v>45526</v>
      </c>
      <c r="T1344" t="n">
        <v>1492251</v>
      </c>
      <c r="U1344" t="inlineStr">
        <is>
          <t>K004-105012505</t>
        </is>
      </c>
      <c r="V1344" t="inlineStr">
        <is>
          <t>អេស៊ាន ហ្វ្រេត (ខេមបូឌា)</t>
        </is>
      </c>
      <c r="W1344" t="n">
        <v>1492251</v>
      </c>
      <c r="X1344" t="n">
        <v>0</v>
      </c>
    </row>
    <row r="1345">
      <c r="A1345" t="n">
        <v>1344</v>
      </c>
      <c r="B1345" t="inlineStr">
        <is>
          <t>Customs Clearance Fee</t>
        </is>
      </c>
      <c r="C1345" t="inlineStr">
        <is>
          <t>ត្រាយអ៊ែងហ្គល ឡូជីស្ទីក (ខេមបូឌា) ឯ.ក</t>
        </is>
      </c>
      <c r="D1345" t="inlineStr">
        <is>
          <t>K010-902101743</t>
        </is>
      </c>
      <c r="E1345" t="inlineStr">
        <is>
          <t>TAG-24-00648</t>
        </is>
      </c>
      <c r="F1345" t="inlineStr">
        <is>
          <t>19-09-2024</t>
        </is>
      </c>
      <c r="G1345" t="n">
        <v>8196</v>
      </c>
      <c r="I1345">
        <f>G1345</f>
        <v/>
      </c>
      <c r="K1345">
        <f>I1345-G1345</f>
        <v/>
      </c>
      <c r="M1345" t="inlineStr">
        <is>
          <t>TAG2400648</t>
        </is>
      </c>
      <c r="N1345" t="inlineStr">
        <is>
          <t>11222800</t>
        </is>
      </c>
      <c r="O1345">
        <f>M1345=N1345</f>
        <v/>
      </c>
      <c r="P1345">
        <f>AND(MONTH(F1345)=MONTH(S1345), YEAR(F1345)=YEAR(S1345))</f>
        <v/>
      </c>
      <c r="Q1345">
        <f>"L001-902303751"=U1345</f>
        <v/>
      </c>
      <c r="R1345">
        <f>G1345-W1345</f>
        <v/>
      </c>
      <c r="S1345" s="36" t="n">
        <v>45530</v>
      </c>
      <c r="T1345" t="n">
        <v>112228</v>
      </c>
      <c r="U1345" t="inlineStr">
        <is>
          <t>L001-107032791</t>
        </is>
      </c>
      <c r="V1345" t="inlineStr">
        <is>
          <t>នីបផន អិចប្រេស (ខេមបូឌា) ខូ អិលធីឌី</t>
        </is>
      </c>
      <c r="W1345" t="n">
        <v>112228</v>
      </c>
      <c r="X1345" t="n">
        <v>0</v>
      </c>
    </row>
    <row r="1346">
      <c r="A1346" t="n">
        <v>1345</v>
      </c>
      <c r="B1346" t="inlineStr">
        <is>
          <t>Customs Clearance Fee</t>
        </is>
      </c>
      <c r="C1346" t="inlineStr">
        <is>
          <t>ត្រាយអ៊ែងហ្គល ឡូជីស្ទីក (ខេមបូឌា) ឯ.ក</t>
        </is>
      </c>
      <c r="D1346" t="inlineStr">
        <is>
          <t>K010-902101743</t>
        </is>
      </c>
      <c r="E1346" t="inlineStr">
        <is>
          <t>TAG-24-00659</t>
        </is>
      </c>
      <c r="F1346" t="inlineStr">
        <is>
          <t>19-09-2024</t>
        </is>
      </c>
      <c r="G1346" t="n">
        <v>8196</v>
      </c>
      <c r="I1346">
        <f>G1346</f>
        <v/>
      </c>
      <c r="K1346">
        <f>I1346-G1346</f>
        <v/>
      </c>
      <c r="M1346" t="inlineStr">
        <is>
          <t>TAG2400659</t>
        </is>
      </c>
      <c r="N1346" t="inlineStr"/>
      <c r="O1346">
        <f>M1346=N1346</f>
        <v/>
      </c>
      <c r="P1346">
        <f>AND(MONTH(F1346)=MONTH(S1346), YEAR(F1346)=YEAR(S1346))</f>
        <v/>
      </c>
      <c r="Q1346">
        <f>"L001-902303751"=U1346</f>
        <v/>
      </c>
      <c r="R1346">
        <f>G1346-W1346</f>
        <v/>
      </c>
      <c r="S1346" s="36" t="n">
        <v>45516</v>
      </c>
      <c r="T1346" t="inlineStr"/>
      <c r="U1346" t="inlineStr">
        <is>
          <t>L001-100045995</t>
        </is>
      </c>
      <c r="V1346" t="inlineStr">
        <is>
          <t>ឌីអេចអិល ឡូជីស្ទីក (ខេមបូឌា)</t>
        </is>
      </c>
      <c r="W1346" t="n">
        <v>0</v>
      </c>
      <c r="X1346" t="n">
        <v>0</v>
      </c>
    </row>
    <row r="1347">
      <c r="A1347" t="n">
        <v>1346</v>
      </c>
      <c r="B1347" t="inlineStr">
        <is>
          <t>Import Shipment Expense</t>
        </is>
      </c>
      <c r="C1347" t="inlineStr">
        <is>
          <t>ខេអិលអិន ហ្វ្រេត (ខេមបូឌា) ឯ.ក</t>
        </is>
      </c>
      <c r="D1347" t="inlineStr">
        <is>
          <t>L001-100074669</t>
        </is>
      </c>
      <c r="E1347" t="inlineStr">
        <is>
          <t>IVO15107</t>
        </is>
      </c>
      <c r="F1347" t="inlineStr">
        <is>
          <t>25-09-2024</t>
        </is>
      </c>
      <c r="G1347" t="n">
        <v>187448</v>
      </c>
      <c r="I1347">
        <f>G1347</f>
        <v/>
      </c>
      <c r="K1347">
        <f>I1347-G1347</f>
        <v/>
      </c>
      <c r="M1347" t="inlineStr">
        <is>
          <t>IVO15107</t>
        </is>
      </c>
      <c r="N1347" t="inlineStr"/>
      <c r="O1347">
        <f>M1347=N1347</f>
        <v/>
      </c>
      <c r="P1347">
        <f>AND(MONTH(F1347)=MONTH(S1347), YEAR(F1347)=YEAR(S1347))</f>
        <v/>
      </c>
      <c r="Q1347">
        <f>"L001-902303751"=U1347</f>
        <v/>
      </c>
      <c r="R1347">
        <f>G1347-W1347</f>
        <v/>
      </c>
      <c r="S1347" s="36" t="n">
        <v>45510</v>
      </c>
      <c r="T1347" t="inlineStr"/>
      <c r="U1347" t="inlineStr">
        <is>
          <t>L001-107032791</t>
        </is>
      </c>
      <c r="V1347" t="inlineStr">
        <is>
          <t>នីបផន អិចប្រេស (ខេមបូឌា) ខូ អិលធីឌី</t>
        </is>
      </c>
      <c r="W1347" t="n">
        <v>0</v>
      </c>
      <c r="X1347" t="n">
        <v>0</v>
      </c>
    </row>
    <row r="1348">
      <c r="A1348" t="n">
        <v>1347</v>
      </c>
      <c r="B1348" t="inlineStr">
        <is>
          <t>Lift-On &amp; Lift-Off</t>
        </is>
      </c>
      <c r="C1348" t="inlineStr">
        <is>
          <t>កំពង់ផែស្វយ័តក្រុងព្រះសីហនុ</t>
        </is>
      </c>
      <c r="D1348" t="inlineStr">
        <is>
          <t>L001-100044638</t>
        </is>
      </c>
      <c r="E1348" t="inlineStr">
        <is>
          <t>196325</t>
        </is>
      </c>
      <c r="F1348" t="inlineStr">
        <is>
          <t>21-09-2024</t>
        </is>
      </c>
      <c r="G1348" t="n">
        <v>23148</v>
      </c>
      <c r="I1348">
        <f>G1348</f>
        <v/>
      </c>
      <c r="K1348">
        <f>I1348-G1348</f>
        <v/>
      </c>
      <c r="M1348" t="inlineStr">
        <is>
          <t>196325</t>
        </is>
      </c>
      <c r="N1348" t="inlineStr"/>
      <c r="O1348">
        <f>M1348=N1348</f>
        <v/>
      </c>
      <c r="P1348">
        <f>AND(MONTH(F1348)=MONTH(S1348), YEAR(F1348)=YEAR(S1348))</f>
        <v/>
      </c>
      <c r="Q1348">
        <f>"L001-902303751"=U1348</f>
        <v/>
      </c>
      <c r="R1348">
        <f>G1348-W1348</f>
        <v/>
      </c>
      <c r="S1348" s="36" t="n">
        <v>45510</v>
      </c>
      <c r="T1348" t="inlineStr"/>
      <c r="U1348" t="inlineStr">
        <is>
          <t>L001-107032791</t>
        </is>
      </c>
      <c r="V1348" t="inlineStr">
        <is>
          <t>នីបផន អិចប្រេស (ខេមបូឌា) ខូ អិលធីឌី</t>
        </is>
      </c>
      <c r="W1348" t="n">
        <v>0</v>
      </c>
      <c r="X1348" t="n">
        <v>0</v>
      </c>
    </row>
    <row r="1349">
      <c r="A1349" t="n">
        <v>1348</v>
      </c>
      <c r="B1349" t="inlineStr">
        <is>
          <t>Customs Clearance Fee and Trucking Fee</t>
        </is>
      </c>
      <c r="C1349" t="inlineStr">
        <is>
          <t>ត្រាយអ៊ែងហ្គល ឡូជីស្ទីក (ខេមបូឌា) ឯ.ក</t>
        </is>
      </c>
      <c r="D1349" t="inlineStr">
        <is>
          <t>K010-902101743</t>
        </is>
      </c>
      <c r="E1349" t="inlineStr">
        <is>
          <t>TAG-24-00706</t>
        </is>
      </c>
      <c r="F1349" t="inlineStr">
        <is>
          <t>30-09-2024</t>
        </is>
      </c>
      <c r="G1349" t="n">
        <v>69037</v>
      </c>
      <c r="I1349">
        <f>G1349</f>
        <v/>
      </c>
      <c r="K1349">
        <f>I1349-G1349</f>
        <v/>
      </c>
      <c r="M1349" t="inlineStr">
        <is>
          <t>TAG2400706</t>
        </is>
      </c>
      <c r="N1349" t="inlineStr"/>
      <c r="O1349">
        <f>M1349=N1349</f>
        <v/>
      </c>
      <c r="P1349">
        <f>AND(MONTH(F1349)=MONTH(S1349), YEAR(F1349)=YEAR(S1349))</f>
        <v/>
      </c>
      <c r="Q1349">
        <f>"L001-902303751"=U1349</f>
        <v/>
      </c>
      <c r="R1349">
        <f>G1349-W1349</f>
        <v/>
      </c>
      <c r="S1349" s="36" t="n">
        <v>45530</v>
      </c>
      <c r="T1349" t="inlineStr"/>
      <c r="U1349" t="inlineStr">
        <is>
          <t>L001-107032791</t>
        </is>
      </c>
      <c r="V1349" t="inlineStr">
        <is>
          <t>នីបផន អិចប្រេស (ខេមបូឌា) ខូ អិលធីឌី</t>
        </is>
      </c>
      <c r="W1349" t="n">
        <v>0</v>
      </c>
      <c r="X1349" t="n">
        <v>0</v>
      </c>
    </row>
    <row r="1350">
      <c r="A1350" t="n">
        <v>1349</v>
      </c>
      <c r="B1350" t="inlineStr">
        <is>
          <t>Import Shipment Expense</t>
        </is>
      </c>
      <c r="C1350" t="inlineStr">
        <is>
          <t>អេស៊ាន ហ្វ្រេត (ខេមបូឌា)</t>
        </is>
      </c>
      <c r="D1350" t="inlineStr">
        <is>
          <t>K004-105012505</t>
        </is>
      </c>
      <c r="E1350" t="inlineStr">
        <is>
          <t>PPTI24/1966</t>
        </is>
      </c>
      <c r="F1350" t="inlineStr">
        <is>
          <t>16-09-2024</t>
        </is>
      </c>
      <c r="G1350" t="n">
        <v>70783</v>
      </c>
      <c r="I1350">
        <f>G1350</f>
        <v/>
      </c>
      <c r="K1350">
        <f>I1350-G1350</f>
        <v/>
      </c>
      <c r="M1350" t="inlineStr">
        <is>
          <t>PPTI241966</t>
        </is>
      </c>
      <c r="N1350" t="inlineStr">
        <is>
          <t>8400900</t>
        </is>
      </c>
      <c r="O1350">
        <f>M1350=N1350</f>
        <v/>
      </c>
      <c r="P1350">
        <f>AND(MONTH(F1350)=MONTH(S1350), YEAR(F1350)=YEAR(S1350))</f>
        <v/>
      </c>
      <c r="Q1350">
        <f>"L001-902303751"=U1350</f>
        <v/>
      </c>
      <c r="R1350">
        <f>G1350-W1350</f>
        <v/>
      </c>
      <c r="S1350" s="36" t="n">
        <v>45523</v>
      </c>
      <c r="T1350" t="n">
        <v>84009</v>
      </c>
      <c r="U1350" t="inlineStr">
        <is>
          <t>L001-107032791</t>
        </is>
      </c>
      <c r="V1350" t="inlineStr">
        <is>
          <t>នីបផន អិចប្រេស (ខេមបូឌា) ខូ អិលធីឌី</t>
        </is>
      </c>
      <c r="W1350" t="n">
        <v>84009</v>
      </c>
      <c r="X1350" t="n">
        <v>0</v>
      </c>
    </row>
    <row r="1351">
      <c r="A1351" t="n">
        <v>1350</v>
      </c>
      <c r="B1351" t="inlineStr">
        <is>
          <t>Customs Clearance Fee and Trucking Fee</t>
        </is>
      </c>
      <c r="C1351" t="inlineStr">
        <is>
          <t>ត្រាយអ៊ែងហ្គល ឡូជីស្ទីក (ខេមបូឌា) ឯ.ក</t>
        </is>
      </c>
      <c r="D1351" t="inlineStr">
        <is>
          <t>K010-902101743</t>
        </is>
      </c>
      <c r="E1351" t="inlineStr">
        <is>
          <t>TAG-24-00658</t>
        </is>
      </c>
      <c r="F1351" t="inlineStr">
        <is>
          <t>19-09-2024</t>
        </is>
      </c>
      <c r="G1351" t="n">
        <v>28686</v>
      </c>
      <c r="I1351">
        <f>G1351</f>
        <v/>
      </c>
      <c r="K1351">
        <f>I1351-G1351</f>
        <v/>
      </c>
      <c r="M1351" t="inlineStr">
        <is>
          <t>TAG2400658</t>
        </is>
      </c>
      <c r="N1351" t="inlineStr"/>
      <c r="O1351">
        <f>M1351=N1351</f>
        <v/>
      </c>
      <c r="P1351">
        <f>AND(MONTH(F1351)=MONTH(S1351), YEAR(F1351)=YEAR(S1351))</f>
        <v/>
      </c>
      <c r="Q1351">
        <f>"L001-902303751"=U1351</f>
        <v/>
      </c>
      <c r="R1351">
        <f>G1351-W1351</f>
        <v/>
      </c>
      <c r="S1351" s="36" t="n">
        <v>45530</v>
      </c>
      <c r="T1351" t="inlineStr"/>
      <c r="U1351" t="inlineStr">
        <is>
          <t>K005-100150195</t>
        </is>
      </c>
      <c r="V1351" t="inlineStr">
        <is>
          <t>អេស អ វី ស៊ី ហ្វ្រេត សឺវីស (ខេមបូឌា) ខូ អិលធីឌី</t>
        </is>
      </c>
      <c r="W1351" t="n">
        <v>0</v>
      </c>
      <c r="X1351" t="n">
        <v>0</v>
      </c>
    </row>
    <row r="1352">
      <c r="A1352" t="n">
        <v>1351</v>
      </c>
      <c r="B1352" t="inlineStr">
        <is>
          <t>Cargo Terminal</t>
        </is>
      </c>
      <c r="C1352" t="inlineStr">
        <is>
          <t>សូស៊ីយេតេ កុងសេស្យូនែរ ដឺ ឡាអេរ៉ូព័រ</t>
        </is>
      </c>
      <c r="D1352" t="inlineStr">
        <is>
          <t>L001-100047300</t>
        </is>
      </c>
      <c r="E1352" t="inlineStr">
        <is>
          <t>2400-074065</t>
        </is>
      </c>
      <c r="F1352" t="inlineStr">
        <is>
          <t>13-09-2024</t>
        </is>
      </c>
      <c r="G1352" t="n">
        <v>6167</v>
      </c>
      <c r="I1352">
        <f>G1352</f>
        <v/>
      </c>
      <c r="K1352">
        <f>I1352-G1352</f>
        <v/>
      </c>
      <c r="M1352" t="inlineStr">
        <is>
          <t>2400074065</t>
        </is>
      </c>
      <c r="N1352" t="inlineStr">
        <is>
          <t>8366100</t>
        </is>
      </c>
      <c r="O1352">
        <f>M1352=N1352</f>
        <v/>
      </c>
      <c r="P1352">
        <f>AND(MONTH(F1352)=MONTH(S1352), YEAR(F1352)=YEAR(S1352))</f>
        <v/>
      </c>
      <c r="Q1352">
        <f>"L001-902303751"=U1352</f>
        <v/>
      </c>
      <c r="R1352">
        <f>G1352-W1352</f>
        <v/>
      </c>
      <c r="S1352" s="36" t="n">
        <v>45530</v>
      </c>
      <c r="T1352" t="n">
        <v>83661</v>
      </c>
      <c r="U1352" t="inlineStr">
        <is>
          <t>L001-107032791</t>
        </is>
      </c>
      <c r="V1352" t="inlineStr">
        <is>
          <t>នីបផន អិចប្រេស (ខេមបូឌា) ខូ អិលធីឌី</t>
        </is>
      </c>
      <c r="W1352" t="n">
        <v>83661</v>
      </c>
      <c r="X1352" t="n">
        <v>0</v>
      </c>
    </row>
    <row r="1353">
      <c r="A1353" t="n">
        <v>1352</v>
      </c>
      <c r="B1353" t="inlineStr">
        <is>
          <t>Customs Clearance Fee and Trucking Fee</t>
        </is>
      </c>
      <c r="C1353" t="inlineStr">
        <is>
          <t>ត្រាយអ៊ែងហ្គល ឡូជីស្ទីក (ខេមបូឌា) ឯ.ក</t>
        </is>
      </c>
      <c r="D1353" t="inlineStr">
        <is>
          <t>K010-902101743</t>
        </is>
      </c>
      <c r="E1353" t="inlineStr">
        <is>
          <t>TAG-24-00662</t>
        </is>
      </c>
      <c r="F1353" t="inlineStr">
        <is>
          <t>19-09-2024</t>
        </is>
      </c>
      <c r="G1353" t="n">
        <v>28686</v>
      </c>
      <c r="I1353">
        <f>G1353</f>
        <v/>
      </c>
      <c r="K1353">
        <f>I1353-G1353</f>
        <v/>
      </c>
      <c r="M1353" t="inlineStr">
        <is>
          <t>TAG2400662</t>
        </is>
      </c>
      <c r="N1353" t="inlineStr"/>
      <c r="O1353">
        <f>M1353=N1353</f>
        <v/>
      </c>
      <c r="P1353">
        <f>AND(MONTH(F1353)=MONTH(S1353), YEAR(F1353)=YEAR(S1353))</f>
        <v/>
      </c>
      <c r="Q1353">
        <f>"L001-902303751"=U1353</f>
        <v/>
      </c>
      <c r="R1353">
        <f>G1353-W1353</f>
        <v/>
      </c>
      <c r="S1353" s="36" t="n">
        <v>45516</v>
      </c>
      <c r="T1353" t="inlineStr"/>
      <c r="U1353" t="inlineStr">
        <is>
          <t>K002-901800477</t>
        </is>
      </c>
      <c r="V1353" t="inlineStr">
        <is>
          <t>អាយធីអាយ អ៊ិនធើណេសិនណល ត្រេនស័្ពរថេសិន (ខេមបូឌា) ឯ.ក</t>
        </is>
      </c>
      <c r="W1353" t="n">
        <v>0</v>
      </c>
      <c r="X1353" t="n">
        <v>0</v>
      </c>
    </row>
    <row r="1354">
      <c r="A1354" t="n">
        <v>1353</v>
      </c>
      <c r="B1354" t="inlineStr">
        <is>
          <t>Handling Fee and DOC</t>
        </is>
      </c>
      <c r="C1354" t="inlineStr">
        <is>
          <t>ហ្វ្រេតាស (ខេមបូឌា) ឯ.ក</t>
        </is>
      </c>
      <c r="D1354" t="inlineStr">
        <is>
          <t>K007-901638107</t>
        </is>
      </c>
      <c r="E1354" t="inlineStr">
        <is>
          <t>Y24-113</t>
        </is>
      </c>
      <c r="F1354" t="inlineStr">
        <is>
          <t>11-09-2024</t>
        </is>
      </c>
      <c r="G1354" t="n">
        <v>54864</v>
      </c>
      <c r="I1354">
        <f>G1354</f>
        <v/>
      </c>
      <c r="K1354">
        <f>I1354-G1354</f>
        <v/>
      </c>
      <c r="M1354" t="inlineStr">
        <is>
          <t>Y24113</t>
        </is>
      </c>
      <c r="N1354" t="inlineStr">
        <is>
          <t>107546300</t>
        </is>
      </c>
      <c r="O1354">
        <f>M1354=N1354</f>
        <v/>
      </c>
      <c r="P1354">
        <f>AND(MONTH(F1354)=MONTH(S1354), YEAR(F1354)=YEAR(S1354))</f>
        <v/>
      </c>
      <c r="Q1354">
        <f>"L001-902303751"=U1354</f>
        <v/>
      </c>
      <c r="R1354">
        <f>G1354-W1354</f>
        <v/>
      </c>
      <c r="S1354" s="36" t="n">
        <v>45516</v>
      </c>
      <c r="T1354" t="n">
        <v>1075463</v>
      </c>
      <c r="U1354" t="inlineStr">
        <is>
          <t>K004-105012505</t>
        </is>
      </c>
      <c r="V1354" t="inlineStr">
        <is>
          <t>អេស៊ាន ហ្វ្រេត (ខេមបូឌា)</t>
        </is>
      </c>
      <c r="W1354" t="n">
        <v>1075463</v>
      </c>
      <c r="X1354" t="n">
        <v>0</v>
      </c>
    </row>
    <row r="1355">
      <c r="A1355" t="n">
        <v>1354</v>
      </c>
      <c r="B1355" t="inlineStr">
        <is>
          <t>Cargo Terminal</t>
        </is>
      </c>
      <c r="C1355" t="inlineStr">
        <is>
          <t>សូស៊ីយេតេ កុងសេស្យូនែរ ដឺ ឡាអេរ៉ូព័រ</t>
        </is>
      </c>
      <c r="D1355" t="inlineStr">
        <is>
          <t>L001-100047300</t>
        </is>
      </c>
      <c r="E1355" t="inlineStr">
        <is>
          <t>2400-074066</t>
        </is>
      </c>
      <c r="F1355" t="inlineStr">
        <is>
          <t>13-09-2024</t>
        </is>
      </c>
      <c r="G1355" t="n">
        <v>11164</v>
      </c>
      <c r="I1355">
        <f>G1355</f>
        <v/>
      </c>
      <c r="K1355">
        <f>I1355-G1355</f>
        <v/>
      </c>
      <c r="M1355" t="inlineStr">
        <is>
          <t>2400074066</t>
        </is>
      </c>
      <c r="N1355" t="inlineStr"/>
      <c r="O1355">
        <f>M1355=N1355</f>
        <v/>
      </c>
      <c r="P1355">
        <f>AND(MONTH(F1355)=MONTH(S1355), YEAR(F1355)=YEAR(S1355))</f>
        <v/>
      </c>
      <c r="Q1355">
        <f>"L001-902303751"=U1355</f>
        <v/>
      </c>
      <c r="R1355">
        <f>G1355-W1355</f>
        <v/>
      </c>
      <c r="S1355" s="36" t="n">
        <v>45516</v>
      </c>
      <c r="T1355" t="inlineStr"/>
      <c r="U1355" t="inlineStr">
        <is>
          <t>L001-100045995</t>
        </is>
      </c>
      <c r="V1355" t="inlineStr">
        <is>
          <t>ឌីអេចអិល ឡូជីស្ទីក (ខេមបូឌា)</t>
        </is>
      </c>
      <c r="W1355" t="n">
        <v>0</v>
      </c>
      <c r="X1355" t="n">
        <v>0</v>
      </c>
    </row>
    <row r="1356">
      <c r="A1356" t="n">
        <v>1355</v>
      </c>
      <c r="B1356" t="inlineStr">
        <is>
          <t>Customs Clearance Fee and Trucking Fee</t>
        </is>
      </c>
      <c r="C1356" t="inlineStr">
        <is>
          <t>ត្រាយអ៊ែងហ្គល ឡូជីស្ទីក (ខេមបូឌា) ឯ.ក</t>
        </is>
      </c>
      <c r="D1356" t="inlineStr">
        <is>
          <t>K010-902101743</t>
        </is>
      </c>
      <c r="E1356" t="inlineStr">
        <is>
          <t>TAG-24-00663</t>
        </is>
      </c>
      <c r="F1356" t="inlineStr">
        <is>
          <t>19-09-2024</t>
        </is>
      </c>
      <c r="G1356" t="n">
        <v>28686</v>
      </c>
      <c r="I1356">
        <f>G1356</f>
        <v/>
      </c>
      <c r="K1356">
        <f>I1356-G1356</f>
        <v/>
      </c>
      <c r="M1356" t="inlineStr">
        <is>
          <t>TAG2400663</t>
        </is>
      </c>
      <c r="N1356" t="inlineStr">
        <is>
          <t>8670000</t>
        </is>
      </c>
      <c r="O1356">
        <f>M1356=N1356</f>
        <v/>
      </c>
      <c r="P1356">
        <f>AND(MONTH(F1356)=MONTH(S1356), YEAR(F1356)=YEAR(S1356))</f>
        <v/>
      </c>
      <c r="Q1356">
        <f>"L001-902303751"=U1356</f>
        <v/>
      </c>
      <c r="R1356">
        <f>G1356-W1356</f>
        <v/>
      </c>
      <c r="S1356" s="36" t="n">
        <v>45510</v>
      </c>
      <c r="T1356" t="n">
        <v>86700</v>
      </c>
      <c r="U1356" t="inlineStr">
        <is>
          <t>L001-100045340</t>
        </is>
      </c>
      <c r="V1356" t="inlineStr">
        <is>
          <t xml:space="preserve">ស៊ីវ៉ា អ៊ែរ អ៊ែន អូសៀន (ខេមបូឌា) ឯ.ក </t>
        </is>
      </c>
      <c r="W1356" t="n">
        <v>86700</v>
      </c>
      <c r="X1356" t="n">
        <v>0</v>
      </c>
    </row>
    <row r="1357">
      <c r="A1357" t="n">
        <v>1356</v>
      </c>
      <c r="B1357" t="inlineStr">
        <is>
          <t>Airway bill fee and Handling Agency fee</t>
        </is>
      </c>
      <c r="C1357" t="inlineStr">
        <is>
          <t>ត្រេន ស្តារ ហ្រេ្វត</t>
        </is>
      </c>
      <c r="D1357" t="inlineStr">
        <is>
          <t>L001-100011888</t>
        </is>
      </c>
      <c r="E1357" t="inlineStr">
        <is>
          <t>PPTI24-11872</t>
        </is>
      </c>
      <c r="F1357" t="inlineStr">
        <is>
          <t>12-09-2024</t>
        </is>
      </c>
      <c r="G1357" t="n">
        <v>34510</v>
      </c>
      <c r="I1357">
        <f>G1357</f>
        <v/>
      </c>
      <c r="K1357">
        <f>I1357-G1357</f>
        <v/>
      </c>
      <c r="M1357" t="inlineStr">
        <is>
          <t>PPTI2411872</t>
        </is>
      </c>
      <c r="N1357" t="inlineStr"/>
      <c r="O1357">
        <f>M1357=N1357</f>
        <v/>
      </c>
      <c r="P1357">
        <f>AND(MONTH(F1357)=MONTH(S1357), YEAR(F1357)=YEAR(S1357))</f>
        <v/>
      </c>
      <c r="Q1357">
        <f>"L001-902303751"=U1357</f>
        <v/>
      </c>
      <c r="R1357">
        <f>G1357-W1357</f>
        <v/>
      </c>
      <c r="S1357" s="36" t="n">
        <v>45510</v>
      </c>
      <c r="T1357" t="inlineStr"/>
      <c r="U1357" t="inlineStr">
        <is>
          <t>L001-107032791</t>
        </is>
      </c>
      <c r="V1357" t="inlineStr">
        <is>
          <t>នីបផន អិចប្រេស (ខេមបូឌា) ខូ អិលធីឌី</t>
        </is>
      </c>
      <c r="W1357" t="n">
        <v>0</v>
      </c>
      <c r="X1357" t="n">
        <v>0</v>
      </c>
    </row>
    <row r="1358">
      <c r="A1358" t="n">
        <v>1357</v>
      </c>
      <c r="B1358" t="inlineStr">
        <is>
          <t>Cargo Terminal</t>
        </is>
      </c>
      <c r="C1358" t="inlineStr">
        <is>
          <t>សូស៊ីយេតេ កុងសេស្យូនែរ ដឺ ឡាអេរ៉ូព័រ</t>
        </is>
      </c>
      <c r="D1358" t="inlineStr">
        <is>
          <t>L001-100047300</t>
        </is>
      </c>
      <c r="E1358" t="inlineStr">
        <is>
          <t>2400-073738</t>
        </is>
      </c>
      <c r="F1358" t="inlineStr">
        <is>
          <t>12-09-2024</t>
        </is>
      </c>
      <c r="G1358" t="n">
        <v>2436</v>
      </c>
      <c r="I1358">
        <f>G1358</f>
        <v/>
      </c>
      <c r="K1358">
        <f>I1358-G1358</f>
        <v/>
      </c>
      <c r="M1358" t="inlineStr">
        <is>
          <t>2400073738</t>
        </is>
      </c>
      <c r="N1358" t="inlineStr"/>
      <c r="O1358">
        <f>M1358=N1358</f>
        <v/>
      </c>
      <c r="P1358">
        <f>AND(MONTH(F1358)=MONTH(S1358), YEAR(F1358)=YEAR(S1358))</f>
        <v/>
      </c>
      <c r="Q1358">
        <f>"L001-902303751"=U1358</f>
        <v/>
      </c>
      <c r="R1358">
        <f>G1358-W1358</f>
        <v/>
      </c>
      <c r="S1358" s="36" t="n">
        <v>45530</v>
      </c>
      <c r="T1358" t="inlineStr"/>
      <c r="U1358" t="inlineStr">
        <is>
          <t>L001-107032791</t>
        </is>
      </c>
      <c r="V1358" t="inlineStr">
        <is>
          <t>នីបផន អិចប្រេស (ខេមបូឌា) ខូ អិលធីឌី</t>
        </is>
      </c>
      <c r="W1358" t="n">
        <v>0</v>
      </c>
      <c r="X1358" t="n">
        <v>0</v>
      </c>
    </row>
    <row r="1359">
      <c r="A1359" t="n">
        <v>1358</v>
      </c>
      <c r="B1359" t="inlineStr">
        <is>
          <t>Customs Clearance Fee and Trucking Fee</t>
        </is>
      </c>
      <c r="C1359" t="inlineStr">
        <is>
          <t>ត្រាយអ៊ែងហ្គល ឡូជីស្ទីក (ខេមបូឌា) ឯ.ក</t>
        </is>
      </c>
      <c r="D1359" t="inlineStr">
        <is>
          <t>K010-902101743</t>
        </is>
      </c>
      <c r="E1359" t="inlineStr">
        <is>
          <t>TAG-24-00661</t>
        </is>
      </c>
      <c r="F1359" t="inlineStr">
        <is>
          <t>19-09-2024</t>
        </is>
      </c>
      <c r="G1359" t="n">
        <v>28686</v>
      </c>
      <c r="I1359">
        <f>G1359</f>
        <v/>
      </c>
      <c r="K1359">
        <f>I1359-G1359</f>
        <v/>
      </c>
      <c r="M1359" t="inlineStr">
        <is>
          <t>TAG2400661</t>
        </is>
      </c>
      <c r="N1359" t="inlineStr"/>
      <c r="O1359">
        <f>M1359=N1359</f>
        <v/>
      </c>
      <c r="P1359">
        <f>AND(MONTH(F1359)=MONTH(S1359), YEAR(F1359)=YEAR(S1359))</f>
        <v/>
      </c>
      <c r="Q1359">
        <f>"L001-902303751"=U1359</f>
        <v/>
      </c>
      <c r="R1359">
        <f>G1359-W1359</f>
        <v/>
      </c>
      <c r="S1359" s="36" t="n">
        <v>45530</v>
      </c>
      <c r="T1359" t="inlineStr"/>
      <c r="U1359" t="inlineStr">
        <is>
          <t>L001-107032791</t>
        </is>
      </c>
      <c r="V1359" t="inlineStr">
        <is>
          <t>នីបផន អិចប្រេស (ខេមបូឌា) ខូ អិលធីឌី</t>
        </is>
      </c>
      <c r="W1359" t="n">
        <v>0</v>
      </c>
      <c r="X1359" t="n">
        <v>0</v>
      </c>
    </row>
    <row r="1360">
      <c r="A1360" t="n">
        <v>1359</v>
      </c>
      <c r="B1360" t="inlineStr">
        <is>
          <t>Import Shipment Expense</t>
        </is>
      </c>
      <c r="C1360" t="inlineStr">
        <is>
          <t>អឹឡាយអិន ហ្វ័រវើឌីង (ខេមបូឌា) ឯ.ក</t>
        </is>
      </c>
      <c r="D1360" t="inlineStr">
        <is>
          <t>K005-901902888</t>
        </is>
      </c>
      <c r="E1360" t="inlineStr">
        <is>
          <t>PPTI24-0677</t>
        </is>
      </c>
      <c r="F1360" t="inlineStr">
        <is>
          <t>19-09-2024</t>
        </is>
      </c>
      <c r="G1360" t="n">
        <v>79556</v>
      </c>
      <c r="I1360">
        <f>G1360</f>
        <v/>
      </c>
      <c r="K1360">
        <f>I1360-G1360</f>
        <v/>
      </c>
      <c r="M1360" t="inlineStr">
        <is>
          <t>PPTI240677</t>
        </is>
      </c>
      <c r="N1360" t="inlineStr"/>
      <c r="O1360">
        <f>M1360=N1360</f>
        <v/>
      </c>
      <c r="P1360">
        <f>AND(MONTH(F1360)=MONTH(S1360), YEAR(F1360)=YEAR(S1360))</f>
        <v/>
      </c>
      <c r="Q1360">
        <f>"L001-902303751"=U1360</f>
        <v/>
      </c>
      <c r="R1360">
        <f>G1360-W1360</f>
        <v/>
      </c>
      <c r="S1360" s="36" t="n">
        <v>45516</v>
      </c>
      <c r="T1360" t="inlineStr"/>
      <c r="U1360" t="inlineStr">
        <is>
          <t>L001-107032791</t>
        </is>
      </c>
      <c r="V1360" t="inlineStr">
        <is>
          <t>នីបផន អិចប្រេស (ខេមបូឌា) ខូ អិលធីឌី</t>
        </is>
      </c>
      <c r="W1360" t="n">
        <v>0</v>
      </c>
      <c r="X1360" t="n">
        <v>0</v>
      </c>
    </row>
    <row r="1361">
      <c r="A1361" t="n">
        <v>1360</v>
      </c>
      <c r="B1361" t="inlineStr">
        <is>
          <t>Charge from Warehouse/cy to trucks and Storage Charges</t>
        </is>
      </c>
      <c r="C1361" t="inlineStr">
        <is>
          <t>កំពង់ផែស្វយ័តក្រុងព្រះសីហនុ</t>
        </is>
      </c>
      <c r="D1361" t="inlineStr">
        <is>
          <t>L001-100044638</t>
        </is>
      </c>
      <c r="E1361" t="inlineStr">
        <is>
          <t>200432</t>
        </is>
      </c>
      <c r="F1361" t="inlineStr">
        <is>
          <t>27-09-2024</t>
        </is>
      </c>
      <c r="G1361" t="n">
        <v>661</v>
      </c>
      <c r="I1361">
        <f>G1361</f>
        <v/>
      </c>
      <c r="K1361">
        <f>I1361-G1361</f>
        <v/>
      </c>
      <c r="M1361" t="inlineStr">
        <is>
          <t>200432</t>
        </is>
      </c>
      <c r="N1361" t="inlineStr"/>
      <c r="O1361">
        <f>M1361=N1361</f>
        <v/>
      </c>
      <c r="P1361">
        <f>AND(MONTH(F1361)=MONTH(S1361), YEAR(F1361)=YEAR(S1361))</f>
        <v/>
      </c>
      <c r="Q1361">
        <f>"L001-902303751"=U1361</f>
        <v/>
      </c>
      <c r="R1361">
        <f>G1361-W1361</f>
        <v/>
      </c>
      <c r="S1361" s="36" t="n">
        <v>45516</v>
      </c>
      <c r="T1361" t="inlineStr"/>
      <c r="U1361" t="inlineStr">
        <is>
          <t>L001-107032791</t>
        </is>
      </c>
      <c r="V1361" t="inlineStr">
        <is>
          <t>នីបផន អិចប្រេស (ខេមបូឌា) ខូ អិលធីឌី</t>
        </is>
      </c>
      <c r="W1361" t="n">
        <v>0</v>
      </c>
      <c r="X1361" t="n">
        <v>0</v>
      </c>
    </row>
    <row r="1362">
      <c r="A1362" t="n">
        <v>1361</v>
      </c>
      <c r="B1362" t="inlineStr">
        <is>
          <t>Customs Clearance Fee and Trucking Fee</t>
        </is>
      </c>
      <c r="C1362" t="inlineStr">
        <is>
          <t>ត្រាយអ៊ែងហ្គល ឡូជីស្ទីក (ខេមបូឌា) ឯ.ក</t>
        </is>
      </c>
      <c r="D1362" t="inlineStr">
        <is>
          <t>K010-902101743</t>
        </is>
      </c>
      <c r="E1362" t="inlineStr">
        <is>
          <t>TAG-24-00729</t>
        </is>
      </c>
      <c r="F1362" t="inlineStr">
        <is>
          <t>30-09-2024</t>
        </is>
      </c>
      <c r="G1362" t="n">
        <v>32488</v>
      </c>
      <c r="I1362">
        <f>G1362</f>
        <v/>
      </c>
      <c r="K1362">
        <f>I1362-G1362</f>
        <v/>
      </c>
      <c r="M1362" t="inlineStr">
        <is>
          <t>TAG2400729</t>
        </is>
      </c>
      <c r="N1362" t="inlineStr"/>
      <c r="O1362">
        <f>M1362=N1362</f>
        <v/>
      </c>
      <c r="P1362">
        <f>AND(MONTH(F1362)=MONTH(S1362), YEAR(F1362)=YEAR(S1362))</f>
        <v/>
      </c>
      <c r="Q1362">
        <f>"L001-902303751"=U1362</f>
        <v/>
      </c>
      <c r="R1362">
        <f>G1362-W1362</f>
        <v/>
      </c>
      <c r="S1362" s="36" t="n">
        <v>45516</v>
      </c>
      <c r="T1362" t="inlineStr"/>
      <c r="U1362" t="inlineStr">
        <is>
          <t>L001-107032791</t>
        </is>
      </c>
      <c r="V1362" t="inlineStr">
        <is>
          <t>នីបផន អិចប្រេស (ខេមបូឌា) ខូ អិលធីឌី</t>
        </is>
      </c>
      <c r="W1362" t="n">
        <v>0</v>
      </c>
      <c r="X1362" t="n">
        <v>0</v>
      </c>
    </row>
    <row r="1363">
      <c r="A1363" t="n">
        <v>1362</v>
      </c>
      <c r="B1363" t="inlineStr">
        <is>
          <t>Doc Fee and Agency Fee</t>
        </is>
      </c>
      <c r="C1363" t="inlineStr">
        <is>
          <t>អ៊ែតវ៉ានស៍ គ្លរី ឡូជីស្ទីក (ខេមបូឌា) (អេ ជី អិល)</t>
        </is>
      </c>
      <c r="D1363" t="inlineStr">
        <is>
          <t>K005-100059945</t>
        </is>
      </c>
      <c r="E1363" t="inlineStr">
        <is>
          <t>AGL2401406</t>
        </is>
      </c>
      <c r="F1363" t="inlineStr">
        <is>
          <t>11-09-2024</t>
        </is>
      </c>
      <c r="G1363" t="n">
        <v>44704</v>
      </c>
      <c r="I1363">
        <f>G1363</f>
        <v/>
      </c>
      <c r="K1363">
        <f>I1363-G1363</f>
        <v/>
      </c>
      <c r="M1363" t="inlineStr">
        <is>
          <t>AGL2401406</t>
        </is>
      </c>
      <c r="N1363" t="inlineStr"/>
      <c r="O1363">
        <f>M1363=N1363</f>
        <v/>
      </c>
      <c r="P1363">
        <f>AND(MONTH(F1363)=MONTH(S1363), YEAR(F1363)=YEAR(S1363))</f>
        <v/>
      </c>
      <c r="Q1363">
        <f>"L001-902303751"=U1363</f>
        <v/>
      </c>
      <c r="R1363">
        <f>G1363-W1363</f>
        <v/>
      </c>
      <c r="S1363" s="36" t="n">
        <v>45510</v>
      </c>
      <c r="T1363" t="inlineStr"/>
      <c r="U1363" t="inlineStr">
        <is>
          <t>K005-901805913</t>
        </is>
      </c>
      <c r="V1363" t="inlineStr">
        <is>
          <t>ស្តារ ខង់ខដ (ខេមបូឌា) ឯ.ក</t>
        </is>
      </c>
      <c r="W1363" t="n">
        <v>0</v>
      </c>
      <c r="X1363" t="n">
        <v>0</v>
      </c>
    </row>
    <row r="1364">
      <c r="A1364" t="n">
        <v>1363</v>
      </c>
      <c r="B1364" t="inlineStr">
        <is>
          <t>Cargo Terminal</t>
        </is>
      </c>
      <c r="C1364" t="inlineStr">
        <is>
          <t>សូស៊ីយេតេ កុងសេស្យូនែរ ដឺ ឡាអេរ៉ូព័រ</t>
        </is>
      </c>
      <c r="D1364" t="inlineStr">
        <is>
          <t>L001-100047300</t>
        </is>
      </c>
      <c r="E1364" t="inlineStr">
        <is>
          <t>2400-073739</t>
        </is>
      </c>
      <c r="F1364" t="inlineStr">
        <is>
          <t>12-09-2024</t>
        </is>
      </c>
      <c r="G1364" t="n">
        <v>7714</v>
      </c>
      <c r="I1364">
        <f>G1364</f>
        <v/>
      </c>
      <c r="K1364">
        <f>I1364-G1364</f>
        <v/>
      </c>
      <c r="M1364" t="inlineStr">
        <is>
          <t>2400073739</t>
        </is>
      </c>
      <c r="N1364" t="inlineStr"/>
      <c r="O1364">
        <f>M1364=N1364</f>
        <v/>
      </c>
      <c r="P1364">
        <f>AND(MONTH(F1364)=MONTH(S1364), YEAR(F1364)=YEAR(S1364))</f>
        <v/>
      </c>
      <c r="Q1364">
        <f>"L001-902303751"=U1364</f>
        <v/>
      </c>
      <c r="R1364">
        <f>G1364-W1364</f>
        <v/>
      </c>
      <c r="S1364" s="36" t="n">
        <v>45510</v>
      </c>
      <c r="T1364" t="inlineStr"/>
      <c r="U1364" t="inlineStr">
        <is>
          <t>L001-107032791</t>
        </is>
      </c>
      <c r="V1364" t="inlineStr">
        <is>
          <t>នីបផន អិចប្រេស (ខេមបូឌា) ខូ អិលធីឌី</t>
        </is>
      </c>
      <c r="W1364" t="n">
        <v>0</v>
      </c>
      <c r="X1364" t="n">
        <v>0</v>
      </c>
    </row>
    <row r="1365">
      <c r="A1365" t="n">
        <v>1364</v>
      </c>
      <c r="B1365" t="inlineStr">
        <is>
          <t>Customs Clearance Fee and Trucking Fee</t>
        </is>
      </c>
      <c r="C1365" t="inlineStr">
        <is>
          <t>ត្រាយអ៊ែងហ្គល ឡូជីស្ទីក (ខេមបូឌា) ឯ.ក</t>
        </is>
      </c>
      <c r="D1365" t="inlineStr">
        <is>
          <t>K010-902101743</t>
        </is>
      </c>
      <c r="E1365" t="inlineStr">
        <is>
          <t>TAG-24-00651</t>
        </is>
      </c>
      <c r="F1365" t="inlineStr">
        <is>
          <t>19-09-2024</t>
        </is>
      </c>
      <c r="G1365" t="n">
        <v>28686</v>
      </c>
      <c r="I1365">
        <f>G1365</f>
        <v/>
      </c>
      <c r="K1365">
        <f>I1365-G1365</f>
        <v/>
      </c>
      <c r="M1365" t="inlineStr">
        <is>
          <t>TAG2400651</t>
        </is>
      </c>
      <c r="N1365" t="inlineStr"/>
      <c r="O1365">
        <f>M1365=N1365</f>
        <v/>
      </c>
      <c r="P1365">
        <f>AND(MONTH(F1365)=MONTH(S1365), YEAR(F1365)=YEAR(S1365))</f>
        <v/>
      </c>
      <c r="Q1365">
        <f>"L001-902303751"=U1365</f>
        <v/>
      </c>
      <c r="R1365">
        <f>G1365-W1365</f>
        <v/>
      </c>
      <c r="S1365" s="36" t="n">
        <v>45510</v>
      </c>
      <c r="T1365" t="inlineStr"/>
      <c r="U1365" t="inlineStr">
        <is>
          <t>L001-107032791</t>
        </is>
      </c>
      <c r="V1365" t="inlineStr">
        <is>
          <t>នីបផន អិចប្រេស (ខេមបូឌា) ខូ អិលធីឌី</t>
        </is>
      </c>
      <c r="W1365" t="n">
        <v>0</v>
      </c>
      <c r="X1365" t="n">
        <v>0</v>
      </c>
    </row>
    <row r="1366">
      <c r="A1366" t="n">
        <v>1365</v>
      </c>
      <c r="B1366" t="inlineStr">
        <is>
          <t>Import Shipment Expense</t>
        </is>
      </c>
      <c r="C1366" t="inlineStr">
        <is>
          <t>ហ្វ្រេត ខនសិប (ខេមបូឌា)</t>
        </is>
      </c>
      <c r="D1366" t="inlineStr">
        <is>
          <t>K009-901502482</t>
        </is>
      </c>
      <c r="E1366" t="inlineStr">
        <is>
          <t>240929</t>
        </is>
      </c>
      <c r="F1366" t="inlineStr">
        <is>
          <t>12-09-2024</t>
        </is>
      </c>
      <c r="G1366" t="n">
        <v>144942</v>
      </c>
      <c r="I1366">
        <f>G1366</f>
        <v/>
      </c>
      <c r="K1366">
        <f>I1366-G1366</f>
        <v/>
      </c>
      <c r="M1366" t="inlineStr">
        <is>
          <t>240929</t>
        </is>
      </c>
      <c r="N1366" t="inlineStr"/>
      <c r="O1366">
        <f>M1366=N1366</f>
        <v/>
      </c>
      <c r="P1366">
        <f>AND(MONTH(F1366)=MONTH(S1366), YEAR(F1366)=YEAR(S1366))</f>
        <v/>
      </c>
      <c r="Q1366">
        <f>"L001-902303751"=U1366</f>
        <v/>
      </c>
      <c r="R1366">
        <f>G1366-W1366</f>
        <v/>
      </c>
      <c r="S1366" s="36" t="n">
        <v>45523</v>
      </c>
      <c r="T1366" t="inlineStr"/>
      <c r="U1366" t="inlineStr">
        <is>
          <t>L001-107032791</t>
        </is>
      </c>
      <c r="V1366" t="inlineStr">
        <is>
          <t>នីបផន អិចប្រេស (ខេមបូឌា) ខូ អិលធីឌី</t>
        </is>
      </c>
      <c r="W1366" t="n">
        <v>0</v>
      </c>
      <c r="X1366" t="n">
        <v>0</v>
      </c>
    </row>
    <row r="1367">
      <c r="A1367" t="n">
        <v>1366</v>
      </c>
      <c r="B1367" t="inlineStr">
        <is>
          <t>Charge from Warehouse/cy to trucks and Storage Charges</t>
        </is>
      </c>
      <c r="C1367" t="inlineStr">
        <is>
          <t>កំពង់ផែស្វយ័តក្រុងព្រះសីហនុ</t>
        </is>
      </c>
      <c r="D1367" t="inlineStr">
        <is>
          <t>L001-100044638</t>
        </is>
      </c>
      <c r="E1367" t="inlineStr">
        <is>
          <t>198081</t>
        </is>
      </c>
      <c r="F1367" t="inlineStr">
        <is>
          <t>25-09-2024</t>
        </is>
      </c>
      <c r="G1367" t="n">
        <v>2353</v>
      </c>
      <c r="I1367">
        <f>G1367</f>
        <v/>
      </c>
      <c r="K1367">
        <f>I1367-G1367</f>
        <v/>
      </c>
      <c r="M1367" t="inlineStr">
        <is>
          <t>198081</t>
        </is>
      </c>
      <c r="N1367" t="inlineStr"/>
      <c r="O1367">
        <f>M1367=N1367</f>
        <v/>
      </c>
      <c r="P1367">
        <f>AND(MONTH(F1367)=MONTH(S1367), YEAR(F1367)=YEAR(S1367))</f>
        <v/>
      </c>
      <c r="Q1367">
        <f>"L001-902303751"=U1367</f>
        <v/>
      </c>
      <c r="R1367">
        <f>G1367-W1367</f>
        <v/>
      </c>
      <c r="S1367" s="36" t="n">
        <v>45530</v>
      </c>
      <c r="T1367" t="inlineStr"/>
      <c r="U1367" t="inlineStr">
        <is>
          <t>L001-100045995</t>
        </is>
      </c>
      <c r="V1367" t="inlineStr">
        <is>
          <t>ឌីអេចអិល ឡូជីស្ទីក (ខេមបូឌា)</t>
        </is>
      </c>
      <c r="W1367" t="n">
        <v>0</v>
      </c>
      <c r="X1367" t="n">
        <v>0</v>
      </c>
    </row>
    <row r="1368">
      <c r="A1368" t="n">
        <v>1367</v>
      </c>
      <c r="B1368" t="inlineStr">
        <is>
          <t>Customs Clearance Fee and Trucking Fee</t>
        </is>
      </c>
      <c r="C1368" t="inlineStr">
        <is>
          <t>ត្រាយអ៊ែងហ្គល ឡូជីស្ទីក (ខេមបូឌា) ឯ.ក</t>
        </is>
      </c>
      <c r="D1368" t="inlineStr">
        <is>
          <t>K010-902101743</t>
        </is>
      </c>
      <c r="E1368" t="inlineStr">
        <is>
          <t>TAG-24-00724</t>
        </is>
      </c>
      <c r="F1368" t="inlineStr">
        <is>
          <t>30-09-2024</t>
        </is>
      </c>
      <c r="G1368" t="n">
        <v>43209</v>
      </c>
      <c r="I1368">
        <f>G1368</f>
        <v/>
      </c>
      <c r="K1368">
        <f>I1368-G1368</f>
        <v/>
      </c>
      <c r="M1368" t="inlineStr">
        <is>
          <t>TAG2400724</t>
        </is>
      </c>
      <c r="N1368" t="inlineStr"/>
      <c r="O1368">
        <f>M1368=N1368</f>
        <v/>
      </c>
      <c r="P1368">
        <f>AND(MONTH(F1368)=MONTH(S1368), YEAR(F1368)=YEAR(S1368))</f>
        <v/>
      </c>
      <c r="Q1368">
        <f>"L001-902303751"=U1368</f>
        <v/>
      </c>
      <c r="R1368">
        <f>G1368-W1368</f>
        <v/>
      </c>
      <c r="S1368" s="36" t="n">
        <v>45516</v>
      </c>
      <c r="T1368" t="inlineStr"/>
      <c r="U1368" t="inlineStr">
        <is>
          <t>L001-100045995</t>
        </is>
      </c>
      <c r="V1368" t="inlineStr">
        <is>
          <t>ឌីអេចអិល ឡូជីស្ទីក (ខេមបូឌា)</t>
        </is>
      </c>
      <c r="W1368" t="n">
        <v>0</v>
      </c>
      <c r="X1368" t="n">
        <v>0</v>
      </c>
    </row>
    <row r="1369">
      <c r="A1369" t="n">
        <v>1368</v>
      </c>
      <c r="B1369" t="inlineStr">
        <is>
          <t>Import Shipment Expense</t>
        </is>
      </c>
      <c r="C1369" t="inlineStr">
        <is>
          <t>ហ្វ្រេត ខនសិប (ខេមបូឌា)</t>
        </is>
      </c>
      <c r="D1369" t="inlineStr">
        <is>
          <t>K009-901502482</t>
        </is>
      </c>
      <c r="E1369" t="inlineStr">
        <is>
          <t>240930</t>
        </is>
      </c>
      <c r="F1369" t="inlineStr">
        <is>
          <t>12-09-2024</t>
        </is>
      </c>
      <c r="G1369" t="n">
        <v>113436</v>
      </c>
      <c r="I1369">
        <f>G1369</f>
        <v/>
      </c>
      <c r="K1369">
        <f>I1369-G1369</f>
        <v/>
      </c>
      <c r="M1369" t="inlineStr">
        <is>
          <t>240930</t>
        </is>
      </c>
      <c r="N1369" t="inlineStr">
        <is>
          <t>8423500</t>
        </is>
      </c>
      <c r="O1369">
        <f>M1369=N1369</f>
        <v/>
      </c>
      <c r="P1369">
        <f>AND(MONTH(F1369)=MONTH(S1369), YEAR(F1369)=YEAR(S1369))</f>
        <v/>
      </c>
      <c r="Q1369">
        <f>"L001-902303751"=U1369</f>
        <v/>
      </c>
      <c r="R1369">
        <f>G1369-W1369</f>
        <v/>
      </c>
      <c r="S1369" s="36" t="n">
        <v>45510</v>
      </c>
      <c r="T1369" t="n">
        <v>84235</v>
      </c>
      <c r="U1369" t="inlineStr">
        <is>
          <t>L001-107032791</t>
        </is>
      </c>
      <c r="V1369" t="inlineStr">
        <is>
          <t>នីបផន អិចប្រេស (ខេមបូឌា) ខូ អិលធីឌី</t>
        </is>
      </c>
      <c r="W1369" t="n">
        <v>84235</v>
      </c>
      <c r="X1369" t="n">
        <v>0</v>
      </c>
    </row>
    <row r="1370">
      <c r="A1370" t="n">
        <v>1369</v>
      </c>
      <c r="B1370" t="inlineStr">
        <is>
          <t>Charge from Warehouse/cy to trucks and Storage Charges</t>
        </is>
      </c>
      <c r="C1370" t="inlineStr">
        <is>
          <t>កំពង់ផែស្វយ័តក្រុងព្រះសីហនុ</t>
        </is>
      </c>
      <c r="D1370" t="inlineStr">
        <is>
          <t>L001-100044638</t>
        </is>
      </c>
      <c r="E1370" t="inlineStr">
        <is>
          <t>198073</t>
        </is>
      </c>
      <c r="F1370" t="inlineStr">
        <is>
          <t>25-09-2024</t>
        </is>
      </c>
      <c r="G1370" t="n">
        <v>1570</v>
      </c>
      <c r="I1370">
        <f>G1370</f>
        <v/>
      </c>
      <c r="K1370">
        <f>I1370-G1370</f>
        <v/>
      </c>
      <c r="M1370" t="inlineStr">
        <is>
          <t>198073</t>
        </is>
      </c>
      <c r="N1370" t="inlineStr"/>
      <c r="O1370">
        <f>M1370=N1370</f>
        <v/>
      </c>
      <c r="P1370">
        <f>AND(MONTH(F1370)=MONTH(S1370), YEAR(F1370)=YEAR(S1370))</f>
        <v/>
      </c>
      <c r="Q1370">
        <f>"L001-902303751"=U1370</f>
        <v/>
      </c>
      <c r="R1370">
        <f>G1370-W1370</f>
        <v/>
      </c>
      <c r="S1370" s="36" t="n">
        <v>45530</v>
      </c>
      <c r="T1370" t="inlineStr"/>
      <c r="U1370" t="inlineStr">
        <is>
          <t>L001-107032791</t>
        </is>
      </c>
      <c r="V1370" t="inlineStr">
        <is>
          <t>នីបផន អិចប្រេស (ខេមបូឌា) ខូ អិលធីឌី</t>
        </is>
      </c>
      <c r="W1370" t="n">
        <v>0</v>
      </c>
      <c r="X1370" t="n">
        <v>0</v>
      </c>
    </row>
    <row r="1371">
      <c r="A1371" t="n">
        <v>1370</v>
      </c>
      <c r="B1371" t="inlineStr">
        <is>
          <t>Customs Clearance Fee and Trucking Fee</t>
        </is>
      </c>
      <c r="C1371" t="inlineStr">
        <is>
          <t>ត្រាយអ៊ែងហ្គល ឡូជីស្ទីក (ខេមបូឌា) ឯ.ក</t>
        </is>
      </c>
      <c r="D1371" t="inlineStr">
        <is>
          <t>K010-902101743</t>
        </is>
      </c>
      <c r="E1371" t="inlineStr">
        <is>
          <t>TAG-24-00723</t>
        </is>
      </c>
      <c r="F1371" t="inlineStr">
        <is>
          <t>30-09-2024</t>
        </is>
      </c>
      <c r="G1371" t="n">
        <v>32488</v>
      </c>
      <c r="I1371">
        <f>G1371</f>
        <v/>
      </c>
      <c r="K1371">
        <f>I1371-G1371</f>
        <v/>
      </c>
      <c r="M1371" t="inlineStr">
        <is>
          <t>TAG2400723</t>
        </is>
      </c>
      <c r="N1371" t="inlineStr"/>
      <c r="O1371">
        <f>M1371=N1371</f>
        <v/>
      </c>
      <c r="P1371">
        <f>AND(MONTH(F1371)=MONTH(S1371), YEAR(F1371)=YEAR(S1371))</f>
        <v/>
      </c>
      <c r="Q1371">
        <f>"L001-902303751"=U1371</f>
        <v/>
      </c>
      <c r="R1371">
        <f>G1371-W1371</f>
        <v/>
      </c>
      <c r="S1371" s="36" t="n">
        <v>45530</v>
      </c>
      <c r="T1371" t="inlineStr"/>
      <c r="U1371" t="inlineStr">
        <is>
          <t>L001-107032791</t>
        </is>
      </c>
      <c r="V1371" t="inlineStr">
        <is>
          <t>នីបផន អិចប្រេស (ខេមបូឌា) ខូ អិលធីឌី</t>
        </is>
      </c>
      <c r="W1371" t="n">
        <v>0</v>
      </c>
      <c r="X1371" t="n">
        <v>0</v>
      </c>
    </row>
    <row r="1372">
      <c r="A1372" t="n">
        <v>1371</v>
      </c>
      <c r="B1372" t="inlineStr">
        <is>
          <t>Import Shipment Expense</t>
        </is>
      </c>
      <c r="C1372" t="inlineStr">
        <is>
          <t>ស្តារ ខង់ខដ (ខេមបូឌា) ឯ.ក</t>
        </is>
      </c>
      <c r="D1372" t="inlineStr">
        <is>
          <t>K005-901805913</t>
        </is>
      </c>
      <c r="E1372" t="inlineStr">
        <is>
          <t>KHMHOI24090050</t>
        </is>
      </c>
      <c r="F1372" t="inlineStr">
        <is>
          <t>14-09-2024</t>
        </is>
      </c>
      <c r="G1372" t="n">
        <v>64978</v>
      </c>
      <c r="I1372">
        <f>G1372</f>
        <v/>
      </c>
      <c r="K1372">
        <f>I1372-G1372</f>
        <v/>
      </c>
      <c r="M1372" t="inlineStr">
        <is>
          <t>KHMHOI24090050</t>
        </is>
      </c>
      <c r="N1372" t="inlineStr"/>
      <c r="O1372">
        <f>M1372=N1372</f>
        <v/>
      </c>
      <c r="P1372">
        <f>AND(MONTH(F1372)=MONTH(S1372), YEAR(F1372)=YEAR(S1372))</f>
        <v/>
      </c>
      <c r="Q1372">
        <f>"L001-902303751"=U1372</f>
        <v/>
      </c>
      <c r="R1372">
        <f>G1372-W1372</f>
        <v/>
      </c>
      <c r="S1372" s="36" t="n">
        <v>45523</v>
      </c>
      <c r="T1372" t="inlineStr"/>
      <c r="U1372" t="inlineStr">
        <is>
          <t>L001-100045995</t>
        </is>
      </c>
      <c r="V1372" t="inlineStr">
        <is>
          <t>ឌីអេចអិល ឡូជីស្ទីក (ខេមបូឌា)</t>
        </is>
      </c>
      <c r="W1372" t="n">
        <v>0</v>
      </c>
      <c r="X1372" t="n">
        <v>0</v>
      </c>
    </row>
    <row r="1373">
      <c r="A1373" t="n">
        <v>1372</v>
      </c>
      <c r="B1373" t="inlineStr">
        <is>
          <t>Charge from Warehouse/cy to trucks and Storage Charges</t>
        </is>
      </c>
      <c r="C1373" t="inlineStr">
        <is>
          <t>កំពង់ផែស្វយ័តក្រុងព្រះសីហនុ</t>
        </is>
      </c>
      <c r="D1373" t="inlineStr">
        <is>
          <t>L001-100044638</t>
        </is>
      </c>
      <c r="E1373" t="inlineStr">
        <is>
          <t>198066</t>
        </is>
      </c>
      <c r="F1373" t="inlineStr">
        <is>
          <t>25-09-2024</t>
        </is>
      </c>
      <c r="G1373" t="n">
        <v>1570</v>
      </c>
      <c r="I1373">
        <f>G1373</f>
        <v/>
      </c>
      <c r="K1373">
        <f>I1373-G1373</f>
        <v/>
      </c>
      <c r="M1373" t="inlineStr">
        <is>
          <t>198066</t>
        </is>
      </c>
      <c r="N1373" t="inlineStr">
        <is>
          <t>8423500</t>
        </is>
      </c>
      <c r="O1373">
        <f>M1373=N1373</f>
        <v/>
      </c>
      <c r="P1373">
        <f>AND(MONTH(F1373)=MONTH(S1373), YEAR(F1373)=YEAR(S1373))</f>
        <v/>
      </c>
      <c r="Q1373">
        <f>"L001-902303751"=U1373</f>
        <v/>
      </c>
      <c r="R1373">
        <f>G1373-W1373</f>
        <v/>
      </c>
      <c r="S1373" s="36" t="n">
        <v>45510</v>
      </c>
      <c r="T1373" t="n">
        <v>84235</v>
      </c>
      <c r="U1373" t="inlineStr">
        <is>
          <t>L001-100045995</t>
        </is>
      </c>
      <c r="V1373" t="inlineStr">
        <is>
          <t>ឌីអេចអិល ឡូជីស្ទីក (ខេមបូឌា)</t>
        </is>
      </c>
      <c r="W1373" t="n">
        <v>84235</v>
      </c>
      <c r="X1373" t="n">
        <v>0</v>
      </c>
    </row>
    <row r="1374">
      <c r="A1374" t="n">
        <v>1373</v>
      </c>
      <c r="B1374" t="inlineStr">
        <is>
          <t>Customs Clearance Fee and Trucking Fee</t>
        </is>
      </c>
      <c r="C1374" t="inlineStr">
        <is>
          <t>ត្រាយអ៊ែងហ្គល ឡូជីស្ទីក (ខេមបូឌា) ឯ.ក</t>
        </is>
      </c>
      <c r="D1374" t="inlineStr">
        <is>
          <t>K010-902101743</t>
        </is>
      </c>
      <c r="E1374" t="inlineStr">
        <is>
          <t>TAG-24-00730</t>
        </is>
      </c>
      <c r="F1374" t="inlineStr">
        <is>
          <t>30-09-2024</t>
        </is>
      </c>
      <c r="G1374" t="n">
        <v>32488</v>
      </c>
      <c r="I1374">
        <f>G1374</f>
        <v/>
      </c>
      <c r="K1374">
        <f>I1374-G1374</f>
        <v/>
      </c>
      <c r="M1374" t="inlineStr">
        <is>
          <t>TAG2400730</t>
        </is>
      </c>
      <c r="N1374" t="inlineStr"/>
      <c r="O1374">
        <f>M1374=N1374</f>
        <v/>
      </c>
      <c r="P1374">
        <f>AND(MONTH(F1374)=MONTH(S1374), YEAR(F1374)=YEAR(S1374))</f>
        <v/>
      </c>
      <c r="Q1374">
        <f>"L001-902303751"=U1374</f>
        <v/>
      </c>
      <c r="R1374">
        <f>G1374-W1374</f>
        <v/>
      </c>
      <c r="S1374" s="36" t="n">
        <v>45530</v>
      </c>
      <c r="T1374" t="inlineStr"/>
      <c r="U1374" t="inlineStr">
        <is>
          <t>K005-901902888</t>
        </is>
      </c>
      <c r="V1374" t="inlineStr">
        <is>
          <t>អឹឡាយអិន ហ្វ័រវើឌីង (ខេមបូឌា) ឯ.ក</t>
        </is>
      </c>
      <c r="W1374" t="n">
        <v>0</v>
      </c>
      <c r="X1374" t="n">
        <v>0</v>
      </c>
    </row>
    <row r="1375">
      <c r="A1375" t="n">
        <v>1374</v>
      </c>
      <c r="B1375" t="inlineStr">
        <is>
          <t>Import Shipment Expense</t>
        </is>
      </c>
      <c r="C1375" t="inlineStr">
        <is>
          <t>ផេនដា គ្លូប៊ល ឡូជីស្ទីក (ខេមបូឌា)</t>
        </is>
      </c>
      <c r="D1375" t="inlineStr">
        <is>
          <t>K005-901501155</t>
        </is>
      </c>
      <c r="E1375" t="inlineStr">
        <is>
          <t>PD240380</t>
        </is>
      </c>
      <c r="F1375" t="inlineStr">
        <is>
          <t>16-09-2024</t>
        </is>
      </c>
      <c r="G1375" t="n">
        <v>249321</v>
      </c>
      <c r="I1375">
        <f>G1375</f>
        <v/>
      </c>
      <c r="K1375">
        <f>I1375-G1375</f>
        <v/>
      </c>
      <c r="M1375" t="inlineStr">
        <is>
          <t>PD240380</t>
        </is>
      </c>
      <c r="N1375" t="inlineStr">
        <is>
          <t>8366100</t>
        </is>
      </c>
      <c r="O1375">
        <f>M1375=N1375</f>
        <v/>
      </c>
      <c r="P1375">
        <f>AND(MONTH(F1375)=MONTH(S1375), YEAR(F1375)=YEAR(S1375))</f>
        <v/>
      </c>
      <c r="Q1375">
        <f>"L001-902303751"=U1375</f>
        <v/>
      </c>
      <c r="R1375">
        <f>G1375-W1375</f>
        <v/>
      </c>
      <c r="S1375" s="36" t="n">
        <v>45530</v>
      </c>
      <c r="T1375" t="n">
        <v>83661</v>
      </c>
      <c r="U1375" t="inlineStr">
        <is>
          <t>L001-100045995</t>
        </is>
      </c>
      <c r="V1375" t="inlineStr">
        <is>
          <t>ឌីអេចអិល ឡូជីស្ទីក (ខេមបូឌា)</t>
        </is>
      </c>
      <c r="W1375" t="n">
        <v>83661</v>
      </c>
      <c r="X1375" t="n">
        <v>0</v>
      </c>
    </row>
    <row r="1376">
      <c r="A1376" t="n">
        <v>1375</v>
      </c>
      <c r="B1376" t="inlineStr">
        <is>
          <t>Lift-On &amp; Lift-Off</t>
        </is>
      </c>
      <c r="C1376" t="inlineStr">
        <is>
          <t>កំពង់ផែស្វយ័តក្រុងព្រះសីហនុ</t>
        </is>
      </c>
      <c r="D1376" t="inlineStr">
        <is>
          <t>L001-100044638</t>
        </is>
      </c>
      <c r="E1376" t="inlineStr">
        <is>
          <t>192070</t>
        </is>
      </c>
      <c r="F1376" t="inlineStr">
        <is>
          <t>17-09-2024</t>
        </is>
      </c>
      <c r="G1376" t="n">
        <v>35270</v>
      </c>
      <c r="I1376">
        <f>G1376</f>
        <v/>
      </c>
      <c r="K1376">
        <f>I1376-G1376</f>
        <v/>
      </c>
      <c r="M1376" t="inlineStr">
        <is>
          <t>192070</t>
        </is>
      </c>
      <c r="N1376" t="inlineStr">
        <is>
          <t>8353800</t>
        </is>
      </c>
      <c r="O1376">
        <f>M1376=N1376</f>
        <v/>
      </c>
      <c r="P1376">
        <f>AND(MONTH(F1376)=MONTH(S1376), YEAR(F1376)=YEAR(S1376))</f>
        <v/>
      </c>
      <c r="Q1376">
        <f>"L001-902303751"=U1376</f>
        <v/>
      </c>
      <c r="R1376">
        <f>G1376-W1376</f>
        <v/>
      </c>
      <c r="S1376" s="36" t="n">
        <v>45531</v>
      </c>
      <c r="T1376" t="n">
        <v>83538</v>
      </c>
      <c r="U1376" t="inlineStr">
        <is>
          <t>K002-901800477</t>
        </is>
      </c>
      <c r="V1376" t="inlineStr">
        <is>
          <t>អាយធីអាយ អ៊ិនធើណេសិនណល ត្រេនស័្ពរថេសិន (ខេមបូឌា) ឯ.ក</t>
        </is>
      </c>
      <c r="W1376" t="n">
        <v>83538</v>
      </c>
      <c r="X1376" t="n">
        <v>0</v>
      </c>
    </row>
    <row r="1377">
      <c r="A1377" t="n">
        <v>1376</v>
      </c>
      <c r="B1377" t="inlineStr">
        <is>
          <t>Customs Clearance Fee and Trucking Fee</t>
        </is>
      </c>
      <c r="C1377" t="inlineStr">
        <is>
          <t>ត្រាយអ៊ែងហ្គល ឡូជីស្ទីក (ខេមបូឌា) ឯ.ក</t>
        </is>
      </c>
      <c r="D1377" t="inlineStr">
        <is>
          <t>K010-902101743</t>
        </is>
      </c>
      <c r="E1377" t="inlineStr">
        <is>
          <t>TAG-24-00692</t>
        </is>
      </c>
      <c r="F1377" t="inlineStr">
        <is>
          <t>27-09-2024</t>
        </is>
      </c>
      <c r="G1377" t="n">
        <v>109647</v>
      </c>
      <c r="I1377">
        <f>G1377</f>
        <v/>
      </c>
      <c r="K1377">
        <f>I1377-G1377</f>
        <v/>
      </c>
      <c r="M1377" t="inlineStr">
        <is>
          <t>TAG2400692</t>
        </is>
      </c>
      <c r="N1377" t="inlineStr"/>
      <c r="O1377">
        <f>M1377=N1377</f>
        <v/>
      </c>
      <c r="P1377">
        <f>AND(MONTH(F1377)=MONTH(S1377), YEAR(F1377)=YEAR(S1377))</f>
        <v/>
      </c>
      <c r="Q1377">
        <f>"L001-902303751"=U1377</f>
        <v/>
      </c>
      <c r="R1377">
        <f>G1377-W1377</f>
        <v/>
      </c>
      <c r="S1377" s="36" t="n">
        <v>45523</v>
      </c>
      <c r="T1377" t="inlineStr"/>
      <c r="U1377" t="inlineStr">
        <is>
          <t>L001-107032791</t>
        </is>
      </c>
      <c r="V1377" t="inlineStr">
        <is>
          <t>នីបផន អិចប្រេស (ខេមបូឌា) ខូ អិលធីឌី</t>
        </is>
      </c>
      <c r="W1377" t="n">
        <v>0</v>
      </c>
      <c r="X1377" t="n">
        <v>0</v>
      </c>
    </row>
    <row r="1378">
      <c r="A1378" t="n">
        <v>1377</v>
      </c>
      <c r="B1378" t="inlineStr">
        <is>
          <t>Import Shipment Expense</t>
        </is>
      </c>
      <c r="C1378" t="inlineStr">
        <is>
          <t>ហ្វ្រេត ខនសិប (ខេមបូឌា)</t>
        </is>
      </c>
      <c r="D1378" t="inlineStr">
        <is>
          <t>K009-901502482</t>
        </is>
      </c>
      <c r="E1378" t="inlineStr">
        <is>
          <t>240905</t>
        </is>
      </c>
      <c r="F1378" t="inlineStr">
        <is>
          <t>07-09-2024</t>
        </is>
      </c>
      <c r="G1378" t="n">
        <v>32592</v>
      </c>
      <c r="I1378">
        <f>G1378</f>
        <v/>
      </c>
      <c r="K1378">
        <f>I1378-G1378</f>
        <v/>
      </c>
      <c r="M1378" t="inlineStr">
        <is>
          <t>240905</t>
        </is>
      </c>
      <c r="N1378" t="inlineStr"/>
      <c r="O1378">
        <f>M1378=N1378</f>
        <v/>
      </c>
      <c r="P1378">
        <f>AND(MONTH(F1378)=MONTH(S1378), YEAR(F1378)=YEAR(S1378))</f>
        <v/>
      </c>
      <c r="Q1378">
        <f>"L001-902303751"=U1378</f>
        <v/>
      </c>
      <c r="R1378">
        <f>G1378-W1378</f>
        <v/>
      </c>
      <c r="S1378" s="36" t="n">
        <v>45523</v>
      </c>
      <c r="T1378" t="inlineStr"/>
      <c r="U1378" t="inlineStr">
        <is>
          <t>L001-107032791</t>
        </is>
      </c>
      <c r="V1378" t="inlineStr">
        <is>
          <t>នីបផន អិចប្រេស (ខេមបូឌា) ខូ អិលធីឌី</t>
        </is>
      </c>
      <c r="W1378" t="n">
        <v>0</v>
      </c>
      <c r="X1378" t="n">
        <v>0</v>
      </c>
    </row>
    <row r="1379">
      <c r="A1379" t="n">
        <v>1378</v>
      </c>
      <c r="B1379" t="inlineStr">
        <is>
          <t>Cargo Terminal</t>
        </is>
      </c>
      <c r="C1379" t="inlineStr">
        <is>
          <t>សូស៊ីយេតេ កុងសេស្យូនែរ ដឺ ឡាអេរ៉ូព័រ</t>
        </is>
      </c>
      <c r="D1379" t="inlineStr">
        <is>
          <t>L001-100047300</t>
        </is>
      </c>
      <c r="E1379" t="inlineStr">
        <is>
          <t>2400-073053</t>
        </is>
      </c>
      <c r="F1379" t="inlineStr">
        <is>
          <t>10-09-2024</t>
        </is>
      </c>
      <c r="G1379" t="n">
        <v>1919</v>
      </c>
      <c r="I1379">
        <f>G1379</f>
        <v/>
      </c>
      <c r="K1379">
        <f>I1379-G1379</f>
        <v/>
      </c>
      <c r="M1379" t="inlineStr">
        <is>
          <t>2400073053</t>
        </is>
      </c>
      <c r="N1379" t="inlineStr">
        <is>
          <t>20285100</t>
        </is>
      </c>
      <c r="O1379">
        <f>M1379=N1379</f>
        <v/>
      </c>
      <c r="P1379">
        <f>AND(MONTH(F1379)=MONTH(S1379), YEAR(F1379)=YEAR(S1379))</f>
        <v/>
      </c>
      <c r="Q1379">
        <f>"L001-902303751"=U1379</f>
        <v/>
      </c>
      <c r="R1379">
        <f>G1379-W1379</f>
        <v/>
      </c>
      <c r="S1379" s="36" t="n">
        <v>45523</v>
      </c>
      <c r="T1379" t="n">
        <v>202851</v>
      </c>
      <c r="U1379" t="inlineStr">
        <is>
          <t>L001-107032791</t>
        </is>
      </c>
      <c r="V1379" t="inlineStr">
        <is>
          <t>នីបផន អិចប្រេស (ខេមបូឌា) ខូ អិលធីឌី</t>
        </is>
      </c>
      <c r="W1379" t="n">
        <v>202851</v>
      </c>
      <c r="X1379" t="n">
        <v>0</v>
      </c>
    </row>
    <row r="1380">
      <c r="A1380" t="n">
        <v>1379</v>
      </c>
      <c r="B1380" t="inlineStr">
        <is>
          <t>Customs Clearance Fee and Trucking Fee</t>
        </is>
      </c>
      <c r="C1380" t="inlineStr">
        <is>
          <t>ត្រាយអ៊ែងហ្គល ឡូជីស្ទីក (ខេមបូឌា) ឯ.ក</t>
        </is>
      </c>
      <c r="D1380" t="inlineStr">
        <is>
          <t>K010-902101743</t>
        </is>
      </c>
      <c r="E1380" t="inlineStr">
        <is>
          <t>TAG-24-00653</t>
        </is>
      </c>
      <c r="F1380" t="inlineStr">
        <is>
          <t>19-09-2024</t>
        </is>
      </c>
      <c r="G1380" t="n">
        <v>28686</v>
      </c>
      <c r="I1380">
        <f>G1380</f>
        <v/>
      </c>
      <c r="K1380">
        <f>I1380-G1380</f>
        <v/>
      </c>
      <c r="M1380" t="inlineStr">
        <is>
          <t>TAG2400653</t>
        </is>
      </c>
      <c r="N1380" t="inlineStr">
        <is>
          <t>8366100</t>
        </is>
      </c>
      <c r="O1380">
        <f>M1380=N1380</f>
        <v/>
      </c>
      <c r="P1380">
        <f>AND(MONTH(F1380)=MONTH(S1380), YEAR(F1380)=YEAR(S1380))</f>
        <v/>
      </c>
      <c r="Q1380">
        <f>"L001-902303751"=U1380</f>
        <v/>
      </c>
      <c r="R1380">
        <f>G1380-W1380</f>
        <v/>
      </c>
      <c r="S1380" s="36" t="n">
        <v>45530</v>
      </c>
      <c r="T1380" t="n">
        <v>83661</v>
      </c>
      <c r="U1380" t="inlineStr">
        <is>
          <t>K005-100150195</t>
        </is>
      </c>
      <c r="V1380" t="inlineStr">
        <is>
          <t>អេស អ វី ស៊ី ហ្វ្រេត សឺវីស (ខេមបូឌា) ខូ អិលធីឌី</t>
        </is>
      </c>
      <c r="W1380" t="n">
        <v>83661</v>
      </c>
      <c r="X1380" t="n">
        <v>0</v>
      </c>
    </row>
    <row r="1381">
      <c r="A1381" t="n">
        <v>1380</v>
      </c>
      <c r="B1381" t="inlineStr">
        <is>
          <t>Import Shipment Expense</t>
        </is>
      </c>
      <c r="C1381" t="inlineStr">
        <is>
          <t>អូរៀនថល ឡូជីស្ទីក &amp; ឌីស្ទ្រីប៊្យូសិន (ខេមបូឌា)</t>
        </is>
      </c>
      <c r="D1381" t="inlineStr">
        <is>
          <t>L001-103007369</t>
        </is>
      </c>
      <c r="E1381" t="inlineStr">
        <is>
          <t>24-9691</t>
        </is>
      </c>
      <c r="F1381" t="inlineStr">
        <is>
          <t>06-09-2024</t>
        </is>
      </c>
      <c r="G1381" t="n">
        <v>95739</v>
      </c>
      <c r="I1381">
        <f>G1381</f>
        <v/>
      </c>
      <c r="K1381">
        <f>I1381-G1381</f>
        <v/>
      </c>
      <c r="M1381" t="inlineStr">
        <is>
          <t>249691</t>
        </is>
      </c>
      <c r="N1381" t="inlineStr">
        <is>
          <t>11269500</t>
        </is>
      </c>
      <c r="O1381">
        <f>M1381=N1381</f>
        <v/>
      </c>
      <c r="P1381">
        <f>AND(MONTH(F1381)=MONTH(S1381), YEAR(F1381)=YEAR(S1381))</f>
        <v/>
      </c>
      <c r="Q1381">
        <f>"L001-902303751"=U1381</f>
        <v/>
      </c>
      <c r="R1381">
        <f>G1381-W1381</f>
        <v/>
      </c>
      <c r="S1381" s="36" t="n">
        <v>45523</v>
      </c>
      <c r="T1381" t="n">
        <v>112695</v>
      </c>
      <c r="U1381" t="inlineStr">
        <is>
          <t>L001-107032791</t>
        </is>
      </c>
      <c r="V1381" t="inlineStr">
        <is>
          <t>នីបផន អិចប្រេស (ខេមបូឌា) ខូ អិលធីឌី</t>
        </is>
      </c>
      <c r="W1381" t="n">
        <v>112695</v>
      </c>
      <c r="X1381" t="n">
        <v>0</v>
      </c>
    </row>
    <row r="1382">
      <c r="A1382" t="n">
        <v>1381</v>
      </c>
      <c r="B1382" t="inlineStr">
        <is>
          <t>Storage Charge</t>
        </is>
      </c>
      <c r="C1382" t="inlineStr">
        <is>
          <t>ហាន​ &amp; ជុន ត្រេនស្ព័ត ខូ អិលធីឌី</t>
        </is>
      </c>
      <c r="D1382" t="inlineStr">
        <is>
          <t>L001-104016647</t>
        </is>
      </c>
      <c r="E1382" t="inlineStr">
        <is>
          <t>HJ24-2940</t>
        </is>
      </c>
      <c r="F1382" t="inlineStr">
        <is>
          <t>09-09-2024</t>
        </is>
      </c>
      <c r="G1382" t="n">
        <v>2185</v>
      </c>
      <c r="I1382">
        <f>G1382</f>
        <v/>
      </c>
      <c r="K1382">
        <f>I1382-G1382</f>
        <v/>
      </c>
      <c r="M1382" t="inlineStr">
        <is>
          <t>HJ242940</t>
        </is>
      </c>
      <c r="N1382" t="inlineStr"/>
      <c r="O1382">
        <f>M1382=N1382</f>
        <v/>
      </c>
      <c r="P1382">
        <f>AND(MONTH(F1382)=MONTH(S1382), YEAR(F1382)=YEAR(S1382))</f>
        <v/>
      </c>
      <c r="Q1382">
        <f>"L001-902303751"=U1382</f>
        <v/>
      </c>
      <c r="R1382">
        <f>G1382-W1382</f>
        <v/>
      </c>
      <c r="S1382" s="36" t="n">
        <v>45505</v>
      </c>
      <c r="T1382" t="inlineStr"/>
      <c r="U1382" t="inlineStr">
        <is>
          <t>L001-100011888</t>
        </is>
      </c>
      <c r="V1382" t="inlineStr">
        <is>
          <t>ត្រេន ស្តារ ហ្រេ្វត</t>
        </is>
      </c>
      <c r="W1382" t="n">
        <v>0</v>
      </c>
      <c r="X1382" t="n">
        <v>0</v>
      </c>
    </row>
    <row r="1383">
      <c r="A1383" t="n">
        <v>1382</v>
      </c>
      <c r="B1383" t="inlineStr">
        <is>
          <t>Warehouse Fee</t>
        </is>
      </c>
      <c r="C1383" t="inlineStr">
        <is>
          <t>ហាន​ &amp; ជុន ត្រេនស្ព័ត ខូ អិលធីឌី</t>
        </is>
      </c>
      <c r="D1383" t="inlineStr">
        <is>
          <t>L001-104016647</t>
        </is>
      </c>
      <c r="E1383" t="inlineStr">
        <is>
          <t>HJ24-2855</t>
        </is>
      </c>
      <c r="F1383" t="inlineStr">
        <is>
          <t>09-09-2024</t>
        </is>
      </c>
      <c r="G1383" t="n">
        <v>14552</v>
      </c>
      <c r="I1383">
        <f>G1383</f>
        <v/>
      </c>
      <c r="K1383">
        <f>I1383-G1383</f>
        <v/>
      </c>
      <c r="M1383" t="inlineStr">
        <is>
          <t>HJ242855</t>
        </is>
      </c>
      <c r="N1383" t="inlineStr">
        <is>
          <t>8400900</t>
        </is>
      </c>
      <c r="O1383">
        <f>M1383=N1383</f>
        <v/>
      </c>
      <c r="P1383">
        <f>AND(MONTH(F1383)=MONTH(S1383), YEAR(F1383)=YEAR(S1383))</f>
        <v/>
      </c>
      <c r="Q1383">
        <f>"L001-902303751"=U1383</f>
        <v/>
      </c>
      <c r="R1383">
        <f>G1383-W1383</f>
        <v/>
      </c>
      <c r="S1383" s="36" t="n">
        <v>45523</v>
      </c>
      <c r="T1383" t="n">
        <v>84009</v>
      </c>
      <c r="U1383" t="inlineStr">
        <is>
          <t>L001-107032791</t>
        </is>
      </c>
      <c r="V1383" t="inlineStr">
        <is>
          <t>នីបផន អិចប្រេស (ខេមបូឌា) ខូ អិលធីឌី</t>
        </is>
      </c>
      <c r="W1383" t="n">
        <v>84009</v>
      </c>
      <c r="X1383" t="n">
        <v>0</v>
      </c>
    </row>
    <row r="1384">
      <c r="A1384" t="n">
        <v>1383</v>
      </c>
      <c r="B1384" t="inlineStr">
        <is>
          <t>Customs Clearance Fee and Trucking Fee</t>
        </is>
      </c>
      <c r="C1384" t="inlineStr">
        <is>
          <t>ត្រាយអ៊ែងហ្គល ឡូជីស្ទីក (ខេមបូឌា) ឯ.ក</t>
        </is>
      </c>
      <c r="D1384" t="inlineStr">
        <is>
          <t>K010-902101743</t>
        </is>
      </c>
      <c r="E1384" t="inlineStr">
        <is>
          <t>TAG-24-00650</t>
        </is>
      </c>
      <c r="F1384" t="inlineStr">
        <is>
          <t>19-09-2024</t>
        </is>
      </c>
      <c r="G1384" t="n">
        <v>32784</v>
      </c>
      <c r="I1384">
        <f>G1384</f>
        <v/>
      </c>
      <c r="K1384">
        <f>I1384-G1384</f>
        <v/>
      </c>
      <c r="M1384" t="inlineStr">
        <is>
          <t>TAG2400650</t>
        </is>
      </c>
      <c r="N1384" t="inlineStr"/>
      <c r="O1384">
        <f>M1384=N1384</f>
        <v/>
      </c>
      <c r="P1384">
        <f>AND(MONTH(F1384)=MONTH(S1384), YEAR(F1384)=YEAR(S1384))</f>
        <v/>
      </c>
      <c r="Q1384">
        <f>"L001-902303751"=U1384</f>
        <v/>
      </c>
      <c r="R1384">
        <f>G1384-W1384</f>
        <v/>
      </c>
      <c r="S1384" s="36" t="n">
        <v>45523</v>
      </c>
      <c r="T1384" t="inlineStr"/>
      <c r="U1384" t="inlineStr">
        <is>
          <t>L001-107032791</t>
        </is>
      </c>
      <c r="V1384" t="inlineStr">
        <is>
          <t>នីបផន អិចប្រេស (ខេមបូឌា) ខូ អិលធីឌី</t>
        </is>
      </c>
      <c r="W1384" t="n">
        <v>0</v>
      </c>
      <c r="X1384" t="n">
        <v>0</v>
      </c>
    </row>
    <row r="1385">
      <c r="A1385" t="n">
        <v>1384</v>
      </c>
      <c r="B1385" t="inlineStr">
        <is>
          <t>Import Shipment Expense</t>
        </is>
      </c>
      <c r="C1385" t="inlineStr">
        <is>
          <t>អឹឡាយអិន ហ្វ័រវើឌីង (ខេមបូឌា) ឯ.ក</t>
        </is>
      </c>
      <c r="D1385" t="inlineStr">
        <is>
          <t>K005-901902888</t>
        </is>
      </c>
      <c r="E1385" t="inlineStr">
        <is>
          <t>PPTI24-0667</t>
        </is>
      </c>
      <c r="F1385" t="inlineStr">
        <is>
          <t>13-09-2024</t>
        </is>
      </c>
      <c r="G1385" t="n">
        <v>79517</v>
      </c>
      <c r="I1385">
        <f>G1385</f>
        <v/>
      </c>
      <c r="K1385">
        <f>I1385-G1385</f>
        <v/>
      </c>
      <c r="M1385" t="inlineStr">
        <is>
          <t>PPTI240667</t>
        </is>
      </c>
      <c r="N1385" t="inlineStr">
        <is>
          <t>8366100</t>
        </is>
      </c>
      <c r="O1385">
        <f>M1385=N1385</f>
        <v/>
      </c>
      <c r="P1385">
        <f>AND(MONTH(F1385)=MONTH(S1385), YEAR(F1385)=YEAR(S1385))</f>
        <v/>
      </c>
      <c r="Q1385">
        <f>"L001-902303751"=U1385</f>
        <v/>
      </c>
      <c r="R1385">
        <f>G1385-W1385</f>
        <v/>
      </c>
      <c r="S1385" s="36" t="n">
        <v>45530</v>
      </c>
      <c r="T1385" t="n">
        <v>83661</v>
      </c>
      <c r="U1385" t="inlineStr">
        <is>
          <t>L001-107032791</t>
        </is>
      </c>
      <c r="V1385" t="inlineStr">
        <is>
          <t>នីបផន អិចប្រេស (ខេមបូឌា) ខូ អិលធីឌី</t>
        </is>
      </c>
      <c r="W1385" t="n">
        <v>83661</v>
      </c>
      <c r="X1385" t="n">
        <v>0</v>
      </c>
    </row>
    <row r="1386">
      <c r="A1386" t="n">
        <v>1385</v>
      </c>
      <c r="B1386" t="inlineStr">
        <is>
          <t>Charge from Warehouse/cy to trucks</t>
        </is>
      </c>
      <c r="C1386" t="inlineStr">
        <is>
          <t>កំពង់ផែស្វយ័តក្រុងព្រះសីហនុ</t>
        </is>
      </c>
      <c r="D1386" t="inlineStr">
        <is>
          <t>L001-100044638</t>
        </is>
      </c>
      <c r="E1386" t="inlineStr">
        <is>
          <t>193244</t>
        </is>
      </c>
      <c r="F1386" t="inlineStr">
        <is>
          <t>18-09-2024</t>
        </is>
      </c>
      <c r="G1386" t="n">
        <v>619</v>
      </c>
      <c r="I1386">
        <f>G1386</f>
        <v/>
      </c>
      <c r="K1386">
        <f>I1386-G1386</f>
        <v/>
      </c>
      <c r="M1386" t="inlineStr">
        <is>
          <t>193244</t>
        </is>
      </c>
      <c r="N1386" t="inlineStr">
        <is>
          <t>1634000</t>
        </is>
      </c>
      <c r="O1386">
        <f>M1386=N1386</f>
        <v/>
      </c>
      <c r="P1386">
        <f>AND(MONTH(F1386)=MONTH(S1386), YEAR(F1386)=YEAR(S1386))</f>
        <v/>
      </c>
      <c r="Q1386">
        <f>"L001-902303751"=U1386</f>
        <v/>
      </c>
      <c r="R1386">
        <f>G1386-W1386</f>
        <v/>
      </c>
      <c r="S1386" s="36" t="n">
        <v>45526</v>
      </c>
      <c r="T1386" t="n">
        <v>16340</v>
      </c>
      <c r="U1386" t="inlineStr">
        <is>
          <t>L001-100045995</t>
        </is>
      </c>
      <c r="V1386" t="inlineStr">
        <is>
          <t>ឌីអេចអិល ឡូជីស្ទីក (ខេមបូឌា)</t>
        </is>
      </c>
      <c r="W1386" t="n">
        <v>16340</v>
      </c>
      <c r="X1386" t="n">
        <v>0</v>
      </c>
    </row>
    <row r="1387">
      <c r="A1387" t="n">
        <v>1386</v>
      </c>
      <c r="B1387" t="inlineStr">
        <is>
          <t>Customs Clearance Fee and Trucking Fee</t>
        </is>
      </c>
      <c r="C1387" t="inlineStr">
        <is>
          <t>ត្រាយអ៊ែងហ្គល ឡូជីស្ទីក (ខេមបូឌា) ឯ.ក</t>
        </is>
      </c>
      <c r="D1387" t="inlineStr">
        <is>
          <t>K010-902101743</t>
        </is>
      </c>
      <c r="E1387" t="inlineStr">
        <is>
          <t>TAG-24-00693</t>
        </is>
      </c>
      <c r="F1387" t="inlineStr">
        <is>
          <t>27-09-2024</t>
        </is>
      </c>
      <c r="G1387" t="n">
        <v>32488</v>
      </c>
      <c r="I1387">
        <f>G1387</f>
        <v/>
      </c>
      <c r="K1387">
        <f>I1387-G1387</f>
        <v/>
      </c>
      <c r="M1387" t="inlineStr">
        <is>
          <t>TAG2400693</t>
        </is>
      </c>
      <c r="N1387" t="inlineStr">
        <is>
          <t>17412300</t>
        </is>
      </c>
      <c r="O1387">
        <f>M1387=N1387</f>
        <v/>
      </c>
      <c r="P1387">
        <f>AND(MONTH(F1387)=MONTH(S1387), YEAR(F1387)=YEAR(S1387))</f>
        <v/>
      </c>
      <c r="Q1387">
        <f>"L001-902303751"=U1387</f>
        <v/>
      </c>
      <c r="R1387">
        <f>G1387-W1387</f>
        <v/>
      </c>
      <c r="S1387" s="36" t="n">
        <v>45516</v>
      </c>
      <c r="T1387" t="n">
        <v>174123</v>
      </c>
      <c r="U1387" t="inlineStr">
        <is>
          <t>K002-901800477</t>
        </is>
      </c>
      <c r="V1387" t="inlineStr">
        <is>
          <t>អាយធីអាយ អ៊ិនធើណេសិនណល ត្រេនស័្ពរថេសិន (ខេមបូឌា) ឯ.ក</t>
        </is>
      </c>
      <c r="W1387" t="n">
        <v>174123</v>
      </c>
      <c r="X1387" t="n">
        <v>0</v>
      </c>
    </row>
    <row r="1388">
      <c r="A1388" t="n">
        <v>1387</v>
      </c>
      <c r="B1388" t="inlineStr">
        <is>
          <t>Customs Clearance Fee</t>
        </is>
      </c>
      <c r="C1388" t="inlineStr">
        <is>
          <t>ត្រាយអ៊ែងហ្គល ឡូជីស្ទីក (ខេមបូឌា) ឯ.ក</t>
        </is>
      </c>
      <c r="D1388" t="inlineStr">
        <is>
          <t>K010-902101743</t>
        </is>
      </c>
      <c r="E1388" t="inlineStr">
        <is>
          <t>TAG-24-00649</t>
        </is>
      </c>
      <c r="F1388" t="inlineStr">
        <is>
          <t>19-09-2024</t>
        </is>
      </c>
      <c r="G1388" t="n">
        <v>8196</v>
      </c>
      <c r="I1388">
        <f>G1388</f>
        <v/>
      </c>
      <c r="K1388">
        <f>I1388-G1388</f>
        <v/>
      </c>
      <c r="M1388" t="inlineStr">
        <is>
          <t>TAG2400649</t>
        </is>
      </c>
      <c r="N1388" t="inlineStr">
        <is>
          <t>8423500</t>
        </is>
      </c>
      <c r="O1388">
        <f>M1388=N1388</f>
        <v/>
      </c>
      <c r="P1388">
        <f>AND(MONTH(F1388)=MONTH(S1388), YEAR(F1388)=YEAR(S1388))</f>
        <v/>
      </c>
      <c r="Q1388">
        <f>"L001-902303751"=U1388</f>
        <v/>
      </c>
      <c r="R1388">
        <f>G1388-W1388</f>
        <v/>
      </c>
      <c r="S1388" s="36" t="n">
        <v>45510</v>
      </c>
      <c r="T1388" t="n">
        <v>84235</v>
      </c>
      <c r="U1388" t="inlineStr">
        <is>
          <t>L001-107032791</t>
        </is>
      </c>
      <c r="V1388" t="inlineStr">
        <is>
          <t>នីបផន អិចប្រេស (ខេមបូឌា) ខូ អិលធីឌី</t>
        </is>
      </c>
      <c r="W1388" t="n">
        <v>84235</v>
      </c>
      <c r="X1388" t="n">
        <v>0</v>
      </c>
    </row>
    <row r="1389">
      <c r="A1389" t="n">
        <v>1388</v>
      </c>
      <c r="B1389" t="inlineStr">
        <is>
          <t>Airway bill fee and Handling Agency fee</t>
        </is>
      </c>
      <c r="C1389" t="inlineStr">
        <is>
          <t>ត្រេន ស្តារ ហ្រេ្វត</t>
        </is>
      </c>
      <c r="D1389" t="inlineStr">
        <is>
          <t>L001-100011888</t>
        </is>
      </c>
      <c r="E1389" t="inlineStr">
        <is>
          <t>PPTI24-11539</t>
        </is>
      </c>
      <c r="F1389" t="inlineStr">
        <is>
          <t>04-09-2024</t>
        </is>
      </c>
      <c r="G1389" t="n">
        <v>34485</v>
      </c>
      <c r="I1389">
        <f>G1389</f>
        <v/>
      </c>
      <c r="K1389">
        <f>I1389-G1389</f>
        <v/>
      </c>
      <c r="M1389" t="inlineStr">
        <is>
          <t>PPTI2411539</t>
        </is>
      </c>
      <c r="N1389" t="inlineStr">
        <is>
          <t>11546300</t>
        </is>
      </c>
      <c r="O1389">
        <f>M1389=N1389</f>
        <v/>
      </c>
      <c r="P1389">
        <f>AND(MONTH(F1389)=MONTH(S1389), YEAR(F1389)=YEAR(S1389))</f>
        <v/>
      </c>
      <c r="Q1389">
        <f>"L001-902303751"=U1389</f>
        <v/>
      </c>
      <c r="R1389">
        <f>G1389-W1389</f>
        <v/>
      </c>
      <c r="S1389" s="36" t="n">
        <v>45510</v>
      </c>
      <c r="T1389" t="n">
        <v>115463</v>
      </c>
      <c r="U1389" t="inlineStr">
        <is>
          <t>K005-901805913</t>
        </is>
      </c>
      <c r="V1389" t="inlineStr">
        <is>
          <t>ស្តារ ខង់ខដ (ខេមបូឌា) ឯ.ក</t>
        </is>
      </c>
      <c r="W1389" t="n">
        <v>115463</v>
      </c>
      <c r="X1389" t="n">
        <v>0</v>
      </c>
    </row>
    <row r="1390">
      <c r="A1390" t="n">
        <v>1389</v>
      </c>
      <c r="B1390" t="inlineStr">
        <is>
          <t>Cargo Terminal</t>
        </is>
      </c>
      <c r="C1390" t="inlineStr">
        <is>
          <t>សូស៊ីយេតេ កុងសេស្យូនែរ ដឺ ឡាអេរ៉ូព័រ</t>
        </is>
      </c>
      <c r="D1390" t="inlineStr">
        <is>
          <t>L001-100047300</t>
        </is>
      </c>
      <c r="E1390" t="inlineStr">
        <is>
          <t>2400-071692</t>
        </is>
      </c>
      <c r="F1390" t="inlineStr">
        <is>
          <t>05-09-2024</t>
        </is>
      </c>
      <c r="G1390" t="n">
        <v>9686</v>
      </c>
      <c r="I1390">
        <f>G1390</f>
        <v/>
      </c>
      <c r="K1390">
        <f>I1390-G1390</f>
        <v/>
      </c>
      <c r="M1390" t="inlineStr">
        <is>
          <t>2400071692</t>
        </is>
      </c>
      <c r="N1390" t="inlineStr">
        <is>
          <t>11299800</t>
        </is>
      </c>
      <c r="O1390">
        <f>M1390=N1390</f>
        <v/>
      </c>
      <c r="P1390">
        <f>AND(MONTH(F1390)=MONTH(S1390), YEAR(F1390)=YEAR(S1390))</f>
        <v/>
      </c>
      <c r="Q1390">
        <f>"L001-902303751"=U1390</f>
        <v/>
      </c>
      <c r="R1390">
        <f>G1390-W1390</f>
        <v/>
      </c>
      <c r="S1390" s="36" t="n">
        <v>45510</v>
      </c>
      <c r="T1390" t="n">
        <v>112998</v>
      </c>
      <c r="U1390" t="inlineStr">
        <is>
          <t>L001-107032791</t>
        </is>
      </c>
      <c r="V1390" t="inlineStr">
        <is>
          <t>នីបផន អិចប្រេស (ខេមបូឌា) ខូ អិលធីឌី</t>
        </is>
      </c>
      <c r="W1390" t="n">
        <v>112998</v>
      </c>
      <c r="X1390" t="n">
        <v>0</v>
      </c>
    </row>
    <row r="1391">
      <c r="A1391" t="n">
        <v>1390</v>
      </c>
      <c r="B1391" t="inlineStr">
        <is>
          <t>Customs Clearance Fee and Trucking Fee</t>
        </is>
      </c>
      <c r="C1391" t="inlineStr">
        <is>
          <t>ត្រាយអ៊ែងហ្គល ឡូជីស្ទីក (ខេមបូឌា) ឯ.ក</t>
        </is>
      </c>
      <c r="D1391" t="inlineStr">
        <is>
          <t>K010-902101743</t>
        </is>
      </c>
      <c r="E1391" t="inlineStr">
        <is>
          <t>TAG-24-00656</t>
        </is>
      </c>
      <c r="F1391" t="inlineStr">
        <is>
          <t>19-09-2024</t>
        </is>
      </c>
      <c r="G1391" t="n">
        <v>28686</v>
      </c>
      <c r="I1391">
        <f>G1391</f>
        <v/>
      </c>
      <c r="K1391">
        <f>I1391-G1391</f>
        <v/>
      </c>
      <c r="M1391" t="inlineStr">
        <is>
          <t>TAG2400656</t>
        </is>
      </c>
      <c r="N1391" t="inlineStr">
        <is>
          <t>8366100</t>
        </is>
      </c>
      <c r="O1391">
        <f>M1391=N1391</f>
        <v/>
      </c>
      <c r="P1391">
        <f>AND(MONTH(F1391)=MONTH(S1391), YEAR(F1391)=YEAR(S1391))</f>
        <v/>
      </c>
      <c r="Q1391">
        <f>"L001-902303751"=U1391</f>
        <v/>
      </c>
      <c r="R1391">
        <f>G1391-W1391</f>
        <v/>
      </c>
      <c r="S1391" s="36" t="n">
        <v>45530</v>
      </c>
      <c r="T1391" t="n">
        <v>83661</v>
      </c>
      <c r="U1391" t="inlineStr">
        <is>
          <t>L001-100045995</t>
        </is>
      </c>
      <c r="V1391" t="inlineStr">
        <is>
          <t>ឌីអេចអិល ឡូជីស្ទីក (ខេមបូឌា)</t>
        </is>
      </c>
      <c r="W1391" t="n">
        <v>83661</v>
      </c>
      <c r="X1391" t="n">
        <v>0</v>
      </c>
    </row>
    <row r="1392">
      <c r="A1392" t="n">
        <v>1391</v>
      </c>
      <c r="B1392" t="inlineStr">
        <is>
          <t>Import Shipment Expense</t>
        </is>
      </c>
      <c r="C1392" t="inlineStr">
        <is>
          <t>ខេអិលអិន ហ្វ្រេត (ខេមបូឌា) ឯ.ក</t>
        </is>
      </c>
      <c r="D1392" t="inlineStr">
        <is>
          <t>L001-100074669</t>
        </is>
      </c>
      <c r="E1392" t="inlineStr">
        <is>
          <t>IVO15087</t>
        </is>
      </c>
      <c r="F1392" t="inlineStr">
        <is>
          <t>22-09-2024</t>
        </is>
      </c>
      <c r="G1392" t="n">
        <v>253698</v>
      </c>
      <c r="I1392">
        <f>G1392</f>
        <v/>
      </c>
      <c r="K1392">
        <f>I1392-G1392</f>
        <v/>
      </c>
      <c r="M1392" t="inlineStr">
        <is>
          <t>IVO15087</t>
        </is>
      </c>
      <c r="N1392" t="inlineStr">
        <is>
          <t>191031600</t>
        </is>
      </c>
      <c r="O1392">
        <f>M1392=N1392</f>
        <v/>
      </c>
      <c r="P1392">
        <f>AND(MONTH(F1392)=MONTH(S1392), YEAR(F1392)=YEAR(S1392))</f>
        <v/>
      </c>
      <c r="Q1392">
        <f>"L001-902303751"=U1392</f>
        <v/>
      </c>
      <c r="R1392">
        <f>G1392-W1392</f>
        <v/>
      </c>
      <c r="S1392" s="36" t="n">
        <v>45530</v>
      </c>
      <c r="T1392" t="n">
        <v>1910316</v>
      </c>
      <c r="U1392" t="inlineStr">
        <is>
          <t>K004-105012505</t>
        </is>
      </c>
      <c r="V1392" t="inlineStr">
        <is>
          <t>អេស៊ាន ហ្វ្រេត (ខេមបូឌា)</t>
        </is>
      </c>
      <c r="W1392" t="n">
        <v>1910316</v>
      </c>
      <c r="X1392" t="n">
        <v>0</v>
      </c>
    </row>
    <row r="1393">
      <c r="A1393" t="n">
        <v>1392</v>
      </c>
      <c r="B1393" t="inlineStr">
        <is>
          <t>Lift-On &amp; Lift-Off</t>
        </is>
      </c>
      <c r="C1393" t="inlineStr">
        <is>
          <t>កំពង់ផែស្វយ័តក្រុងព្រះសីហនុ</t>
        </is>
      </c>
      <c r="D1393" t="inlineStr">
        <is>
          <t>L001-100044638</t>
        </is>
      </c>
      <c r="E1393" t="inlineStr">
        <is>
          <t>187685</t>
        </is>
      </c>
      <c r="F1393" t="inlineStr">
        <is>
          <t>11-09-2024</t>
        </is>
      </c>
      <c r="G1393" t="n">
        <v>23165</v>
      </c>
      <c r="I1393">
        <f>G1393</f>
        <v/>
      </c>
      <c r="K1393">
        <f>I1393-G1393</f>
        <v/>
      </c>
      <c r="M1393" t="inlineStr">
        <is>
          <t>187685</t>
        </is>
      </c>
      <c r="N1393" t="inlineStr">
        <is>
          <t>107546300</t>
        </is>
      </c>
      <c r="O1393">
        <f>M1393=N1393</f>
        <v/>
      </c>
      <c r="P1393">
        <f>AND(MONTH(F1393)=MONTH(S1393), YEAR(F1393)=YEAR(S1393))</f>
        <v/>
      </c>
      <c r="Q1393">
        <f>"L001-902303751"=U1393</f>
        <v/>
      </c>
      <c r="R1393">
        <f>G1393-W1393</f>
        <v/>
      </c>
      <c r="S1393" s="36" t="n">
        <v>45516</v>
      </c>
      <c r="T1393" t="n">
        <v>1075463</v>
      </c>
      <c r="U1393" t="inlineStr">
        <is>
          <t>K004-105012505</t>
        </is>
      </c>
      <c r="V1393" t="inlineStr">
        <is>
          <t>អេស៊ាន ហ្វ្រេត (ខេមបូឌា)</t>
        </is>
      </c>
      <c r="W1393" t="n">
        <v>1075463</v>
      </c>
      <c r="X1393" t="n">
        <v>0</v>
      </c>
    </row>
    <row r="1394">
      <c r="A1394" t="n">
        <v>1393</v>
      </c>
      <c r="B1394" t="inlineStr">
        <is>
          <t>Customs Clearance Fee and Trucking Fee</t>
        </is>
      </c>
      <c r="C1394" t="inlineStr">
        <is>
          <t>ត្រាយអ៊ែងហ្គល ឡូជីស្ទីក (ខេមបូឌា) ឯ.ក</t>
        </is>
      </c>
      <c r="D1394" t="inlineStr">
        <is>
          <t>K010-902101743</t>
        </is>
      </c>
      <c r="E1394" t="inlineStr">
        <is>
          <t>TAG-24-00672</t>
        </is>
      </c>
      <c r="F1394" t="inlineStr">
        <is>
          <t>23-09-2024</t>
        </is>
      </c>
      <c r="G1394" t="n">
        <v>69071</v>
      </c>
      <c r="I1394">
        <f>G1394</f>
        <v/>
      </c>
      <c r="K1394">
        <f>I1394-G1394</f>
        <v/>
      </c>
      <c r="M1394" t="inlineStr">
        <is>
          <t>TAG2400672</t>
        </is>
      </c>
      <c r="N1394" t="inlineStr"/>
      <c r="O1394">
        <f>M1394=N1394</f>
        <v/>
      </c>
      <c r="P1394">
        <f>AND(MONTH(F1394)=MONTH(S1394), YEAR(F1394)=YEAR(S1394))</f>
        <v/>
      </c>
      <c r="Q1394">
        <f>"L001-902303751"=U1394</f>
        <v/>
      </c>
      <c r="R1394">
        <f>G1394-W1394</f>
        <v/>
      </c>
      <c r="S1394" s="36" t="n">
        <v>45516</v>
      </c>
      <c r="T1394" t="inlineStr"/>
      <c r="U1394" t="inlineStr">
        <is>
          <t>L001-107032791</t>
        </is>
      </c>
      <c r="V1394" t="inlineStr">
        <is>
          <t>នីបផន អិចប្រេស (ខេមបូឌា) ខូ អិលធីឌី</t>
        </is>
      </c>
      <c r="W1394" t="n">
        <v>0</v>
      </c>
      <c r="X1394" t="n">
        <v>0</v>
      </c>
    </row>
    <row r="1395">
      <c r="A1395" t="n">
        <v>1394</v>
      </c>
      <c r="B1395" t="inlineStr">
        <is>
          <t>Import Shipment Expense</t>
        </is>
      </c>
      <c r="C1395" t="inlineStr">
        <is>
          <t>ត្រាយអ៊ែងហ្គល ឡូជីស្ទីក (ខេមបូឌា) ឯ.ក</t>
        </is>
      </c>
      <c r="D1395" t="inlineStr">
        <is>
          <t>K010-902101743</t>
        </is>
      </c>
      <c r="E1395" t="inlineStr">
        <is>
          <t>TAG-24-00622</t>
        </is>
      </c>
      <c r="F1395" t="inlineStr">
        <is>
          <t>05-09-2024</t>
        </is>
      </c>
      <c r="G1395" t="n">
        <v>85774</v>
      </c>
      <c r="I1395">
        <f>G1395</f>
        <v/>
      </c>
      <c r="K1395">
        <f>I1395-G1395</f>
        <v/>
      </c>
      <c r="M1395" t="inlineStr">
        <is>
          <t>TAG2400622</t>
        </is>
      </c>
      <c r="N1395" t="inlineStr">
        <is>
          <t>8366100</t>
        </is>
      </c>
      <c r="O1395">
        <f>M1395=N1395</f>
        <v/>
      </c>
      <c r="P1395">
        <f>AND(MONTH(F1395)=MONTH(S1395), YEAR(F1395)=YEAR(S1395))</f>
        <v/>
      </c>
      <c r="Q1395">
        <f>"L001-902303751"=U1395</f>
        <v/>
      </c>
      <c r="R1395">
        <f>G1395-W1395</f>
        <v/>
      </c>
      <c r="S1395" s="36" t="n">
        <v>45530</v>
      </c>
      <c r="T1395" t="n">
        <v>83661</v>
      </c>
      <c r="U1395" t="inlineStr">
        <is>
          <t>K005-901902888</t>
        </is>
      </c>
      <c r="V1395" t="inlineStr">
        <is>
          <t>អឹឡាយអិន ហ្វ័រវើឌីង (ខេមបូឌា) ឯ.ក</t>
        </is>
      </c>
      <c r="W1395" t="n">
        <v>83661</v>
      </c>
      <c r="X1395" t="n">
        <v>0</v>
      </c>
    </row>
    <row r="1396">
      <c r="A1396" t="n">
        <v>1395</v>
      </c>
      <c r="B1396" t="inlineStr">
        <is>
          <t>Charge from Warehouse/cy to trucks</t>
        </is>
      </c>
      <c r="C1396" t="inlineStr">
        <is>
          <t>កំពង់ផែស្វយ័តក្រុងព្រះសីហនុ</t>
        </is>
      </c>
      <c r="D1396" t="inlineStr">
        <is>
          <t>L001-100044638</t>
        </is>
      </c>
      <c r="E1396" t="inlineStr">
        <is>
          <t>186920</t>
        </is>
      </c>
      <c r="F1396" t="inlineStr">
        <is>
          <t>11-09-2024</t>
        </is>
      </c>
      <c r="G1396" t="n">
        <v>1245</v>
      </c>
      <c r="I1396">
        <f>G1396</f>
        <v/>
      </c>
      <c r="K1396">
        <f>I1396-G1396</f>
        <v/>
      </c>
      <c r="M1396" t="inlineStr">
        <is>
          <t>186920</t>
        </is>
      </c>
      <c r="N1396" t="inlineStr">
        <is>
          <t>8366100</t>
        </is>
      </c>
      <c r="O1396">
        <f>M1396=N1396</f>
        <v/>
      </c>
      <c r="P1396">
        <f>AND(MONTH(F1396)=MONTH(S1396), YEAR(F1396)=YEAR(S1396))</f>
        <v/>
      </c>
      <c r="Q1396">
        <f>"L001-902303751"=U1396</f>
        <v/>
      </c>
      <c r="R1396">
        <f>G1396-W1396</f>
        <v/>
      </c>
      <c r="S1396" s="36" t="n">
        <v>45530</v>
      </c>
      <c r="T1396" t="n">
        <v>83661</v>
      </c>
      <c r="U1396" t="inlineStr">
        <is>
          <t>L001-107032791</t>
        </is>
      </c>
      <c r="V1396" t="inlineStr">
        <is>
          <t>នីបផន អិចប្រេស (ខេមបូឌា) ខូ អិលធីឌី</t>
        </is>
      </c>
      <c r="W1396" t="n">
        <v>83661</v>
      </c>
      <c r="X1396" t="n">
        <v>0</v>
      </c>
    </row>
    <row r="1397">
      <c r="A1397" t="n">
        <v>1396</v>
      </c>
      <c r="B1397" t="inlineStr">
        <is>
          <t>Customs Clearance Fee and Trucking Fee</t>
        </is>
      </c>
      <c r="C1397" t="inlineStr">
        <is>
          <t>ត្រាយអ៊ែងហ្គល ឡូជីស្ទីក (ខេមបូឌា) ឯ.ក</t>
        </is>
      </c>
      <c r="D1397" t="inlineStr">
        <is>
          <t>K010-902101743</t>
        </is>
      </c>
      <c r="E1397" t="inlineStr">
        <is>
          <t>TAG-24-00670</t>
        </is>
      </c>
      <c r="F1397" t="inlineStr">
        <is>
          <t>23-09-2024</t>
        </is>
      </c>
      <c r="G1397" t="n">
        <v>32504</v>
      </c>
      <c r="I1397">
        <f>G1397</f>
        <v/>
      </c>
      <c r="K1397">
        <f>I1397-G1397</f>
        <v/>
      </c>
      <c r="M1397" t="inlineStr">
        <is>
          <t>TAG2400670</t>
        </is>
      </c>
      <c r="N1397" t="inlineStr"/>
      <c r="O1397">
        <f>M1397=N1397</f>
        <v/>
      </c>
      <c r="P1397">
        <f>AND(MONTH(F1397)=MONTH(S1397), YEAR(F1397)=YEAR(S1397))</f>
        <v/>
      </c>
      <c r="Q1397">
        <f>"L001-902303751"=U1397</f>
        <v/>
      </c>
      <c r="R1397">
        <f>G1397-W1397</f>
        <v/>
      </c>
      <c r="S1397" s="36" t="n">
        <v>45530</v>
      </c>
      <c r="T1397" t="inlineStr"/>
      <c r="U1397" t="inlineStr">
        <is>
          <t>L001-107032791</t>
        </is>
      </c>
      <c r="V1397" t="inlineStr">
        <is>
          <t>នីបផន អិចប្រេស (ខេមបូឌា) ខូ អិលធីឌី</t>
        </is>
      </c>
      <c r="W1397" t="n">
        <v>0</v>
      </c>
      <c r="X1397" t="n">
        <v>0</v>
      </c>
    </row>
    <row r="1398">
      <c r="A1398" t="n">
        <v>1397</v>
      </c>
      <c r="B1398" t="inlineStr">
        <is>
          <t>Import Shipment Expense</t>
        </is>
      </c>
      <c r="C1398" t="inlineStr">
        <is>
          <t>ហ្វ្រេត ខនសិប (ខេមបូឌា)</t>
        </is>
      </c>
      <c r="D1398" t="inlineStr">
        <is>
          <t>K009-901502482</t>
        </is>
      </c>
      <c r="E1398" t="inlineStr">
        <is>
          <t>240913</t>
        </is>
      </c>
      <c r="F1398" t="inlineStr">
        <is>
          <t>09-09-2024</t>
        </is>
      </c>
      <c r="G1398" t="n">
        <v>415548</v>
      </c>
      <c r="I1398">
        <f>G1398</f>
        <v/>
      </c>
      <c r="K1398">
        <f>I1398-G1398</f>
        <v/>
      </c>
      <c r="M1398" t="inlineStr">
        <is>
          <t>240913</t>
        </is>
      </c>
      <c r="N1398" t="inlineStr"/>
      <c r="O1398">
        <f>M1398=N1398</f>
        <v/>
      </c>
      <c r="P1398">
        <f>AND(MONTH(F1398)=MONTH(S1398), YEAR(F1398)=YEAR(S1398))</f>
        <v/>
      </c>
      <c r="Q1398">
        <f>"L001-902303751"=U1398</f>
        <v/>
      </c>
      <c r="R1398">
        <f>G1398-W1398</f>
        <v/>
      </c>
      <c r="S1398" s="36" t="n">
        <v>45530</v>
      </c>
      <c r="T1398" t="inlineStr"/>
      <c r="U1398" t="inlineStr">
        <is>
          <t>L001-107032791</t>
        </is>
      </c>
      <c r="V1398" t="inlineStr">
        <is>
          <t>នីបផន អិចប្រេស (ខេមបូឌា) ខូ អិលធីឌី</t>
        </is>
      </c>
      <c r="W1398" t="n">
        <v>0</v>
      </c>
      <c r="X1398" t="n">
        <v>0</v>
      </c>
    </row>
    <row r="1399">
      <c r="A1399" t="n">
        <v>1398</v>
      </c>
      <c r="B1399" t="inlineStr">
        <is>
          <t>Lift-On &amp; Lift-Off and Storage charges</t>
        </is>
      </c>
      <c r="C1399" t="inlineStr">
        <is>
          <t>កំពង់ផែស្វយ័តក្រុងព្រះសីហនុ</t>
        </is>
      </c>
      <c r="D1399" t="inlineStr">
        <is>
          <t>L001-100044638</t>
        </is>
      </c>
      <c r="E1399" t="inlineStr">
        <is>
          <t>194088</t>
        </is>
      </c>
      <c r="F1399" t="inlineStr">
        <is>
          <t>19-09-2024</t>
        </is>
      </c>
      <c r="G1399" t="n">
        <v>80368</v>
      </c>
      <c r="I1399">
        <f>G1399</f>
        <v/>
      </c>
      <c r="K1399">
        <f>I1399-G1399</f>
        <v/>
      </c>
      <c r="M1399" t="inlineStr">
        <is>
          <t>194088</t>
        </is>
      </c>
      <c r="N1399" t="inlineStr">
        <is>
          <t>11222800</t>
        </is>
      </c>
      <c r="O1399">
        <f>M1399=N1399</f>
        <v/>
      </c>
      <c r="P1399">
        <f>AND(MONTH(F1399)=MONTH(S1399), YEAR(F1399)=YEAR(S1399))</f>
        <v/>
      </c>
      <c r="Q1399">
        <f>"L001-902303751"=U1399</f>
        <v/>
      </c>
      <c r="R1399">
        <f>G1399-W1399</f>
        <v/>
      </c>
      <c r="S1399" s="36" t="n">
        <v>45530</v>
      </c>
      <c r="T1399" t="n">
        <v>112228</v>
      </c>
      <c r="U1399" t="inlineStr">
        <is>
          <t>L001-107032791</t>
        </is>
      </c>
      <c r="V1399" t="inlineStr">
        <is>
          <t>នីបផន អិចប្រេស (ខេមបូឌា) ខូ អិលធីឌី</t>
        </is>
      </c>
      <c r="W1399" t="n">
        <v>112228</v>
      </c>
      <c r="X1399" t="n">
        <v>0</v>
      </c>
    </row>
    <row r="1400">
      <c r="A1400" t="n">
        <v>1399</v>
      </c>
      <c r="B1400" t="inlineStr">
        <is>
          <t>Customs Clearance Fee and Trucking Fee</t>
        </is>
      </c>
      <c r="C1400" t="inlineStr">
        <is>
          <t>ត្រាយអ៊ែងហ្គល ឡូជីស្ទីក (ខេមបូឌា) ឯ.ក</t>
        </is>
      </c>
      <c r="D1400" t="inlineStr">
        <is>
          <t>K010-902101743</t>
        </is>
      </c>
      <c r="E1400" t="inlineStr">
        <is>
          <t>TAG-24-00708</t>
        </is>
      </c>
      <c r="F1400" t="inlineStr">
        <is>
          <t>30-09-2024</t>
        </is>
      </c>
      <c r="G1400" t="n">
        <v>170562</v>
      </c>
      <c r="I1400">
        <f>G1400</f>
        <v/>
      </c>
      <c r="K1400">
        <f>I1400-G1400</f>
        <v/>
      </c>
      <c r="M1400" t="inlineStr">
        <is>
          <t>TAG2400708</t>
        </is>
      </c>
      <c r="N1400" t="inlineStr"/>
      <c r="O1400">
        <f>M1400=N1400</f>
        <v/>
      </c>
      <c r="P1400">
        <f>AND(MONTH(F1400)=MONTH(S1400), YEAR(F1400)=YEAR(S1400))</f>
        <v/>
      </c>
      <c r="Q1400">
        <f>"L001-902303751"=U1400</f>
        <v/>
      </c>
      <c r="R1400">
        <f>G1400-W1400</f>
        <v/>
      </c>
      <c r="S1400" s="36" t="n">
        <v>45523</v>
      </c>
      <c r="T1400" t="inlineStr"/>
      <c r="U1400" t="inlineStr">
        <is>
          <t>L001-107032791</t>
        </is>
      </c>
      <c r="V1400" t="inlineStr">
        <is>
          <t>នីបផន អិចប្រេស (ខេមបូឌា) ខូ អិលធីឌី</t>
        </is>
      </c>
      <c r="W1400" t="n">
        <v>0</v>
      </c>
      <c r="X1400" t="n">
        <v>0</v>
      </c>
    </row>
    <row r="1401">
      <c r="A1401" t="n">
        <v>1400</v>
      </c>
      <c r="B1401" t="inlineStr">
        <is>
          <t>Import Shipment Expense</t>
        </is>
      </c>
      <c r="C1401" t="inlineStr">
        <is>
          <t>ហ្វ្រេត ខនសិប (ខេមបូឌា)</t>
        </is>
      </c>
      <c r="D1401" t="inlineStr">
        <is>
          <t>K009-901502482</t>
        </is>
      </c>
      <c r="E1401" t="inlineStr">
        <is>
          <t>240879</t>
        </is>
      </c>
      <c r="F1401" t="inlineStr">
        <is>
          <t>03-09-2024</t>
        </is>
      </c>
      <c r="G1401" t="n">
        <v>135711</v>
      </c>
      <c r="I1401">
        <f>G1401</f>
        <v/>
      </c>
      <c r="K1401">
        <f>I1401-G1401</f>
        <v/>
      </c>
      <c r="M1401" t="inlineStr">
        <is>
          <t>240879</t>
        </is>
      </c>
      <c r="N1401" t="inlineStr"/>
      <c r="O1401">
        <f>M1401=N1401</f>
        <v/>
      </c>
      <c r="P1401">
        <f>AND(MONTH(F1401)=MONTH(S1401), YEAR(F1401)=YEAR(S1401))</f>
        <v/>
      </c>
      <c r="Q1401">
        <f>"L001-902303751"=U1401</f>
        <v/>
      </c>
      <c r="R1401">
        <f>G1401-W1401</f>
        <v/>
      </c>
      <c r="S1401" s="36" t="n">
        <v>45516</v>
      </c>
      <c r="T1401" t="inlineStr"/>
      <c r="U1401" t="inlineStr">
        <is>
          <t>L001-100011888</t>
        </is>
      </c>
      <c r="V1401" t="inlineStr">
        <is>
          <t>ត្រេន ស្តារ ហ្រេ្វត</t>
        </is>
      </c>
      <c r="W1401" t="n">
        <v>0</v>
      </c>
      <c r="X1401" t="n">
        <v>0</v>
      </c>
    </row>
    <row r="1402">
      <c r="A1402" t="n">
        <v>1401</v>
      </c>
      <c r="B1402" t="inlineStr">
        <is>
          <t>Charge from Warehouse/cy to trucks</t>
        </is>
      </c>
      <c r="C1402" t="inlineStr">
        <is>
          <t>កំពង់ផែស្វយ័តក្រុងព្រះសីហនុ</t>
        </is>
      </c>
      <c r="D1402" t="inlineStr">
        <is>
          <t>L001-100044638</t>
        </is>
      </c>
      <c r="E1402" t="inlineStr">
        <is>
          <t>186265</t>
        </is>
      </c>
      <c r="F1402" t="inlineStr">
        <is>
          <t>10-09-2024</t>
        </is>
      </c>
      <c r="G1402" t="n">
        <v>1867</v>
      </c>
      <c r="I1402">
        <f>G1402</f>
        <v/>
      </c>
      <c r="K1402">
        <f>I1402-G1402</f>
        <v/>
      </c>
      <c r="M1402" t="inlineStr">
        <is>
          <t>186265</t>
        </is>
      </c>
      <c r="N1402" t="inlineStr">
        <is>
          <t>11299800</t>
        </is>
      </c>
      <c r="O1402">
        <f>M1402=N1402</f>
        <v/>
      </c>
      <c r="P1402">
        <f>AND(MONTH(F1402)=MONTH(S1402), YEAR(F1402)=YEAR(S1402))</f>
        <v/>
      </c>
      <c r="Q1402">
        <f>"L001-902303751"=U1402</f>
        <v/>
      </c>
      <c r="R1402">
        <f>G1402-W1402</f>
        <v/>
      </c>
      <c r="S1402" s="36" t="n">
        <v>45510</v>
      </c>
      <c r="T1402" t="n">
        <v>112998</v>
      </c>
      <c r="U1402" t="inlineStr">
        <is>
          <t>L001-100045995</t>
        </is>
      </c>
      <c r="V1402" t="inlineStr">
        <is>
          <t>ឌីអេចអិល ឡូជីស្ទីក (ខេមបូឌា)</t>
        </is>
      </c>
      <c r="W1402" t="n">
        <v>112998</v>
      </c>
      <c r="X1402" t="n">
        <v>0</v>
      </c>
    </row>
    <row r="1403">
      <c r="A1403" t="n">
        <v>1402</v>
      </c>
      <c r="B1403" t="inlineStr">
        <is>
          <t>Customs Clearance Fee and Trucking Fee</t>
        </is>
      </c>
      <c r="C1403" t="inlineStr">
        <is>
          <t>ត្រាយអ៊ែងហ្គល ឡូជីស្ទីក (ខេមបូឌា) ឯ.ក</t>
        </is>
      </c>
      <c r="D1403" t="inlineStr">
        <is>
          <t>K010-902101743</t>
        </is>
      </c>
      <c r="E1403" t="inlineStr">
        <is>
          <t>TAG-24-00669</t>
        </is>
      </c>
      <c r="F1403" t="inlineStr">
        <is>
          <t>23-09-2024</t>
        </is>
      </c>
      <c r="G1403" t="n">
        <v>39939</v>
      </c>
      <c r="I1403">
        <f>G1403</f>
        <v/>
      </c>
      <c r="K1403">
        <f>I1403-G1403</f>
        <v/>
      </c>
      <c r="M1403" t="inlineStr">
        <is>
          <t>TAG2400669</t>
        </is>
      </c>
      <c r="N1403" t="inlineStr">
        <is>
          <t>11222800</t>
        </is>
      </c>
      <c r="O1403">
        <f>M1403=N1403</f>
        <v/>
      </c>
      <c r="P1403">
        <f>AND(MONTH(F1403)=MONTH(S1403), YEAR(F1403)=YEAR(S1403))</f>
        <v/>
      </c>
      <c r="Q1403">
        <f>"L001-902303751"=U1403</f>
        <v/>
      </c>
      <c r="R1403">
        <f>G1403-W1403</f>
        <v/>
      </c>
      <c r="S1403" s="36" t="n">
        <v>45530</v>
      </c>
      <c r="T1403" t="n">
        <v>112228</v>
      </c>
      <c r="U1403" t="inlineStr">
        <is>
          <t>L001-107032791</t>
        </is>
      </c>
      <c r="V1403" t="inlineStr">
        <is>
          <t>នីបផន អិចប្រេស (ខេមបូឌា) ខូ អិលធីឌី</t>
        </is>
      </c>
      <c r="W1403" t="n">
        <v>112228</v>
      </c>
      <c r="X1403" t="n">
        <v>0</v>
      </c>
    </row>
    <row r="1404">
      <c r="A1404" t="n">
        <v>1403</v>
      </c>
      <c r="B1404" t="inlineStr">
        <is>
          <t>Warehouse Charge</t>
        </is>
      </c>
      <c r="C1404" t="inlineStr">
        <is>
          <t>ភើហ្វីក ណេតវើក ស៊ីបភីង ឯ.ក</t>
        </is>
      </c>
      <c r="D1404" t="inlineStr">
        <is>
          <t>K009-901802143</t>
        </is>
      </c>
      <c r="E1404" t="inlineStr">
        <is>
          <t>PNS24/01467</t>
        </is>
      </c>
      <c r="F1404" t="inlineStr">
        <is>
          <t>18-09-2024</t>
        </is>
      </c>
      <c r="G1404" t="n">
        <v>77056</v>
      </c>
      <c r="I1404">
        <f>G1404</f>
        <v/>
      </c>
      <c r="K1404">
        <f>I1404-G1404</f>
        <v/>
      </c>
      <c r="M1404" t="inlineStr">
        <is>
          <t>PNS2401467</t>
        </is>
      </c>
      <c r="N1404" t="inlineStr"/>
      <c r="O1404">
        <f>M1404=N1404</f>
        <v/>
      </c>
      <c r="P1404">
        <f>AND(MONTH(F1404)=MONTH(S1404), YEAR(F1404)=YEAR(S1404))</f>
        <v/>
      </c>
      <c r="Q1404">
        <f>"L001-902303751"=U1404</f>
        <v/>
      </c>
      <c r="R1404">
        <f>G1404-W1404</f>
        <v/>
      </c>
      <c r="S1404" s="36" t="n">
        <v>45530</v>
      </c>
      <c r="T1404" t="inlineStr"/>
      <c r="U1404" t="inlineStr">
        <is>
          <t>L001-107032791</t>
        </is>
      </c>
      <c r="V1404" t="inlineStr">
        <is>
          <t>នីបផន អិចប្រេស (ខេមបូឌា) ខូ អិលធីឌី</t>
        </is>
      </c>
      <c r="W1404" t="n">
        <v>0</v>
      </c>
      <c r="X1404" t="n">
        <v>0</v>
      </c>
    </row>
    <row r="1405">
      <c r="A1405" t="n">
        <v>1404</v>
      </c>
      <c r="B1405" t="inlineStr">
        <is>
          <t>Import Shipment Expense</t>
        </is>
      </c>
      <c r="C1405" t="inlineStr">
        <is>
          <t>ដាត គ្លូប៊ល ឡូជីស្ទីក (ខេមបូឌា)</t>
        </is>
      </c>
      <c r="D1405" t="inlineStr">
        <is>
          <t>K002-901635875</t>
        </is>
      </c>
      <c r="E1405" t="inlineStr">
        <is>
          <t>24T-00963</t>
        </is>
      </c>
      <c r="F1405" t="inlineStr">
        <is>
          <t>13-09-2024</t>
        </is>
      </c>
      <c r="G1405" t="n">
        <v>163892</v>
      </c>
      <c r="I1405">
        <f>G1405</f>
        <v/>
      </c>
      <c r="K1405">
        <f>I1405-G1405</f>
        <v/>
      </c>
      <c r="M1405" t="inlineStr">
        <is>
          <t>24T00963</t>
        </is>
      </c>
      <c r="N1405" t="inlineStr">
        <is>
          <t>8596100</t>
        </is>
      </c>
      <c r="O1405">
        <f>M1405=N1405</f>
        <v/>
      </c>
      <c r="P1405">
        <f>AND(MONTH(F1405)=MONTH(S1405), YEAR(F1405)=YEAR(S1405))</f>
        <v/>
      </c>
      <c r="Q1405">
        <f>"L001-902303751"=U1405</f>
        <v/>
      </c>
      <c r="R1405">
        <f>G1405-W1405</f>
        <v/>
      </c>
      <c r="S1405" s="36" t="n">
        <v>45544</v>
      </c>
      <c r="T1405" t="n">
        <v>85961</v>
      </c>
      <c r="U1405" t="inlineStr">
        <is>
          <t>K005-901805913</t>
        </is>
      </c>
      <c r="V1405" t="inlineStr">
        <is>
          <t>ស្តារ ខង់ខដ (ខេមបូឌា) ឯ.ក</t>
        </is>
      </c>
      <c r="W1405" t="n">
        <v>85961</v>
      </c>
      <c r="X1405" t="n">
        <v>0</v>
      </c>
    </row>
    <row r="1406">
      <c r="A1406" t="n">
        <v>1405</v>
      </c>
      <c r="B1406" t="inlineStr">
        <is>
          <t>Customs Clearance Fee and Trucking Fee</t>
        </is>
      </c>
      <c r="C1406" t="inlineStr">
        <is>
          <t>ត្រាយអ៊ែងហ្គល ឡូជីស្ទីក (ខេមបូឌា) ឯ.ក</t>
        </is>
      </c>
      <c r="D1406" t="inlineStr">
        <is>
          <t>K010-902101743</t>
        </is>
      </c>
      <c r="E1406" t="inlineStr">
        <is>
          <t>TAG-24-00655</t>
        </is>
      </c>
      <c r="F1406" t="inlineStr">
        <is>
          <t>19-09-2024</t>
        </is>
      </c>
      <c r="G1406" t="n">
        <v>32784</v>
      </c>
      <c r="I1406">
        <f>G1406</f>
        <v/>
      </c>
      <c r="K1406">
        <f>I1406-G1406</f>
        <v/>
      </c>
      <c r="M1406" t="inlineStr">
        <is>
          <t>TAG2400655</t>
        </is>
      </c>
      <c r="N1406" t="inlineStr"/>
      <c r="O1406">
        <f>M1406=N1406</f>
        <v/>
      </c>
      <c r="P1406">
        <f>AND(MONTH(F1406)=MONTH(S1406), YEAR(F1406)=YEAR(S1406))</f>
        <v/>
      </c>
      <c r="Q1406">
        <f>"L001-902303751"=U1406</f>
        <v/>
      </c>
      <c r="R1406">
        <f>G1406-W1406</f>
        <v/>
      </c>
      <c r="S1406" s="36" t="n">
        <v>45544</v>
      </c>
      <c r="T1406" t="inlineStr"/>
      <c r="U1406" t="inlineStr">
        <is>
          <t>L001-107032791</t>
        </is>
      </c>
      <c r="V1406" t="inlineStr">
        <is>
          <t>នីបផន អិចប្រេស (ខេមបូឌា) ខូ អិលធីឌី</t>
        </is>
      </c>
      <c r="W1406" t="n">
        <v>0</v>
      </c>
      <c r="X1406" t="n">
        <v>0</v>
      </c>
    </row>
    <row r="1407">
      <c r="A1407" t="n">
        <v>1406</v>
      </c>
      <c r="B1407" t="inlineStr">
        <is>
          <t>Airway bill fee and Handling Agency fee</t>
        </is>
      </c>
      <c r="C1407" t="inlineStr">
        <is>
          <t>ត្រេន ស្តារ ហ្រេ្វត</t>
        </is>
      </c>
      <c r="D1407" t="inlineStr">
        <is>
          <t>L001-100011888</t>
        </is>
      </c>
      <c r="E1407" t="inlineStr">
        <is>
          <t>PPTI24-11505</t>
        </is>
      </c>
      <c r="F1407" t="inlineStr">
        <is>
          <t>02-09-2024</t>
        </is>
      </c>
      <c r="G1407" t="n">
        <v>34502</v>
      </c>
      <c r="I1407">
        <f>G1407</f>
        <v/>
      </c>
      <c r="K1407">
        <f>I1407-G1407</f>
        <v/>
      </c>
      <c r="M1407" t="inlineStr">
        <is>
          <t>PPTI2411505</t>
        </is>
      </c>
      <c r="N1407" t="inlineStr">
        <is>
          <t>9818300</t>
        </is>
      </c>
      <c r="O1407">
        <f>M1407=N1407</f>
        <v/>
      </c>
      <c r="P1407">
        <f>AND(MONTH(F1407)=MONTH(S1407), YEAR(F1407)=YEAR(S1407))</f>
        <v/>
      </c>
      <c r="Q1407">
        <f>"L001-902303751"=U1407</f>
        <v/>
      </c>
      <c r="R1407">
        <f>G1407-W1407</f>
        <v/>
      </c>
      <c r="S1407" s="36" t="n">
        <v>45544</v>
      </c>
      <c r="T1407" t="n">
        <v>98183</v>
      </c>
      <c r="U1407" t="inlineStr">
        <is>
          <t>L001-100045340</t>
        </is>
      </c>
      <c r="V1407" t="inlineStr">
        <is>
          <t xml:space="preserve">ស៊ីវ៉ា អ៊ែរ អ៊ែន អូសៀន (ខេមបូឌា) ឯ.ក </t>
        </is>
      </c>
      <c r="W1407" t="n">
        <v>98183</v>
      </c>
      <c r="X1407" t="n">
        <v>0</v>
      </c>
    </row>
    <row r="1408">
      <c r="A1408" t="n">
        <v>1407</v>
      </c>
      <c r="B1408" t="inlineStr">
        <is>
          <t>Cargo Terminal</t>
        </is>
      </c>
      <c r="C1408" t="inlineStr">
        <is>
          <t>សូស៊ីយេតេ កុងសេស្យូនែរ ដឺ ឡាអេរ៉ូព័រ</t>
        </is>
      </c>
      <c r="D1408" t="inlineStr">
        <is>
          <t>L001-100047300</t>
        </is>
      </c>
      <c r="E1408" t="inlineStr">
        <is>
          <t>2400-071046</t>
        </is>
      </c>
      <c r="F1408" t="inlineStr">
        <is>
          <t>03-09-2024</t>
        </is>
      </c>
      <c r="G1408" t="n">
        <v>5654</v>
      </c>
      <c r="I1408">
        <f>G1408</f>
        <v/>
      </c>
      <c r="K1408">
        <f>I1408-G1408</f>
        <v/>
      </c>
      <c r="M1408" t="inlineStr">
        <is>
          <t>2400071046</t>
        </is>
      </c>
      <c r="N1408" t="inlineStr">
        <is>
          <t>609810400</t>
        </is>
      </c>
      <c r="O1408">
        <f>M1408=N1408</f>
        <v/>
      </c>
      <c r="P1408">
        <f>AND(MONTH(F1408)=MONTH(S1408), YEAR(F1408)=YEAR(S1408))</f>
        <v/>
      </c>
      <c r="Q1408">
        <f>"L001-902303751"=U1408</f>
        <v/>
      </c>
      <c r="R1408">
        <f>G1408-W1408</f>
        <v/>
      </c>
      <c r="S1408" s="36" t="n">
        <v>45540</v>
      </c>
      <c r="T1408" t="n">
        <v>6098104</v>
      </c>
      <c r="U1408" t="inlineStr">
        <is>
          <t>K004-105012505</t>
        </is>
      </c>
      <c r="V1408" t="inlineStr">
        <is>
          <t>អេស៊ាន ហ្វ្រេត (ខេមបូឌា)</t>
        </is>
      </c>
      <c r="W1408" t="n">
        <v>6098104</v>
      </c>
      <c r="X1408" t="n">
        <v>0</v>
      </c>
    </row>
    <row r="1409">
      <c r="A1409" t="n">
        <v>1408</v>
      </c>
      <c r="B1409" t="inlineStr">
        <is>
          <t>Customs Clearance Fee and Trucking Fee</t>
        </is>
      </c>
      <c r="C1409" t="inlineStr">
        <is>
          <t>ត្រាយអ៊ែងហ្គល ឡូជីស្ទីក (ខេមបូឌា) ឯ.ក</t>
        </is>
      </c>
      <c r="D1409" t="inlineStr">
        <is>
          <t>K010-902101743</t>
        </is>
      </c>
      <c r="E1409" t="inlineStr">
        <is>
          <t>TAG-24-00654</t>
        </is>
      </c>
      <c r="F1409" t="inlineStr">
        <is>
          <t>19-09-2024</t>
        </is>
      </c>
      <c r="G1409" t="n">
        <v>28686</v>
      </c>
      <c r="I1409">
        <f>G1409</f>
        <v/>
      </c>
      <c r="K1409">
        <f>I1409-G1409</f>
        <v/>
      </c>
      <c r="M1409" t="inlineStr">
        <is>
          <t>TAG2400654</t>
        </is>
      </c>
      <c r="N1409" t="inlineStr">
        <is>
          <t>8325100</t>
        </is>
      </c>
      <c r="O1409">
        <f>M1409=N1409</f>
        <v/>
      </c>
      <c r="P1409">
        <f>AND(MONTH(F1409)=MONTH(S1409), YEAR(F1409)=YEAR(S1409))</f>
        <v/>
      </c>
      <c r="Q1409">
        <f>"L001-902303751"=U1409</f>
        <v/>
      </c>
      <c r="R1409">
        <f>G1409-W1409</f>
        <v/>
      </c>
      <c r="S1409" s="36" t="n">
        <v>45565</v>
      </c>
      <c r="T1409" t="n">
        <v>83251</v>
      </c>
      <c r="U1409" t="inlineStr">
        <is>
          <t>L001-107032791</t>
        </is>
      </c>
      <c r="V1409" t="inlineStr">
        <is>
          <t>នីបផន អិចប្រេស (ខេមបូឌា) ខូ អិលធីឌី</t>
        </is>
      </c>
      <c r="W1409" t="n">
        <v>83251</v>
      </c>
      <c r="X1409" t="n">
        <v>0</v>
      </c>
    </row>
    <row r="1410">
      <c r="A1410" t="n">
        <v>1409</v>
      </c>
      <c r="B1410" t="inlineStr">
        <is>
          <t>Cargo Terminal</t>
        </is>
      </c>
      <c r="C1410" t="inlineStr">
        <is>
          <t>សូស៊ីយេតេ កុងសេស្យូនែរ ដឺ ឡាអេរ៉ូព័រ</t>
        </is>
      </c>
      <c r="D1410" t="inlineStr">
        <is>
          <t>L001-100047300</t>
        </is>
      </c>
      <c r="E1410" t="inlineStr">
        <is>
          <t>2400-070436</t>
        </is>
      </c>
      <c r="F1410" t="inlineStr">
        <is>
          <t>02-09-2024</t>
        </is>
      </c>
      <c r="G1410" t="n">
        <v>2565</v>
      </c>
      <c r="I1410">
        <f>G1410</f>
        <v/>
      </c>
      <c r="K1410">
        <f>I1410-G1410</f>
        <v/>
      </c>
      <c r="M1410" t="inlineStr">
        <is>
          <t>2400070436</t>
        </is>
      </c>
      <c r="N1410" t="inlineStr">
        <is>
          <t>11148500</t>
        </is>
      </c>
      <c r="O1410">
        <f>M1410=N1410</f>
        <v/>
      </c>
      <c r="P1410">
        <f>AND(MONTH(F1410)=MONTH(S1410), YEAR(F1410)=YEAR(S1410))</f>
        <v/>
      </c>
      <c r="Q1410">
        <f>"L001-902303751"=U1410</f>
        <v/>
      </c>
      <c r="R1410">
        <f>G1410-W1410</f>
        <v/>
      </c>
      <c r="S1410" s="36" t="n">
        <v>45551</v>
      </c>
      <c r="T1410" t="n">
        <v>111485</v>
      </c>
      <c r="U1410" t="inlineStr">
        <is>
          <t>L001-901500191</t>
        </is>
      </c>
      <c r="V1410" t="inlineStr">
        <is>
          <t>អ.អិន.វ៉ាយ ត្រេនស្ព័ត</t>
        </is>
      </c>
      <c r="W1410" t="n">
        <v>111485</v>
      </c>
      <c r="X1410" t="n">
        <v>0</v>
      </c>
    </row>
    <row r="1411">
      <c r="A1411" t="n">
        <v>1410</v>
      </c>
      <c r="B1411" t="inlineStr">
        <is>
          <t>Customs Clearance Fee and Trucking Fee</t>
        </is>
      </c>
      <c r="C1411" t="inlineStr">
        <is>
          <t>ត្រាយអ៊ែងហ្គល ឡូជីស្ទីក (ខេមបូឌា) ឯ.ក</t>
        </is>
      </c>
      <c r="D1411" t="inlineStr">
        <is>
          <t>K010-902101743</t>
        </is>
      </c>
      <c r="E1411" t="inlineStr">
        <is>
          <t>TAG-24-00652</t>
        </is>
      </c>
      <c r="F1411" t="inlineStr">
        <is>
          <t>19-09-2024</t>
        </is>
      </c>
      <c r="G1411" t="n">
        <v>28686</v>
      </c>
      <c r="I1411">
        <f>G1411</f>
        <v/>
      </c>
      <c r="K1411">
        <f>I1411-G1411</f>
        <v/>
      </c>
      <c r="M1411" t="inlineStr">
        <is>
          <t>TAG2400652</t>
        </is>
      </c>
      <c r="N1411" t="inlineStr">
        <is>
          <t>8329200</t>
        </is>
      </c>
      <c r="O1411">
        <f>M1411=N1411</f>
        <v/>
      </c>
      <c r="P1411">
        <f>AND(MONTH(F1411)=MONTH(S1411), YEAR(F1411)=YEAR(S1411))</f>
        <v/>
      </c>
      <c r="Q1411">
        <f>"L001-902303751"=U1411</f>
        <v/>
      </c>
      <c r="R1411">
        <f>G1411-W1411</f>
        <v/>
      </c>
      <c r="S1411" s="36" t="n">
        <v>45558</v>
      </c>
      <c r="T1411" t="n">
        <v>83292</v>
      </c>
      <c r="U1411" t="inlineStr">
        <is>
          <t>L001-107032791</t>
        </is>
      </c>
      <c r="V1411" t="inlineStr">
        <is>
          <t>នីបផន អិចប្រេស (ខេមបូឌា) ខូ អិលធីឌី</t>
        </is>
      </c>
      <c r="W1411" t="n">
        <v>83292</v>
      </c>
      <c r="X1411" t="n">
        <v>0</v>
      </c>
    </row>
    <row r="1412">
      <c r="A1412" t="n">
        <v>1411</v>
      </c>
      <c r="B1412" t="inlineStr">
        <is>
          <t>Import Shipment Expense</t>
        </is>
      </c>
      <c r="C1412" t="inlineStr">
        <is>
          <t>អឹឡាយអិន ហ្វ័រវើឌីង (ខេមបូឌា) ឯ.ក</t>
        </is>
      </c>
      <c r="D1412" t="inlineStr">
        <is>
          <t>K005-901902888</t>
        </is>
      </c>
      <c r="E1412" t="inlineStr">
        <is>
          <t>PPTI24-0647</t>
        </is>
      </c>
      <c r="F1412" t="inlineStr">
        <is>
          <t>04-09-2024</t>
        </is>
      </c>
      <c r="G1412" t="n">
        <v>86903</v>
      </c>
      <c r="I1412">
        <f>G1412</f>
        <v/>
      </c>
      <c r="K1412">
        <f>I1412-G1412</f>
        <v/>
      </c>
      <c r="M1412" t="inlineStr">
        <is>
          <t>PPTI240647</t>
        </is>
      </c>
      <c r="N1412" t="inlineStr"/>
      <c r="O1412">
        <f>M1412=N1412</f>
        <v/>
      </c>
      <c r="P1412">
        <f>AND(MONTH(F1412)=MONTH(S1412), YEAR(F1412)=YEAR(S1412))</f>
        <v/>
      </c>
      <c r="Q1412">
        <f>"L001-902303751"=U1412</f>
        <v/>
      </c>
      <c r="R1412">
        <f>G1412-W1412</f>
        <v/>
      </c>
      <c r="S1412" s="36" t="n">
        <v>45558</v>
      </c>
      <c r="T1412" t="inlineStr"/>
      <c r="U1412" t="inlineStr">
        <is>
          <t>L001-107032791</t>
        </is>
      </c>
      <c r="V1412" t="inlineStr">
        <is>
          <t>នីបផន អិចប្រេស (ខេមបូឌា) ខូ អិលធីឌី</t>
        </is>
      </c>
      <c r="W1412" t="n">
        <v>0</v>
      </c>
      <c r="X1412" t="n">
        <v>0</v>
      </c>
    </row>
    <row r="1413">
      <c r="A1413" t="n">
        <v>1412</v>
      </c>
      <c r="B1413" t="inlineStr">
        <is>
          <t>Charge from Warehouse/cy to trucks</t>
        </is>
      </c>
      <c r="C1413" t="inlineStr">
        <is>
          <t>កំពង់ផែស្វយ័តក្រុងព្រះសីហនុ</t>
        </is>
      </c>
      <c r="D1413" t="inlineStr">
        <is>
          <t>L001-100044638</t>
        </is>
      </c>
      <c r="E1413" t="inlineStr">
        <is>
          <t>185130</t>
        </is>
      </c>
      <c r="F1413" t="inlineStr">
        <is>
          <t>07-09-2024</t>
        </is>
      </c>
      <c r="G1413" t="n">
        <v>1248</v>
      </c>
      <c r="I1413">
        <f>G1413</f>
        <v/>
      </c>
      <c r="K1413">
        <f>I1413-G1413</f>
        <v/>
      </c>
      <c r="M1413" t="inlineStr">
        <is>
          <t>185130</t>
        </is>
      </c>
      <c r="N1413" t="inlineStr">
        <is>
          <t>11203500</t>
        </is>
      </c>
      <c r="O1413">
        <f>M1413=N1413</f>
        <v/>
      </c>
      <c r="P1413">
        <f>AND(MONTH(F1413)=MONTH(S1413), YEAR(F1413)=YEAR(S1413))</f>
        <v/>
      </c>
      <c r="Q1413">
        <f>"L001-902303751"=U1413</f>
        <v/>
      </c>
      <c r="R1413">
        <f>G1413-W1413</f>
        <v/>
      </c>
      <c r="S1413" s="36" t="n">
        <v>45544</v>
      </c>
      <c r="T1413" t="n">
        <v>112035</v>
      </c>
      <c r="U1413" t="inlineStr">
        <is>
          <t>L001-100045995</t>
        </is>
      </c>
      <c r="V1413" t="inlineStr">
        <is>
          <t>ឌីអេចអិល ឡូជីស្ទីក (ខេមបូឌា)</t>
        </is>
      </c>
      <c r="W1413" t="n">
        <v>112035</v>
      </c>
      <c r="X1413" t="n">
        <v>0</v>
      </c>
    </row>
    <row r="1414">
      <c r="A1414" t="n">
        <v>1413</v>
      </c>
      <c r="B1414" t="inlineStr">
        <is>
          <t>Customs Clearance Fee and Trucking Fee</t>
        </is>
      </c>
      <c r="C1414" t="inlineStr">
        <is>
          <t>ត្រាយអ៊ែងហ្គល ឡូជីស្ទីក (ខេមបូឌា) ឯ.ក</t>
        </is>
      </c>
      <c r="D1414" t="inlineStr">
        <is>
          <t>K010-902101743</t>
        </is>
      </c>
      <c r="E1414" t="inlineStr">
        <is>
          <t>TAG-24-00667</t>
        </is>
      </c>
      <c r="F1414" t="inlineStr">
        <is>
          <t>19-09-2024</t>
        </is>
      </c>
      <c r="G1414" t="n">
        <v>32784</v>
      </c>
      <c r="I1414">
        <f>G1414</f>
        <v/>
      </c>
      <c r="K1414">
        <f>I1414-G1414</f>
        <v/>
      </c>
      <c r="M1414" t="inlineStr">
        <is>
          <t>TAG2400667</t>
        </is>
      </c>
      <c r="N1414" t="inlineStr"/>
      <c r="O1414">
        <f>M1414=N1414</f>
        <v/>
      </c>
      <c r="P1414">
        <f>AND(MONTH(F1414)=MONTH(S1414), YEAR(F1414)=YEAR(S1414))</f>
        <v/>
      </c>
      <c r="Q1414">
        <f>"L001-902303751"=U1414</f>
        <v/>
      </c>
      <c r="R1414">
        <f>G1414-W1414</f>
        <v/>
      </c>
      <c r="S1414" s="36" t="n">
        <v>45544</v>
      </c>
      <c r="T1414" t="inlineStr"/>
      <c r="U1414" t="inlineStr">
        <is>
          <t>L001-100045340</t>
        </is>
      </c>
      <c r="V1414" t="inlineStr">
        <is>
          <t xml:space="preserve">ស៊ីវ៉ា អ៊ែរ អ៊ែន អូសៀន (ខេមបូឌា) ឯ.ក </t>
        </is>
      </c>
      <c r="W1414" t="n">
        <v>0</v>
      </c>
      <c r="X1414" t="n">
        <v>0</v>
      </c>
    </row>
    <row r="1415">
      <c r="A1415" t="n">
        <v>1414</v>
      </c>
      <c r="B1415" t="inlineStr">
        <is>
          <t>Import Shipment Expense</t>
        </is>
      </c>
      <c r="C1415" t="inlineStr">
        <is>
          <t>ស៊ីប៊ីជី ឡូជីស្ទីក (ខេមបូឌា)</t>
        </is>
      </c>
      <c r="D1415" t="inlineStr">
        <is>
          <t>K009-107034735</t>
        </is>
      </c>
      <c r="E1415" t="inlineStr">
        <is>
          <t>IN2024-0950</t>
        </is>
      </c>
      <c r="F1415" t="inlineStr">
        <is>
          <t>02-09-2024</t>
        </is>
      </c>
      <c r="G1415" t="n">
        <v>76497</v>
      </c>
      <c r="I1415">
        <f>G1415</f>
        <v/>
      </c>
      <c r="K1415">
        <f>I1415-G1415</f>
        <v/>
      </c>
      <c r="M1415" t="inlineStr">
        <is>
          <t>IN20240950</t>
        </is>
      </c>
      <c r="N1415" t="inlineStr">
        <is>
          <t>8325100</t>
        </is>
      </c>
      <c r="O1415">
        <f>M1415=N1415</f>
        <v/>
      </c>
      <c r="P1415">
        <f>AND(MONTH(F1415)=MONTH(S1415), YEAR(F1415)=YEAR(S1415))</f>
        <v/>
      </c>
      <c r="Q1415">
        <f>"L001-902303751"=U1415</f>
        <v/>
      </c>
      <c r="R1415">
        <f>G1415-W1415</f>
        <v/>
      </c>
      <c r="S1415" s="36" t="n">
        <v>45565</v>
      </c>
      <c r="T1415" t="n">
        <v>83251</v>
      </c>
      <c r="U1415" t="inlineStr">
        <is>
          <t>L001-107032791</t>
        </is>
      </c>
      <c r="V1415" t="inlineStr">
        <is>
          <t>នីបផន អិចប្រេស (ខេមបូឌា) ខូ អិលធីឌី</t>
        </is>
      </c>
      <c r="W1415" t="n">
        <v>83251</v>
      </c>
      <c r="X1415" t="n">
        <v>0</v>
      </c>
    </row>
    <row r="1416">
      <c r="A1416" t="n">
        <v>1415</v>
      </c>
      <c r="B1416" t="inlineStr">
        <is>
          <t>Releasing /Receiving, Agency Fee and Gate Charge</t>
        </is>
      </c>
      <c r="C1416" t="inlineStr">
        <is>
          <t>តិច ស្រ៊ុន អ៊ឹមផត អ៊ិចផត &amp; ត្រេនស្ព័ត</t>
        </is>
      </c>
      <c r="D1416" t="inlineStr">
        <is>
          <t>L001-100045138</t>
        </is>
      </c>
      <c r="E1416" t="inlineStr">
        <is>
          <t>TSDP000648/24</t>
        </is>
      </c>
      <c r="F1416" t="inlineStr">
        <is>
          <t>06-09-2024</t>
        </is>
      </c>
      <c r="G1416" t="n">
        <v>7496</v>
      </c>
      <c r="I1416">
        <f>G1416</f>
        <v/>
      </c>
      <c r="K1416">
        <f>I1416-G1416</f>
        <v/>
      </c>
      <c r="M1416" t="inlineStr">
        <is>
          <t>TSDP00064824</t>
        </is>
      </c>
      <c r="N1416" t="inlineStr"/>
      <c r="O1416">
        <f>M1416=N1416</f>
        <v/>
      </c>
      <c r="P1416">
        <f>AND(MONTH(F1416)=MONTH(S1416), YEAR(F1416)=YEAR(S1416))</f>
        <v/>
      </c>
      <c r="Q1416">
        <f>"L001-902303751"=U1416</f>
        <v/>
      </c>
      <c r="R1416">
        <f>G1416-W1416</f>
        <v/>
      </c>
      <c r="S1416" s="36" t="n">
        <v>45558</v>
      </c>
      <c r="T1416" t="inlineStr"/>
      <c r="U1416" t="inlineStr">
        <is>
          <t>L001-100045995</t>
        </is>
      </c>
      <c r="V1416" t="inlineStr">
        <is>
          <t>ឌីអេចអិល ឡូជីស្ទីក (ខេមបូឌា)</t>
        </is>
      </c>
      <c r="W1416" t="n">
        <v>0</v>
      </c>
      <c r="X1416" t="n">
        <v>0</v>
      </c>
    </row>
    <row r="1417">
      <c r="A1417" t="n">
        <v>1416</v>
      </c>
      <c r="B1417" t="inlineStr">
        <is>
          <t>Customs Clearance Fee and Trucking Fee</t>
        </is>
      </c>
      <c r="C1417" t="inlineStr">
        <is>
          <t>ត្រាយអ៊ែងហ្គល ឡូជីស្ទីក (ខេមបូឌា) ឯ.ក</t>
        </is>
      </c>
      <c r="D1417" t="inlineStr">
        <is>
          <t>K010-902101743</t>
        </is>
      </c>
      <c r="E1417" t="inlineStr">
        <is>
          <t>TAG-24-00657</t>
        </is>
      </c>
      <c r="F1417" t="inlineStr">
        <is>
          <t>19-09-2024</t>
        </is>
      </c>
      <c r="G1417" t="n">
        <v>28686</v>
      </c>
      <c r="I1417">
        <f>G1417</f>
        <v/>
      </c>
      <c r="K1417">
        <f>I1417-G1417</f>
        <v/>
      </c>
      <c r="M1417" t="inlineStr">
        <is>
          <t>TAG2400657</t>
        </is>
      </c>
      <c r="N1417" t="inlineStr">
        <is>
          <t>12635900</t>
        </is>
      </c>
      <c r="O1417">
        <f>M1417=N1417</f>
        <v/>
      </c>
      <c r="P1417">
        <f>AND(MONTH(F1417)=MONTH(S1417), YEAR(F1417)=YEAR(S1417))</f>
        <v/>
      </c>
      <c r="Q1417">
        <f>"L001-902303751"=U1417</f>
        <v/>
      </c>
      <c r="R1417">
        <f>G1417-W1417</f>
        <v/>
      </c>
      <c r="S1417" s="36" t="n">
        <v>45558</v>
      </c>
      <c r="T1417" t="n">
        <v>126359</v>
      </c>
      <c r="U1417" t="inlineStr">
        <is>
          <t>L001-100045340</t>
        </is>
      </c>
      <c r="V1417" t="inlineStr">
        <is>
          <t xml:space="preserve">ស៊ីវ៉ា អ៊ែរ អ៊ែន អូសៀន (ខេមបូឌា) ឯ.ក </t>
        </is>
      </c>
      <c r="W1417" t="n">
        <v>126359</v>
      </c>
      <c r="X1417" t="n">
        <v>0</v>
      </c>
    </row>
    <row r="1418">
      <c r="A1418" t="n">
        <v>1417</v>
      </c>
      <c r="B1418" t="inlineStr">
        <is>
          <t>Import Shipment Expense</t>
        </is>
      </c>
      <c r="C1418" t="inlineStr">
        <is>
          <t>ហ្វ្រេត ខនសិប (ខេមបូឌា)</t>
        </is>
      </c>
      <c r="D1418" t="inlineStr">
        <is>
          <t>K009-901502482</t>
        </is>
      </c>
      <c r="E1418" t="inlineStr">
        <is>
          <t>240876</t>
        </is>
      </c>
      <c r="F1418" t="inlineStr">
        <is>
          <t>03-09-2024</t>
        </is>
      </c>
      <c r="G1418" t="n">
        <v>81240</v>
      </c>
      <c r="I1418">
        <f>G1418</f>
        <v/>
      </c>
      <c r="K1418">
        <f>I1418-G1418</f>
        <v/>
      </c>
      <c r="M1418" t="inlineStr">
        <is>
          <t>240876</t>
        </is>
      </c>
      <c r="N1418" t="inlineStr">
        <is>
          <t>20067300</t>
        </is>
      </c>
      <c r="O1418">
        <f>M1418=N1418</f>
        <v/>
      </c>
      <c r="P1418">
        <f>AND(MONTH(F1418)=MONTH(S1418), YEAR(F1418)=YEAR(S1418))</f>
        <v/>
      </c>
      <c r="Q1418">
        <f>"L001-902303751"=U1418</f>
        <v/>
      </c>
      <c r="R1418">
        <f>G1418-W1418</f>
        <v/>
      </c>
      <c r="S1418" s="36" t="n">
        <v>45551</v>
      </c>
      <c r="T1418" t="n">
        <v>200673</v>
      </c>
      <c r="U1418" t="inlineStr">
        <is>
          <t>L001-901500191</t>
        </is>
      </c>
      <c r="V1418" t="inlineStr">
        <is>
          <t>អ.អិន.វ៉ាយ ត្រេនស្ព័ត</t>
        </is>
      </c>
      <c r="W1418" t="n">
        <v>200673</v>
      </c>
      <c r="X1418" t="n">
        <v>0</v>
      </c>
    </row>
    <row r="1419">
      <c r="A1419" t="n">
        <v>1418</v>
      </c>
      <c r="B1419" t="inlineStr">
        <is>
          <t>Charge from Warehouse/cy to trucks</t>
        </is>
      </c>
      <c r="C1419" t="inlineStr">
        <is>
          <t>កំពង់ផែស្វយ័តក្រុងព្រះសីហនុ</t>
        </is>
      </c>
      <c r="D1419" t="inlineStr">
        <is>
          <t>L001-100044638</t>
        </is>
      </c>
      <c r="E1419" t="inlineStr">
        <is>
          <t>181932</t>
        </is>
      </c>
      <c r="F1419" t="inlineStr">
        <is>
          <t>04-09-2024</t>
        </is>
      </c>
      <c r="G1419" t="n">
        <v>622</v>
      </c>
      <c r="I1419">
        <f>G1419</f>
        <v/>
      </c>
      <c r="K1419">
        <f>I1419-G1419</f>
        <v/>
      </c>
      <c r="M1419" t="inlineStr">
        <is>
          <t>181932</t>
        </is>
      </c>
      <c r="N1419" t="inlineStr"/>
      <c r="O1419">
        <f>M1419=N1419</f>
        <v/>
      </c>
      <c r="P1419">
        <f>AND(MONTH(F1419)=MONTH(S1419), YEAR(F1419)=YEAR(S1419))</f>
        <v/>
      </c>
      <c r="Q1419">
        <f>"L001-902303751"=U1419</f>
        <v/>
      </c>
      <c r="R1419">
        <f>G1419-W1419</f>
        <v/>
      </c>
      <c r="S1419" s="36" t="n">
        <v>45558</v>
      </c>
      <c r="T1419" t="inlineStr"/>
      <c r="U1419" t="inlineStr">
        <is>
          <t>L001-100045995</t>
        </is>
      </c>
      <c r="V1419" t="inlineStr">
        <is>
          <t>ឌីអេចអិល ឡូជីស្ទីក (ខេមបូឌា)</t>
        </is>
      </c>
      <c r="W1419" t="n">
        <v>0</v>
      </c>
      <c r="X1419" t="n">
        <v>0</v>
      </c>
    </row>
    <row r="1420">
      <c r="A1420" t="n">
        <v>1419</v>
      </c>
      <c r="B1420" t="inlineStr">
        <is>
          <t>Customs Clearance Fee and Trucking Fee</t>
        </is>
      </c>
      <c r="C1420" t="inlineStr">
        <is>
          <t>ត្រាយអ៊ែងហ្គល ឡូជីស្ទីក (ខេមបូឌា) ឯ.ក</t>
        </is>
      </c>
      <c r="D1420" t="inlineStr">
        <is>
          <t>K010-902101743</t>
        </is>
      </c>
      <c r="E1420" t="inlineStr">
        <is>
          <t>TAG-24-00666</t>
        </is>
      </c>
      <c r="F1420" t="inlineStr">
        <is>
          <t>19-09-2024</t>
        </is>
      </c>
      <c r="G1420" t="n">
        <v>32784</v>
      </c>
      <c r="I1420">
        <f>G1420</f>
        <v/>
      </c>
      <c r="K1420">
        <f>I1420-G1420</f>
        <v/>
      </c>
      <c r="M1420" t="inlineStr">
        <is>
          <t>TAG2400666</t>
        </is>
      </c>
      <c r="N1420" t="inlineStr">
        <is>
          <t>169055200</t>
        </is>
      </c>
      <c r="O1420">
        <f>M1420=N1420</f>
        <v/>
      </c>
      <c r="P1420">
        <f>AND(MONTH(F1420)=MONTH(S1420), YEAR(F1420)=YEAR(S1420))</f>
        <v/>
      </c>
      <c r="Q1420">
        <f>"L001-902303751"=U1420</f>
        <v/>
      </c>
      <c r="R1420">
        <f>G1420-W1420</f>
        <v/>
      </c>
      <c r="S1420" s="36" t="n">
        <v>45536</v>
      </c>
      <c r="T1420" t="n">
        <v>1690552</v>
      </c>
      <c r="U1420" t="inlineStr">
        <is>
          <t>K004-105012505</t>
        </is>
      </c>
      <c r="V1420" t="inlineStr">
        <is>
          <t>អេស៊ាន ហ្វ្រេត (ខេមបូឌា)</t>
        </is>
      </c>
      <c r="W1420" t="n">
        <v>1690552</v>
      </c>
      <c r="X1420" t="n">
        <v>0</v>
      </c>
    </row>
    <row r="1421">
      <c r="A1421" t="n">
        <v>1420</v>
      </c>
      <c r="B1421" t="inlineStr">
        <is>
          <t>Import Shipment Expense</t>
        </is>
      </c>
      <c r="C1421" t="inlineStr">
        <is>
          <t>ហ្វ្រេត ខនសិប (ខេមបូឌា)</t>
        </is>
      </c>
      <c r="D1421" t="inlineStr">
        <is>
          <t>K009-901502482</t>
        </is>
      </c>
      <c r="E1421" t="inlineStr">
        <is>
          <t>240895</t>
        </is>
      </c>
      <c r="F1421" t="inlineStr">
        <is>
          <t>05-09-2024</t>
        </is>
      </c>
      <c r="G1421" t="n">
        <v>98965</v>
      </c>
      <c r="I1421">
        <f>G1421</f>
        <v/>
      </c>
      <c r="K1421">
        <f>I1421-G1421</f>
        <v/>
      </c>
      <c r="M1421" t="inlineStr">
        <is>
          <t>240895</t>
        </is>
      </c>
      <c r="N1421" t="inlineStr">
        <is>
          <t>29129100</t>
        </is>
      </c>
      <c r="O1421">
        <f>M1421=N1421</f>
        <v/>
      </c>
      <c r="P1421">
        <f>AND(MONTH(F1421)=MONTH(S1421), YEAR(F1421)=YEAR(S1421))</f>
        <v/>
      </c>
      <c r="Q1421">
        <f>"L001-902303751"=U1421</f>
        <v/>
      </c>
      <c r="R1421">
        <f>G1421-W1421</f>
        <v/>
      </c>
      <c r="S1421" s="36" t="n">
        <v>45544</v>
      </c>
      <c r="T1421" t="n">
        <v>291291</v>
      </c>
      <c r="U1421" t="inlineStr">
        <is>
          <t>L001-100045995</t>
        </is>
      </c>
      <c r="V1421" t="inlineStr">
        <is>
          <t>ឌីអេចអិល ឡូជីស្ទីក (ខេមបូឌា)</t>
        </is>
      </c>
      <c r="W1421" t="n">
        <v>291291</v>
      </c>
      <c r="X1421" t="n">
        <v>0</v>
      </c>
    </row>
    <row r="1422">
      <c r="A1422" t="n">
        <v>1421</v>
      </c>
      <c r="B1422" t="inlineStr">
        <is>
          <t>Charge from Warehouse/cy to trucks</t>
        </is>
      </c>
      <c r="C1422" t="inlineStr">
        <is>
          <t>កំពង់ផែស្វយ័តក្រុងព្រះសីហនុ</t>
        </is>
      </c>
      <c r="D1422" t="inlineStr">
        <is>
          <t>L001-100044638</t>
        </is>
      </c>
      <c r="E1422" t="inlineStr">
        <is>
          <t>186266</t>
        </is>
      </c>
      <c r="F1422" t="inlineStr">
        <is>
          <t>10-09-2024</t>
        </is>
      </c>
      <c r="G1422" t="n">
        <v>1246</v>
      </c>
      <c r="I1422">
        <f>G1422</f>
        <v/>
      </c>
      <c r="K1422">
        <f>I1422-G1422</f>
        <v/>
      </c>
      <c r="M1422" t="inlineStr">
        <is>
          <t>186266</t>
        </is>
      </c>
      <c r="N1422" t="inlineStr">
        <is>
          <t>11203500</t>
        </is>
      </c>
      <c r="O1422">
        <f>M1422=N1422</f>
        <v/>
      </c>
      <c r="P1422">
        <f>AND(MONTH(F1422)=MONTH(S1422), YEAR(F1422)=YEAR(S1422))</f>
        <v/>
      </c>
      <c r="Q1422">
        <f>"L001-902303751"=U1422</f>
        <v/>
      </c>
      <c r="R1422">
        <f>G1422-W1422</f>
        <v/>
      </c>
      <c r="S1422" s="36" t="n">
        <v>45544</v>
      </c>
      <c r="T1422" t="n">
        <v>112035</v>
      </c>
      <c r="U1422" t="inlineStr">
        <is>
          <t>L001-100045995</t>
        </is>
      </c>
      <c r="V1422" t="inlineStr">
        <is>
          <t>ឌីអេចអិល ឡូជីស្ទីក (ខេមបូឌា)</t>
        </is>
      </c>
      <c r="W1422" t="n">
        <v>112035</v>
      </c>
      <c r="X1422" t="n">
        <v>0</v>
      </c>
    </row>
    <row r="1423">
      <c r="A1423" t="n">
        <v>1422</v>
      </c>
      <c r="B1423" t="inlineStr">
        <is>
          <t>Customs Clearance Fee and Trucking Fee</t>
        </is>
      </c>
      <c r="C1423" t="inlineStr">
        <is>
          <t>ត្រាយអ៊ែងហ្គល ឡូជីស្ទីក (ខេមបូឌា) ឯ.ក</t>
        </is>
      </c>
      <c r="D1423" t="inlineStr">
        <is>
          <t>K010-902101743</t>
        </is>
      </c>
      <c r="E1423" t="inlineStr">
        <is>
          <t>TAG-24-00668</t>
        </is>
      </c>
      <c r="F1423" t="inlineStr">
        <is>
          <t>19-09-2024</t>
        </is>
      </c>
      <c r="G1423" t="n">
        <v>32784</v>
      </c>
      <c r="I1423">
        <f>G1423</f>
        <v/>
      </c>
      <c r="K1423">
        <f>I1423-G1423</f>
        <v/>
      </c>
      <c r="M1423" t="inlineStr">
        <is>
          <t>TAG2400668</t>
        </is>
      </c>
      <c r="N1423" t="inlineStr">
        <is>
          <t>20067300</t>
        </is>
      </c>
      <c r="O1423">
        <f>M1423=N1423</f>
        <v/>
      </c>
      <c r="P1423">
        <f>AND(MONTH(F1423)=MONTH(S1423), YEAR(F1423)=YEAR(S1423))</f>
        <v/>
      </c>
      <c r="Q1423">
        <f>"L001-902303751"=U1423</f>
        <v/>
      </c>
      <c r="R1423">
        <f>G1423-W1423</f>
        <v/>
      </c>
      <c r="S1423" s="36" t="n">
        <v>45551</v>
      </c>
      <c r="T1423" t="n">
        <v>200673</v>
      </c>
      <c r="U1423" t="inlineStr">
        <is>
          <t>L001-107032791</t>
        </is>
      </c>
      <c r="V1423" t="inlineStr">
        <is>
          <t>នីបផន អិចប្រេស (ខេមបូឌា) ខូ អិលធីឌី</t>
        </is>
      </c>
      <c r="W1423" t="n">
        <v>200673</v>
      </c>
      <c r="X1423" t="n">
        <v>0</v>
      </c>
    </row>
    <row r="1424">
      <c r="A1424" t="n">
        <v>1423</v>
      </c>
      <c r="B1424" t="inlineStr">
        <is>
          <t>Charge from Warehouse/cy to trucks</t>
        </is>
      </c>
      <c r="C1424" t="inlineStr">
        <is>
          <t>កំពង់ផែស្វយ័តក្រុងព្រះសីហនុ</t>
        </is>
      </c>
      <c r="D1424" t="inlineStr">
        <is>
          <t>L001-100044638</t>
        </is>
      </c>
      <c r="E1424" t="inlineStr">
        <is>
          <t>181935</t>
        </is>
      </c>
      <c r="F1424" t="inlineStr">
        <is>
          <t>04-09-2024</t>
        </is>
      </c>
      <c r="G1424" t="n">
        <v>1870</v>
      </c>
      <c r="I1424">
        <f>G1424</f>
        <v/>
      </c>
      <c r="K1424">
        <f>I1424-G1424</f>
        <v/>
      </c>
      <c r="M1424" t="inlineStr">
        <is>
          <t>181935</t>
        </is>
      </c>
      <c r="N1424" t="inlineStr">
        <is>
          <t>11148500</t>
        </is>
      </c>
      <c r="O1424">
        <f>M1424=N1424</f>
        <v/>
      </c>
      <c r="P1424">
        <f>AND(MONTH(F1424)=MONTH(S1424), YEAR(F1424)=YEAR(S1424))</f>
        <v/>
      </c>
      <c r="Q1424">
        <f>"L001-902303751"=U1424</f>
        <v/>
      </c>
      <c r="R1424">
        <f>G1424-W1424</f>
        <v/>
      </c>
      <c r="S1424" s="36" t="n">
        <v>45551</v>
      </c>
      <c r="T1424" t="n">
        <v>111485</v>
      </c>
      <c r="U1424" t="inlineStr">
        <is>
          <t>L001-100045995</t>
        </is>
      </c>
      <c r="V1424" t="inlineStr">
        <is>
          <t>ឌីអេចអិល ឡូជីស្ទីក (ខេមបូឌា)</t>
        </is>
      </c>
      <c r="W1424" t="n">
        <v>111485</v>
      </c>
      <c r="X1424" t="n">
        <v>0</v>
      </c>
    </row>
    <row r="1425">
      <c r="A1425" t="n">
        <v>1424</v>
      </c>
      <c r="B1425" t="inlineStr">
        <is>
          <t>Customs Clearance Fee and Trucking Fee</t>
        </is>
      </c>
      <c r="C1425" t="inlineStr">
        <is>
          <t>ត្រាយអ៊ែងហ្គល ឡូជីស្ទីក (ខេមបូឌា) ឯ.ក</t>
        </is>
      </c>
      <c r="D1425" t="inlineStr">
        <is>
          <t>K010-902101743</t>
        </is>
      </c>
      <c r="E1425" t="inlineStr">
        <is>
          <t>TAG-24-00673</t>
        </is>
      </c>
      <c r="F1425" t="inlineStr">
        <is>
          <t>23-09-2024</t>
        </is>
      </c>
      <c r="G1425" t="n">
        <v>32504</v>
      </c>
      <c r="I1425">
        <f>G1425</f>
        <v/>
      </c>
      <c r="K1425">
        <f>I1425-G1425</f>
        <v/>
      </c>
      <c r="M1425" t="inlineStr">
        <is>
          <t>TAG2400673</t>
        </is>
      </c>
      <c r="N1425" t="inlineStr"/>
      <c r="O1425">
        <f>M1425=N1425</f>
        <v/>
      </c>
      <c r="P1425">
        <f>AND(MONTH(F1425)=MONTH(S1425), YEAR(F1425)=YEAR(S1425))</f>
        <v/>
      </c>
      <c r="Q1425">
        <f>"L001-902303751"=U1425</f>
        <v/>
      </c>
      <c r="R1425">
        <f>G1425-W1425</f>
        <v/>
      </c>
      <c r="S1425" s="36" t="n">
        <v>45537</v>
      </c>
      <c r="T1425" t="inlineStr"/>
      <c r="U1425" t="inlineStr">
        <is>
          <t>L001-107032791</t>
        </is>
      </c>
      <c r="V1425" t="inlineStr">
        <is>
          <t>នីបផន អិចប្រេស (ខេមបូឌា) ខូ អិលធីឌី</t>
        </is>
      </c>
      <c r="W1425" t="n">
        <v>0</v>
      </c>
      <c r="X1425" t="n">
        <v>0</v>
      </c>
    </row>
    <row r="1426">
      <c r="A1426" t="n">
        <v>1425</v>
      </c>
      <c r="B1426" t="inlineStr">
        <is>
          <t>Charge from Warehouse/cy to trucks and Storage Charges</t>
        </is>
      </c>
      <c r="C1426" t="inlineStr">
        <is>
          <t>កំពង់ផែស្វយ័តក្រុងព្រះសីហនុ</t>
        </is>
      </c>
      <c r="D1426" t="inlineStr">
        <is>
          <t>L001-100044638</t>
        </is>
      </c>
      <c r="E1426" t="inlineStr">
        <is>
          <t>184106</t>
        </is>
      </c>
      <c r="F1426" t="inlineStr">
        <is>
          <t>06-09-2024</t>
        </is>
      </c>
      <c r="G1426" t="n">
        <v>704</v>
      </c>
      <c r="I1426">
        <f>G1426</f>
        <v/>
      </c>
      <c r="K1426">
        <f>I1426-G1426</f>
        <v/>
      </c>
      <c r="M1426" t="inlineStr">
        <is>
          <t>184106</t>
        </is>
      </c>
      <c r="N1426" t="inlineStr"/>
      <c r="O1426">
        <f>M1426=N1426</f>
        <v/>
      </c>
      <c r="P1426">
        <f>AND(MONTH(F1426)=MONTH(S1426), YEAR(F1426)=YEAR(S1426))</f>
        <v/>
      </c>
      <c r="Q1426">
        <f>"L001-902303751"=U1426</f>
        <v/>
      </c>
      <c r="R1426">
        <f>G1426-W1426</f>
        <v/>
      </c>
      <c r="S1426" s="36" t="n">
        <v>45565</v>
      </c>
      <c r="T1426" t="inlineStr"/>
      <c r="U1426" t="inlineStr">
        <is>
          <t>L001-107032791</t>
        </is>
      </c>
      <c r="V1426" t="inlineStr">
        <is>
          <t>នីបផន អិចប្រេស (ខេមបូឌា) ខូ អិលធីឌី</t>
        </is>
      </c>
      <c r="W1426" t="n">
        <v>0</v>
      </c>
      <c r="X1426" t="n">
        <v>0</v>
      </c>
    </row>
    <row r="1427">
      <c r="A1427" t="n">
        <v>1426</v>
      </c>
      <c r="B1427" t="inlineStr">
        <is>
          <t>Customs Clearance Fee and Trucking Fee</t>
        </is>
      </c>
      <c r="C1427" t="inlineStr">
        <is>
          <t>ត្រាយអ៊ែងហ្គល ឡូជីស្ទីក (ខេមបូឌា) ឯ.ក</t>
        </is>
      </c>
      <c r="D1427" t="inlineStr">
        <is>
          <t>K010-902101743</t>
        </is>
      </c>
      <c r="E1427" t="inlineStr">
        <is>
          <t>TAG-24-00671</t>
        </is>
      </c>
      <c r="F1427" t="inlineStr">
        <is>
          <t>23-09-2024</t>
        </is>
      </c>
      <c r="G1427" t="n">
        <v>32504</v>
      </c>
      <c r="I1427">
        <f>G1427</f>
        <v/>
      </c>
      <c r="K1427">
        <f>I1427-G1427</f>
        <v/>
      </c>
      <c r="M1427" t="inlineStr">
        <is>
          <t>TAG2400671</t>
        </is>
      </c>
      <c r="N1427" t="inlineStr"/>
      <c r="O1427">
        <f>M1427=N1427</f>
        <v/>
      </c>
      <c r="P1427">
        <f>AND(MONTH(F1427)=MONTH(S1427), YEAR(F1427)=YEAR(S1427))</f>
        <v/>
      </c>
      <c r="Q1427">
        <f>"L001-902303751"=U1427</f>
        <v/>
      </c>
      <c r="R1427">
        <f>G1427-W1427</f>
        <v/>
      </c>
      <c r="S1427" s="36" t="n">
        <v>45562</v>
      </c>
      <c r="T1427" t="inlineStr"/>
      <c r="U1427" t="inlineStr">
        <is>
          <t>L001-107032791</t>
        </is>
      </c>
      <c r="V1427" t="inlineStr">
        <is>
          <t>នីបផន អិចប្រេស (ខេមបូឌា) ខូ អិលធីឌី</t>
        </is>
      </c>
      <c r="W1427" t="n">
        <v>0</v>
      </c>
      <c r="X1427" t="n">
        <v>0</v>
      </c>
    </row>
    <row r="1428">
      <c r="A1428" t="n">
        <v>1427</v>
      </c>
      <c r="B1428" t="inlineStr">
        <is>
          <t>Charge from Warehouse/cy to trucks</t>
        </is>
      </c>
      <c r="C1428" t="inlineStr">
        <is>
          <t>កំពង់ផែស្វយ័តក្រុងព្រះសីហនុ</t>
        </is>
      </c>
      <c r="D1428" t="inlineStr">
        <is>
          <t>L001-100044638</t>
        </is>
      </c>
      <c r="E1428" t="inlineStr">
        <is>
          <t>180950</t>
        </is>
      </c>
      <c r="F1428" t="inlineStr">
        <is>
          <t>03-09-2024</t>
        </is>
      </c>
      <c r="G1428" t="n">
        <v>620</v>
      </c>
      <c r="I1428">
        <f>G1428</f>
        <v/>
      </c>
      <c r="K1428">
        <f>I1428-G1428</f>
        <v/>
      </c>
      <c r="M1428" t="inlineStr">
        <is>
          <t>180950</t>
        </is>
      </c>
      <c r="N1428" t="inlineStr"/>
      <c r="O1428">
        <f>M1428=N1428</f>
        <v/>
      </c>
      <c r="P1428">
        <f>AND(MONTH(F1428)=MONTH(S1428), YEAR(F1428)=YEAR(S1428))</f>
        <v/>
      </c>
      <c r="Q1428">
        <f>"L001-902303751"=U1428</f>
        <v/>
      </c>
      <c r="R1428">
        <f>G1428-W1428</f>
        <v/>
      </c>
      <c r="S1428" s="36" t="n">
        <v>45558</v>
      </c>
      <c r="T1428" t="inlineStr"/>
      <c r="U1428" t="inlineStr">
        <is>
          <t>L001-100045995</t>
        </is>
      </c>
      <c r="V1428" t="inlineStr">
        <is>
          <t>ឌីអេចអិល ឡូជីស្ទីក (ខេមបូឌា)</t>
        </is>
      </c>
      <c r="W1428" t="n">
        <v>0</v>
      </c>
      <c r="X1428" t="n">
        <v>0</v>
      </c>
    </row>
    <row r="1429">
      <c r="A1429" t="n">
        <v>1428</v>
      </c>
      <c r="B1429" t="inlineStr">
        <is>
          <t>Customs Clearance Fee and Trucking Fee</t>
        </is>
      </c>
      <c r="C1429" t="inlineStr">
        <is>
          <t>ត្រាយអ៊ែងហ្គល ឡូជីស្ទីក (ខេមបូឌា) ឯ.ក</t>
        </is>
      </c>
      <c r="D1429" t="inlineStr">
        <is>
          <t>K010-902101743</t>
        </is>
      </c>
      <c r="E1429" t="inlineStr">
        <is>
          <t>TAG-24-00665</t>
        </is>
      </c>
      <c r="F1429" t="inlineStr">
        <is>
          <t>19-09-2024</t>
        </is>
      </c>
      <c r="G1429" t="n">
        <v>32784</v>
      </c>
      <c r="I1429">
        <f>G1429</f>
        <v/>
      </c>
      <c r="K1429">
        <f>I1429-G1429</f>
        <v/>
      </c>
      <c r="M1429" t="inlineStr">
        <is>
          <t>TAG2400665</t>
        </is>
      </c>
      <c r="N1429" t="inlineStr">
        <is>
          <t>11148500</t>
        </is>
      </c>
      <c r="O1429">
        <f>M1429=N1429</f>
        <v/>
      </c>
      <c r="P1429">
        <f>AND(MONTH(F1429)=MONTH(S1429), YEAR(F1429)=YEAR(S1429))</f>
        <v/>
      </c>
      <c r="Q1429">
        <f>"L001-902303751"=U1429</f>
        <v/>
      </c>
      <c r="R1429">
        <f>G1429-W1429</f>
        <v/>
      </c>
      <c r="S1429" s="36" t="n">
        <v>45551</v>
      </c>
      <c r="T1429" t="n">
        <v>111485</v>
      </c>
      <c r="U1429" t="inlineStr">
        <is>
          <t>L001-100045995</t>
        </is>
      </c>
      <c r="V1429" t="inlineStr">
        <is>
          <t>ឌីអេចអិល ឡូជីស្ទីក (ខេមបូឌា)</t>
        </is>
      </c>
      <c r="W1429" t="n">
        <v>111485</v>
      </c>
      <c r="X1429" t="n">
        <v>0</v>
      </c>
    </row>
    <row r="1430">
      <c r="A1430" t="n">
        <v>1429</v>
      </c>
      <c r="B1430" t="inlineStr">
        <is>
          <t>50% advance payment for custom-made boiler stainless steel dust collector and Chimney</t>
        </is>
      </c>
      <c r="C1430" t="inlineStr">
        <is>
          <t>វ៉ានលី ប៊យឡឺ អាយរ៉ុននីង អេឃ្វីបម៉ិន ឯ.ក</t>
        </is>
      </c>
      <c r="D1430" t="inlineStr">
        <is>
          <t>K010-902202437</t>
        </is>
      </c>
      <c r="E1430" t="inlineStr">
        <is>
          <t>W2024-0039</t>
        </is>
      </c>
      <c r="F1430" t="inlineStr">
        <is>
          <t>31-10-2024</t>
        </is>
      </c>
      <c r="G1430" t="n">
        <v>1046223</v>
      </c>
      <c r="I1430">
        <f>G1430</f>
        <v/>
      </c>
      <c r="K1430">
        <f>I1430-G1430</f>
        <v/>
      </c>
      <c r="M1430" t="inlineStr">
        <is>
          <t>W20240039</t>
        </is>
      </c>
      <c r="N1430" t="inlineStr"/>
      <c r="O1430">
        <f>M1430=N1430</f>
        <v/>
      </c>
      <c r="P1430">
        <f>AND(MONTH(F1430)=MONTH(S1430), YEAR(F1430)=YEAR(S1430))</f>
        <v/>
      </c>
      <c r="Q1430">
        <f>"L001-902303751"=U1430</f>
        <v/>
      </c>
      <c r="R1430">
        <f>G1430-W1430</f>
        <v/>
      </c>
      <c r="S1430" s="36" t="n">
        <v>45558</v>
      </c>
      <c r="T1430" t="inlineStr"/>
      <c r="U1430" t="inlineStr">
        <is>
          <t>L001-107032791</t>
        </is>
      </c>
      <c r="V1430" t="inlineStr">
        <is>
          <t>នីបផន អិចប្រេស (ខេមបូឌា) ខូ អិលធីឌី</t>
        </is>
      </c>
      <c r="W1430" t="n">
        <v>0</v>
      </c>
      <c r="X1430" t="n">
        <v>0</v>
      </c>
    </row>
    <row r="1431">
      <c r="A1431" t="n">
        <v>1430</v>
      </c>
      <c r="B1431" t="inlineStr">
        <is>
          <t>Cargo Terminal</t>
        </is>
      </c>
      <c r="C1431" t="inlineStr">
        <is>
          <t>សូស៊ីយេតេ កុងសេស្យូនែរ ដឺ ឡាអេរ៉ូព័រ</t>
        </is>
      </c>
      <c r="D1431" t="inlineStr">
        <is>
          <t>L001-100047300</t>
        </is>
      </c>
      <c r="E1431" t="inlineStr">
        <is>
          <t>2400083045</t>
        </is>
      </c>
      <c r="F1431" t="inlineStr">
        <is>
          <t>16-10-2024</t>
        </is>
      </c>
      <c r="G1431" t="n">
        <v>7341</v>
      </c>
      <c r="I1431">
        <f>G1431</f>
        <v/>
      </c>
      <c r="K1431">
        <f>I1431-G1431</f>
        <v/>
      </c>
      <c r="M1431" t="inlineStr">
        <is>
          <t>2400083045</t>
        </is>
      </c>
      <c r="N1431" t="inlineStr"/>
      <c r="O1431">
        <f>M1431=N1431</f>
        <v/>
      </c>
      <c r="P1431">
        <f>AND(MONTH(F1431)=MONTH(S1431), YEAR(F1431)=YEAR(S1431))</f>
        <v/>
      </c>
      <c r="Q1431">
        <f>"L001-902303751"=U1431</f>
        <v/>
      </c>
      <c r="R1431">
        <f>G1431-W1431</f>
        <v/>
      </c>
      <c r="S1431" s="36" t="n">
        <v>45551</v>
      </c>
      <c r="T1431" t="inlineStr"/>
      <c r="U1431" t="inlineStr">
        <is>
          <t>L001-100045340</t>
        </is>
      </c>
      <c r="V1431" t="inlineStr">
        <is>
          <t xml:space="preserve">ស៊ីវ៉ា អ៊ែរ អ៊ែន អូសៀន (ខេមបូឌា) ឯ.ក </t>
        </is>
      </c>
      <c r="W1431" t="n">
        <v>0</v>
      </c>
      <c r="X1431" t="n">
        <v>0</v>
      </c>
    </row>
    <row r="1432">
      <c r="A1432" t="n">
        <v>1431</v>
      </c>
      <c r="B1432" t="inlineStr">
        <is>
          <t>DocumentationOrigin, Handling Charges Origin, PLACI fee and HAWB Transmission Fee</t>
        </is>
      </c>
      <c r="C1432" t="inlineStr">
        <is>
          <t>ឌីប៊ី សេនឃើរ (ខេមបូឌា) លីមីធីត</t>
        </is>
      </c>
      <c r="D1432" t="inlineStr">
        <is>
          <t>L001-107041723</t>
        </is>
      </c>
      <c r="E1432" t="inlineStr">
        <is>
          <t>2400008223</t>
        </is>
      </c>
      <c r="F1432" t="inlineStr">
        <is>
          <t>16-10-2024</t>
        </is>
      </c>
      <c r="G1432" t="n">
        <v>49938</v>
      </c>
      <c r="I1432">
        <f>G1432</f>
        <v/>
      </c>
      <c r="K1432">
        <f>I1432-G1432</f>
        <v/>
      </c>
      <c r="M1432" t="inlineStr">
        <is>
          <t>2400008223</t>
        </is>
      </c>
      <c r="N1432" t="inlineStr"/>
      <c r="O1432">
        <f>M1432=N1432</f>
        <v/>
      </c>
      <c r="P1432">
        <f>AND(MONTH(F1432)=MONTH(S1432), YEAR(F1432)=YEAR(S1432))</f>
        <v/>
      </c>
      <c r="Q1432">
        <f>"L001-902303751"=U1432</f>
        <v/>
      </c>
      <c r="R1432">
        <f>G1432-W1432</f>
        <v/>
      </c>
      <c r="S1432" s="36" t="n">
        <v>45544</v>
      </c>
      <c r="T1432" t="inlineStr"/>
      <c r="U1432" t="inlineStr">
        <is>
          <t>L001-100045995</t>
        </is>
      </c>
      <c r="V1432" t="inlineStr">
        <is>
          <t>ឌីអេចអិល ឡូជីស្ទីក (ខេមបូឌា)</t>
        </is>
      </c>
      <c r="W1432" t="n">
        <v>0</v>
      </c>
      <c r="X1432" t="n">
        <v>0</v>
      </c>
    </row>
    <row r="1433">
      <c r="A1433" t="n">
        <v>1432</v>
      </c>
      <c r="B1433" t="inlineStr">
        <is>
          <t>Pest Control Service</t>
        </is>
      </c>
      <c r="C1433" t="inlineStr">
        <is>
          <t>ជីស៊ី ផេស ខិនត្រូល ឯ.ក</t>
        </is>
      </c>
      <c r="D1433" t="inlineStr">
        <is>
          <t>K004-902104767</t>
        </is>
      </c>
      <c r="E1433" t="inlineStr">
        <is>
          <t>2024-00023</t>
        </is>
      </c>
      <c r="F1433" t="inlineStr">
        <is>
          <t>16-10-2024</t>
        </is>
      </c>
      <c r="G1433" t="n">
        <v>259840</v>
      </c>
      <c r="I1433">
        <f>G1433</f>
        <v/>
      </c>
      <c r="K1433">
        <f>I1433-G1433</f>
        <v/>
      </c>
      <c r="M1433" t="inlineStr">
        <is>
          <t>202400023</t>
        </is>
      </c>
      <c r="N1433" t="inlineStr">
        <is>
          <t>8321000</t>
        </is>
      </c>
      <c r="O1433">
        <f>M1433=N1433</f>
        <v/>
      </c>
      <c r="P1433">
        <f>AND(MONTH(F1433)=MONTH(S1433), YEAR(F1433)=YEAR(S1433))</f>
        <v/>
      </c>
      <c r="Q1433">
        <f>"L001-902303751"=U1433</f>
        <v/>
      </c>
      <c r="R1433">
        <f>G1433-W1433</f>
        <v/>
      </c>
      <c r="S1433" s="36" t="n">
        <v>45537</v>
      </c>
      <c r="T1433" t="n">
        <v>83210</v>
      </c>
      <c r="U1433" t="inlineStr">
        <is>
          <t>L001-100045995</t>
        </is>
      </c>
      <c r="V1433" t="inlineStr">
        <is>
          <t>ឌីអេចអិល ឡូជីស្ទីក (ខេមបូឌា)</t>
        </is>
      </c>
      <c r="W1433" t="n">
        <v>83210</v>
      </c>
      <c r="X1433" t="n">
        <v>0</v>
      </c>
    </row>
    <row r="1434">
      <c r="A1434" t="n">
        <v>1433</v>
      </c>
      <c r="B1434" t="inlineStr">
        <is>
          <t>DNS Service</t>
        </is>
      </c>
      <c r="C1434" t="inlineStr">
        <is>
          <t>អង្គរ ដាតា ខមម្ញូនីខេសិន គ្រុប (អេ ឌី​ ស៊ី)</t>
        </is>
      </c>
      <c r="D1434" t="inlineStr">
        <is>
          <t>L001-100078885</t>
        </is>
      </c>
      <c r="E1434" t="inlineStr">
        <is>
          <t>TIPP24122383</t>
        </is>
      </c>
      <c r="F1434" t="inlineStr">
        <is>
          <t>08-10-2024</t>
        </is>
      </c>
      <c r="G1434" t="n">
        <v>20320</v>
      </c>
      <c r="I1434">
        <f>G1434</f>
        <v/>
      </c>
      <c r="K1434">
        <f>I1434-G1434</f>
        <v/>
      </c>
      <c r="M1434" t="inlineStr">
        <is>
          <t>TIPP24122383</t>
        </is>
      </c>
      <c r="N1434" t="inlineStr"/>
      <c r="O1434">
        <f>M1434=N1434</f>
        <v/>
      </c>
      <c r="P1434">
        <f>AND(MONTH(F1434)=MONTH(S1434), YEAR(F1434)=YEAR(S1434))</f>
        <v/>
      </c>
      <c r="Q1434">
        <f>"L001-902303751"=U1434</f>
        <v/>
      </c>
      <c r="R1434">
        <f>G1434-W1434</f>
        <v/>
      </c>
      <c r="S1434" s="36" t="n">
        <v>45537</v>
      </c>
      <c r="T1434" t="inlineStr"/>
      <c r="U1434" t="inlineStr">
        <is>
          <t>L001-100045995</t>
        </is>
      </c>
      <c r="V1434" t="inlineStr">
        <is>
          <t>ឌីអេចអិល ឡូជីស្ទីក (ខេមបូឌា)</t>
        </is>
      </c>
      <c r="W1434" t="n">
        <v>0</v>
      </c>
      <c r="X1434" t="n">
        <v>0</v>
      </c>
    </row>
    <row r="1435">
      <c r="A1435" t="n">
        <v>1434</v>
      </c>
      <c r="B1435" t="inlineStr">
        <is>
          <t>CFS Handling, Carrier BL, Document Assembly, Terminal Handling, Handling Fee, VGM Weighting Fee-CFS, Fuel Surcharge and Manifest Fee</t>
        </is>
      </c>
      <c r="C1435" t="inlineStr">
        <is>
          <t>អ៊ិចស្ពែឌីធ័រ ខេមបូឌា អិលធីឌី</t>
        </is>
      </c>
      <c r="D1435" t="inlineStr">
        <is>
          <t>L001-100045898</t>
        </is>
      </c>
      <c r="E1435" t="inlineStr">
        <is>
          <t>TI-0292871</t>
        </is>
      </c>
      <c r="F1435" t="inlineStr">
        <is>
          <t>14-10-2024</t>
        </is>
      </c>
      <c r="G1435" t="n">
        <v>103323</v>
      </c>
      <c r="I1435">
        <f>G1435</f>
        <v/>
      </c>
      <c r="K1435">
        <f>I1435-G1435</f>
        <v/>
      </c>
      <c r="M1435" t="inlineStr">
        <is>
          <t>TI0292871</t>
        </is>
      </c>
      <c r="N1435" t="inlineStr"/>
      <c r="O1435">
        <f>M1435=N1435</f>
        <v/>
      </c>
      <c r="P1435">
        <f>AND(MONTH(F1435)=MONTH(S1435), YEAR(F1435)=YEAR(S1435))</f>
        <v/>
      </c>
      <c r="Q1435">
        <f>"L001-902303751"=U1435</f>
        <v/>
      </c>
      <c r="R1435">
        <f>G1435-W1435</f>
        <v/>
      </c>
      <c r="S1435" s="36" t="n">
        <v>45537</v>
      </c>
      <c r="T1435" t="inlineStr"/>
      <c r="U1435" t="inlineStr">
        <is>
          <t>L001-107032791</t>
        </is>
      </c>
      <c r="V1435" t="inlineStr">
        <is>
          <t>នីបផន អិចប្រេស (ខេមបូឌា) ខូ អិលធីឌី</t>
        </is>
      </c>
      <c r="W1435" t="n">
        <v>0</v>
      </c>
      <c r="X1435" t="n">
        <v>0</v>
      </c>
    </row>
    <row r="1436">
      <c r="A1436" t="n">
        <v>1435</v>
      </c>
      <c r="B1436" t="inlineStr">
        <is>
          <t>CFS Handling, Carrier BL, Document Assembly, Terminal Handling, Handling Fee, VGM Processing Fee and Manifest Fee</t>
        </is>
      </c>
      <c r="C1436" t="inlineStr">
        <is>
          <t>អ៊ិចស្ពែឌីធ័រ ខេមបូឌា អិលធីឌី</t>
        </is>
      </c>
      <c r="D1436" t="inlineStr">
        <is>
          <t>L001-100045898</t>
        </is>
      </c>
      <c r="E1436" t="inlineStr">
        <is>
          <t>TI-0292870</t>
        </is>
      </c>
      <c r="F1436" t="inlineStr">
        <is>
          <t>14-10-2024</t>
        </is>
      </c>
      <c r="G1436" t="n">
        <v>91801</v>
      </c>
      <c r="I1436">
        <f>G1436</f>
        <v/>
      </c>
      <c r="K1436">
        <f>I1436-G1436</f>
        <v/>
      </c>
      <c r="M1436" t="inlineStr">
        <is>
          <t>TI0292870</t>
        </is>
      </c>
      <c r="N1436" t="inlineStr"/>
      <c r="O1436">
        <f>M1436=N1436</f>
        <v/>
      </c>
      <c r="P1436">
        <f>AND(MONTH(F1436)=MONTH(S1436), YEAR(F1436)=YEAR(S1436))</f>
        <v/>
      </c>
      <c r="Q1436">
        <f>"L001-902303751"=U1436</f>
        <v/>
      </c>
      <c r="R1436">
        <f>G1436-W1436</f>
        <v/>
      </c>
      <c r="S1436" s="36" t="n">
        <v>45565</v>
      </c>
      <c r="T1436" t="inlineStr"/>
      <c r="U1436" t="inlineStr">
        <is>
          <t>L001-107032791</t>
        </is>
      </c>
      <c r="V1436" t="inlineStr">
        <is>
          <t>នីបផន អិចប្រេស (ខេមបូឌា) ខូ អិលធីឌី</t>
        </is>
      </c>
      <c r="W1436" t="n">
        <v>0</v>
      </c>
      <c r="X1436" t="n">
        <v>0</v>
      </c>
    </row>
    <row r="1437">
      <c r="A1437" t="n">
        <v>1436</v>
      </c>
      <c r="B1437" t="inlineStr">
        <is>
          <t>CFS Handling, Carrier BL, Document Assembly, Terminal Handling, Handling Fee, VGM Processing Fee and Manifest Fee</t>
        </is>
      </c>
      <c r="C1437" t="inlineStr">
        <is>
          <t>អ៊ិចស្ពែឌីធ័រ ខេមបូឌា អិលធីឌី</t>
        </is>
      </c>
      <c r="D1437" t="inlineStr">
        <is>
          <t>L001-100045898</t>
        </is>
      </c>
      <c r="E1437" t="inlineStr">
        <is>
          <t>TI-0292869</t>
        </is>
      </c>
      <c r="F1437" t="inlineStr">
        <is>
          <t>14-10-2024</t>
        </is>
      </c>
      <c r="G1437" t="n">
        <v>83677</v>
      </c>
      <c r="I1437">
        <f>G1437</f>
        <v/>
      </c>
      <c r="K1437">
        <f>I1437-G1437</f>
        <v/>
      </c>
      <c r="M1437" t="inlineStr">
        <is>
          <t>TI0292869</t>
        </is>
      </c>
      <c r="N1437" t="inlineStr"/>
      <c r="O1437">
        <f>M1437=N1437</f>
        <v/>
      </c>
      <c r="P1437">
        <f>AND(MONTH(F1437)=MONTH(S1437), YEAR(F1437)=YEAR(S1437))</f>
        <v/>
      </c>
      <c r="Q1437">
        <f>"L001-902303751"=U1437</f>
        <v/>
      </c>
      <c r="R1437">
        <f>G1437-W1437</f>
        <v/>
      </c>
      <c r="S1437" s="36" t="n">
        <v>45555</v>
      </c>
      <c r="T1437" t="inlineStr"/>
      <c r="U1437" t="inlineStr">
        <is>
          <t>K007-901638107</t>
        </is>
      </c>
      <c r="V1437" t="inlineStr">
        <is>
          <t>ហ្វ្រេតាស (ខេមបូឌា) ឯ.ក</t>
        </is>
      </c>
      <c r="W1437" t="n">
        <v>0</v>
      </c>
      <c r="X1437" t="n">
        <v>0</v>
      </c>
    </row>
    <row r="1438">
      <c r="A1438" t="n">
        <v>1437</v>
      </c>
      <c r="B1438" t="inlineStr">
        <is>
          <t>Send Sample</t>
        </is>
      </c>
      <c r="C1438" t="inlineStr">
        <is>
          <t>ឌី អេច អិល អិចប្រេស (ខេមបូឌា)</t>
        </is>
      </c>
      <c r="D1438" t="inlineStr">
        <is>
          <t>L001-100045197</t>
        </is>
      </c>
      <c r="E1438" t="inlineStr">
        <is>
          <t>PNHIR00246783</t>
        </is>
      </c>
      <c r="F1438" t="inlineStr">
        <is>
          <t>14-10-2024</t>
        </is>
      </c>
      <c r="G1438" t="n">
        <v>16248</v>
      </c>
      <c r="I1438">
        <f>G1438</f>
        <v/>
      </c>
      <c r="K1438">
        <f>I1438-G1438</f>
        <v/>
      </c>
      <c r="M1438" t="inlineStr">
        <is>
          <t>PNHIR00246783</t>
        </is>
      </c>
      <c r="N1438" t="inlineStr"/>
      <c r="O1438">
        <f>M1438=N1438</f>
        <v/>
      </c>
      <c r="P1438">
        <f>AND(MONTH(F1438)=MONTH(S1438), YEAR(F1438)=YEAR(S1438))</f>
        <v/>
      </c>
      <c r="Q1438">
        <f>"L001-902303751"=U1438</f>
        <v/>
      </c>
      <c r="R1438">
        <f>G1438-W1438</f>
        <v/>
      </c>
      <c r="S1438" s="36" t="n">
        <v>45558</v>
      </c>
      <c r="T1438" t="inlineStr"/>
      <c r="U1438" t="inlineStr">
        <is>
          <t>L001-107032791</t>
        </is>
      </c>
      <c r="V1438" t="inlineStr">
        <is>
          <t>នីបផន អិចប្រេស (ខេមបូឌា) ខូ អិលធីឌី</t>
        </is>
      </c>
      <c r="W1438" t="n">
        <v>0</v>
      </c>
      <c r="X1438" t="n">
        <v>0</v>
      </c>
    </row>
    <row r="1439">
      <c r="A1439" t="n">
        <v>1438</v>
      </c>
      <c r="B1439" t="inlineStr">
        <is>
          <t>Send Docs</t>
        </is>
      </c>
      <c r="C1439" t="inlineStr">
        <is>
          <t>ឌី អេច អិល អិចប្រេស (ខេមបូឌា)</t>
        </is>
      </c>
      <c r="D1439" t="inlineStr">
        <is>
          <t>L001-100045197</t>
        </is>
      </c>
      <c r="E1439" t="inlineStr">
        <is>
          <t>PNHIR00246782</t>
        </is>
      </c>
      <c r="F1439" t="inlineStr">
        <is>
          <t>14-10-2024</t>
        </is>
      </c>
      <c r="G1439" t="n">
        <v>18279</v>
      </c>
      <c r="I1439">
        <f>G1439</f>
        <v/>
      </c>
      <c r="K1439">
        <f>I1439-G1439</f>
        <v/>
      </c>
      <c r="M1439" t="inlineStr">
        <is>
          <t>PNHIR00246782</t>
        </is>
      </c>
      <c r="N1439" t="inlineStr"/>
      <c r="O1439">
        <f>M1439=N1439</f>
        <v/>
      </c>
      <c r="P1439">
        <f>AND(MONTH(F1439)=MONTH(S1439), YEAR(F1439)=YEAR(S1439))</f>
        <v/>
      </c>
      <c r="Q1439">
        <f>"L001-902303751"=U1439</f>
        <v/>
      </c>
      <c r="R1439">
        <f>G1439-W1439</f>
        <v/>
      </c>
      <c r="S1439" s="36" t="n">
        <v>45544</v>
      </c>
      <c r="T1439" t="inlineStr"/>
      <c r="U1439" t="inlineStr">
        <is>
          <t>L001-107032791</t>
        </is>
      </c>
      <c r="V1439" t="inlineStr">
        <is>
          <t>នីបផន អិចប្រេស (ខេមបូឌា) ខូ អិលធីឌី</t>
        </is>
      </c>
      <c r="W1439" t="n">
        <v>0</v>
      </c>
      <c r="X1439" t="n">
        <v>0</v>
      </c>
    </row>
    <row r="1440">
      <c r="A1440" t="n">
        <v>1439</v>
      </c>
      <c r="B1440" t="inlineStr">
        <is>
          <t>Cargo Terminal</t>
        </is>
      </c>
      <c r="C1440" t="inlineStr">
        <is>
          <t>សូស៊ីយេតេ កុងសេស្យូនែរ ដឺ ឡាអេរ៉ូព័រ</t>
        </is>
      </c>
      <c r="D1440" t="inlineStr">
        <is>
          <t>L001-100047300</t>
        </is>
      </c>
      <c r="E1440" t="inlineStr">
        <is>
          <t>2400083047</t>
        </is>
      </c>
      <c r="F1440" t="inlineStr">
        <is>
          <t>16-10-2024</t>
        </is>
      </c>
      <c r="G1440" t="n">
        <v>39301</v>
      </c>
      <c r="I1440">
        <f>G1440</f>
        <v/>
      </c>
      <c r="K1440">
        <f>I1440-G1440</f>
        <v/>
      </c>
      <c r="M1440" t="inlineStr">
        <is>
          <t>2400083047</t>
        </is>
      </c>
      <c r="N1440" t="inlineStr"/>
      <c r="O1440">
        <f>M1440=N1440</f>
        <v/>
      </c>
      <c r="P1440">
        <f>AND(MONTH(F1440)=MONTH(S1440), YEAR(F1440)=YEAR(S1440))</f>
        <v/>
      </c>
      <c r="Q1440">
        <f>"L001-902303751"=U1440</f>
        <v/>
      </c>
      <c r="R1440">
        <f>G1440-W1440</f>
        <v/>
      </c>
      <c r="S1440" s="36" t="n">
        <v>45544</v>
      </c>
      <c r="T1440" t="inlineStr"/>
      <c r="U1440" t="inlineStr">
        <is>
          <t>L001-100045995</t>
        </is>
      </c>
      <c r="V1440" t="inlineStr">
        <is>
          <t>ឌីអេចអិល ឡូជីស្ទីក (ខេមបូឌា)</t>
        </is>
      </c>
      <c r="W1440" t="n">
        <v>0</v>
      </c>
      <c r="X1440" t="n">
        <v>0</v>
      </c>
    </row>
    <row r="1441">
      <c r="A1441" t="n">
        <v>1440</v>
      </c>
      <c r="B1441" t="inlineStr">
        <is>
          <t>Export Adminstration Fee, Port Formality and Service Charge, Overtime Inspection, Late Gate Container and Late Gate Document</t>
        </is>
      </c>
      <c r="C1441" t="inlineStr">
        <is>
          <t>ឆាយ ដា ឡូយីស្ទីក</t>
        </is>
      </c>
      <c r="D1441" t="inlineStr">
        <is>
          <t>L001-100063098</t>
        </is>
      </c>
      <c r="E1441" t="inlineStr">
        <is>
          <t>2410015339</t>
        </is>
      </c>
      <c r="F1441" t="inlineStr">
        <is>
          <t>16-10-2024</t>
        </is>
      </c>
      <c r="G1441" t="n">
        <v>180264</v>
      </c>
      <c r="I1441">
        <f>G1441</f>
        <v/>
      </c>
      <c r="K1441">
        <f>I1441-G1441</f>
        <v/>
      </c>
      <c r="M1441" t="inlineStr">
        <is>
          <t>2410015339</t>
        </is>
      </c>
      <c r="N1441" t="inlineStr"/>
      <c r="O1441">
        <f>M1441=N1441</f>
        <v/>
      </c>
      <c r="P1441">
        <f>AND(MONTH(F1441)=MONTH(S1441), YEAR(F1441)=YEAR(S1441))</f>
        <v/>
      </c>
      <c r="Q1441">
        <f>"L001-902303751"=U1441</f>
        <v/>
      </c>
      <c r="R1441">
        <f>G1441-W1441</f>
        <v/>
      </c>
      <c r="S1441" s="36" t="n">
        <v>45544</v>
      </c>
      <c r="T1441" t="inlineStr"/>
      <c r="U1441" t="inlineStr">
        <is>
          <t>K005-100150195</t>
        </is>
      </c>
      <c r="V1441" t="inlineStr">
        <is>
          <t>អេស អ វី ស៊ី ហ្វ្រេត សឺវីស (ខេមបូឌា) ខូ អិលធីឌី</t>
        </is>
      </c>
      <c r="W1441" t="n">
        <v>0</v>
      </c>
      <c r="X1441" t="n">
        <v>0</v>
      </c>
    </row>
    <row r="1442">
      <c r="A1442" t="n">
        <v>1441</v>
      </c>
      <c r="B1442" t="inlineStr">
        <is>
          <t>Export Adminstration Fee, Port Formality and Service Charge</t>
        </is>
      </c>
      <c r="C1442" t="inlineStr">
        <is>
          <t>ឆាយ ដា ឡូយីស្ទីក</t>
        </is>
      </c>
      <c r="D1442" t="inlineStr">
        <is>
          <t>L001-100063098</t>
        </is>
      </c>
      <c r="E1442" t="inlineStr">
        <is>
          <t>2410015340</t>
        </is>
      </c>
      <c r="F1442" t="inlineStr">
        <is>
          <t>16-10-2024</t>
        </is>
      </c>
      <c r="G1442" t="n">
        <v>76734</v>
      </c>
      <c r="I1442">
        <f>G1442</f>
        <v/>
      </c>
      <c r="K1442">
        <f>I1442-G1442</f>
        <v/>
      </c>
      <c r="M1442" t="inlineStr">
        <is>
          <t>2410015340</t>
        </is>
      </c>
      <c r="N1442" t="inlineStr"/>
      <c r="O1442">
        <f>M1442=N1442</f>
        <v/>
      </c>
      <c r="P1442">
        <f>AND(MONTH(F1442)=MONTH(S1442), YEAR(F1442)=YEAR(S1442))</f>
        <v/>
      </c>
      <c r="Q1442">
        <f>"L001-902303751"=U1442</f>
        <v/>
      </c>
      <c r="R1442">
        <f>G1442-W1442</f>
        <v/>
      </c>
      <c r="S1442" s="36" t="n">
        <v>45544</v>
      </c>
      <c r="T1442" t="inlineStr"/>
      <c r="U1442" t="inlineStr">
        <is>
          <t>L001-107032791</t>
        </is>
      </c>
      <c r="V1442" t="inlineStr">
        <is>
          <t>នីបផន អិចប្រេស (ខេមបូឌា) ខូ អិលធីឌី</t>
        </is>
      </c>
      <c r="W1442" t="n">
        <v>0</v>
      </c>
      <c r="X1442" t="n">
        <v>0</v>
      </c>
    </row>
    <row r="1443">
      <c r="A1443" t="n">
        <v>1442</v>
      </c>
      <c r="B1443" t="inlineStr">
        <is>
          <t>Import Shipment Expense</t>
        </is>
      </c>
      <c r="C1443" t="inlineStr">
        <is>
          <t>ខេអិលអិន ហ្វ្រេត (ខេមបូឌា) ឯ.ក</t>
        </is>
      </c>
      <c r="D1443" t="inlineStr">
        <is>
          <t>L001-100074669</t>
        </is>
      </c>
      <c r="E1443" t="inlineStr">
        <is>
          <t>IVO16173</t>
        </is>
      </c>
      <c r="F1443" t="inlineStr">
        <is>
          <t>16-10-2024</t>
        </is>
      </c>
      <c r="G1443" t="n">
        <v>152800</v>
      </c>
      <c r="I1443">
        <f>G1443</f>
        <v/>
      </c>
      <c r="K1443">
        <f>I1443-G1443</f>
        <v/>
      </c>
      <c r="M1443" t="inlineStr">
        <is>
          <t>IVO16173</t>
        </is>
      </c>
      <c r="N1443" t="inlineStr">
        <is>
          <t>8553900</t>
        </is>
      </c>
      <c r="O1443">
        <f>M1443=N1443</f>
        <v/>
      </c>
      <c r="P1443">
        <f>AND(MONTH(F1443)=MONTH(S1443), YEAR(F1443)=YEAR(S1443))</f>
        <v/>
      </c>
      <c r="Q1443">
        <f>"L001-902303751"=U1443</f>
        <v/>
      </c>
      <c r="R1443">
        <f>G1443-W1443</f>
        <v/>
      </c>
      <c r="S1443" s="36" t="n">
        <v>45551</v>
      </c>
      <c r="T1443" t="n">
        <v>85539</v>
      </c>
      <c r="U1443" t="inlineStr">
        <is>
          <t>K005-901805913</t>
        </is>
      </c>
      <c r="V1443" t="inlineStr">
        <is>
          <t>ស្តារ ខង់ខដ (ខេមបូឌា) ឯ.ក</t>
        </is>
      </c>
      <c r="W1443" t="n">
        <v>85539</v>
      </c>
      <c r="X1443" t="n">
        <v>0</v>
      </c>
    </row>
    <row r="1444">
      <c r="A1444" t="n">
        <v>1443</v>
      </c>
      <c r="B1444" t="inlineStr">
        <is>
          <t>Import Shipment Expense</t>
        </is>
      </c>
      <c r="C1444" t="inlineStr">
        <is>
          <t>អូរៀនថល ឡូជីស្ទីក &amp; ឌីស្ទ្រីប៊្យូសិន (ខេមបូឌា)</t>
        </is>
      </c>
      <c r="D1444" t="inlineStr">
        <is>
          <t>L001-103007369</t>
        </is>
      </c>
      <c r="E1444" t="inlineStr">
        <is>
          <t>24-10777</t>
        </is>
      </c>
      <c r="F1444" t="inlineStr">
        <is>
          <t>16-10-2024</t>
        </is>
      </c>
      <c r="G1444" t="n">
        <v>52780</v>
      </c>
      <c r="I1444">
        <f>G1444</f>
        <v/>
      </c>
      <c r="K1444">
        <f>I1444-G1444</f>
        <v/>
      </c>
      <c r="M1444" t="inlineStr">
        <is>
          <t>2410777</t>
        </is>
      </c>
      <c r="N1444" t="inlineStr">
        <is>
          <t>11162300</t>
        </is>
      </c>
      <c r="O1444">
        <f>M1444=N1444</f>
        <v/>
      </c>
      <c r="P1444">
        <f>AND(MONTH(F1444)=MONTH(S1444), YEAR(F1444)=YEAR(S1444))</f>
        <v/>
      </c>
      <c r="Q1444">
        <f>"L001-902303751"=U1444</f>
        <v/>
      </c>
      <c r="R1444">
        <f>G1444-W1444</f>
        <v/>
      </c>
      <c r="S1444" s="36" t="n">
        <v>45537</v>
      </c>
      <c r="T1444" t="n">
        <v>111623</v>
      </c>
      <c r="U1444" t="inlineStr">
        <is>
          <t>L001-107032791</t>
        </is>
      </c>
      <c r="V1444" t="inlineStr">
        <is>
          <t>នីបផន អិចប្រេស (ខេមបូឌា) ខូ អិលធីឌី</t>
        </is>
      </c>
      <c r="W1444" t="n">
        <v>111623</v>
      </c>
      <c r="X1444" t="n">
        <v>0</v>
      </c>
    </row>
    <row r="1445">
      <c r="A1445" t="n">
        <v>1444</v>
      </c>
      <c r="B1445" t="inlineStr">
        <is>
          <t>Document Fee and Agency Fee</t>
        </is>
      </c>
      <c r="C1445" t="inlineStr">
        <is>
          <t>អ៊ីហ្វាវ ឡូជីស</t>
        </is>
      </c>
      <c r="D1445" t="inlineStr">
        <is>
          <t>K009-100186262</t>
        </is>
      </c>
      <c r="E1445" t="inlineStr">
        <is>
          <t>EFAW2024-186</t>
        </is>
      </c>
      <c r="F1445" t="inlineStr">
        <is>
          <t>16-10-2024</t>
        </is>
      </c>
      <c r="G1445" t="n">
        <v>24360</v>
      </c>
      <c r="I1445">
        <f>G1445</f>
        <v/>
      </c>
      <c r="K1445">
        <f>I1445-G1445</f>
        <v/>
      </c>
      <c r="M1445" t="inlineStr">
        <is>
          <t>EFAW2024186</t>
        </is>
      </c>
      <c r="N1445" t="inlineStr">
        <is>
          <t>11203500</t>
        </is>
      </c>
      <c r="O1445">
        <f>M1445=N1445</f>
        <v/>
      </c>
      <c r="P1445">
        <f>AND(MONTH(F1445)=MONTH(S1445), YEAR(F1445)=YEAR(S1445))</f>
        <v/>
      </c>
      <c r="Q1445">
        <f>"L001-902303751"=U1445</f>
        <v/>
      </c>
      <c r="R1445">
        <f>G1445-W1445</f>
        <v/>
      </c>
      <c r="S1445" s="36" t="n">
        <v>45544</v>
      </c>
      <c r="T1445" t="n">
        <v>112035</v>
      </c>
      <c r="U1445" t="inlineStr">
        <is>
          <t>L001-100045995</t>
        </is>
      </c>
      <c r="V1445" t="inlineStr">
        <is>
          <t>ឌីអេចអិល ឡូជីស្ទីក (ខេមបូឌា)</t>
        </is>
      </c>
      <c r="W1445" t="n">
        <v>112035</v>
      </c>
      <c r="X1445" t="n">
        <v>0</v>
      </c>
    </row>
    <row r="1446">
      <c r="A1446" t="n">
        <v>1445</v>
      </c>
      <c r="B1446" t="inlineStr">
        <is>
          <t>Gate Fee Charges-GC Truck-1-6 Tons</t>
        </is>
      </c>
      <c r="C1446" t="inlineStr">
        <is>
          <t>កំពង់ផែស្វយ័តភ្នំពេញ "ក.ស.ភ"</t>
        </is>
      </c>
      <c r="D1446" t="inlineStr">
        <is>
          <t>L001-100044999</t>
        </is>
      </c>
      <c r="E1446" t="inlineStr">
        <is>
          <t>INV20241075811</t>
        </is>
      </c>
      <c r="F1446" t="inlineStr">
        <is>
          <t>11-10-2024</t>
        </is>
      </c>
      <c r="G1446" t="n">
        <v>813</v>
      </c>
      <c r="I1446">
        <f>G1446</f>
        <v/>
      </c>
      <c r="K1446">
        <f>I1446-G1446</f>
        <v/>
      </c>
      <c r="M1446" t="inlineStr">
        <is>
          <t>INV20241075811</t>
        </is>
      </c>
      <c r="N1446" t="inlineStr">
        <is>
          <t>11167800</t>
        </is>
      </c>
      <c r="O1446">
        <f>M1446=N1446</f>
        <v/>
      </c>
      <c r="P1446">
        <f>AND(MONTH(F1446)=MONTH(S1446), YEAR(F1446)=YEAR(S1446))</f>
        <v/>
      </c>
      <c r="Q1446">
        <f>"L001-902303751"=U1446</f>
        <v/>
      </c>
      <c r="R1446">
        <f>G1446-W1446</f>
        <v/>
      </c>
      <c r="S1446" s="36" t="n">
        <v>45565</v>
      </c>
      <c r="T1446" t="n">
        <v>111678</v>
      </c>
      <c r="U1446" t="inlineStr">
        <is>
          <t>L001-107032791</t>
        </is>
      </c>
      <c r="V1446" t="inlineStr">
        <is>
          <t>នីបផន អិចប្រេស (ខេមបូឌា) ខូ អិលធីឌី</t>
        </is>
      </c>
      <c r="W1446" t="n">
        <v>111678</v>
      </c>
      <c r="X1446" t="n">
        <v>0</v>
      </c>
    </row>
    <row r="1447">
      <c r="A1447" t="n">
        <v>1446</v>
      </c>
      <c r="B1447" t="inlineStr">
        <is>
          <t>Import Shipment Expense</t>
        </is>
      </c>
      <c r="C1447" t="inlineStr">
        <is>
          <t>ហ្វ្រេត ខនសិប (ខេមបូឌា)</t>
        </is>
      </c>
      <c r="D1447" t="inlineStr">
        <is>
          <t>K009-901502482</t>
        </is>
      </c>
      <c r="E1447" t="inlineStr">
        <is>
          <t>241047</t>
        </is>
      </c>
      <c r="F1447" t="inlineStr">
        <is>
          <t>11-10-2024</t>
        </is>
      </c>
      <c r="G1447" t="n">
        <v>85770</v>
      </c>
      <c r="I1447">
        <f>G1447</f>
        <v/>
      </c>
      <c r="K1447">
        <f>I1447-G1447</f>
        <v/>
      </c>
      <c r="M1447" t="inlineStr">
        <is>
          <t>241047</t>
        </is>
      </c>
      <c r="N1447" t="inlineStr"/>
      <c r="O1447">
        <f>M1447=N1447</f>
        <v/>
      </c>
      <c r="P1447">
        <f>AND(MONTH(F1447)=MONTH(S1447), YEAR(F1447)=YEAR(S1447))</f>
        <v/>
      </c>
      <c r="Q1447">
        <f>"L001-902303751"=U1447</f>
        <v/>
      </c>
      <c r="R1447">
        <f>G1447-W1447</f>
        <v/>
      </c>
      <c r="S1447" s="36" t="n">
        <v>45551</v>
      </c>
      <c r="T1447" t="inlineStr"/>
      <c r="U1447" t="inlineStr">
        <is>
          <t>L001-901500191</t>
        </is>
      </c>
      <c r="V1447" t="inlineStr">
        <is>
          <t>អ.អិន.វ៉ាយ ត្រេនស្ព័ត</t>
        </is>
      </c>
      <c r="W1447" t="n">
        <v>0</v>
      </c>
      <c r="X1447" t="n">
        <v>0</v>
      </c>
    </row>
    <row r="1448">
      <c r="A1448" t="n">
        <v>1447</v>
      </c>
      <c r="B1448" t="inlineStr">
        <is>
          <t>Import Shipment Expense</t>
        </is>
      </c>
      <c r="C1448" t="inlineStr">
        <is>
          <t>ហ្វ្រេត ខនសិប (ខេមបូឌា)</t>
        </is>
      </c>
      <c r="D1448" t="inlineStr">
        <is>
          <t>K009-901502482</t>
        </is>
      </c>
      <c r="E1448" t="inlineStr">
        <is>
          <t>241046</t>
        </is>
      </c>
      <c r="F1448" t="inlineStr">
        <is>
          <t>11-10-2024</t>
        </is>
      </c>
      <c r="G1448" t="n">
        <v>114658</v>
      </c>
      <c r="I1448">
        <f>G1448</f>
        <v/>
      </c>
      <c r="K1448">
        <f>I1448-G1448</f>
        <v/>
      </c>
      <c r="M1448" t="inlineStr">
        <is>
          <t>241046</t>
        </is>
      </c>
      <c r="N1448" t="inlineStr">
        <is>
          <t>11173300</t>
        </is>
      </c>
      <c r="O1448">
        <f>M1448=N1448</f>
        <v/>
      </c>
      <c r="P1448">
        <f>AND(MONTH(F1448)=MONTH(S1448), YEAR(F1448)=YEAR(S1448))</f>
        <v/>
      </c>
      <c r="Q1448">
        <f>"L001-902303751"=U1448</f>
        <v/>
      </c>
      <c r="R1448">
        <f>G1448-W1448</f>
        <v/>
      </c>
      <c r="S1448" s="36" t="n">
        <v>45558</v>
      </c>
      <c r="T1448" t="n">
        <v>111733</v>
      </c>
      <c r="U1448" t="inlineStr">
        <is>
          <t>L001-107032791</t>
        </is>
      </c>
      <c r="V1448" t="inlineStr">
        <is>
          <t>នីបផន អិចប្រេស (ខេមបូឌា) ខូ អិលធីឌី</t>
        </is>
      </c>
      <c r="W1448" t="n">
        <v>111733</v>
      </c>
      <c r="X1448" t="n">
        <v>0</v>
      </c>
    </row>
    <row r="1449">
      <c r="A1449" t="n">
        <v>1448</v>
      </c>
      <c r="B1449" t="inlineStr">
        <is>
          <t>Cargo Terminal</t>
        </is>
      </c>
      <c r="C1449" t="inlineStr">
        <is>
          <t>សូស៊ីយេតេ កុងសេស្យូនែរ ដឺ ឡាអេរ៉ូព័រ</t>
        </is>
      </c>
      <c r="D1449" t="inlineStr">
        <is>
          <t>L001-100047300</t>
        </is>
      </c>
      <c r="E1449" t="inlineStr">
        <is>
          <t>2400-081668</t>
        </is>
      </c>
      <c r="F1449" t="inlineStr">
        <is>
          <t>11-10-2024</t>
        </is>
      </c>
      <c r="G1449" t="n">
        <v>7653</v>
      </c>
      <c r="I1449">
        <f>G1449</f>
        <v/>
      </c>
      <c r="K1449">
        <f>I1449-G1449</f>
        <v/>
      </c>
      <c r="M1449" t="inlineStr">
        <is>
          <t>2400081668</t>
        </is>
      </c>
      <c r="N1449" t="inlineStr">
        <is>
          <t>11173300</t>
        </is>
      </c>
      <c r="O1449">
        <f>M1449=N1449</f>
        <v/>
      </c>
      <c r="P1449">
        <f>AND(MONTH(F1449)=MONTH(S1449), YEAR(F1449)=YEAR(S1449))</f>
        <v/>
      </c>
      <c r="Q1449">
        <f>"L001-902303751"=U1449</f>
        <v/>
      </c>
      <c r="R1449">
        <f>G1449-W1449</f>
        <v/>
      </c>
      <c r="S1449" s="36" t="n">
        <v>45558</v>
      </c>
      <c r="T1449" t="n">
        <v>111733</v>
      </c>
      <c r="U1449" t="inlineStr">
        <is>
          <t>L001-100045995</t>
        </is>
      </c>
      <c r="V1449" t="inlineStr">
        <is>
          <t>ឌីអេចអិល ឡូជីស្ទីក (ខេមបូឌា)</t>
        </is>
      </c>
      <c r="W1449" t="n">
        <v>111733</v>
      </c>
      <c r="X1449" t="n">
        <v>0</v>
      </c>
    </row>
    <row r="1450">
      <c r="A1450" t="n">
        <v>1449</v>
      </c>
      <c r="B1450" t="inlineStr">
        <is>
          <t>Lift-On &amp; Lift-Off and Storage Charges</t>
        </is>
      </c>
      <c r="C1450" t="inlineStr">
        <is>
          <t>កំពង់ផែស្វយ័តក្រុងព្រះសីហនុ</t>
        </is>
      </c>
      <c r="D1450" t="inlineStr">
        <is>
          <t>L001-100044638</t>
        </is>
      </c>
      <c r="E1450" t="inlineStr">
        <is>
          <t>209997</t>
        </is>
      </c>
      <c r="F1450" t="inlineStr">
        <is>
          <t>11-10-2024</t>
        </is>
      </c>
      <c r="G1450" t="n">
        <v>31691</v>
      </c>
      <c r="I1450">
        <f>G1450</f>
        <v/>
      </c>
      <c r="K1450">
        <f>I1450-G1450</f>
        <v/>
      </c>
      <c r="M1450" t="inlineStr">
        <is>
          <t>209997</t>
        </is>
      </c>
      <c r="N1450" t="inlineStr"/>
      <c r="O1450">
        <f>M1450=N1450</f>
        <v/>
      </c>
      <c r="P1450">
        <f>AND(MONTH(F1450)=MONTH(S1450), YEAR(F1450)=YEAR(S1450))</f>
        <v/>
      </c>
      <c r="Q1450">
        <f>"L001-902303751"=U1450</f>
        <v/>
      </c>
      <c r="R1450">
        <f>G1450-W1450</f>
        <v/>
      </c>
      <c r="S1450" s="36" t="n">
        <v>45544</v>
      </c>
      <c r="T1450" t="inlineStr"/>
      <c r="U1450" t="inlineStr">
        <is>
          <t>L001-100045995</t>
        </is>
      </c>
      <c r="V1450" t="inlineStr">
        <is>
          <t>ឌីអេចអិល ឡូជីស្ទីក (ខេមបូឌា)</t>
        </is>
      </c>
      <c r="W1450" t="n">
        <v>0</v>
      </c>
      <c r="X1450" t="n">
        <v>0</v>
      </c>
    </row>
    <row r="1451">
      <c r="A1451" t="n">
        <v>1450</v>
      </c>
      <c r="B1451" t="inlineStr">
        <is>
          <t>Charge from Warehouse/cy to trucks</t>
        </is>
      </c>
      <c r="C1451" t="inlineStr">
        <is>
          <t>កំពង់ផែស្វយ័តក្រុងព្រះសីហនុ</t>
        </is>
      </c>
      <c r="D1451" t="inlineStr">
        <is>
          <t>L001-100044638</t>
        </is>
      </c>
      <c r="E1451" t="inlineStr">
        <is>
          <t>208715</t>
        </is>
      </c>
      <c r="F1451" t="inlineStr">
        <is>
          <t>10-10-2024</t>
        </is>
      </c>
      <c r="G1451" t="n">
        <v>1867</v>
      </c>
      <c r="I1451">
        <f>G1451</f>
        <v/>
      </c>
      <c r="K1451">
        <f>I1451-G1451</f>
        <v/>
      </c>
      <c r="M1451" t="inlineStr">
        <is>
          <t>208715</t>
        </is>
      </c>
      <c r="N1451" t="inlineStr">
        <is>
          <t>9770100</t>
        </is>
      </c>
      <c r="O1451">
        <f>M1451=N1451</f>
        <v/>
      </c>
      <c r="P1451">
        <f>AND(MONTH(F1451)=MONTH(S1451), YEAR(F1451)=YEAR(S1451))</f>
        <v/>
      </c>
      <c r="Q1451">
        <f>"L001-902303751"=U1451</f>
        <v/>
      </c>
      <c r="R1451">
        <f>G1451-W1451</f>
        <v/>
      </c>
      <c r="S1451" s="36" t="n">
        <v>45551</v>
      </c>
      <c r="T1451" t="n">
        <v>97701</v>
      </c>
      <c r="U1451" t="inlineStr">
        <is>
          <t>L001-100045340</t>
        </is>
      </c>
      <c r="V1451" t="inlineStr">
        <is>
          <t xml:space="preserve">ស៊ីវ៉ា អ៊ែរ អ៊ែន អូសៀន (ខេមបូឌា) ឯ.ក </t>
        </is>
      </c>
      <c r="W1451" t="n">
        <v>97701</v>
      </c>
      <c r="X1451" t="n">
        <v>0</v>
      </c>
    </row>
    <row r="1452">
      <c r="A1452" t="n">
        <v>1451</v>
      </c>
      <c r="B1452" t="inlineStr">
        <is>
          <t>Cargo Terminal</t>
        </is>
      </c>
      <c r="C1452" t="inlineStr">
        <is>
          <t>សូស៊ីយេតេ កុងសេស្យូនែរ ដឺ ឡាអេរ៉ូព័រ</t>
        </is>
      </c>
      <c r="D1452" t="inlineStr">
        <is>
          <t>L001-100047300</t>
        </is>
      </c>
      <c r="E1452" t="inlineStr">
        <is>
          <t>2400-081798</t>
        </is>
      </c>
      <c r="F1452" t="inlineStr">
        <is>
          <t>12-10-2024</t>
        </is>
      </c>
      <c r="G1452" t="n">
        <v>1625</v>
      </c>
      <c r="I1452">
        <f>G1452</f>
        <v/>
      </c>
      <c r="K1452">
        <f>I1452-G1452</f>
        <v/>
      </c>
      <c r="M1452" t="inlineStr">
        <is>
          <t>2400081798</t>
        </is>
      </c>
      <c r="N1452" t="inlineStr">
        <is>
          <t>8564500</t>
        </is>
      </c>
      <c r="O1452">
        <f>M1452=N1452</f>
        <v/>
      </c>
      <c r="P1452">
        <f>AND(MONTH(F1452)=MONTH(S1452), YEAR(F1452)=YEAR(S1452))</f>
        <v/>
      </c>
      <c r="Q1452">
        <f>"L001-902303751"=U1452</f>
        <v/>
      </c>
      <c r="R1452">
        <f>G1452-W1452</f>
        <v/>
      </c>
      <c r="S1452" s="36" t="n">
        <v>45537</v>
      </c>
      <c r="T1452" t="n">
        <v>85645</v>
      </c>
      <c r="U1452" t="inlineStr">
        <is>
          <t>K005-901805913</t>
        </is>
      </c>
      <c r="V1452" t="inlineStr">
        <is>
          <t>ស្តារ ខង់ខដ (ខេមបូឌា) ឯ.ក</t>
        </is>
      </c>
      <c r="W1452" t="n">
        <v>85645</v>
      </c>
      <c r="X1452" t="n">
        <v>0</v>
      </c>
    </row>
    <row r="1453">
      <c r="A1453" t="n">
        <v>1452</v>
      </c>
      <c r="B1453" t="inlineStr">
        <is>
          <t>Import Shipment Expense</t>
        </is>
      </c>
      <c r="C1453" t="inlineStr">
        <is>
          <t>អូរៀនថល ឡូជីស្ទីក &amp; ឌីស្ទ្រីប៊្យូសិន (ខេមបូឌា)</t>
        </is>
      </c>
      <c r="D1453" t="inlineStr">
        <is>
          <t>L001-103007369</t>
        </is>
      </c>
      <c r="E1453" t="inlineStr">
        <is>
          <t>24-11258</t>
        </is>
      </c>
      <c r="F1453" t="inlineStr">
        <is>
          <t>14-10-2024</t>
        </is>
      </c>
      <c r="G1453" t="n">
        <v>108053</v>
      </c>
      <c r="I1453">
        <f>G1453</f>
        <v/>
      </c>
      <c r="K1453">
        <f>I1453-G1453</f>
        <v/>
      </c>
      <c r="M1453" t="inlineStr">
        <is>
          <t>2411258</t>
        </is>
      </c>
      <c r="N1453" t="inlineStr"/>
      <c r="O1453">
        <f>M1453=N1453</f>
        <v/>
      </c>
      <c r="P1453">
        <f>AND(MONTH(F1453)=MONTH(S1453), YEAR(F1453)=YEAR(S1453))</f>
        <v/>
      </c>
      <c r="Q1453">
        <f>"L001-902303751"=U1453</f>
        <v/>
      </c>
      <c r="R1453">
        <f>G1453-W1453</f>
        <v/>
      </c>
      <c r="S1453" s="36" t="n">
        <v>45544</v>
      </c>
      <c r="T1453" t="inlineStr"/>
      <c r="U1453" t="inlineStr">
        <is>
          <t>L001-107032791</t>
        </is>
      </c>
      <c r="V1453" t="inlineStr">
        <is>
          <t>នីបផន អិចប្រេស (ខេមបូឌា) ខូ អិលធីឌី</t>
        </is>
      </c>
      <c r="W1453" t="n">
        <v>0</v>
      </c>
      <c r="X1453" t="n">
        <v>0</v>
      </c>
    </row>
    <row r="1454">
      <c r="A1454" t="n">
        <v>1453</v>
      </c>
      <c r="B1454" t="inlineStr">
        <is>
          <t>Cargo Terminal</t>
        </is>
      </c>
      <c r="C1454" t="inlineStr">
        <is>
          <t>សូស៊ីយេតេ កុងសេស្យូនែរ ដឺ ឡាអេរ៉ូព័រ</t>
        </is>
      </c>
      <c r="D1454" t="inlineStr">
        <is>
          <t>L001-100047300</t>
        </is>
      </c>
      <c r="E1454" t="inlineStr">
        <is>
          <t>2400082516</t>
        </is>
      </c>
      <c r="F1454" t="inlineStr">
        <is>
          <t>14-10-2024</t>
        </is>
      </c>
      <c r="G1454" t="n">
        <v>1008</v>
      </c>
      <c r="I1454">
        <f>G1454</f>
        <v/>
      </c>
      <c r="K1454">
        <f>I1454-G1454</f>
        <v/>
      </c>
      <c r="M1454" t="inlineStr">
        <is>
          <t>2400082516</t>
        </is>
      </c>
      <c r="N1454" t="inlineStr"/>
      <c r="O1454">
        <f>M1454=N1454</f>
        <v/>
      </c>
      <c r="P1454">
        <f>AND(MONTH(F1454)=MONTH(S1454), YEAR(F1454)=YEAR(S1454))</f>
        <v/>
      </c>
      <c r="Q1454">
        <f>"L001-902303751"=U1454</f>
        <v/>
      </c>
      <c r="R1454">
        <f>G1454-W1454</f>
        <v/>
      </c>
      <c r="S1454" s="36" t="n">
        <v>45565</v>
      </c>
      <c r="T1454" t="inlineStr"/>
      <c r="U1454" t="inlineStr">
        <is>
          <t>L001-107032791</t>
        </is>
      </c>
      <c r="V1454" t="inlineStr">
        <is>
          <t>នីបផន អិចប្រេស (ខេមបូឌា) ខូ អិលធីឌី</t>
        </is>
      </c>
      <c r="W1454" t="n">
        <v>0</v>
      </c>
      <c r="X1454" t="n">
        <v>0</v>
      </c>
    </row>
    <row r="1455">
      <c r="A1455" t="n">
        <v>1454</v>
      </c>
      <c r="B1455" t="inlineStr">
        <is>
          <t>Document Origin, Handling Charges Origin, Airfreight, Overtime Fee, PLACI fee and HAWB Transmission Fee</t>
        </is>
      </c>
      <c r="C1455" t="inlineStr">
        <is>
          <t>ឌីប៊ី សេនឃើរ (ខេមបូឌា) លីមីធីត</t>
        </is>
      </c>
      <c r="D1455" t="inlineStr">
        <is>
          <t>L001-107041723</t>
        </is>
      </c>
      <c r="E1455" t="inlineStr">
        <is>
          <t>2400008155</t>
        </is>
      </c>
      <c r="F1455" t="inlineStr">
        <is>
          <t>14-10-2024</t>
        </is>
      </c>
      <c r="G1455" t="n">
        <v>90583</v>
      </c>
      <c r="I1455">
        <f>G1455</f>
        <v/>
      </c>
      <c r="K1455">
        <f>I1455-G1455</f>
        <v/>
      </c>
      <c r="M1455" t="inlineStr">
        <is>
          <t>2400008155</t>
        </is>
      </c>
      <c r="N1455" t="inlineStr">
        <is>
          <t>20111900</t>
        </is>
      </c>
      <c r="O1455">
        <f>M1455=N1455</f>
        <v/>
      </c>
      <c r="P1455">
        <f>AND(MONTH(F1455)=MONTH(S1455), YEAR(F1455)=YEAR(S1455))</f>
        <v/>
      </c>
      <c r="Q1455">
        <f>"L001-902303751"=U1455</f>
        <v/>
      </c>
      <c r="R1455">
        <f>G1455-W1455</f>
        <v/>
      </c>
      <c r="S1455" s="36" t="n">
        <v>45558</v>
      </c>
      <c r="T1455" t="n">
        <v>201119</v>
      </c>
      <c r="U1455" t="inlineStr">
        <is>
          <t>L001-100045995</t>
        </is>
      </c>
      <c r="V1455" t="inlineStr">
        <is>
          <t>ឌីអេចអិល ឡូជីស្ទីក (ខេមបូឌា)</t>
        </is>
      </c>
      <c r="W1455" t="n">
        <v>201119</v>
      </c>
      <c r="X1455" t="n">
        <v>0</v>
      </c>
    </row>
    <row r="1456">
      <c r="A1456" t="n">
        <v>1455</v>
      </c>
      <c r="B1456" t="inlineStr">
        <is>
          <t>Cargo Terminal</t>
        </is>
      </c>
      <c r="C1456" t="inlineStr">
        <is>
          <t>សូស៊ីយេតេ កុងសេស្យូនែរ ដឺ ឡាអេរ៉ូព័រ</t>
        </is>
      </c>
      <c r="D1456" t="inlineStr">
        <is>
          <t>L001-100047300</t>
        </is>
      </c>
      <c r="E1456" t="inlineStr">
        <is>
          <t>2400-081918</t>
        </is>
      </c>
      <c r="F1456" t="inlineStr">
        <is>
          <t>12-10-2024</t>
        </is>
      </c>
      <c r="G1456" t="n">
        <v>3934</v>
      </c>
      <c r="I1456">
        <f>G1456</f>
        <v/>
      </c>
      <c r="K1456">
        <f>I1456-G1456</f>
        <v/>
      </c>
      <c r="M1456" t="inlineStr">
        <is>
          <t>2400081918</t>
        </is>
      </c>
      <c r="N1456" t="inlineStr"/>
      <c r="O1456">
        <f>M1456=N1456</f>
        <v/>
      </c>
      <c r="P1456">
        <f>AND(MONTH(F1456)=MONTH(S1456), YEAR(F1456)=YEAR(S1456))</f>
        <v/>
      </c>
      <c r="Q1456">
        <f>"L001-902303751"=U1456</f>
        <v/>
      </c>
      <c r="R1456">
        <f>G1456-W1456</f>
        <v/>
      </c>
      <c r="S1456" s="36" t="n">
        <v>45551</v>
      </c>
      <c r="T1456" t="inlineStr"/>
      <c r="U1456" t="inlineStr">
        <is>
          <t>L001-100045995</t>
        </is>
      </c>
      <c r="V1456" t="inlineStr">
        <is>
          <t>ឌីអេចអិល ឡូជីស្ទីក (ខេមបូឌា)</t>
        </is>
      </c>
      <c r="W1456" t="n">
        <v>0</v>
      </c>
      <c r="X1456" t="n">
        <v>0</v>
      </c>
    </row>
    <row r="1457">
      <c r="A1457" t="n">
        <v>1456</v>
      </c>
      <c r="B1457" t="inlineStr">
        <is>
          <t>Cargo Terminal</t>
        </is>
      </c>
      <c r="C1457" t="inlineStr">
        <is>
          <t>សូស៊ីយេតេ កុងសេស្យូនែរ ដឺ ឡាអេរ៉ូព័រ</t>
        </is>
      </c>
      <c r="D1457" t="inlineStr">
        <is>
          <t>L001-100047300</t>
        </is>
      </c>
      <c r="E1457" t="inlineStr">
        <is>
          <t>2400-081797</t>
        </is>
      </c>
      <c r="F1457" t="inlineStr">
        <is>
          <t>12-10-2024</t>
        </is>
      </c>
      <c r="G1457" t="n">
        <v>8355</v>
      </c>
      <c r="I1457">
        <f>G1457</f>
        <v/>
      </c>
      <c r="K1457">
        <f>I1457-G1457</f>
        <v/>
      </c>
      <c r="M1457" t="inlineStr">
        <is>
          <t>2400081797</t>
        </is>
      </c>
      <c r="N1457" t="inlineStr"/>
      <c r="O1457">
        <f>M1457=N1457</f>
        <v/>
      </c>
      <c r="P1457">
        <f>AND(MONTH(F1457)=MONTH(S1457), YEAR(F1457)=YEAR(S1457))</f>
        <v/>
      </c>
      <c r="Q1457">
        <f>"L001-902303751"=U1457</f>
        <v/>
      </c>
      <c r="R1457">
        <f>G1457-W1457</f>
        <v/>
      </c>
      <c r="S1457" s="36" t="n">
        <v>45544</v>
      </c>
      <c r="T1457" t="inlineStr"/>
      <c r="U1457" t="inlineStr">
        <is>
          <t>K005-901805913</t>
        </is>
      </c>
      <c r="V1457" t="inlineStr">
        <is>
          <t>ស្តារ ខង់ខដ (ខេមបូឌា) ឯ.ក</t>
        </is>
      </c>
      <c r="W1457" t="n">
        <v>0</v>
      </c>
      <c r="X1457" t="n">
        <v>0</v>
      </c>
    </row>
    <row r="1458">
      <c r="A1458" t="n">
        <v>1457</v>
      </c>
      <c r="B1458" t="inlineStr">
        <is>
          <t>Cargo Terminal</t>
        </is>
      </c>
      <c r="C1458" t="inlineStr">
        <is>
          <t>សូស៊ីយេតេ កុងសេស្យូនែរ ដឺ ឡាអេរ៉ូព័រ</t>
        </is>
      </c>
      <c r="D1458" t="inlineStr">
        <is>
          <t>L001-100047300</t>
        </is>
      </c>
      <c r="E1458" t="inlineStr">
        <is>
          <t>2400-081795</t>
        </is>
      </c>
      <c r="F1458" t="inlineStr">
        <is>
          <t>12-10-2024</t>
        </is>
      </c>
      <c r="G1458" t="n">
        <v>10172</v>
      </c>
      <c r="I1458">
        <f>G1458</f>
        <v/>
      </c>
      <c r="K1458">
        <f>I1458-G1458</f>
        <v/>
      </c>
      <c r="M1458" t="inlineStr">
        <is>
          <t>2400081795</t>
        </is>
      </c>
      <c r="N1458" t="inlineStr">
        <is>
          <t>8596100</t>
        </is>
      </c>
      <c r="O1458">
        <f>M1458=N1458</f>
        <v/>
      </c>
      <c r="P1458">
        <f>AND(MONTH(F1458)=MONTH(S1458), YEAR(F1458)=YEAR(S1458))</f>
        <v/>
      </c>
      <c r="Q1458">
        <f>"L001-902303751"=U1458</f>
        <v/>
      </c>
      <c r="R1458">
        <f>G1458-W1458</f>
        <v/>
      </c>
      <c r="S1458" s="36" t="n">
        <v>45544</v>
      </c>
      <c r="T1458" t="n">
        <v>85961</v>
      </c>
      <c r="U1458" t="inlineStr">
        <is>
          <t>L001-100045340</t>
        </is>
      </c>
      <c r="V1458" t="inlineStr">
        <is>
          <t xml:space="preserve">ស៊ីវ៉ា អ៊ែរ អ៊ែន អូសៀន (ខេមបូឌា) ឯ.ក </t>
        </is>
      </c>
      <c r="W1458" t="n">
        <v>85961</v>
      </c>
      <c r="X1458" t="n">
        <v>0</v>
      </c>
    </row>
    <row r="1459">
      <c r="A1459" t="n">
        <v>1458</v>
      </c>
      <c r="B1459" t="inlineStr">
        <is>
          <t>Lift-On &amp; Lift-Off and Storage Charges</t>
        </is>
      </c>
      <c r="C1459" t="inlineStr">
        <is>
          <t>កំពង់ផែស្វយ័តក្រុងព្រះសីហនុ</t>
        </is>
      </c>
      <c r="D1459" t="inlineStr">
        <is>
          <t>L001-100044638</t>
        </is>
      </c>
      <c r="E1459" t="inlineStr">
        <is>
          <t>210883</t>
        </is>
      </c>
      <c r="F1459" t="inlineStr">
        <is>
          <t>12-10-2024</t>
        </is>
      </c>
      <c r="G1459" t="n">
        <v>36567</v>
      </c>
      <c r="I1459">
        <f>G1459</f>
        <v/>
      </c>
      <c r="K1459">
        <f>I1459-G1459</f>
        <v/>
      </c>
      <c r="M1459" t="inlineStr">
        <is>
          <t>210883</t>
        </is>
      </c>
      <c r="N1459" t="inlineStr"/>
      <c r="O1459">
        <f>M1459=N1459</f>
        <v/>
      </c>
      <c r="P1459">
        <f>AND(MONTH(F1459)=MONTH(S1459), YEAR(F1459)=YEAR(S1459))</f>
        <v/>
      </c>
      <c r="Q1459">
        <f>"L001-902303751"=U1459</f>
        <v/>
      </c>
      <c r="R1459">
        <f>G1459-W1459</f>
        <v/>
      </c>
      <c r="S1459" s="36" t="n">
        <v>45551</v>
      </c>
      <c r="T1459" t="inlineStr"/>
      <c r="U1459" t="inlineStr">
        <is>
          <t>K005-100150195</t>
        </is>
      </c>
      <c r="V1459" t="inlineStr">
        <is>
          <t>អេស អ វី ស៊ី ហ្វ្រេត សឺវីស (ខេមបូឌា) ខូ អិលធីឌី</t>
        </is>
      </c>
      <c r="W1459" t="n">
        <v>0</v>
      </c>
      <c r="X1459" t="n">
        <v>0</v>
      </c>
    </row>
    <row r="1460">
      <c r="A1460" t="n">
        <v>1459</v>
      </c>
      <c r="B1460" t="inlineStr">
        <is>
          <t>HAWB Freight, OM Forwarding Fee, H/C and AWB Fee</t>
        </is>
      </c>
      <c r="C1460" t="inlineStr">
        <is>
          <t>អ៊ិចស្ពែឌីធ័រ ខេមបូឌា អិលធីឌី</t>
        </is>
      </c>
      <c r="D1460" t="inlineStr">
        <is>
          <t>L001-100045898</t>
        </is>
      </c>
      <c r="E1460" t="inlineStr">
        <is>
          <t>TI-0292663</t>
        </is>
      </c>
      <c r="F1460" t="inlineStr">
        <is>
          <t>11-10-2024</t>
        </is>
      </c>
      <c r="G1460" t="n">
        <v>46725</v>
      </c>
      <c r="I1460">
        <f>G1460</f>
        <v/>
      </c>
      <c r="K1460">
        <f>I1460-G1460</f>
        <v/>
      </c>
      <c r="M1460" t="inlineStr">
        <is>
          <t>TI0292663</t>
        </is>
      </c>
      <c r="N1460" t="inlineStr">
        <is>
          <t>17250800</t>
        </is>
      </c>
      <c r="O1460">
        <f>M1460=N1460</f>
        <v/>
      </c>
      <c r="P1460">
        <f>AND(MONTH(F1460)=MONTH(S1460), YEAR(F1460)=YEAR(S1460))</f>
        <v/>
      </c>
      <c r="Q1460">
        <f>"L001-902303751"=U1460</f>
        <v/>
      </c>
      <c r="R1460">
        <f>G1460-W1460</f>
        <v/>
      </c>
      <c r="S1460" s="36" t="n">
        <v>45537</v>
      </c>
      <c r="T1460" t="n">
        <v>172508</v>
      </c>
      <c r="U1460" t="inlineStr">
        <is>
          <t>L001-107032791</t>
        </is>
      </c>
      <c r="V1460" t="inlineStr">
        <is>
          <t>នីបផន អិចប្រេស (ខេមបូឌា) ខូ អិលធីឌី</t>
        </is>
      </c>
      <c r="W1460" t="n">
        <v>172508</v>
      </c>
      <c r="X1460" t="n">
        <v>0</v>
      </c>
    </row>
    <row r="1461">
      <c r="A1461" t="n">
        <v>1460</v>
      </c>
      <c r="B1461" t="inlineStr">
        <is>
          <t>HAWB Freight, OM Forwarding Fee, H/C and AWB Fee</t>
        </is>
      </c>
      <c r="C1461" t="inlineStr">
        <is>
          <t>អ៊ិចស្ពែឌីធ័រ ខេមបូឌា អិលធីឌី</t>
        </is>
      </c>
      <c r="D1461" t="inlineStr">
        <is>
          <t>L001-100045898</t>
        </is>
      </c>
      <c r="E1461" t="inlineStr">
        <is>
          <t>TI-0292662</t>
        </is>
      </c>
      <c r="F1461" t="inlineStr">
        <is>
          <t>11-10-2024</t>
        </is>
      </c>
      <c r="G1461" t="n">
        <v>46725</v>
      </c>
      <c r="I1461">
        <f>G1461</f>
        <v/>
      </c>
      <c r="K1461">
        <f>I1461-G1461</f>
        <v/>
      </c>
      <c r="M1461" t="inlineStr">
        <is>
          <t>TI0292662</t>
        </is>
      </c>
      <c r="N1461" t="inlineStr">
        <is>
          <t>11162300</t>
        </is>
      </c>
      <c r="O1461">
        <f>M1461=N1461</f>
        <v/>
      </c>
      <c r="P1461">
        <f>AND(MONTH(F1461)=MONTH(S1461), YEAR(F1461)=YEAR(S1461))</f>
        <v/>
      </c>
      <c r="Q1461">
        <f>"L001-902303751"=U1461</f>
        <v/>
      </c>
      <c r="R1461">
        <f>G1461-W1461</f>
        <v/>
      </c>
      <c r="S1461" s="36" t="n">
        <v>45537</v>
      </c>
      <c r="T1461" t="n">
        <v>111623</v>
      </c>
      <c r="U1461" t="inlineStr">
        <is>
          <t>L001-107032791</t>
        </is>
      </c>
      <c r="V1461" t="inlineStr">
        <is>
          <t>នីបផន អិចប្រេស (ខេមបូឌា) ខូ អិលធីឌី</t>
        </is>
      </c>
      <c r="W1461" t="n">
        <v>111623</v>
      </c>
      <c r="X1461" t="n">
        <v>0</v>
      </c>
    </row>
    <row r="1462">
      <c r="A1462" t="n">
        <v>1461</v>
      </c>
      <c r="B1462" t="inlineStr">
        <is>
          <t>HAWB Freight, OM Forwarding Fee, H/C and AWB Fee</t>
        </is>
      </c>
      <c r="C1462" t="inlineStr">
        <is>
          <t>អ៊ិចស្ពែឌីធ័រ ខេមបូឌា អិលធីឌី</t>
        </is>
      </c>
      <c r="D1462" t="inlineStr">
        <is>
          <t>L001-100045898</t>
        </is>
      </c>
      <c r="E1462" t="inlineStr">
        <is>
          <t>TI-0293009</t>
        </is>
      </c>
      <c r="F1462" t="inlineStr">
        <is>
          <t>16-10-2024</t>
        </is>
      </c>
      <c r="G1462" t="n">
        <v>46690</v>
      </c>
      <c r="I1462">
        <f>G1462</f>
        <v/>
      </c>
      <c r="K1462">
        <f>I1462-G1462</f>
        <v/>
      </c>
      <c r="M1462" t="inlineStr">
        <is>
          <t>TI0293009</t>
        </is>
      </c>
      <c r="N1462" t="inlineStr">
        <is>
          <t>8325100</t>
        </is>
      </c>
      <c r="O1462">
        <f>M1462=N1462</f>
        <v/>
      </c>
      <c r="P1462">
        <f>AND(MONTH(F1462)=MONTH(S1462), YEAR(F1462)=YEAR(S1462))</f>
        <v/>
      </c>
      <c r="Q1462">
        <f>"L001-902303751"=U1462</f>
        <v/>
      </c>
      <c r="R1462">
        <f>G1462-W1462</f>
        <v/>
      </c>
      <c r="S1462" s="36" t="n">
        <v>45565</v>
      </c>
      <c r="T1462" t="n">
        <v>83251</v>
      </c>
      <c r="U1462" t="inlineStr">
        <is>
          <t>K005-100150195</t>
        </is>
      </c>
      <c r="V1462" t="inlineStr">
        <is>
          <t>អេស អ វី ស៊ី ហ្វ្រេត សឺវីស (ខេមបូឌា) ខូ អិលធីឌី</t>
        </is>
      </c>
      <c r="W1462" t="n">
        <v>83251</v>
      </c>
      <c r="X1462" t="n">
        <v>0</v>
      </c>
    </row>
    <row r="1463">
      <c r="A1463" t="n">
        <v>1462</v>
      </c>
      <c r="B1463" t="inlineStr">
        <is>
          <t>Documentation Fee and Handling Charges</t>
        </is>
      </c>
      <c r="C1463" t="inlineStr">
        <is>
          <t>អេជីអិកស៍ ឡូជីស្ទីក (ខេមបូឌា) ខូ អិលធីឌី</t>
        </is>
      </c>
      <c r="D1463" t="inlineStr">
        <is>
          <t>K002-901504703</t>
        </is>
      </c>
      <c r="E1463" t="inlineStr">
        <is>
          <t>TINV-24-0407</t>
        </is>
      </c>
      <c r="F1463" t="inlineStr">
        <is>
          <t>10-10-2024</t>
        </is>
      </c>
      <c r="G1463" t="n">
        <v>38627</v>
      </c>
      <c r="I1463">
        <f>G1463</f>
        <v/>
      </c>
      <c r="K1463">
        <f>I1463-G1463</f>
        <v/>
      </c>
      <c r="M1463" t="inlineStr">
        <is>
          <t>TINV240407</t>
        </is>
      </c>
      <c r="N1463" t="inlineStr"/>
      <c r="O1463">
        <f>M1463=N1463</f>
        <v/>
      </c>
      <c r="P1463">
        <f>AND(MONTH(F1463)=MONTH(S1463), YEAR(F1463)=YEAR(S1463))</f>
        <v/>
      </c>
      <c r="Q1463">
        <f>"L001-902303751"=U1463</f>
        <v/>
      </c>
      <c r="R1463">
        <f>G1463-W1463</f>
        <v/>
      </c>
      <c r="S1463" s="36" t="n">
        <v>45565</v>
      </c>
      <c r="T1463" t="inlineStr"/>
      <c r="U1463" t="inlineStr">
        <is>
          <t>K005-100150195</t>
        </is>
      </c>
      <c r="V1463" t="inlineStr">
        <is>
          <t>អេស អ វី ស៊ី ហ្វ្រេត សឺវីស (ខេមបូឌា) ខូ អិលធីឌី</t>
        </is>
      </c>
      <c r="W1463" t="n">
        <v>0</v>
      </c>
      <c r="X1463" t="n">
        <v>0</v>
      </c>
    </row>
    <row r="1464">
      <c r="A1464" t="n">
        <v>1463</v>
      </c>
      <c r="B1464" t="inlineStr">
        <is>
          <t>HAWB Freight, OM Forwarding Fee, H/C and AWB Fee</t>
        </is>
      </c>
      <c r="C1464" t="inlineStr">
        <is>
          <t>អ៊ិចស្ពែឌីធ័រ ខេមបូឌា អិលធីឌី</t>
        </is>
      </c>
      <c r="D1464" t="inlineStr">
        <is>
          <t>L001-100045898</t>
        </is>
      </c>
      <c r="E1464" t="inlineStr">
        <is>
          <t>TI-0293100</t>
        </is>
      </c>
      <c r="F1464" t="inlineStr">
        <is>
          <t>16-10-2024</t>
        </is>
      </c>
      <c r="G1464" t="n">
        <v>46690</v>
      </c>
      <c r="I1464">
        <f>G1464</f>
        <v/>
      </c>
      <c r="K1464">
        <f>I1464-G1464</f>
        <v/>
      </c>
      <c r="M1464" t="inlineStr">
        <is>
          <t>TI0293100</t>
        </is>
      </c>
      <c r="N1464" t="inlineStr">
        <is>
          <t>11173300</t>
        </is>
      </c>
      <c r="O1464">
        <f>M1464=N1464</f>
        <v/>
      </c>
      <c r="P1464">
        <f>AND(MONTH(F1464)=MONTH(S1464), YEAR(F1464)=YEAR(S1464))</f>
        <v/>
      </c>
      <c r="Q1464">
        <f>"L001-902303751"=U1464</f>
        <v/>
      </c>
      <c r="R1464">
        <f>G1464-W1464</f>
        <v/>
      </c>
      <c r="S1464" s="36" t="n">
        <v>45558</v>
      </c>
      <c r="T1464" t="n">
        <v>111733</v>
      </c>
      <c r="U1464" t="inlineStr">
        <is>
          <t>L001-107032791</t>
        </is>
      </c>
      <c r="V1464" t="inlineStr">
        <is>
          <t>នីបផន អិចប្រេស (ខេមបូឌា) ខូ អិលធីឌី</t>
        </is>
      </c>
      <c r="W1464" t="n">
        <v>111733</v>
      </c>
      <c r="X1464" t="n">
        <v>0</v>
      </c>
    </row>
    <row r="1465">
      <c r="A1465" t="n">
        <v>1464</v>
      </c>
      <c r="B1465" t="inlineStr">
        <is>
          <t>Woven Fabric</t>
        </is>
      </c>
      <c r="C1465" t="inlineStr">
        <is>
          <t>សូស៊ីយេតេ កុងសេស្យូនែរ ដឺ ឡាអេរ៉ូព័រ</t>
        </is>
      </c>
      <c r="D1465" t="inlineStr">
        <is>
          <t>L001-100047300</t>
        </is>
      </c>
      <c r="E1465" t="inlineStr">
        <is>
          <t>2400083776</t>
        </is>
      </c>
      <c r="F1465" t="inlineStr">
        <is>
          <t>18-10-2024</t>
        </is>
      </c>
      <c r="G1465" t="n">
        <v>4095</v>
      </c>
      <c r="I1465">
        <f>G1465</f>
        <v/>
      </c>
      <c r="K1465">
        <f>I1465-G1465</f>
        <v/>
      </c>
      <c r="M1465" t="inlineStr">
        <is>
          <t>2400083776</t>
        </is>
      </c>
      <c r="N1465" t="inlineStr"/>
      <c r="O1465">
        <f>M1465=N1465</f>
        <v/>
      </c>
      <c r="P1465">
        <f>AND(MONTH(F1465)=MONTH(S1465), YEAR(F1465)=YEAR(S1465))</f>
        <v/>
      </c>
      <c r="Q1465">
        <f>"L001-902303751"=U1465</f>
        <v/>
      </c>
      <c r="R1465">
        <f>G1465-W1465</f>
        <v/>
      </c>
      <c r="S1465" s="36" t="n">
        <v>45544</v>
      </c>
      <c r="T1465" t="inlineStr"/>
      <c r="U1465" t="inlineStr">
        <is>
          <t>L001-107032791</t>
        </is>
      </c>
      <c r="V1465" t="inlineStr">
        <is>
          <t>នីបផន អិចប្រេស (ខេមបូឌា) ខូ អិលធីឌី</t>
        </is>
      </c>
      <c r="W1465" t="n">
        <v>0</v>
      </c>
      <c r="X1465" t="n">
        <v>0</v>
      </c>
    </row>
    <row r="1466">
      <c r="A1466" t="n">
        <v>1465</v>
      </c>
      <c r="B1466" t="inlineStr">
        <is>
          <t>Documentation Origin, Handling Charges Origin, PLACI fee and HAWB Transmission Fee</t>
        </is>
      </c>
      <c r="C1466" t="inlineStr">
        <is>
          <t>ឌីប៊ី សេនឃើរ (ខេមបូឌា) លីមីធីត</t>
        </is>
      </c>
      <c r="D1466" t="inlineStr">
        <is>
          <t>L001-107041723</t>
        </is>
      </c>
      <c r="E1466" t="inlineStr">
        <is>
          <t>2400008319</t>
        </is>
      </c>
      <c r="F1466" t="inlineStr">
        <is>
          <t>18-10-2024</t>
        </is>
      </c>
      <c r="G1466" t="n">
        <v>49963</v>
      </c>
      <c r="I1466">
        <f>G1466</f>
        <v/>
      </c>
      <c r="K1466">
        <f>I1466-G1466</f>
        <v/>
      </c>
      <c r="M1466" t="inlineStr">
        <is>
          <t>2400008319</t>
        </is>
      </c>
      <c r="N1466" t="inlineStr">
        <is>
          <t>11203500</t>
        </is>
      </c>
      <c r="O1466">
        <f>M1466=N1466</f>
        <v/>
      </c>
      <c r="P1466">
        <f>AND(MONTH(F1466)=MONTH(S1466), YEAR(F1466)=YEAR(S1466))</f>
        <v/>
      </c>
      <c r="Q1466">
        <f>"L001-902303751"=U1466</f>
        <v/>
      </c>
      <c r="R1466">
        <f>G1466-W1466</f>
        <v/>
      </c>
      <c r="S1466" s="36" t="n">
        <v>45544</v>
      </c>
      <c r="T1466" t="n">
        <v>112035</v>
      </c>
      <c r="U1466" t="inlineStr">
        <is>
          <t>K005-100150195</t>
        </is>
      </c>
      <c r="V1466" t="inlineStr">
        <is>
          <t>អេស អ វី ស៊ី ហ្វ្រេត សឺវីស (ខេមបូឌា) ខូ អិលធីឌី</t>
        </is>
      </c>
      <c r="W1466" t="n">
        <v>112035</v>
      </c>
      <c r="X1466" t="n">
        <v>0</v>
      </c>
    </row>
    <row r="1467">
      <c r="A1467" t="n">
        <v>1466</v>
      </c>
      <c r="B1467" t="inlineStr">
        <is>
          <t>Documentation Origin, Handling Charges Origin, PLACI fee and HAWB Transmission Fee</t>
        </is>
      </c>
      <c r="C1467" t="inlineStr">
        <is>
          <t>ឌីប៊ី សេនឃើរ (ខេមបូឌា) លីមីធីត</t>
        </is>
      </c>
      <c r="D1467" t="inlineStr">
        <is>
          <t>L001-107041723</t>
        </is>
      </c>
      <c r="E1467" t="inlineStr">
        <is>
          <t>2400008317</t>
        </is>
      </c>
      <c r="F1467" t="inlineStr">
        <is>
          <t>18-10-2024</t>
        </is>
      </c>
      <c r="G1467" t="n">
        <v>49963</v>
      </c>
      <c r="I1467">
        <f>G1467</f>
        <v/>
      </c>
      <c r="K1467">
        <f>I1467-G1467</f>
        <v/>
      </c>
      <c r="M1467" t="inlineStr">
        <is>
          <t>2400008317</t>
        </is>
      </c>
      <c r="N1467" t="inlineStr">
        <is>
          <t>11148500</t>
        </is>
      </c>
      <c r="O1467">
        <f>M1467=N1467</f>
        <v/>
      </c>
      <c r="P1467">
        <f>AND(MONTH(F1467)=MONTH(S1467), YEAR(F1467)=YEAR(S1467))</f>
        <v/>
      </c>
      <c r="Q1467">
        <f>"L001-902303751"=U1467</f>
        <v/>
      </c>
      <c r="R1467">
        <f>G1467-W1467</f>
        <v/>
      </c>
      <c r="S1467" s="36" t="n">
        <v>45551</v>
      </c>
      <c r="T1467" t="n">
        <v>111485</v>
      </c>
      <c r="U1467" t="inlineStr">
        <is>
          <t>L001-100045995</t>
        </is>
      </c>
      <c r="V1467" t="inlineStr">
        <is>
          <t>ឌីអេចអិល ឡូជីស្ទីក (ខេមបូឌា)</t>
        </is>
      </c>
      <c r="W1467" t="n">
        <v>111485</v>
      </c>
      <c r="X1467" t="n">
        <v>0</v>
      </c>
    </row>
    <row r="1468">
      <c r="A1468" t="n">
        <v>1467</v>
      </c>
      <c r="B1468" t="inlineStr">
        <is>
          <t>Documentation Origin, Handling Charges Origin, PLACI fee and HAWB Transmission Fee</t>
        </is>
      </c>
      <c r="C1468" t="inlineStr">
        <is>
          <t>ឌីប៊ី សេនឃើរ (ខេមបូឌា) លីមីធីត</t>
        </is>
      </c>
      <c r="D1468" t="inlineStr">
        <is>
          <t>L001-107041723</t>
        </is>
      </c>
      <c r="E1468" t="inlineStr">
        <is>
          <t>2400008315</t>
        </is>
      </c>
      <c r="F1468" t="inlineStr">
        <is>
          <t>18-10-2024</t>
        </is>
      </c>
      <c r="G1468" t="n">
        <v>49963</v>
      </c>
      <c r="I1468">
        <f>G1468</f>
        <v/>
      </c>
      <c r="K1468">
        <f>I1468-G1468</f>
        <v/>
      </c>
      <c r="M1468" t="inlineStr">
        <is>
          <t>2400008315</t>
        </is>
      </c>
      <c r="N1468" t="inlineStr"/>
      <c r="O1468">
        <f>M1468=N1468</f>
        <v/>
      </c>
      <c r="P1468">
        <f>AND(MONTH(F1468)=MONTH(S1468), YEAR(F1468)=YEAR(S1468))</f>
        <v/>
      </c>
      <c r="Q1468">
        <f>"L001-902303751"=U1468</f>
        <v/>
      </c>
      <c r="R1468">
        <f>G1468-W1468</f>
        <v/>
      </c>
      <c r="S1468" s="36" t="n">
        <v>45551</v>
      </c>
      <c r="T1468" t="inlineStr"/>
      <c r="U1468" t="inlineStr">
        <is>
          <t>L001-100045995</t>
        </is>
      </c>
      <c r="V1468" t="inlineStr">
        <is>
          <t>ឌីអេចអិល ឡូជីស្ទីក (ខេមបូឌា)</t>
        </is>
      </c>
      <c r="W1468" t="n">
        <v>0</v>
      </c>
      <c r="X1468" t="n">
        <v>0</v>
      </c>
    </row>
    <row r="1469">
      <c r="A1469" t="n">
        <v>1468</v>
      </c>
      <c r="B1469" t="inlineStr">
        <is>
          <t>Document Origin, Handling Charges Origin, Airfreight, PLACI fee and HAWB Transmission Fee</t>
        </is>
      </c>
      <c r="C1469" t="inlineStr">
        <is>
          <t>ឌីប៊ី សេនឃើរ (ខេមបូឌា) លីមីធីត</t>
        </is>
      </c>
      <c r="D1469" t="inlineStr">
        <is>
          <t>L001-107041723</t>
        </is>
      </c>
      <c r="E1469" t="inlineStr">
        <is>
          <t>2400008314</t>
        </is>
      </c>
      <c r="F1469" t="inlineStr">
        <is>
          <t>18-10-2024</t>
        </is>
      </c>
      <c r="G1469" t="n">
        <v>49963</v>
      </c>
      <c r="I1469">
        <f>G1469</f>
        <v/>
      </c>
      <c r="K1469">
        <f>I1469-G1469</f>
        <v/>
      </c>
      <c r="M1469" t="inlineStr">
        <is>
          <t>2400008314</t>
        </is>
      </c>
      <c r="N1469" t="inlineStr">
        <is>
          <t>17229500</t>
        </is>
      </c>
      <c r="O1469">
        <f>M1469=N1469</f>
        <v/>
      </c>
      <c r="P1469">
        <f>AND(MONTH(F1469)=MONTH(S1469), YEAR(F1469)=YEAR(S1469))</f>
        <v/>
      </c>
      <c r="Q1469">
        <f>"L001-902303751"=U1469</f>
        <v/>
      </c>
      <c r="R1469">
        <f>G1469-W1469</f>
        <v/>
      </c>
      <c r="S1469" s="36" t="n">
        <v>45551</v>
      </c>
      <c r="T1469" t="n">
        <v>172295</v>
      </c>
      <c r="U1469" t="inlineStr">
        <is>
          <t>L001-107032791</t>
        </is>
      </c>
      <c r="V1469" t="inlineStr">
        <is>
          <t>នីបផន អិចប្រេស (ខេមបូឌា) ខូ អិលធីឌី</t>
        </is>
      </c>
      <c r="W1469" t="n">
        <v>172295</v>
      </c>
      <c r="X1469" t="n">
        <v>0</v>
      </c>
    </row>
    <row r="1470">
      <c r="A1470" t="n">
        <v>1469</v>
      </c>
      <c r="B1470" t="inlineStr">
        <is>
          <t>Charge from Warehouse/cy to trucks and Storage Charges</t>
        </is>
      </c>
      <c r="C1470" t="inlineStr">
        <is>
          <t>កំពង់ផែស្វយ័តក្រុងព្រះសីហនុ</t>
        </is>
      </c>
      <c r="D1470" t="inlineStr">
        <is>
          <t>L001-100044638</t>
        </is>
      </c>
      <c r="E1470" t="inlineStr">
        <is>
          <t>216075</t>
        </is>
      </c>
      <c r="F1470" t="inlineStr">
        <is>
          <t>18-10-2024</t>
        </is>
      </c>
      <c r="G1470" t="n">
        <v>2973</v>
      </c>
      <c r="I1470">
        <f>G1470</f>
        <v/>
      </c>
      <c r="K1470">
        <f>I1470-G1470</f>
        <v/>
      </c>
      <c r="M1470" t="inlineStr">
        <is>
          <t>216075</t>
        </is>
      </c>
      <c r="N1470" t="inlineStr">
        <is>
          <t>11203500</t>
        </is>
      </c>
      <c r="O1470">
        <f>M1470=N1470</f>
        <v/>
      </c>
      <c r="P1470">
        <f>AND(MONTH(F1470)=MONTH(S1470), YEAR(F1470)=YEAR(S1470))</f>
        <v/>
      </c>
      <c r="Q1470">
        <f>"L001-902303751"=U1470</f>
        <v/>
      </c>
      <c r="R1470">
        <f>G1470-W1470</f>
        <v/>
      </c>
      <c r="S1470" s="36" t="n">
        <v>45544</v>
      </c>
      <c r="T1470" t="n">
        <v>112035</v>
      </c>
      <c r="U1470" t="inlineStr">
        <is>
          <t>L001-100045995</t>
        </is>
      </c>
      <c r="V1470" t="inlineStr">
        <is>
          <t>ឌីអេចអិល ឡូជីស្ទីក (ខេមបូឌា)</t>
        </is>
      </c>
      <c r="W1470" t="n">
        <v>112035</v>
      </c>
      <c r="X1470" t="n">
        <v>0</v>
      </c>
    </row>
    <row r="1471">
      <c r="A1471" t="n">
        <v>1470</v>
      </c>
      <c r="B1471" t="inlineStr">
        <is>
          <t>Send Sample</t>
        </is>
      </c>
      <c r="C1471" t="inlineStr">
        <is>
          <t>ឌី អេច អិល អិចប្រេស (ខេមបូឌា)</t>
        </is>
      </c>
      <c r="D1471" t="inlineStr">
        <is>
          <t>L001-100045197</t>
        </is>
      </c>
      <c r="E1471" t="inlineStr">
        <is>
          <t>PNHIR00248188</t>
        </is>
      </c>
      <c r="F1471" t="inlineStr">
        <is>
          <t>18-10-2024</t>
        </is>
      </c>
      <c r="G1471" t="n">
        <v>8124</v>
      </c>
      <c r="I1471">
        <f>G1471</f>
        <v/>
      </c>
      <c r="K1471">
        <f>I1471-G1471</f>
        <v/>
      </c>
      <c r="M1471" t="inlineStr">
        <is>
          <t>PNHIR00248188</t>
        </is>
      </c>
      <c r="N1471" t="inlineStr"/>
      <c r="O1471">
        <f>M1471=N1471</f>
        <v/>
      </c>
      <c r="P1471">
        <f>AND(MONTH(F1471)=MONTH(S1471), YEAR(F1471)=YEAR(S1471))</f>
        <v/>
      </c>
      <c r="Q1471">
        <f>"L001-902303751"=U1471</f>
        <v/>
      </c>
      <c r="R1471">
        <f>G1471-W1471</f>
        <v/>
      </c>
      <c r="S1471" s="36" t="n">
        <v>45537</v>
      </c>
      <c r="T1471" t="inlineStr"/>
      <c r="U1471" t="inlineStr">
        <is>
          <t>L001-107032791</t>
        </is>
      </c>
      <c r="V1471" t="inlineStr">
        <is>
          <t>នីបផន អិចប្រេស (ខេមបូឌា) ខូ អិលធីឌី</t>
        </is>
      </c>
      <c r="W1471" t="n">
        <v>0</v>
      </c>
      <c r="X1471" t="n">
        <v>0</v>
      </c>
    </row>
    <row r="1472">
      <c r="A1472" t="n">
        <v>1471</v>
      </c>
      <c r="B1472" t="inlineStr">
        <is>
          <t>Lift-On &amp; Lift-Off</t>
        </is>
      </c>
      <c r="C1472" t="inlineStr">
        <is>
          <t>កំពង់ផែស្វយ័តក្រុងព្រះសីហនុ</t>
        </is>
      </c>
      <c r="D1472" t="inlineStr">
        <is>
          <t>L001-100044638</t>
        </is>
      </c>
      <c r="E1472" t="inlineStr">
        <is>
          <t>216914</t>
        </is>
      </c>
      <c r="F1472" t="inlineStr">
        <is>
          <t>19-10-2024</t>
        </is>
      </c>
      <c r="G1472" t="n">
        <v>23153</v>
      </c>
      <c r="I1472">
        <f>G1472</f>
        <v/>
      </c>
      <c r="K1472">
        <f>I1472-G1472</f>
        <v/>
      </c>
      <c r="M1472" t="inlineStr">
        <is>
          <t>216914</t>
        </is>
      </c>
      <c r="N1472" t="inlineStr">
        <is>
          <t>190189000</t>
        </is>
      </c>
      <c r="O1472">
        <f>M1472=N1472</f>
        <v/>
      </c>
      <c r="P1472">
        <f>AND(MONTH(F1472)=MONTH(S1472), YEAR(F1472)=YEAR(S1472))</f>
        <v/>
      </c>
      <c r="Q1472">
        <f>"L001-902303751"=U1472</f>
        <v/>
      </c>
      <c r="R1472">
        <f>G1472-W1472</f>
        <v/>
      </c>
      <c r="S1472" s="36" t="n">
        <v>45561</v>
      </c>
      <c r="T1472" t="n">
        <v>1901890</v>
      </c>
      <c r="U1472" t="inlineStr">
        <is>
          <t>K004-105012505</t>
        </is>
      </c>
      <c r="V1472" t="inlineStr">
        <is>
          <t>អេស៊ាន ហ្វ្រេត (ខេមបូឌា)</t>
        </is>
      </c>
      <c r="W1472" t="n">
        <v>1901890</v>
      </c>
      <c r="X1472" t="n">
        <v>0</v>
      </c>
    </row>
    <row r="1473">
      <c r="A1473" t="n">
        <v>1472</v>
      </c>
      <c r="B1473" t="inlineStr">
        <is>
          <t>Charge from Warehouse/cy to trucks and Storage charges</t>
        </is>
      </c>
      <c r="C1473" t="inlineStr">
        <is>
          <t>កំពង់ផែស្វយ័តក្រុងព្រះសីហនុ</t>
        </is>
      </c>
      <c r="D1473" t="inlineStr">
        <is>
          <t>L001-100044638</t>
        </is>
      </c>
      <c r="E1473" t="inlineStr">
        <is>
          <t>217058</t>
        </is>
      </c>
      <c r="F1473" t="inlineStr">
        <is>
          <t>19-10-2024</t>
        </is>
      </c>
      <c r="G1473" t="n">
        <v>783</v>
      </c>
      <c r="I1473">
        <f>G1473</f>
        <v/>
      </c>
      <c r="K1473">
        <f>I1473-G1473</f>
        <v/>
      </c>
      <c r="M1473" t="inlineStr">
        <is>
          <t>217058</t>
        </is>
      </c>
      <c r="N1473" t="inlineStr"/>
      <c r="O1473">
        <f>M1473=N1473</f>
        <v/>
      </c>
      <c r="P1473">
        <f>AND(MONTH(F1473)=MONTH(S1473), YEAR(F1473)=YEAR(S1473))</f>
        <v/>
      </c>
      <c r="Q1473">
        <f>"L001-902303751"=U1473</f>
        <v/>
      </c>
      <c r="R1473">
        <f>G1473-W1473</f>
        <v/>
      </c>
      <c r="S1473" s="36" t="n">
        <v>45551</v>
      </c>
      <c r="T1473" t="inlineStr"/>
      <c r="U1473" t="inlineStr">
        <is>
          <t>L001-107032791</t>
        </is>
      </c>
      <c r="V1473" t="inlineStr">
        <is>
          <t>នីបផន អិចប្រេស (ខេមបូឌា) ខូ អិលធីឌី</t>
        </is>
      </c>
      <c r="W1473" t="n">
        <v>0</v>
      </c>
      <c r="X1473" t="n">
        <v>0</v>
      </c>
    </row>
    <row r="1474">
      <c r="A1474" t="n">
        <v>1473</v>
      </c>
      <c r="B1474" t="inlineStr">
        <is>
          <t>Import Shipment Expense</t>
        </is>
      </c>
      <c r="C1474" t="inlineStr">
        <is>
          <t>សេហ្វធី គ្លូប៊ល ឡូជីស្ទីក (ខេមបូឌា) ឯ.ក</t>
        </is>
      </c>
      <c r="D1474" t="inlineStr">
        <is>
          <t>K005-901901220</t>
        </is>
      </c>
      <c r="E1474" t="inlineStr">
        <is>
          <t>TI2024-1889</t>
        </is>
      </c>
      <c r="F1474" t="inlineStr">
        <is>
          <t>18-10-2024</t>
        </is>
      </c>
      <c r="G1474" t="n">
        <v>63567</v>
      </c>
      <c r="I1474">
        <f>G1474</f>
        <v/>
      </c>
      <c r="K1474">
        <f>I1474-G1474</f>
        <v/>
      </c>
      <c r="M1474" t="inlineStr">
        <is>
          <t>TI20241889</t>
        </is>
      </c>
      <c r="N1474" t="inlineStr"/>
      <c r="O1474">
        <f>M1474=N1474</f>
        <v/>
      </c>
      <c r="P1474">
        <f>AND(MONTH(F1474)=MONTH(S1474), YEAR(F1474)=YEAR(S1474))</f>
        <v/>
      </c>
      <c r="Q1474">
        <f>"L001-902303751"=U1474</f>
        <v/>
      </c>
      <c r="R1474">
        <f>G1474-W1474</f>
        <v/>
      </c>
      <c r="S1474" s="36" t="n">
        <v>45544</v>
      </c>
      <c r="T1474" t="inlineStr"/>
      <c r="U1474" t="inlineStr">
        <is>
          <t>L001-100045340</t>
        </is>
      </c>
      <c r="V1474" t="inlineStr">
        <is>
          <t xml:space="preserve">ស៊ីវ៉ា អ៊ែរ អ៊ែន អូសៀន (ខេមបូឌា) ឯ.ក </t>
        </is>
      </c>
      <c r="W1474" t="n">
        <v>0</v>
      </c>
      <c r="X1474" t="n">
        <v>0</v>
      </c>
    </row>
    <row r="1475">
      <c r="A1475" t="n">
        <v>1474</v>
      </c>
      <c r="B1475" t="inlineStr">
        <is>
          <t>Charge from Warehouse/cy to trucks</t>
        </is>
      </c>
      <c r="C1475" t="inlineStr">
        <is>
          <t>កំពង់ផែស្វយ័តក្រុងព្រះសីហនុ</t>
        </is>
      </c>
      <c r="D1475" t="inlineStr">
        <is>
          <t>L001-100044638</t>
        </is>
      </c>
      <c r="E1475" t="inlineStr">
        <is>
          <t>216069</t>
        </is>
      </c>
      <c r="F1475" t="inlineStr">
        <is>
          <t>18-10-2024</t>
        </is>
      </c>
      <c r="G1475" t="n">
        <v>1244</v>
      </c>
      <c r="I1475">
        <f>G1475</f>
        <v/>
      </c>
      <c r="K1475">
        <f>I1475-G1475</f>
        <v/>
      </c>
      <c r="M1475" t="inlineStr">
        <is>
          <t>216069</t>
        </is>
      </c>
      <c r="N1475" t="inlineStr"/>
      <c r="O1475">
        <f>M1475=N1475</f>
        <v/>
      </c>
      <c r="P1475">
        <f>AND(MONTH(F1475)=MONTH(S1475), YEAR(F1475)=YEAR(S1475))</f>
        <v/>
      </c>
      <c r="Q1475">
        <f>"L001-902303751"=U1475</f>
        <v/>
      </c>
      <c r="R1475">
        <f>G1475-W1475</f>
        <v/>
      </c>
      <c r="S1475" s="36" t="n">
        <v>45544</v>
      </c>
      <c r="T1475" t="inlineStr"/>
      <c r="U1475" t="inlineStr">
        <is>
          <t>L001-107032791</t>
        </is>
      </c>
      <c r="V1475" t="inlineStr">
        <is>
          <t>នីបផន អិចប្រេស (ខេមបូឌា) ខូ អិលធីឌី</t>
        </is>
      </c>
      <c r="W1475" t="n">
        <v>0</v>
      </c>
      <c r="X1475" t="n">
        <v>0</v>
      </c>
    </row>
    <row r="1476">
      <c r="A1476" t="n">
        <v>1475</v>
      </c>
      <c r="B1476" t="inlineStr">
        <is>
          <t>Charge from Warehouse/cy to trucks and Storage charges</t>
        </is>
      </c>
      <c r="C1476" t="inlineStr">
        <is>
          <t>កំពង់ផែស្វយ័តក្រុងព្រះសីហនុ</t>
        </is>
      </c>
      <c r="D1476" t="inlineStr">
        <is>
          <t>L001-100044638</t>
        </is>
      </c>
      <c r="E1476" t="inlineStr">
        <is>
          <t>216067</t>
        </is>
      </c>
      <c r="F1476" t="inlineStr">
        <is>
          <t>18-10-2024</t>
        </is>
      </c>
      <c r="G1476" t="n">
        <v>1651</v>
      </c>
      <c r="I1476">
        <f>G1476</f>
        <v/>
      </c>
      <c r="K1476">
        <f>I1476-G1476</f>
        <v/>
      </c>
      <c r="M1476" t="inlineStr">
        <is>
          <t>216067</t>
        </is>
      </c>
      <c r="N1476" t="inlineStr">
        <is>
          <t>335879000</t>
        </is>
      </c>
      <c r="O1476">
        <f>M1476=N1476</f>
        <v/>
      </c>
      <c r="P1476">
        <f>AND(MONTH(F1476)=MONTH(S1476), YEAR(F1476)=YEAR(S1476))</f>
        <v/>
      </c>
      <c r="Q1476">
        <f>"L001-902303751"=U1476</f>
        <v/>
      </c>
      <c r="R1476">
        <f>G1476-W1476</f>
        <v/>
      </c>
      <c r="S1476" s="36" t="n">
        <v>45549</v>
      </c>
      <c r="T1476" t="n">
        <v>3358790</v>
      </c>
      <c r="U1476" t="inlineStr">
        <is>
          <t>K004-105012505</t>
        </is>
      </c>
      <c r="V1476" t="inlineStr">
        <is>
          <t>អេស៊ាន ហ្វ្រេត (ខេមបូឌា)</t>
        </is>
      </c>
      <c r="W1476" t="n">
        <v>3358790</v>
      </c>
      <c r="X1476" t="n">
        <v>0</v>
      </c>
    </row>
    <row r="1477">
      <c r="A1477" t="n">
        <v>1476</v>
      </c>
      <c r="B1477" t="inlineStr">
        <is>
          <t>Charge from warehouse/cy to trucks</t>
        </is>
      </c>
      <c r="C1477" t="inlineStr">
        <is>
          <t>កំពង់ផែស្វយ័តក្រុងព្រះសីហនុ</t>
        </is>
      </c>
      <c r="D1477" t="inlineStr">
        <is>
          <t>L001-100044638</t>
        </is>
      </c>
      <c r="E1477" t="inlineStr">
        <is>
          <t>216065</t>
        </is>
      </c>
      <c r="F1477" t="inlineStr">
        <is>
          <t>18-10-2024</t>
        </is>
      </c>
      <c r="G1477" t="n">
        <v>620</v>
      </c>
      <c r="I1477">
        <f>G1477</f>
        <v/>
      </c>
      <c r="K1477">
        <f>I1477-G1477</f>
        <v/>
      </c>
      <c r="M1477" t="inlineStr">
        <is>
          <t>216065</t>
        </is>
      </c>
      <c r="N1477" t="inlineStr"/>
      <c r="O1477">
        <f>M1477=N1477</f>
        <v/>
      </c>
      <c r="P1477">
        <f>AND(MONTH(F1477)=MONTH(S1477), YEAR(F1477)=YEAR(S1477))</f>
        <v/>
      </c>
      <c r="Q1477">
        <f>"L001-902303751"=U1477</f>
        <v/>
      </c>
      <c r="R1477">
        <f>G1477-W1477</f>
        <v/>
      </c>
      <c r="S1477" s="36" t="n">
        <v>45537</v>
      </c>
      <c r="T1477" t="inlineStr"/>
      <c r="U1477" t="inlineStr">
        <is>
          <t>L001-107032791</t>
        </is>
      </c>
      <c r="V1477" t="inlineStr">
        <is>
          <t>នីបផន អិចប្រេស (ខេមបូឌា) ខូ អិលធីឌី</t>
        </is>
      </c>
      <c r="W1477" t="n">
        <v>0</v>
      </c>
      <c r="X1477" t="n">
        <v>0</v>
      </c>
    </row>
    <row r="1478">
      <c r="A1478" t="n">
        <v>1477</v>
      </c>
      <c r="B1478" t="inlineStr">
        <is>
          <t>Cargo Terminal</t>
        </is>
      </c>
      <c r="C1478" t="inlineStr">
        <is>
          <t>សូស៊ីយេតេ កុងសេស្យូនែរ ដឺ ឡាអេរ៉ូព័រ</t>
        </is>
      </c>
      <c r="D1478" t="inlineStr">
        <is>
          <t>L001-100047300</t>
        </is>
      </c>
      <c r="E1478" t="inlineStr">
        <is>
          <t>2400083517</t>
        </is>
      </c>
      <c r="F1478" t="inlineStr">
        <is>
          <t>17-10-2024</t>
        </is>
      </c>
      <c r="G1478" t="n">
        <v>812</v>
      </c>
      <c r="I1478">
        <f>G1478</f>
        <v/>
      </c>
      <c r="K1478">
        <f>I1478-G1478</f>
        <v/>
      </c>
      <c r="M1478" t="inlineStr">
        <is>
          <t>2400083517</t>
        </is>
      </c>
      <c r="N1478" t="inlineStr">
        <is>
          <t>8321000</t>
        </is>
      </c>
      <c r="O1478">
        <f>M1478=N1478</f>
        <v/>
      </c>
      <c r="P1478">
        <f>AND(MONTH(F1478)=MONTH(S1478), YEAR(F1478)=YEAR(S1478))</f>
        <v/>
      </c>
      <c r="Q1478">
        <f>"L001-902303751"=U1478</f>
        <v/>
      </c>
      <c r="R1478">
        <f>G1478-W1478</f>
        <v/>
      </c>
      <c r="S1478" s="36" t="n">
        <v>45537</v>
      </c>
      <c r="T1478" t="n">
        <v>83210</v>
      </c>
      <c r="U1478" t="inlineStr">
        <is>
          <t>L001-107032791</t>
        </is>
      </c>
      <c r="V1478" t="inlineStr">
        <is>
          <t>នីបផន អិចប្រេស (ខេមបូឌា) ខូ អិលធីឌី</t>
        </is>
      </c>
      <c r="W1478" t="n">
        <v>83210</v>
      </c>
      <c r="X1478" t="n">
        <v>0</v>
      </c>
    </row>
    <row r="1479">
      <c r="A1479" t="n">
        <v>1478</v>
      </c>
      <c r="B1479" t="inlineStr">
        <is>
          <t>Warehouse Fee</t>
        </is>
      </c>
      <c r="C1479" t="inlineStr">
        <is>
          <t>ហាន​ &amp; ជុន ត្រេនស្ព័ត ខូ អិលធីឌី</t>
        </is>
      </c>
      <c r="D1479" t="inlineStr">
        <is>
          <t>L001-104016647</t>
        </is>
      </c>
      <c r="E1479" t="inlineStr">
        <is>
          <t>HJ24-3365</t>
        </is>
      </c>
      <c r="F1479" t="inlineStr">
        <is>
          <t>17-10-2024</t>
        </is>
      </c>
      <c r="G1479" t="n">
        <v>4060</v>
      </c>
      <c r="I1479">
        <f>G1479</f>
        <v/>
      </c>
      <c r="K1479">
        <f>I1479-G1479</f>
        <v/>
      </c>
      <c r="M1479" t="inlineStr">
        <is>
          <t>HJ243365</t>
        </is>
      </c>
      <c r="N1479" t="inlineStr"/>
      <c r="O1479">
        <f>M1479=N1479</f>
        <v/>
      </c>
      <c r="P1479">
        <f>AND(MONTH(F1479)=MONTH(S1479), YEAR(F1479)=YEAR(S1479))</f>
        <v/>
      </c>
      <c r="Q1479">
        <f>"L001-902303751"=U1479</f>
        <v/>
      </c>
      <c r="R1479">
        <f>G1479-W1479</f>
        <v/>
      </c>
      <c r="S1479" s="36" t="n">
        <v>45537</v>
      </c>
      <c r="T1479" t="inlineStr"/>
      <c r="U1479" t="inlineStr">
        <is>
          <t>L001-107032791</t>
        </is>
      </c>
      <c r="V1479" t="inlineStr">
        <is>
          <t>នីបផន អិចប្រេស (ខេមបូឌា) ខូ អិលធីឌី</t>
        </is>
      </c>
      <c r="W1479" t="n">
        <v>0</v>
      </c>
      <c r="X1479" t="n">
        <v>0</v>
      </c>
    </row>
    <row r="1480">
      <c r="A1480" t="n">
        <v>1479</v>
      </c>
      <c r="B1480" t="inlineStr">
        <is>
          <t>Import Shipment Expense</t>
        </is>
      </c>
      <c r="C1480" t="inlineStr">
        <is>
          <t>ប៊ី.អាយ.អិម ឡូជីស្ទីក ឯ.ក</t>
        </is>
      </c>
      <c r="D1480" t="inlineStr">
        <is>
          <t>K005-901902912</t>
        </is>
      </c>
      <c r="E1480" t="inlineStr">
        <is>
          <t>BI24-549</t>
        </is>
      </c>
      <c r="F1480" t="inlineStr">
        <is>
          <t>17-10-2024</t>
        </is>
      </c>
      <c r="G1480" t="n">
        <v>42224</v>
      </c>
      <c r="I1480">
        <f>G1480</f>
        <v/>
      </c>
      <c r="K1480">
        <f>I1480-G1480</f>
        <v/>
      </c>
      <c r="M1480" t="inlineStr">
        <is>
          <t>BI24549</t>
        </is>
      </c>
      <c r="N1480" t="inlineStr">
        <is>
          <t>11173300</t>
        </is>
      </c>
      <c r="O1480">
        <f>M1480=N1480</f>
        <v/>
      </c>
      <c r="P1480">
        <f>AND(MONTH(F1480)=MONTH(S1480), YEAR(F1480)=YEAR(S1480))</f>
        <v/>
      </c>
      <c r="Q1480">
        <f>"L001-902303751"=U1480</f>
        <v/>
      </c>
      <c r="R1480">
        <f>G1480-W1480</f>
        <v/>
      </c>
      <c r="S1480" s="36" t="n">
        <v>45558</v>
      </c>
      <c r="T1480" t="n">
        <v>111733</v>
      </c>
      <c r="U1480" t="inlineStr">
        <is>
          <t>L001-107032791</t>
        </is>
      </c>
      <c r="V1480" t="inlineStr">
        <is>
          <t>នីបផន អិចប្រេស (ខេមបូឌា) ខូ អិលធីឌី</t>
        </is>
      </c>
      <c r="W1480" t="n">
        <v>111733</v>
      </c>
      <c r="X1480" t="n">
        <v>0</v>
      </c>
    </row>
    <row r="1481">
      <c r="A1481" t="n">
        <v>1480</v>
      </c>
      <c r="B1481" t="inlineStr">
        <is>
          <t>Import Shipment Expense</t>
        </is>
      </c>
      <c r="C1481" t="inlineStr">
        <is>
          <t>ប៊ី.អាយ.អិម ឡូជីស្ទីក ឯ.ក</t>
        </is>
      </c>
      <c r="D1481" t="inlineStr">
        <is>
          <t>K005-901902912</t>
        </is>
      </c>
      <c r="E1481" t="inlineStr">
        <is>
          <t>BI24-548</t>
        </is>
      </c>
      <c r="F1481" t="inlineStr">
        <is>
          <t>17-10-2024</t>
        </is>
      </c>
      <c r="G1481" t="n">
        <v>56630</v>
      </c>
      <c r="I1481">
        <f>G1481</f>
        <v/>
      </c>
      <c r="K1481">
        <f>I1481-G1481</f>
        <v/>
      </c>
      <c r="M1481" t="inlineStr">
        <is>
          <t>BI24548</t>
        </is>
      </c>
      <c r="N1481" t="inlineStr">
        <is>
          <t>11203500</t>
        </is>
      </c>
      <c r="O1481">
        <f>M1481=N1481</f>
        <v/>
      </c>
      <c r="P1481">
        <f>AND(MONTH(F1481)=MONTH(S1481), YEAR(F1481)=YEAR(S1481))</f>
        <v/>
      </c>
      <c r="Q1481">
        <f>"L001-902303751"=U1481</f>
        <v/>
      </c>
      <c r="R1481">
        <f>G1481-W1481</f>
        <v/>
      </c>
      <c r="S1481" s="36" t="n">
        <v>45544</v>
      </c>
      <c r="T1481" t="n">
        <v>112035</v>
      </c>
      <c r="U1481" t="inlineStr">
        <is>
          <t>L001-107032791</t>
        </is>
      </c>
      <c r="V1481" t="inlineStr">
        <is>
          <t>នីបផន អិចប្រេស (ខេមបូឌា) ខូ អិលធីឌី</t>
        </is>
      </c>
      <c r="W1481" t="n">
        <v>112035</v>
      </c>
      <c r="X1481" t="n">
        <v>0</v>
      </c>
    </row>
    <row r="1482">
      <c r="A1482" t="n">
        <v>1481</v>
      </c>
      <c r="B1482" t="inlineStr">
        <is>
          <t>Import Shipment Expense</t>
        </is>
      </c>
      <c r="C1482" t="inlineStr">
        <is>
          <t>ខាហ្គោផត (ខេមបូឌា)</t>
        </is>
      </c>
      <c r="D1482" t="inlineStr">
        <is>
          <t>K005-100099521</t>
        </is>
      </c>
      <c r="E1482" t="inlineStr">
        <is>
          <t>24-2505</t>
        </is>
      </c>
      <c r="F1482" t="inlineStr">
        <is>
          <t>17-10-2024</t>
        </is>
      </c>
      <c r="G1482" t="n">
        <v>50750</v>
      </c>
      <c r="I1482">
        <f>G1482</f>
        <v/>
      </c>
      <c r="K1482">
        <f>I1482-G1482</f>
        <v/>
      </c>
      <c r="M1482" t="inlineStr">
        <is>
          <t>242505</t>
        </is>
      </c>
      <c r="N1482" t="inlineStr">
        <is>
          <t>11148500</t>
        </is>
      </c>
      <c r="O1482">
        <f>M1482=N1482</f>
        <v/>
      </c>
      <c r="P1482">
        <f>AND(MONTH(F1482)=MONTH(S1482), YEAR(F1482)=YEAR(S1482))</f>
        <v/>
      </c>
      <c r="Q1482">
        <f>"L001-902303751"=U1482</f>
        <v/>
      </c>
      <c r="R1482">
        <f>G1482-W1482</f>
        <v/>
      </c>
      <c r="S1482" s="36" t="n">
        <v>45551</v>
      </c>
      <c r="T1482" t="n">
        <v>111485</v>
      </c>
      <c r="U1482" t="inlineStr">
        <is>
          <t>K005-100150195</t>
        </is>
      </c>
      <c r="V1482" t="inlineStr">
        <is>
          <t>អេស អ វី ស៊ី ហ្វ្រេត សឺវីស (ខេមបូឌា) ខូ អិលធីឌី</t>
        </is>
      </c>
      <c r="W1482" t="n">
        <v>111485</v>
      </c>
      <c r="X1482" t="n">
        <v>0</v>
      </c>
    </row>
    <row r="1483">
      <c r="A1483" t="n">
        <v>1482</v>
      </c>
      <c r="B1483" t="inlineStr">
        <is>
          <t>Export Adminstration Fee, Custom Processing Fee and Overtime Charges</t>
        </is>
      </c>
      <c r="C1483" t="inlineStr">
        <is>
          <t>ជី លីង អិចប្រេស ឡូជីស្ទីក (ខេមបូឌា) លីមីធីត</t>
        </is>
      </c>
      <c r="D1483" t="inlineStr">
        <is>
          <t>L001-100044956</t>
        </is>
      </c>
      <c r="E1483" t="inlineStr">
        <is>
          <t>24158956</t>
        </is>
      </c>
      <c r="F1483" t="inlineStr">
        <is>
          <t>17-10-2024</t>
        </is>
      </c>
      <c r="G1483" t="n">
        <v>190820</v>
      </c>
      <c r="I1483">
        <f>G1483</f>
        <v/>
      </c>
      <c r="K1483">
        <f>I1483-G1483</f>
        <v/>
      </c>
      <c r="M1483" t="inlineStr">
        <is>
          <t>24158956</t>
        </is>
      </c>
      <c r="N1483" t="inlineStr">
        <is>
          <t>8321000</t>
        </is>
      </c>
      <c r="O1483">
        <f>M1483=N1483</f>
        <v/>
      </c>
      <c r="P1483">
        <f>AND(MONTH(F1483)=MONTH(S1483), YEAR(F1483)=YEAR(S1483))</f>
        <v/>
      </c>
      <c r="Q1483">
        <f>"L001-902303751"=U1483</f>
        <v/>
      </c>
      <c r="R1483">
        <f>G1483-W1483</f>
        <v/>
      </c>
      <c r="S1483" s="36" t="n">
        <v>45537</v>
      </c>
      <c r="T1483" t="n">
        <v>83210</v>
      </c>
      <c r="U1483" t="inlineStr">
        <is>
          <t>L001-107032791</t>
        </is>
      </c>
      <c r="V1483" t="inlineStr">
        <is>
          <t>នីបផន អិចប្រេស (ខេមបូឌា) ខូ អិលធីឌី</t>
        </is>
      </c>
      <c r="W1483" t="n">
        <v>83210</v>
      </c>
      <c r="X1483" t="n">
        <v>0</v>
      </c>
    </row>
    <row r="1484">
      <c r="A1484" t="n">
        <v>1483</v>
      </c>
      <c r="B1484" t="inlineStr">
        <is>
          <t>Cargo Terminal</t>
        </is>
      </c>
      <c r="C1484" t="inlineStr">
        <is>
          <t>សូស៊ីយេតេ កុងសេស្យូនែរ ដឺ ឡាអេរ៉ូព័រ</t>
        </is>
      </c>
      <c r="D1484" t="inlineStr">
        <is>
          <t>L001-100047300</t>
        </is>
      </c>
      <c r="E1484" t="inlineStr">
        <is>
          <t>2400083518</t>
        </is>
      </c>
      <c r="F1484" t="inlineStr">
        <is>
          <t>17-10-2024</t>
        </is>
      </c>
      <c r="G1484" t="n">
        <v>1916</v>
      </c>
      <c r="I1484">
        <f>G1484</f>
        <v/>
      </c>
      <c r="K1484">
        <f>I1484-G1484</f>
        <v/>
      </c>
      <c r="M1484" t="inlineStr">
        <is>
          <t>2400083518</t>
        </is>
      </c>
      <c r="N1484" t="inlineStr"/>
      <c r="O1484">
        <f>M1484=N1484</f>
        <v/>
      </c>
      <c r="P1484">
        <f>AND(MONTH(F1484)=MONTH(S1484), YEAR(F1484)=YEAR(S1484))</f>
        <v/>
      </c>
      <c r="Q1484">
        <f>"L001-902303751"=U1484</f>
        <v/>
      </c>
      <c r="R1484">
        <f>G1484-W1484</f>
        <v/>
      </c>
      <c r="S1484" s="36" t="n">
        <v>45544</v>
      </c>
      <c r="T1484" t="inlineStr"/>
      <c r="U1484" t="inlineStr">
        <is>
          <t>L001-100045995</t>
        </is>
      </c>
      <c r="V1484" t="inlineStr">
        <is>
          <t>ឌីអេចអិល ឡូជីស្ទីក (ខេមបូឌា)</t>
        </is>
      </c>
      <c r="W1484" t="n">
        <v>0</v>
      </c>
      <c r="X1484" t="n">
        <v>0</v>
      </c>
    </row>
    <row r="1485">
      <c r="A1485" t="n">
        <v>1484</v>
      </c>
      <c r="B1485" t="inlineStr">
        <is>
          <t>Cargo Terminal</t>
        </is>
      </c>
      <c r="C1485" t="inlineStr">
        <is>
          <t>សូស៊ីយេតេ កុងសេស្យូនែរ ដឺ ឡាអេរ៉ូព័រ</t>
        </is>
      </c>
      <c r="D1485" t="inlineStr">
        <is>
          <t>L001-100047300</t>
        </is>
      </c>
      <c r="E1485" t="inlineStr">
        <is>
          <t>2400083516</t>
        </is>
      </c>
      <c r="F1485" t="inlineStr">
        <is>
          <t>17-10-2024</t>
        </is>
      </c>
      <c r="G1485" t="n">
        <v>17443</v>
      </c>
      <c r="I1485">
        <f>G1485</f>
        <v/>
      </c>
      <c r="K1485">
        <f>I1485-G1485</f>
        <v/>
      </c>
      <c r="M1485" t="inlineStr">
        <is>
          <t>2400083516</t>
        </is>
      </c>
      <c r="N1485" t="inlineStr">
        <is>
          <t>11162300</t>
        </is>
      </c>
      <c r="O1485">
        <f>M1485=N1485</f>
        <v/>
      </c>
      <c r="P1485">
        <f>AND(MONTH(F1485)=MONTH(S1485), YEAR(F1485)=YEAR(S1485))</f>
        <v/>
      </c>
      <c r="Q1485">
        <f>"L001-902303751"=U1485</f>
        <v/>
      </c>
      <c r="R1485">
        <f>G1485-W1485</f>
        <v/>
      </c>
      <c r="S1485" s="36" t="n">
        <v>45537</v>
      </c>
      <c r="T1485" t="n">
        <v>111623</v>
      </c>
      <c r="U1485" t="inlineStr">
        <is>
          <t>L001-100045995</t>
        </is>
      </c>
      <c r="V1485" t="inlineStr">
        <is>
          <t>ឌីអេចអិល ឡូជីស្ទីក (ខេមបូឌា)</t>
        </is>
      </c>
      <c r="W1485" t="n">
        <v>111623</v>
      </c>
      <c r="X1485" t="n">
        <v>0</v>
      </c>
    </row>
    <row r="1486">
      <c r="A1486" t="n">
        <v>1485</v>
      </c>
      <c r="B1486" t="inlineStr">
        <is>
          <t>Cargo Terminal</t>
        </is>
      </c>
      <c r="C1486" t="inlineStr">
        <is>
          <t>សូស៊ីយេតេ កុងសេស្យូនែរ ដឺ ឡាអេរ៉ូព័រ</t>
        </is>
      </c>
      <c r="D1486" t="inlineStr">
        <is>
          <t>L001-100047300</t>
        </is>
      </c>
      <c r="E1486" t="inlineStr">
        <is>
          <t>2400083515</t>
        </is>
      </c>
      <c r="F1486" t="inlineStr">
        <is>
          <t>17-10-2024</t>
        </is>
      </c>
      <c r="G1486" t="n">
        <v>12342</v>
      </c>
      <c r="I1486">
        <f>G1486</f>
        <v/>
      </c>
      <c r="K1486">
        <f>I1486-G1486</f>
        <v/>
      </c>
      <c r="M1486" t="inlineStr">
        <is>
          <t>2400083515</t>
        </is>
      </c>
      <c r="N1486" t="inlineStr"/>
      <c r="O1486">
        <f>M1486=N1486</f>
        <v/>
      </c>
      <c r="P1486">
        <f>AND(MONTH(F1486)=MONTH(S1486), YEAR(F1486)=YEAR(S1486))</f>
        <v/>
      </c>
      <c r="Q1486">
        <f>"L001-902303751"=U1486</f>
        <v/>
      </c>
      <c r="R1486">
        <f>G1486-W1486</f>
        <v/>
      </c>
      <c r="S1486" s="36" t="n">
        <v>45537</v>
      </c>
      <c r="T1486" t="inlineStr"/>
      <c r="U1486" t="inlineStr">
        <is>
          <t>L001-100045995</t>
        </is>
      </c>
      <c r="V1486" t="inlineStr">
        <is>
          <t>ឌីអេចអិល ឡូជីស្ទីក (ខេមបូឌា)</t>
        </is>
      </c>
      <c r="W1486" t="n">
        <v>0</v>
      </c>
      <c r="X1486" t="n">
        <v>0</v>
      </c>
    </row>
    <row r="1487">
      <c r="A1487" t="n">
        <v>1486</v>
      </c>
      <c r="B1487" t="inlineStr">
        <is>
          <t>Charge from Warehouse/cy to trucks and Storage charges</t>
        </is>
      </c>
      <c r="C1487" t="inlineStr">
        <is>
          <t>កំពង់ផែស្វយ័តក្រុងព្រះសីហនុ</t>
        </is>
      </c>
      <c r="D1487" t="inlineStr">
        <is>
          <t>L001-100044638</t>
        </is>
      </c>
      <c r="E1487" t="inlineStr">
        <is>
          <t>214262</t>
        </is>
      </c>
      <c r="F1487" t="inlineStr">
        <is>
          <t>17-10-2024</t>
        </is>
      </c>
      <c r="G1487" t="n">
        <v>782</v>
      </c>
      <c r="I1487">
        <f>G1487</f>
        <v/>
      </c>
      <c r="K1487">
        <f>I1487-G1487</f>
        <v/>
      </c>
      <c r="M1487" t="inlineStr">
        <is>
          <t>214262</t>
        </is>
      </c>
      <c r="N1487" t="inlineStr"/>
      <c r="O1487">
        <f>M1487=N1487</f>
        <v/>
      </c>
      <c r="P1487">
        <f>AND(MONTH(F1487)=MONTH(S1487), YEAR(F1487)=YEAR(S1487))</f>
        <v/>
      </c>
      <c r="Q1487">
        <f>"L001-902303751"=U1487</f>
        <v/>
      </c>
      <c r="R1487">
        <f>G1487-W1487</f>
        <v/>
      </c>
      <c r="S1487" s="36" t="n">
        <v>45537</v>
      </c>
      <c r="T1487" t="inlineStr"/>
      <c r="U1487" t="inlineStr">
        <is>
          <t>L001-107032791</t>
        </is>
      </c>
      <c r="V1487" t="inlineStr">
        <is>
          <t>នីបផន អិចប្រេស (ខេមបូឌា) ខូ អិលធីឌី</t>
        </is>
      </c>
      <c r="W1487" t="n">
        <v>0</v>
      </c>
      <c r="X1487" t="n">
        <v>0</v>
      </c>
    </row>
    <row r="1488">
      <c r="A1488" t="n">
        <v>1487</v>
      </c>
      <c r="B1488" t="inlineStr">
        <is>
          <t>Charge from Warehouse/cy to trucks and Storage Charges</t>
        </is>
      </c>
      <c r="C1488" t="inlineStr">
        <is>
          <t>កំពង់ផែស្វយ័តក្រុងព្រះសីហនុ</t>
        </is>
      </c>
      <c r="D1488" t="inlineStr">
        <is>
          <t>L001-100044638</t>
        </is>
      </c>
      <c r="E1488" t="inlineStr">
        <is>
          <t>214258</t>
        </is>
      </c>
      <c r="F1488" t="inlineStr">
        <is>
          <t>17-10-2024</t>
        </is>
      </c>
      <c r="G1488" t="n">
        <v>782</v>
      </c>
      <c r="I1488">
        <f>G1488</f>
        <v/>
      </c>
      <c r="K1488">
        <f>I1488-G1488</f>
        <v/>
      </c>
      <c r="M1488" t="inlineStr">
        <is>
          <t>214258</t>
        </is>
      </c>
      <c r="N1488" t="inlineStr">
        <is>
          <t>11162300</t>
        </is>
      </c>
      <c r="O1488">
        <f>M1488=N1488</f>
        <v/>
      </c>
      <c r="P1488">
        <f>AND(MONTH(F1488)=MONTH(S1488), YEAR(F1488)=YEAR(S1488))</f>
        <v/>
      </c>
      <c r="Q1488">
        <f>"L001-902303751"=U1488</f>
        <v/>
      </c>
      <c r="R1488">
        <f>G1488-W1488</f>
        <v/>
      </c>
      <c r="S1488" s="36" t="n">
        <v>45537</v>
      </c>
      <c r="T1488" t="n">
        <v>111623</v>
      </c>
      <c r="U1488" t="inlineStr">
        <is>
          <t>L001-107032791</t>
        </is>
      </c>
      <c r="V1488" t="inlineStr">
        <is>
          <t>នីបផន អិចប្រេស (ខេមបូឌា) ខូ អិលធីឌី</t>
        </is>
      </c>
      <c r="W1488" t="n">
        <v>111623</v>
      </c>
      <c r="X1488" t="n">
        <v>0</v>
      </c>
    </row>
    <row r="1489">
      <c r="A1489" t="n">
        <v>1488</v>
      </c>
      <c r="B1489" t="inlineStr">
        <is>
          <t>Charge from warehouse/cy to trucks</t>
        </is>
      </c>
      <c r="C1489" t="inlineStr">
        <is>
          <t>កំពង់ផែស្វយ័តក្រុងព្រះសីហនុ</t>
        </is>
      </c>
      <c r="D1489" t="inlineStr">
        <is>
          <t>L001-100044638</t>
        </is>
      </c>
      <c r="E1489" t="inlineStr">
        <is>
          <t>216063</t>
        </is>
      </c>
      <c r="F1489" t="inlineStr">
        <is>
          <t>18-10-2024</t>
        </is>
      </c>
      <c r="G1489" t="n">
        <v>1244</v>
      </c>
      <c r="I1489">
        <f>G1489</f>
        <v/>
      </c>
      <c r="K1489">
        <f>I1489-G1489</f>
        <v/>
      </c>
      <c r="M1489" t="inlineStr">
        <is>
          <t>216063</t>
        </is>
      </c>
      <c r="N1489" t="inlineStr">
        <is>
          <t>1625200</t>
        </is>
      </c>
      <c r="O1489">
        <f>M1489=N1489</f>
        <v/>
      </c>
      <c r="P1489">
        <f>AND(MONTH(F1489)=MONTH(S1489), YEAR(F1489)=YEAR(S1489))</f>
        <v/>
      </c>
      <c r="Q1489">
        <f>"L001-902303751"=U1489</f>
        <v/>
      </c>
      <c r="R1489">
        <f>G1489-W1489</f>
        <v/>
      </c>
      <c r="S1489" s="36" t="n">
        <v>45561</v>
      </c>
      <c r="T1489" t="n">
        <v>16252</v>
      </c>
      <c r="U1489" t="inlineStr">
        <is>
          <t>K005-901805913</t>
        </is>
      </c>
      <c r="V1489" t="inlineStr">
        <is>
          <t>ស្តារ ខង់ខដ (ខេមបូឌា) ឯ.ក</t>
        </is>
      </c>
      <c r="W1489" t="n">
        <v>16252</v>
      </c>
      <c r="X1489" t="n">
        <v>0</v>
      </c>
    </row>
    <row r="1490">
      <c r="A1490" t="n">
        <v>1489</v>
      </c>
      <c r="B1490" t="inlineStr">
        <is>
          <t>CFS Charges, THC Charges, Bill of lading Fee, FCR Charge and Manifest Fee</t>
        </is>
      </c>
      <c r="C1490" t="inlineStr">
        <is>
          <t>អ៊ិចស្ពែឌីធ័រ ខេមបូឌា អិលធីឌី</t>
        </is>
      </c>
      <c r="D1490" t="inlineStr">
        <is>
          <t>L001-100045898</t>
        </is>
      </c>
      <c r="E1490" t="inlineStr">
        <is>
          <t>TI-0293271</t>
        </is>
      </c>
      <c r="F1490" t="inlineStr">
        <is>
          <t>17-10-2024</t>
        </is>
      </c>
      <c r="G1490" t="n">
        <v>58966</v>
      </c>
      <c r="I1490">
        <f>G1490</f>
        <v/>
      </c>
      <c r="K1490">
        <f>I1490-G1490</f>
        <v/>
      </c>
      <c r="M1490" t="inlineStr">
        <is>
          <t>TI0293271</t>
        </is>
      </c>
      <c r="N1490" t="inlineStr">
        <is>
          <t>8325100</t>
        </is>
      </c>
      <c r="O1490">
        <f>M1490=N1490</f>
        <v/>
      </c>
      <c r="P1490">
        <f>AND(MONTH(F1490)=MONTH(S1490), YEAR(F1490)=YEAR(S1490))</f>
        <v/>
      </c>
      <c r="Q1490">
        <f>"L001-902303751"=U1490</f>
        <v/>
      </c>
      <c r="R1490">
        <f>G1490-W1490</f>
        <v/>
      </c>
      <c r="S1490" s="36" t="n">
        <v>45565</v>
      </c>
      <c r="T1490" t="n">
        <v>83251</v>
      </c>
      <c r="U1490" t="inlineStr">
        <is>
          <t>L001-107032791</t>
        </is>
      </c>
      <c r="V1490" t="inlineStr">
        <is>
          <t>នីបផន អិចប្រេស (ខេមបូឌា) ខូ អិលធីឌី</t>
        </is>
      </c>
      <c r="W1490" t="n">
        <v>83251</v>
      </c>
      <c r="X1490" t="n">
        <v>0</v>
      </c>
    </row>
    <row r="1491">
      <c r="A1491" t="n">
        <v>1490</v>
      </c>
      <c r="B1491" t="inlineStr">
        <is>
          <t>Origin Handling, House Waybill Charge, Origin THC, Origin CFS Charge. Origin Bonded Truck Surcharge, Origin Customs Export Clearance and Solas VGM Management Fee</t>
        </is>
      </c>
      <c r="C1491" t="inlineStr">
        <is>
          <t>ស៊ីវ៉ា អ៊ែរ អ៊ែន អូសៀន (ខេមបូឌា) ឯ.ក</t>
        </is>
      </c>
      <c r="D1491" t="inlineStr">
        <is>
          <t>L001-100045340</t>
        </is>
      </c>
      <c r="E1491" t="inlineStr">
        <is>
          <t>TF24003306</t>
        </is>
      </c>
      <c r="F1491" t="inlineStr">
        <is>
          <t>17-10-2024</t>
        </is>
      </c>
      <c r="G1491" t="n">
        <v>167117</v>
      </c>
      <c r="I1491">
        <f>G1491</f>
        <v/>
      </c>
      <c r="K1491">
        <f>I1491-G1491</f>
        <v/>
      </c>
      <c r="M1491" t="inlineStr">
        <is>
          <t>TF24003306</t>
        </is>
      </c>
      <c r="N1491" t="inlineStr">
        <is>
          <t>11167800</t>
        </is>
      </c>
      <c r="O1491">
        <f>M1491=N1491</f>
        <v/>
      </c>
      <c r="P1491">
        <f>AND(MONTH(F1491)=MONTH(S1491), YEAR(F1491)=YEAR(S1491))</f>
        <v/>
      </c>
      <c r="Q1491">
        <f>"L001-902303751"=U1491</f>
        <v/>
      </c>
      <c r="R1491">
        <f>G1491-W1491</f>
        <v/>
      </c>
      <c r="S1491" s="36" t="n">
        <v>45565</v>
      </c>
      <c r="T1491" t="n">
        <v>111678</v>
      </c>
      <c r="U1491" t="inlineStr">
        <is>
          <t>L001-107032791</t>
        </is>
      </c>
      <c r="V1491" t="inlineStr">
        <is>
          <t>នីបផន អិចប្រេស (ខេមបូឌា) ខូ អិលធីឌី</t>
        </is>
      </c>
      <c r="W1491" t="n">
        <v>111678</v>
      </c>
      <c r="X1491" t="n">
        <v>0</v>
      </c>
    </row>
    <row r="1492">
      <c r="A1492" t="n">
        <v>1491</v>
      </c>
      <c r="B1492" t="inlineStr">
        <is>
          <t>Export Custom Clearance, Terminal Handling Charges, Documentation Fee, Handling Fee, Trucking Fee, Export Custom Clearance and B/L Surrender Fee</t>
        </is>
      </c>
      <c r="C1492" t="inlineStr">
        <is>
          <t>អ៊ីឃ្យូឡាញ វើលវ៉ាយដ៍ ឡូជីស្ទីក</t>
        </is>
      </c>
      <c r="D1492" t="inlineStr">
        <is>
          <t>K003-901635943</t>
        </is>
      </c>
      <c r="E1492" t="inlineStr">
        <is>
          <t>PPTI24/005139</t>
        </is>
      </c>
      <c r="F1492" t="inlineStr">
        <is>
          <t>17-10-2024</t>
        </is>
      </c>
      <c r="G1492" t="n">
        <v>197154</v>
      </c>
      <c r="I1492">
        <f>G1492</f>
        <v/>
      </c>
      <c r="K1492">
        <f>I1492-G1492</f>
        <v/>
      </c>
      <c r="M1492" t="inlineStr">
        <is>
          <t>PPTI24005139</t>
        </is>
      </c>
      <c r="N1492" t="inlineStr">
        <is>
          <t>11173300</t>
        </is>
      </c>
      <c r="O1492">
        <f>M1492=N1492</f>
        <v/>
      </c>
      <c r="P1492">
        <f>AND(MONTH(F1492)=MONTH(S1492), YEAR(F1492)=YEAR(S1492))</f>
        <v/>
      </c>
      <c r="Q1492">
        <f>"L001-902303751"=U1492</f>
        <v/>
      </c>
      <c r="R1492">
        <f>G1492-W1492</f>
        <v/>
      </c>
      <c r="S1492" s="36" t="n">
        <v>45558</v>
      </c>
      <c r="T1492" t="n">
        <v>111733</v>
      </c>
      <c r="U1492" t="inlineStr">
        <is>
          <t>L001-100045995</t>
        </is>
      </c>
      <c r="V1492" t="inlineStr">
        <is>
          <t>ឌីអេចអិល ឡូជីស្ទីក (ខេមបូឌា)</t>
        </is>
      </c>
      <c r="W1492" t="n">
        <v>111733</v>
      </c>
      <c r="X1492" t="n">
        <v>0</v>
      </c>
    </row>
    <row r="1493">
      <c r="A1493" t="n">
        <v>1492</v>
      </c>
      <c r="B1493" t="inlineStr">
        <is>
          <t>Send Docs and Material</t>
        </is>
      </c>
      <c r="C1493" t="inlineStr">
        <is>
          <t>ឌី អេច អិល អិចប្រេស (ខេមបូឌា)</t>
        </is>
      </c>
      <c r="D1493" t="inlineStr">
        <is>
          <t>L001-100045197</t>
        </is>
      </c>
      <c r="E1493" t="inlineStr">
        <is>
          <t>PNHR000507010</t>
        </is>
      </c>
      <c r="F1493" t="inlineStr">
        <is>
          <t>17-10-2024</t>
        </is>
      </c>
      <c r="G1493" t="n">
        <v>103859</v>
      </c>
      <c r="I1493">
        <f>G1493</f>
        <v/>
      </c>
      <c r="K1493">
        <f>I1493-G1493</f>
        <v/>
      </c>
      <c r="M1493" t="inlineStr">
        <is>
          <t>PNHR000507010</t>
        </is>
      </c>
      <c r="N1493" t="inlineStr"/>
      <c r="O1493">
        <f>M1493=N1493</f>
        <v/>
      </c>
      <c r="P1493">
        <f>AND(MONTH(F1493)=MONTH(S1493), YEAR(F1493)=YEAR(S1493))</f>
        <v/>
      </c>
      <c r="Q1493">
        <f>"L001-902303751"=U1493</f>
        <v/>
      </c>
      <c r="R1493">
        <f>G1493-W1493</f>
        <v/>
      </c>
      <c r="S1493" s="36" t="n">
        <v>45551</v>
      </c>
      <c r="T1493" t="inlineStr"/>
      <c r="U1493" t="inlineStr">
        <is>
          <t>L001-901500191</t>
        </is>
      </c>
      <c r="V1493" t="inlineStr">
        <is>
          <t>អ.អិន.វ៉ាយ ត្រេនស្ព័ត</t>
        </is>
      </c>
      <c r="W1493" t="n">
        <v>0</v>
      </c>
      <c r="X1493" t="n">
        <v>0</v>
      </c>
    </row>
    <row r="1494">
      <c r="A1494" t="n">
        <v>1493</v>
      </c>
      <c r="B1494" t="inlineStr">
        <is>
          <t>Send Sample</t>
        </is>
      </c>
      <c r="C1494" t="inlineStr">
        <is>
          <t>ឌី អេច អិល អិចប្រេស (ខេមបូឌា)</t>
        </is>
      </c>
      <c r="D1494" t="inlineStr">
        <is>
          <t>L001-100045197</t>
        </is>
      </c>
      <c r="E1494" t="inlineStr">
        <is>
          <t>PNHIR00247702</t>
        </is>
      </c>
      <c r="F1494" t="inlineStr">
        <is>
          <t>17-10-2024</t>
        </is>
      </c>
      <c r="G1494" t="n">
        <v>8120</v>
      </c>
      <c r="I1494">
        <f>G1494</f>
        <v/>
      </c>
      <c r="K1494">
        <f>I1494-G1494</f>
        <v/>
      </c>
      <c r="M1494" t="inlineStr">
        <is>
          <t>PNHIR00247702</t>
        </is>
      </c>
      <c r="N1494" t="inlineStr">
        <is>
          <t>11203500</t>
        </is>
      </c>
      <c r="O1494">
        <f>M1494=N1494</f>
        <v/>
      </c>
      <c r="P1494">
        <f>AND(MONTH(F1494)=MONTH(S1494), YEAR(F1494)=YEAR(S1494))</f>
        <v/>
      </c>
      <c r="Q1494">
        <f>"L001-902303751"=U1494</f>
        <v/>
      </c>
      <c r="R1494">
        <f>G1494-W1494</f>
        <v/>
      </c>
      <c r="S1494" s="36" t="n">
        <v>45544</v>
      </c>
      <c r="T1494" t="n">
        <v>112035</v>
      </c>
      <c r="U1494" t="inlineStr">
        <is>
          <t>L001-107032791</t>
        </is>
      </c>
      <c r="V1494" t="inlineStr">
        <is>
          <t>នីបផន អិចប្រេស (ខេមបូឌា) ខូ អិលធីឌី</t>
        </is>
      </c>
      <c r="W1494" t="n">
        <v>112035</v>
      </c>
      <c r="X1494" t="n">
        <v>0</v>
      </c>
    </row>
    <row r="1495">
      <c r="A1495" t="n">
        <v>1494</v>
      </c>
      <c r="B1495" t="inlineStr">
        <is>
          <t>Send Docs</t>
        </is>
      </c>
      <c r="C1495" t="inlineStr">
        <is>
          <t>ឌី អេច អិល អិចប្រេស (ខេមបូឌា)</t>
        </is>
      </c>
      <c r="D1495" t="inlineStr">
        <is>
          <t>L001-100045197</t>
        </is>
      </c>
      <c r="E1495" t="inlineStr">
        <is>
          <t>PNHIR00247701</t>
        </is>
      </c>
      <c r="F1495" t="inlineStr">
        <is>
          <t>17-10-2024</t>
        </is>
      </c>
      <c r="G1495" t="n">
        <v>24360</v>
      </c>
      <c r="I1495">
        <f>G1495</f>
        <v/>
      </c>
      <c r="K1495">
        <f>I1495-G1495</f>
        <v/>
      </c>
      <c r="M1495" t="inlineStr">
        <is>
          <t>PNHIR00247701</t>
        </is>
      </c>
      <c r="N1495" t="inlineStr"/>
      <c r="O1495">
        <f>M1495=N1495</f>
        <v/>
      </c>
      <c r="P1495">
        <f>AND(MONTH(F1495)=MONTH(S1495), YEAR(F1495)=YEAR(S1495))</f>
        <v/>
      </c>
      <c r="Q1495">
        <f>"L001-902303751"=U1495</f>
        <v/>
      </c>
      <c r="R1495">
        <f>G1495-W1495</f>
        <v/>
      </c>
      <c r="S1495" s="36" t="n">
        <v>45551</v>
      </c>
      <c r="T1495" t="inlineStr"/>
      <c r="U1495" t="inlineStr">
        <is>
          <t>L001-107032791</t>
        </is>
      </c>
      <c r="V1495" t="inlineStr">
        <is>
          <t>នីបផន អិចប្រេស (ខេមបូឌា) ខូ អិលធីឌី</t>
        </is>
      </c>
      <c r="W1495" t="n">
        <v>0</v>
      </c>
      <c r="X1495" t="n">
        <v>0</v>
      </c>
    </row>
    <row r="1496">
      <c r="A1496" t="n">
        <v>1495</v>
      </c>
      <c r="B1496" t="inlineStr">
        <is>
          <t>Send Material</t>
        </is>
      </c>
      <c r="C1496" t="inlineStr">
        <is>
          <t>ឌី អេច អិល អិចប្រេស (ខេមបូឌា)</t>
        </is>
      </c>
      <c r="D1496" t="inlineStr">
        <is>
          <t>L001-100045197</t>
        </is>
      </c>
      <c r="E1496" t="inlineStr">
        <is>
          <t>PNHIR00247700</t>
        </is>
      </c>
      <c r="F1496" t="inlineStr">
        <is>
          <t>17-10-2024</t>
        </is>
      </c>
      <c r="G1496" t="n">
        <v>132628</v>
      </c>
      <c r="I1496">
        <f>G1496</f>
        <v/>
      </c>
      <c r="K1496">
        <f>I1496-G1496</f>
        <v/>
      </c>
      <c r="M1496" t="inlineStr">
        <is>
          <t>PNHIR00247700</t>
        </is>
      </c>
      <c r="N1496" t="inlineStr">
        <is>
          <t>20102000</t>
        </is>
      </c>
      <c r="O1496">
        <f>M1496=N1496</f>
        <v/>
      </c>
      <c r="P1496">
        <f>AND(MONTH(F1496)=MONTH(S1496), YEAR(F1496)=YEAR(S1496))</f>
        <v/>
      </c>
      <c r="Q1496">
        <f>"L001-902303751"=U1496</f>
        <v/>
      </c>
      <c r="R1496">
        <f>G1496-W1496</f>
        <v/>
      </c>
      <c r="S1496" s="36" t="n">
        <v>45565</v>
      </c>
      <c r="T1496" t="n">
        <v>201020</v>
      </c>
      <c r="U1496" t="inlineStr">
        <is>
          <t>K005-100150195</t>
        </is>
      </c>
      <c r="V1496" t="inlineStr">
        <is>
          <t>អេស អ វី ស៊ី ហ្វ្រេត សឺវីស (ខេមបូឌា) ខូ អិលធីឌី</t>
        </is>
      </c>
      <c r="W1496" t="n">
        <v>201020</v>
      </c>
      <c r="X1496" t="n">
        <v>0</v>
      </c>
    </row>
    <row r="1497">
      <c r="A1497" t="n">
        <v>1496</v>
      </c>
      <c r="B1497" t="inlineStr">
        <is>
          <t>Import Shipment Expense</t>
        </is>
      </c>
      <c r="C1497" t="inlineStr">
        <is>
          <t>ខេអិលអិន ហ្វ្រេត (ខេមបូឌា) ឯ.ក</t>
        </is>
      </c>
      <c r="D1497" t="inlineStr">
        <is>
          <t>L001-100074669</t>
        </is>
      </c>
      <c r="E1497" t="inlineStr">
        <is>
          <t>IVO16293</t>
        </is>
      </c>
      <c r="F1497" t="inlineStr">
        <is>
          <t>17-10-2024</t>
        </is>
      </c>
      <c r="G1497" t="n">
        <v>119338</v>
      </c>
      <c r="I1497">
        <f>G1497</f>
        <v/>
      </c>
      <c r="K1497">
        <f>I1497-G1497</f>
        <v/>
      </c>
      <c r="M1497" t="inlineStr">
        <is>
          <t>IVO16293</t>
        </is>
      </c>
      <c r="N1497" t="inlineStr"/>
      <c r="O1497">
        <f>M1497=N1497</f>
        <v/>
      </c>
      <c r="P1497">
        <f>AND(MONTH(F1497)=MONTH(S1497), YEAR(F1497)=YEAR(S1497))</f>
        <v/>
      </c>
      <c r="Q1497">
        <f>"L001-902303751"=U1497</f>
        <v/>
      </c>
      <c r="R1497">
        <f>G1497-W1497</f>
        <v/>
      </c>
      <c r="S1497" s="36" t="n">
        <v>45565</v>
      </c>
      <c r="T1497" t="inlineStr"/>
      <c r="U1497" t="inlineStr">
        <is>
          <t>L001-107032791</t>
        </is>
      </c>
      <c r="V1497" t="inlineStr">
        <is>
          <t>នីបផន អិចប្រេស (ខេមបូឌា) ខូ អិលធីឌី</t>
        </is>
      </c>
      <c r="W1497" t="n">
        <v>0</v>
      </c>
      <c r="X1497" t="n">
        <v>0</v>
      </c>
    </row>
    <row r="1498">
      <c r="A1498" t="n">
        <v>1497</v>
      </c>
      <c r="B1498" t="inlineStr">
        <is>
          <t>Import Shipment Expense</t>
        </is>
      </c>
      <c r="C1498" t="inlineStr">
        <is>
          <t>ខាហ្គោលីង អ៊ិនធើណេសិនណល ឯ.ក</t>
        </is>
      </c>
      <c r="D1498" t="inlineStr">
        <is>
          <t>K009-902002784</t>
        </is>
      </c>
      <c r="E1498" t="inlineStr">
        <is>
          <t>CLI2024-2857</t>
        </is>
      </c>
      <c r="F1498" t="inlineStr">
        <is>
          <t>04-10-2024</t>
        </is>
      </c>
      <c r="G1498" t="n">
        <v>93763</v>
      </c>
      <c r="I1498">
        <f>G1498</f>
        <v/>
      </c>
      <c r="K1498">
        <f>I1498-G1498</f>
        <v/>
      </c>
      <c r="M1498" t="inlineStr">
        <is>
          <t>CLI20242857</t>
        </is>
      </c>
      <c r="N1498" t="inlineStr">
        <is>
          <t>11167800</t>
        </is>
      </c>
      <c r="O1498">
        <f>M1498=N1498</f>
        <v/>
      </c>
      <c r="P1498">
        <f>AND(MONTH(F1498)=MONTH(S1498), YEAR(F1498)=YEAR(S1498))</f>
        <v/>
      </c>
      <c r="Q1498">
        <f>"L001-902303751"=U1498</f>
        <v/>
      </c>
      <c r="R1498">
        <f>G1498-W1498</f>
        <v/>
      </c>
      <c r="S1498" s="36" t="n">
        <v>45562</v>
      </c>
      <c r="T1498" t="n">
        <v>111678</v>
      </c>
      <c r="U1498" t="inlineStr">
        <is>
          <t>L001-107032791</t>
        </is>
      </c>
      <c r="V1498" t="inlineStr">
        <is>
          <t>នីបផន អិចប្រេស (ខេមបូឌា) ខូ អិលធីឌី</t>
        </is>
      </c>
      <c r="W1498" t="n">
        <v>111678</v>
      </c>
      <c r="X1498" t="n">
        <v>0</v>
      </c>
    </row>
    <row r="1499">
      <c r="A1499" t="n">
        <v>1498</v>
      </c>
      <c r="B1499" t="inlineStr">
        <is>
          <t>Send Sample</t>
        </is>
      </c>
      <c r="C1499" t="inlineStr">
        <is>
          <t>ឌី អេច អិល អិចប្រេស (ខេមបូឌា)</t>
        </is>
      </c>
      <c r="D1499" t="inlineStr">
        <is>
          <t>L001-100045197</t>
        </is>
      </c>
      <c r="E1499" t="inlineStr">
        <is>
          <t>PNHIR00245593</t>
        </is>
      </c>
      <c r="F1499" t="inlineStr">
        <is>
          <t>04-10-2024</t>
        </is>
      </c>
      <c r="G1499" t="n">
        <v>24354</v>
      </c>
      <c r="I1499">
        <f>G1499</f>
        <v/>
      </c>
      <c r="K1499">
        <f>I1499-G1499</f>
        <v/>
      </c>
      <c r="M1499" t="inlineStr">
        <is>
          <t>PNHIR00245593</t>
        </is>
      </c>
      <c r="N1499" t="inlineStr"/>
      <c r="O1499">
        <f>M1499=N1499</f>
        <v/>
      </c>
      <c r="P1499">
        <f>AND(MONTH(F1499)=MONTH(S1499), YEAR(F1499)=YEAR(S1499))</f>
        <v/>
      </c>
      <c r="Q1499">
        <f>"L001-902303751"=U1499</f>
        <v/>
      </c>
      <c r="R1499">
        <f>G1499-W1499</f>
        <v/>
      </c>
      <c r="S1499" s="36" t="n">
        <v>45558</v>
      </c>
      <c r="T1499" t="inlineStr"/>
      <c r="U1499" t="inlineStr">
        <is>
          <t>L001-100045995</t>
        </is>
      </c>
      <c r="V1499" t="inlineStr">
        <is>
          <t>ឌីអេចអិល ឡូជីស្ទីក (ខេមបូឌា)</t>
        </is>
      </c>
      <c r="W1499" t="n">
        <v>0</v>
      </c>
      <c r="X1499" t="n">
        <v>0</v>
      </c>
    </row>
    <row r="1500">
      <c r="A1500" t="n">
        <v>1499</v>
      </c>
      <c r="B1500" t="inlineStr">
        <is>
          <t>Storage Charges</t>
        </is>
      </c>
      <c r="C1500" t="inlineStr">
        <is>
          <t>ហាន​ &amp; ជុន ត្រេនស្ព័ត ខូ អិលធីឌី</t>
        </is>
      </c>
      <c r="D1500" t="inlineStr">
        <is>
          <t>L001-104016647</t>
        </is>
      </c>
      <c r="E1500" t="inlineStr">
        <is>
          <t>HJ24-3258</t>
        </is>
      </c>
      <c r="F1500" t="inlineStr">
        <is>
          <t>04-10-2024</t>
        </is>
      </c>
      <c r="G1500" t="n">
        <v>244</v>
      </c>
      <c r="I1500">
        <f>G1500</f>
        <v/>
      </c>
      <c r="K1500">
        <f>I1500-G1500</f>
        <v/>
      </c>
      <c r="M1500" t="inlineStr">
        <is>
          <t>HJ243258</t>
        </is>
      </c>
      <c r="N1500" t="inlineStr">
        <is>
          <t>8572900</t>
        </is>
      </c>
      <c r="O1500">
        <f>M1500=N1500</f>
        <v/>
      </c>
      <c r="P1500">
        <f>AND(MONTH(F1500)=MONTH(S1500), YEAR(F1500)=YEAR(S1500))</f>
        <v/>
      </c>
      <c r="Q1500">
        <f>"L001-902303751"=U1500</f>
        <v/>
      </c>
      <c r="R1500">
        <f>G1500-W1500</f>
        <v/>
      </c>
      <c r="S1500" s="36" t="n">
        <v>45558</v>
      </c>
      <c r="T1500" t="n">
        <v>85729</v>
      </c>
      <c r="U1500" t="inlineStr">
        <is>
          <t>K005-901805913</t>
        </is>
      </c>
      <c r="V1500" t="inlineStr">
        <is>
          <t>ស្តារ ខង់ខដ (ខេមបូឌា) ឯ.ក</t>
        </is>
      </c>
      <c r="W1500" t="n">
        <v>85729</v>
      </c>
      <c r="X1500" t="n">
        <v>0</v>
      </c>
    </row>
    <row r="1501">
      <c r="A1501" t="n">
        <v>1500</v>
      </c>
      <c r="B1501" t="inlineStr">
        <is>
          <t>Warehouse Fee</t>
        </is>
      </c>
      <c r="C1501" t="inlineStr">
        <is>
          <t>ហាន​ &amp; ជុន ត្រេនស្ព័ត ខូ អិលធីឌី</t>
        </is>
      </c>
      <c r="D1501" t="inlineStr">
        <is>
          <t>L001-104016647</t>
        </is>
      </c>
      <c r="E1501" t="inlineStr">
        <is>
          <t>HJ24-3187</t>
        </is>
      </c>
      <c r="F1501" t="inlineStr">
        <is>
          <t>04-10-2024</t>
        </is>
      </c>
      <c r="G1501" t="n">
        <v>4059</v>
      </c>
      <c r="I1501">
        <f>G1501</f>
        <v/>
      </c>
      <c r="K1501">
        <f>I1501-G1501</f>
        <v/>
      </c>
      <c r="M1501" t="inlineStr">
        <is>
          <t>HJ243187</t>
        </is>
      </c>
      <c r="N1501" t="inlineStr"/>
      <c r="O1501">
        <f>M1501=N1501</f>
        <v/>
      </c>
      <c r="P1501">
        <f>AND(MONTH(F1501)=MONTH(S1501), YEAR(F1501)=YEAR(S1501))</f>
        <v/>
      </c>
      <c r="Q1501">
        <f>"L001-902303751"=U1501</f>
        <v/>
      </c>
      <c r="R1501">
        <f>G1501-W1501</f>
        <v/>
      </c>
      <c r="S1501" s="36" t="n">
        <v>45551</v>
      </c>
      <c r="T1501" t="inlineStr"/>
      <c r="U1501" t="inlineStr">
        <is>
          <t>L001-901500191</t>
        </is>
      </c>
      <c r="V1501" t="inlineStr">
        <is>
          <t>អ.អិន.វ៉ាយ ត្រេនស្ព័ត</t>
        </is>
      </c>
      <c r="W1501" t="n">
        <v>0</v>
      </c>
      <c r="X1501" t="n">
        <v>0</v>
      </c>
    </row>
    <row r="1502">
      <c r="A1502" t="n">
        <v>1501</v>
      </c>
      <c r="B1502" t="inlineStr">
        <is>
          <t>Import Shipment Expense</t>
        </is>
      </c>
      <c r="C1502" t="inlineStr">
        <is>
          <t>ហ្វ្រេត ខនសិប (ខេមបូឌា)</t>
        </is>
      </c>
      <c r="D1502" t="inlineStr">
        <is>
          <t>K009-901502482</t>
        </is>
      </c>
      <c r="E1502" t="inlineStr">
        <is>
          <t>241011</t>
        </is>
      </c>
      <c r="F1502" t="inlineStr">
        <is>
          <t>04-10-2024</t>
        </is>
      </c>
      <c r="G1502" t="n">
        <v>137438</v>
      </c>
      <c r="I1502">
        <f>G1502</f>
        <v/>
      </c>
      <c r="K1502">
        <f>I1502-G1502</f>
        <v/>
      </c>
      <c r="M1502" t="inlineStr">
        <is>
          <t>241011</t>
        </is>
      </c>
      <c r="N1502" t="inlineStr">
        <is>
          <t>8310700</t>
        </is>
      </c>
      <c r="O1502">
        <f>M1502=N1502</f>
        <v/>
      </c>
      <c r="P1502">
        <f>AND(MONTH(F1502)=MONTH(S1502), YEAR(F1502)=YEAR(S1502))</f>
        <v/>
      </c>
      <c r="Q1502">
        <f>"L001-902303751"=U1502</f>
        <v/>
      </c>
      <c r="R1502">
        <f>G1502-W1502</f>
        <v/>
      </c>
      <c r="S1502" s="36" t="n">
        <v>45551</v>
      </c>
      <c r="T1502" t="n">
        <v>83107</v>
      </c>
      <c r="U1502" t="inlineStr">
        <is>
          <t>L001-107032791</t>
        </is>
      </c>
      <c r="V1502" t="inlineStr">
        <is>
          <t>នីបផន អិចប្រេស (ខេមបូឌា) ខូ អិលធីឌី</t>
        </is>
      </c>
      <c r="W1502" t="n">
        <v>83107</v>
      </c>
      <c r="X1502" t="n">
        <v>0</v>
      </c>
    </row>
    <row r="1503">
      <c r="A1503" t="n">
        <v>1502</v>
      </c>
      <c r="B1503" t="inlineStr">
        <is>
          <t>Import Shipment Expense</t>
        </is>
      </c>
      <c r="C1503" t="inlineStr">
        <is>
          <t>ហ្វ្រេត ខនសិប (ខេមបូឌា)</t>
        </is>
      </c>
      <c r="D1503" t="inlineStr">
        <is>
          <t>K009-901502482</t>
        </is>
      </c>
      <c r="E1503" t="inlineStr">
        <is>
          <t>240998</t>
        </is>
      </c>
      <c r="F1503" t="inlineStr">
        <is>
          <t>04-10-2024</t>
        </is>
      </c>
      <c r="G1503" t="n">
        <v>310514</v>
      </c>
      <c r="I1503">
        <f>G1503</f>
        <v/>
      </c>
      <c r="K1503">
        <f>I1503-G1503</f>
        <v/>
      </c>
      <c r="M1503" t="inlineStr">
        <is>
          <t>240998</t>
        </is>
      </c>
      <c r="N1503" t="inlineStr"/>
      <c r="O1503">
        <f>M1503=N1503</f>
        <v/>
      </c>
      <c r="P1503">
        <f>AND(MONTH(F1503)=MONTH(S1503), YEAR(F1503)=YEAR(S1503))</f>
        <v/>
      </c>
      <c r="Q1503">
        <f>"L001-902303751"=U1503</f>
        <v/>
      </c>
      <c r="R1503">
        <f>G1503-W1503</f>
        <v/>
      </c>
      <c r="S1503" s="36" t="n">
        <v>45544</v>
      </c>
      <c r="T1503" t="inlineStr"/>
      <c r="U1503" t="inlineStr">
        <is>
          <t>L001-107032791</t>
        </is>
      </c>
      <c r="V1503" t="inlineStr">
        <is>
          <t>នីបផន អិចប្រេស (ខេមបូឌា) ខូ អិលធីឌី</t>
        </is>
      </c>
      <c r="W1503" t="n">
        <v>0</v>
      </c>
      <c r="X1503" t="n">
        <v>0</v>
      </c>
    </row>
    <row r="1504">
      <c r="A1504" t="n">
        <v>1503</v>
      </c>
      <c r="B1504" t="inlineStr">
        <is>
          <t>Import Shipment Expense</t>
        </is>
      </c>
      <c r="C1504" t="inlineStr">
        <is>
          <t>អូរៀនថល ឡូជីស្ទីក &amp; ឌីស្ទ្រីប៊្យូសិន (ខេមបូឌា)</t>
        </is>
      </c>
      <c r="D1504" t="inlineStr">
        <is>
          <t>L001-103007369</t>
        </is>
      </c>
      <c r="E1504" t="inlineStr">
        <is>
          <t>SIPNH2409464</t>
        </is>
      </c>
      <c r="F1504" t="inlineStr">
        <is>
          <t>01-10-2024</t>
        </is>
      </c>
      <c r="G1504" t="n">
        <v>52793</v>
      </c>
      <c r="I1504">
        <f>G1504</f>
        <v/>
      </c>
      <c r="K1504">
        <f>I1504-G1504</f>
        <v/>
      </c>
      <c r="M1504" t="inlineStr">
        <is>
          <t>SIPNH2409464</t>
        </is>
      </c>
      <c r="N1504" t="inlineStr">
        <is>
          <t>8564500</t>
        </is>
      </c>
      <c r="O1504">
        <f>M1504=N1504</f>
        <v/>
      </c>
      <c r="P1504">
        <f>AND(MONTH(F1504)=MONTH(S1504), YEAR(F1504)=YEAR(S1504))</f>
        <v/>
      </c>
      <c r="Q1504">
        <f>"L001-902303751"=U1504</f>
        <v/>
      </c>
      <c r="R1504">
        <f>G1504-W1504</f>
        <v/>
      </c>
      <c r="S1504" s="36" t="n">
        <v>45537</v>
      </c>
      <c r="T1504" t="n">
        <v>85645</v>
      </c>
      <c r="U1504" t="inlineStr">
        <is>
          <t>L001-100045340</t>
        </is>
      </c>
      <c r="V1504" t="inlineStr">
        <is>
          <t xml:space="preserve">ស៊ីវ៉ា អ៊ែរ អ៊ែន អូសៀន (ខេមបូឌា) ឯ.ក </t>
        </is>
      </c>
      <c r="W1504" t="n">
        <v>85645</v>
      </c>
      <c r="X1504" t="n">
        <v>0</v>
      </c>
    </row>
    <row r="1505">
      <c r="A1505" t="n">
        <v>1504</v>
      </c>
      <c r="B1505" t="inlineStr">
        <is>
          <t>Import Shipment Expense</t>
        </is>
      </c>
      <c r="C1505" t="inlineStr">
        <is>
          <t>អេស៊ាន ហ្វ្រេត (ខេមបូឌា)</t>
        </is>
      </c>
      <c r="D1505" t="inlineStr">
        <is>
          <t>K004-105012505</t>
        </is>
      </c>
      <c r="E1505" t="inlineStr">
        <is>
          <t>PPTI24/2106</t>
        </is>
      </c>
      <c r="F1505" t="inlineStr">
        <is>
          <t>07-10-2024</t>
        </is>
      </c>
      <c r="G1505" t="n">
        <v>65626</v>
      </c>
      <c r="I1505">
        <f>G1505</f>
        <v/>
      </c>
      <c r="K1505">
        <f>I1505-G1505</f>
        <v/>
      </c>
      <c r="M1505" t="inlineStr">
        <is>
          <t>PPTI242106</t>
        </is>
      </c>
      <c r="N1505" t="inlineStr"/>
      <c r="O1505">
        <f>M1505=N1505</f>
        <v/>
      </c>
      <c r="P1505">
        <f>AND(MONTH(F1505)=MONTH(S1505), YEAR(F1505)=YEAR(S1505))</f>
        <v/>
      </c>
      <c r="Q1505">
        <f>"L001-902303751"=U1505</f>
        <v/>
      </c>
      <c r="R1505">
        <f>G1505-W1505</f>
        <v/>
      </c>
      <c r="S1505" s="36" t="n">
        <v>45537</v>
      </c>
      <c r="T1505" t="inlineStr"/>
      <c r="U1505" t="inlineStr">
        <is>
          <t>L001-100045340</t>
        </is>
      </c>
      <c r="V1505" t="inlineStr">
        <is>
          <t xml:space="preserve">ស៊ីវ៉ា អ៊ែរ អ៊ែន អូសៀន (ខេមបូឌា) ឯ.ក </t>
        </is>
      </c>
      <c r="W1505" t="n">
        <v>0</v>
      </c>
      <c r="X1505" t="n">
        <v>0</v>
      </c>
    </row>
    <row r="1506">
      <c r="A1506" t="n">
        <v>1505</v>
      </c>
      <c r="B1506" t="inlineStr">
        <is>
          <t>Customs Clearance of LCL shipment, THC Charge of LCL, CFS Charge, Trucking Fee of LCL, CARGO HANDLING FEE and Bill Fee or Document Fee</t>
        </is>
      </c>
      <c r="C1506" t="inlineStr">
        <is>
          <t>អេវើរស្តារ ស៊ីលែនឌែរ</t>
        </is>
      </c>
      <c r="D1506" t="inlineStr">
        <is>
          <t>K002-100160492</t>
        </is>
      </c>
      <c r="E1506" t="inlineStr">
        <is>
          <t>TI-2024-048</t>
        </is>
      </c>
      <c r="F1506" t="inlineStr">
        <is>
          <t>04-10-2024</t>
        </is>
      </c>
      <c r="G1506" t="n">
        <v>135230</v>
      </c>
      <c r="I1506">
        <f>G1506</f>
        <v/>
      </c>
      <c r="K1506">
        <f>I1506-G1506</f>
        <v/>
      </c>
      <c r="M1506" t="inlineStr">
        <is>
          <t>TI2024048</t>
        </is>
      </c>
      <c r="N1506" t="inlineStr">
        <is>
          <t>11167800</t>
        </is>
      </c>
      <c r="O1506">
        <f>M1506=N1506</f>
        <v/>
      </c>
      <c r="P1506">
        <f>AND(MONTH(F1506)=MONTH(S1506), YEAR(F1506)=YEAR(S1506))</f>
        <v/>
      </c>
      <c r="Q1506">
        <f>"L001-902303751"=U1506</f>
        <v/>
      </c>
      <c r="R1506">
        <f>G1506-W1506</f>
        <v/>
      </c>
      <c r="S1506" s="36" t="n">
        <v>45565</v>
      </c>
      <c r="T1506" t="n">
        <v>111678</v>
      </c>
      <c r="U1506" t="inlineStr">
        <is>
          <t>L001-107032791</t>
        </is>
      </c>
      <c r="V1506" t="inlineStr">
        <is>
          <t>នីបផន អិចប្រេស (ខេមបូឌា) ខូ អិលធីឌី</t>
        </is>
      </c>
      <c r="W1506" t="n">
        <v>111678</v>
      </c>
      <c r="X1506" t="n">
        <v>0</v>
      </c>
    </row>
    <row r="1507">
      <c r="A1507" t="n">
        <v>1506</v>
      </c>
      <c r="B1507" t="inlineStr">
        <is>
          <t>THC, CFS, Scan Fee, CIC-Imbalance, Agency Fee, Document Fee, D.O Fee, LSS, Handling Fee, Importer Security Filing, Fuel Surcharge and Inbound Manifest Filing</t>
        </is>
      </c>
      <c r="C1507" t="inlineStr">
        <is>
          <t>ហ្វ្រេតាស (ខេមបូឌា) ឯ.ក</t>
        </is>
      </c>
      <c r="D1507" t="inlineStr">
        <is>
          <t>K007-901638107</t>
        </is>
      </c>
      <c r="E1507" t="inlineStr">
        <is>
          <t>Y24-119</t>
        </is>
      </c>
      <c r="F1507" t="inlineStr">
        <is>
          <t>04-10-2024</t>
        </is>
      </c>
      <c r="G1507" t="n">
        <v>314978</v>
      </c>
      <c r="I1507">
        <f>G1507</f>
        <v/>
      </c>
      <c r="K1507">
        <f>I1507-G1507</f>
        <v/>
      </c>
      <c r="M1507" t="inlineStr">
        <is>
          <t>Y24119</t>
        </is>
      </c>
      <c r="N1507" t="inlineStr">
        <is>
          <t>17259300</t>
        </is>
      </c>
      <c r="O1507">
        <f>M1507=N1507</f>
        <v/>
      </c>
      <c r="P1507">
        <f>AND(MONTH(F1507)=MONTH(S1507), YEAR(F1507)=YEAR(S1507))</f>
        <v/>
      </c>
      <c r="Q1507">
        <f>"L001-902303751"=U1507</f>
        <v/>
      </c>
      <c r="R1507">
        <f>G1507-W1507</f>
        <v/>
      </c>
      <c r="S1507" s="36" t="n">
        <v>45565</v>
      </c>
      <c r="T1507" t="n">
        <v>172593</v>
      </c>
      <c r="U1507" t="inlineStr">
        <is>
          <t>L001-107032791</t>
        </is>
      </c>
      <c r="V1507" t="inlineStr">
        <is>
          <t>នីបផន អិចប្រេស (ខេមបូឌា) ខូ អិលធីឌី</t>
        </is>
      </c>
      <c r="W1507" t="n">
        <v>172593</v>
      </c>
      <c r="X1507" t="n">
        <v>0</v>
      </c>
    </row>
    <row r="1508">
      <c r="A1508" t="n">
        <v>1507</v>
      </c>
      <c r="B1508" t="inlineStr">
        <is>
          <t>Admin Fee, B/L Surrender Charge, Sea OTHC/CBM, ENS Charges, CFS Charges, Custom Clearance Ch, LCL Trucking, HBL Charge and VGM Fee</t>
        </is>
      </c>
      <c r="C1508" t="inlineStr">
        <is>
          <t>ត្រេនម៉ារីន ឡូជីស្ទីក (ខេមបូឌា)</t>
        </is>
      </c>
      <c r="D1508" t="inlineStr">
        <is>
          <t>L001-106004107</t>
        </is>
      </c>
      <c r="E1508" t="inlineStr">
        <is>
          <t>9961035024</t>
        </is>
      </c>
      <c r="F1508" t="inlineStr">
        <is>
          <t>07-10-2024</t>
        </is>
      </c>
      <c r="G1508" t="n">
        <v>159165</v>
      </c>
      <c r="I1508">
        <f>G1508</f>
        <v/>
      </c>
      <c r="K1508">
        <f>I1508-G1508</f>
        <v/>
      </c>
      <c r="M1508" t="inlineStr">
        <is>
          <t>9961035024</t>
        </is>
      </c>
      <c r="N1508" t="inlineStr"/>
      <c r="O1508">
        <f>M1508=N1508</f>
        <v/>
      </c>
      <c r="P1508">
        <f>AND(MONTH(F1508)=MONTH(S1508), YEAR(F1508)=YEAR(S1508))</f>
        <v/>
      </c>
      <c r="Q1508">
        <f>"L001-902303751"=U1508</f>
        <v/>
      </c>
      <c r="R1508">
        <f>G1508-W1508</f>
        <v/>
      </c>
      <c r="S1508" s="36" t="n">
        <v>45565</v>
      </c>
      <c r="T1508" t="inlineStr"/>
      <c r="U1508" t="inlineStr">
        <is>
          <t>L001-107032791</t>
        </is>
      </c>
      <c r="V1508" t="inlineStr">
        <is>
          <t>នីបផន អិចប្រេស (ខេមបូឌា) ខូ អិលធីឌី</t>
        </is>
      </c>
      <c r="W1508" t="n">
        <v>0</v>
      </c>
      <c r="X1508" t="n">
        <v>0</v>
      </c>
    </row>
    <row r="1509">
      <c r="A1509" t="n">
        <v>1508</v>
      </c>
      <c r="B1509" t="inlineStr">
        <is>
          <t>Import Shipment Expense</t>
        </is>
      </c>
      <c r="C1509" t="inlineStr">
        <is>
          <t>ហ្វ្រេត ខនសិប (ខេមបូឌា)</t>
        </is>
      </c>
      <c r="D1509" t="inlineStr">
        <is>
          <t>K009-901502482</t>
        </is>
      </c>
      <c r="E1509" t="inlineStr">
        <is>
          <t>241012</t>
        </is>
      </c>
      <c r="F1509" t="inlineStr">
        <is>
          <t>07-10-2024</t>
        </is>
      </c>
      <c r="G1509" t="n">
        <v>83148</v>
      </c>
      <c r="I1509">
        <f>G1509</f>
        <v/>
      </c>
      <c r="K1509">
        <f>I1509-G1509</f>
        <v/>
      </c>
      <c r="M1509" t="inlineStr">
        <is>
          <t>241012</t>
        </is>
      </c>
      <c r="N1509" t="inlineStr">
        <is>
          <t>33178400</t>
        </is>
      </c>
      <c r="O1509">
        <f>M1509=N1509</f>
        <v/>
      </c>
      <c r="P1509">
        <f>AND(MONTH(F1509)=MONTH(S1509), YEAR(F1509)=YEAR(S1509))</f>
        <v/>
      </c>
      <c r="Q1509">
        <f>"L001-902303751"=U1509</f>
        <v/>
      </c>
      <c r="R1509">
        <f>G1509-W1509</f>
        <v/>
      </c>
      <c r="S1509" s="36" t="n">
        <v>45555</v>
      </c>
      <c r="T1509" t="n">
        <v>331784</v>
      </c>
      <c r="U1509" t="inlineStr">
        <is>
          <t>K007-901638107</t>
        </is>
      </c>
      <c r="V1509" t="inlineStr">
        <is>
          <t>ហ្វ្រេតាស (ខេមបូឌា) ឯ.ក</t>
        </is>
      </c>
      <c r="W1509" t="n">
        <v>331784</v>
      </c>
      <c r="X1509" t="n">
        <v>0</v>
      </c>
    </row>
    <row r="1510">
      <c r="A1510" t="n">
        <v>1509</v>
      </c>
      <c r="B1510" t="inlineStr">
        <is>
          <t>THC, DOC Fee and Container Imbalance</t>
        </is>
      </c>
      <c r="C1510" t="inlineStr">
        <is>
          <t>សាខាក្រុមហ៊ុន ជីម៉ាឌីប ស៊ីបភីង ខមភេនី លីមីធីត</t>
        </is>
      </c>
      <c r="D1510" t="inlineStr">
        <is>
          <t>L001-901704777</t>
        </is>
      </c>
      <c r="E1510" t="inlineStr">
        <is>
          <t>24-03670</t>
        </is>
      </c>
      <c r="F1510" t="inlineStr">
        <is>
          <t>07-10-2024</t>
        </is>
      </c>
      <c r="G1510" t="n">
        <v>95316</v>
      </c>
      <c r="I1510">
        <f>G1510</f>
        <v/>
      </c>
      <c r="K1510">
        <f>I1510-G1510</f>
        <v/>
      </c>
      <c r="M1510" t="inlineStr">
        <is>
          <t>2403670</t>
        </is>
      </c>
      <c r="N1510" t="inlineStr"/>
      <c r="O1510">
        <f>M1510=N1510</f>
        <v/>
      </c>
      <c r="P1510">
        <f>AND(MONTH(F1510)=MONTH(S1510), YEAR(F1510)=YEAR(S1510))</f>
        <v/>
      </c>
      <c r="Q1510">
        <f>"L001-902303751"=U1510</f>
        <v/>
      </c>
      <c r="R1510">
        <f>G1510-W1510</f>
        <v/>
      </c>
      <c r="S1510" s="36" t="n">
        <v>45551</v>
      </c>
      <c r="T1510" t="inlineStr"/>
      <c r="U1510" t="inlineStr">
        <is>
          <t>L001-100045995</t>
        </is>
      </c>
      <c r="V1510" t="inlineStr">
        <is>
          <t>ឌីអេចអិល ឡូជីស្ទីក (ខេមបូឌា)</t>
        </is>
      </c>
      <c r="W1510" t="n">
        <v>0</v>
      </c>
      <c r="X1510" t="n">
        <v>0</v>
      </c>
    </row>
    <row r="1511">
      <c r="A1511" t="n">
        <v>1510</v>
      </c>
      <c r="B1511" t="inlineStr">
        <is>
          <t>Cargo Terminal</t>
        </is>
      </c>
      <c r="C1511" t="inlineStr">
        <is>
          <t>សូស៊ីយេតេ កុងសេស្យូនែរ ដឺ ឡាអេរ៉ូព័រ</t>
        </is>
      </c>
      <c r="D1511" t="inlineStr">
        <is>
          <t>L001-100047300</t>
        </is>
      </c>
      <c r="E1511" t="inlineStr">
        <is>
          <t>2400-080110</t>
        </is>
      </c>
      <c r="F1511" t="inlineStr">
        <is>
          <t>07-10-2024</t>
        </is>
      </c>
      <c r="G1511" t="n">
        <v>71662</v>
      </c>
      <c r="I1511">
        <f>G1511</f>
        <v/>
      </c>
      <c r="K1511">
        <f>I1511-G1511</f>
        <v/>
      </c>
      <c r="M1511" t="inlineStr">
        <is>
          <t>2400080110</t>
        </is>
      </c>
      <c r="N1511" t="inlineStr">
        <is>
          <t>11203500</t>
        </is>
      </c>
      <c r="O1511">
        <f>M1511=N1511</f>
        <v/>
      </c>
      <c r="P1511">
        <f>AND(MONTH(F1511)=MONTH(S1511), YEAR(F1511)=YEAR(S1511))</f>
        <v/>
      </c>
      <c r="Q1511">
        <f>"L001-902303751"=U1511</f>
        <v/>
      </c>
      <c r="R1511">
        <f>G1511-W1511</f>
        <v/>
      </c>
      <c r="S1511" s="36" t="n">
        <v>45544</v>
      </c>
      <c r="T1511" t="n">
        <v>112035</v>
      </c>
      <c r="U1511" t="inlineStr">
        <is>
          <t>L001-107032791</t>
        </is>
      </c>
      <c r="V1511" t="inlineStr">
        <is>
          <t>នីបផន អិចប្រេស (ខេមបូឌា) ខូ អិលធីឌី</t>
        </is>
      </c>
      <c r="W1511" t="n">
        <v>112035</v>
      </c>
      <c r="X1511" t="n">
        <v>0</v>
      </c>
    </row>
    <row r="1512">
      <c r="A1512" t="n">
        <v>1511</v>
      </c>
      <c r="B1512" t="inlineStr">
        <is>
          <t>Cargo Terminal</t>
        </is>
      </c>
      <c r="C1512" t="inlineStr">
        <is>
          <t>សូស៊ីយេតេ កុងសេស្យូនែរ ដឺ ឡាអេរ៉ូព័រ</t>
        </is>
      </c>
      <c r="D1512" t="inlineStr">
        <is>
          <t>L001-100047300</t>
        </is>
      </c>
      <c r="E1512" t="inlineStr">
        <is>
          <t>2400-080109</t>
        </is>
      </c>
      <c r="F1512" t="inlineStr">
        <is>
          <t>07-10-2024</t>
        </is>
      </c>
      <c r="G1512" t="n">
        <v>39863</v>
      </c>
      <c r="I1512">
        <f>G1512</f>
        <v/>
      </c>
      <c r="K1512">
        <f>I1512-G1512</f>
        <v/>
      </c>
      <c r="M1512" t="inlineStr">
        <is>
          <t>2400080109</t>
        </is>
      </c>
      <c r="N1512" t="inlineStr">
        <is>
          <t>11203500</t>
        </is>
      </c>
      <c r="O1512">
        <f>M1512=N1512</f>
        <v/>
      </c>
      <c r="P1512">
        <f>AND(MONTH(F1512)=MONTH(S1512), YEAR(F1512)=YEAR(S1512))</f>
        <v/>
      </c>
      <c r="Q1512">
        <f>"L001-902303751"=U1512</f>
        <v/>
      </c>
      <c r="R1512">
        <f>G1512-W1512</f>
        <v/>
      </c>
      <c r="S1512" s="36" t="n">
        <v>45544</v>
      </c>
      <c r="T1512" t="n">
        <v>112035</v>
      </c>
      <c r="U1512" t="inlineStr">
        <is>
          <t>L001-107032791</t>
        </is>
      </c>
      <c r="V1512" t="inlineStr">
        <is>
          <t>នីបផន អិចប្រេស (ខេមបូឌា) ខូ អិលធីឌី</t>
        </is>
      </c>
      <c r="W1512" t="n">
        <v>112035</v>
      </c>
      <c r="X1512" t="n">
        <v>0</v>
      </c>
    </row>
    <row r="1513">
      <c r="A1513" t="n">
        <v>1512</v>
      </c>
      <c r="B1513" t="inlineStr">
        <is>
          <t>Monthly Charge of Photo Copier from 06/09/2024-06/10/2024</t>
        </is>
      </c>
      <c r="C1513" t="inlineStr">
        <is>
          <t>វី.អាយ.អេស ខភៀ ឯ.ក</t>
        </is>
      </c>
      <c r="D1513" t="inlineStr">
        <is>
          <t>K007-901705195</t>
        </is>
      </c>
      <c r="E1513" t="inlineStr">
        <is>
          <t>RNT241026</t>
        </is>
      </c>
      <c r="F1513" t="inlineStr">
        <is>
          <t>06-10-2024</t>
        </is>
      </c>
      <c r="G1513" t="n">
        <v>28413</v>
      </c>
      <c r="I1513">
        <f>G1513</f>
        <v/>
      </c>
      <c r="K1513">
        <f>I1513-G1513</f>
        <v/>
      </c>
      <c r="M1513" t="inlineStr">
        <is>
          <t>RNT241026</t>
        </is>
      </c>
      <c r="N1513" t="inlineStr">
        <is>
          <t>17229500</t>
        </is>
      </c>
      <c r="O1513">
        <f>M1513=N1513</f>
        <v/>
      </c>
      <c r="P1513">
        <f>AND(MONTH(F1513)=MONTH(S1513), YEAR(F1513)=YEAR(S1513))</f>
        <v/>
      </c>
      <c r="Q1513">
        <f>"L001-902303751"=U1513</f>
        <v/>
      </c>
      <c r="R1513">
        <f>G1513-W1513</f>
        <v/>
      </c>
      <c r="S1513" s="36" t="n">
        <v>45551</v>
      </c>
      <c r="T1513" t="n">
        <v>172295</v>
      </c>
      <c r="U1513" t="inlineStr">
        <is>
          <t>L001-107032791</t>
        </is>
      </c>
      <c r="V1513" t="inlineStr">
        <is>
          <t>នីបផន អិចប្រេស (ខេមបូឌា) ខូ អិលធីឌី</t>
        </is>
      </c>
      <c r="W1513" t="n">
        <v>172295</v>
      </c>
      <c r="X1513" t="n">
        <v>0</v>
      </c>
    </row>
    <row r="1514">
      <c r="A1514" t="n">
        <v>1513</v>
      </c>
      <c r="B1514" t="inlineStr">
        <is>
          <t>Monthly Charge of Photo Copier from 06/09/2024-06/10/2024</t>
        </is>
      </c>
      <c r="C1514" t="inlineStr">
        <is>
          <t>វី.អាយ.អេស ខភៀ ឯ.ក</t>
        </is>
      </c>
      <c r="D1514" t="inlineStr">
        <is>
          <t>K007-901705195</t>
        </is>
      </c>
      <c r="E1514" t="inlineStr">
        <is>
          <t>RNT241025</t>
        </is>
      </c>
      <c r="F1514" t="inlineStr">
        <is>
          <t>06-10-2024</t>
        </is>
      </c>
      <c r="G1514" t="n">
        <v>56826</v>
      </c>
      <c r="I1514">
        <f>G1514</f>
        <v/>
      </c>
      <c r="K1514">
        <f>I1514-G1514</f>
        <v/>
      </c>
      <c r="M1514" t="inlineStr">
        <is>
          <t>RNT241025</t>
        </is>
      </c>
      <c r="N1514" t="inlineStr"/>
      <c r="O1514">
        <f>M1514=N1514</f>
        <v/>
      </c>
      <c r="P1514">
        <f>AND(MONTH(F1514)=MONTH(S1514), YEAR(F1514)=YEAR(S1514))</f>
        <v/>
      </c>
      <c r="Q1514">
        <f>"L001-902303751"=U1514</f>
        <v/>
      </c>
      <c r="R1514">
        <f>G1514-W1514</f>
        <v/>
      </c>
      <c r="S1514" s="36" t="n">
        <v>45551</v>
      </c>
      <c r="T1514" t="inlineStr"/>
      <c r="U1514" t="inlineStr">
        <is>
          <t>L001-107032791</t>
        </is>
      </c>
      <c r="V1514" t="inlineStr">
        <is>
          <t>នីបផន អិចប្រេស (ខេមបូឌា) ខូ អិលធីឌី</t>
        </is>
      </c>
      <c r="W1514" t="n">
        <v>0</v>
      </c>
      <c r="X1514" t="n">
        <v>0</v>
      </c>
    </row>
    <row r="1515">
      <c r="A1515" t="n">
        <v>1514</v>
      </c>
      <c r="B1515" t="inlineStr">
        <is>
          <t>Monthly Charge of Photo Copier from 06/09/2024-06/10/2024</t>
        </is>
      </c>
      <c r="C1515" t="inlineStr">
        <is>
          <t>វី.អាយ.អេស ខភៀ ឯ.ក</t>
        </is>
      </c>
      <c r="D1515" t="inlineStr">
        <is>
          <t>K007-901705195</t>
        </is>
      </c>
      <c r="E1515" t="inlineStr">
        <is>
          <t>RNT241024</t>
        </is>
      </c>
      <c r="F1515" t="inlineStr">
        <is>
          <t>06-10-2024</t>
        </is>
      </c>
      <c r="G1515" t="n">
        <v>28413</v>
      </c>
      <c r="I1515">
        <f>G1515</f>
        <v/>
      </c>
      <c r="K1515">
        <f>I1515-G1515</f>
        <v/>
      </c>
      <c r="M1515" t="inlineStr">
        <is>
          <t>RNT241024</t>
        </is>
      </c>
      <c r="N1515" t="inlineStr"/>
      <c r="O1515">
        <f>M1515=N1515</f>
        <v/>
      </c>
      <c r="P1515">
        <f>AND(MONTH(F1515)=MONTH(S1515), YEAR(F1515)=YEAR(S1515))</f>
        <v/>
      </c>
      <c r="Q1515">
        <f>"L001-902303751"=U1515</f>
        <v/>
      </c>
      <c r="R1515">
        <f>G1515-W1515</f>
        <v/>
      </c>
      <c r="S1515" s="36" t="n">
        <v>45551</v>
      </c>
      <c r="T1515" t="inlineStr"/>
      <c r="U1515" t="inlineStr">
        <is>
          <t>L001-107032791</t>
        </is>
      </c>
      <c r="V1515" t="inlineStr">
        <is>
          <t>នីបផន អិចប្រេស (ខេមបូឌា) ខូ អិលធីឌី</t>
        </is>
      </c>
      <c r="W1515" t="n">
        <v>0</v>
      </c>
      <c r="X1515" t="n">
        <v>0</v>
      </c>
    </row>
    <row r="1516">
      <c r="A1516" t="n">
        <v>1515</v>
      </c>
      <c r="B1516" t="inlineStr">
        <is>
          <t>Monthly Charge of Photo Copier from 06/09/2024-06/10/2024</t>
        </is>
      </c>
      <c r="C1516" t="inlineStr">
        <is>
          <t>វី.អាយ.អេស ខភៀ ឯ.ក</t>
        </is>
      </c>
      <c r="D1516" t="inlineStr">
        <is>
          <t>K007-901705195</t>
        </is>
      </c>
      <c r="E1516" t="inlineStr">
        <is>
          <t>RNT241023</t>
        </is>
      </c>
      <c r="F1516" t="inlineStr">
        <is>
          <t>06-10-2024</t>
        </is>
      </c>
      <c r="G1516" t="n">
        <v>26384</v>
      </c>
      <c r="I1516">
        <f>G1516</f>
        <v/>
      </c>
      <c r="K1516">
        <f>I1516-G1516</f>
        <v/>
      </c>
      <c r="M1516" t="inlineStr">
        <is>
          <t>RNT241023</t>
        </is>
      </c>
      <c r="N1516" t="inlineStr">
        <is>
          <t>11148500</t>
        </is>
      </c>
      <c r="O1516">
        <f>M1516=N1516</f>
        <v/>
      </c>
      <c r="P1516">
        <f>AND(MONTH(F1516)=MONTH(S1516), YEAR(F1516)=YEAR(S1516))</f>
        <v/>
      </c>
      <c r="Q1516">
        <f>"L001-902303751"=U1516</f>
        <v/>
      </c>
      <c r="R1516">
        <f>G1516-W1516</f>
        <v/>
      </c>
      <c r="S1516" s="36" t="n">
        <v>45551</v>
      </c>
      <c r="T1516" t="n">
        <v>111485</v>
      </c>
      <c r="U1516" t="inlineStr">
        <is>
          <t>L001-107032791</t>
        </is>
      </c>
      <c r="V1516" t="inlineStr">
        <is>
          <t>នីបផន អិចប្រេស (ខេមបូឌា) ខូ អិលធីឌី</t>
        </is>
      </c>
      <c r="W1516" t="n">
        <v>111485</v>
      </c>
      <c r="X1516" t="n">
        <v>0</v>
      </c>
    </row>
    <row r="1517">
      <c r="A1517" t="n">
        <v>1516</v>
      </c>
      <c r="B1517" t="inlineStr">
        <is>
          <t>Monthly Charge of Photo Copier from 06/09/2024-06/10/2024</t>
        </is>
      </c>
      <c r="C1517" t="inlineStr">
        <is>
          <t>វី.អាយ.អេស ខភៀ ឯ.ក</t>
        </is>
      </c>
      <c r="D1517" t="inlineStr">
        <is>
          <t>K007-901705195</t>
        </is>
      </c>
      <c r="E1517" t="inlineStr">
        <is>
          <t>RNT241022</t>
        </is>
      </c>
      <c r="F1517" t="inlineStr">
        <is>
          <t>06-10-2024</t>
        </is>
      </c>
      <c r="G1517" t="n">
        <v>56826</v>
      </c>
      <c r="I1517">
        <f>G1517</f>
        <v/>
      </c>
      <c r="K1517">
        <f>I1517-G1517</f>
        <v/>
      </c>
      <c r="M1517" t="inlineStr">
        <is>
          <t>RNT241022</t>
        </is>
      </c>
      <c r="N1517" t="inlineStr"/>
      <c r="O1517">
        <f>M1517=N1517</f>
        <v/>
      </c>
      <c r="P1517">
        <f>AND(MONTH(F1517)=MONTH(S1517), YEAR(F1517)=YEAR(S1517))</f>
        <v/>
      </c>
      <c r="Q1517">
        <f>"L001-902303751"=U1517</f>
        <v/>
      </c>
      <c r="R1517">
        <f>G1517-W1517</f>
        <v/>
      </c>
      <c r="S1517" s="36" t="n">
        <v>45551</v>
      </c>
      <c r="T1517" t="inlineStr"/>
      <c r="U1517" t="inlineStr">
        <is>
          <t>L001-100045995</t>
        </is>
      </c>
      <c r="V1517" t="inlineStr">
        <is>
          <t>ឌីអេចអិល ឡូជីស្ទីក (ខេមបូឌា)</t>
        </is>
      </c>
      <c r="W1517" t="n">
        <v>0</v>
      </c>
      <c r="X1517" t="n">
        <v>0</v>
      </c>
    </row>
    <row r="1518">
      <c r="A1518" t="n">
        <v>1517</v>
      </c>
      <c r="B1518" t="inlineStr">
        <is>
          <t>HAWB Freight, OM Forwarding Fee, H/C and AWB Fee</t>
        </is>
      </c>
      <c r="C1518" t="inlineStr">
        <is>
          <t>អ៊ិចស្ពែឌីធ័រ ខេមបូឌា អិលធីឌី</t>
        </is>
      </c>
      <c r="D1518" t="inlineStr">
        <is>
          <t>L001-100045898</t>
        </is>
      </c>
      <c r="E1518" t="inlineStr">
        <is>
          <t>TI-0292451</t>
        </is>
      </c>
      <c r="F1518" t="inlineStr">
        <is>
          <t>09-10-2024</t>
        </is>
      </c>
      <c r="G1518" t="n">
        <v>46748</v>
      </c>
      <c r="I1518">
        <f>G1518</f>
        <v/>
      </c>
      <c r="K1518">
        <f>I1518-G1518</f>
        <v/>
      </c>
      <c r="M1518" t="inlineStr">
        <is>
          <t>TI0292451</t>
        </is>
      </c>
      <c r="N1518" t="inlineStr"/>
      <c r="O1518">
        <f>M1518=N1518</f>
        <v/>
      </c>
      <c r="P1518">
        <f>AND(MONTH(F1518)=MONTH(S1518), YEAR(F1518)=YEAR(S1518))</f>
        <v/>
      </c>
      <c r="Q1518">
        <f>"L001-902303751"=U1518</f>
        <v/>
      </c>
      <c r="R1518">
        <f>G1518-W1518</f>
        <v/>
      </c>
      <c r="S1518" s="36" t="n">
        <v>45537</v>
      </c>
      <c r="T1518" t="inlineStr"/>
      <c r="U1518" t="inlineStr">
        <is>
          <t>K005-901805913</t>
        </is>
      </c>
      <c r="V1518" t="inlineStr">
        <is>
          <t>ស្តារ ខង់ខដ (ខេមបូឌា) ឯ.ក</t>
        </is>
      </c>
      <c r="W1518" t="n">
        <v>0</v>
      </c>
      <c r="X1518" t="n">
        <v>0</v>
      </c>
    </row>
    <row r="1519">
      <c r="A1519" t="n">
        <v>1518</v>
      </c>
      <c r="B1519" t="inlineStr">
        <is>
          <t>Import Shipment Expense</t>
        </is>
      </c>
      <c r="C1519" t="inlineStr">
        <is>
          <t>ផេនដា គ្លូប៊ល ឡូជីស្ទីក (ខេមបូឌា)</t>
        </is>
      </c>
      <c r="D1519" t="inlineStr">
        <is>
          <t>K005-901501155</t>
        </is>
      </c>
      <c r="E1519" t="inlineStr">
        <is>
          <t>PD240407</t>
        </is>
      </c>
      <c r="F1519" t="inlineStr">
        <is>
          <t>09-10-2024</t>
        </is>
      </c>
      <c r="G1519" t="n">
        <v>108946</v>
      </c>
      <c r="I1519">
        <f>G1519</f>
        <v/>
      </c>
      <c r="K1519">
        <f>I1519-G1519</f>
        <v/>
      </c>
      <c r="M1519" t="inlineStr">
        <is>
          <t>PD240407</t>
        </is>
      </c>
      <c r="N1519" t="inlineStr">
        <is>
          <t>8351700</t>
        </is>
      </c>
      <c r="O1519">
        <f>M1519=N1519</f>
        <v/>
      </c>
      <c r="P1519">
        <f>AND(MONTH(F1519)=MONTH(S1519), YEAR(F1519)=YEAR(S1519))</f>
        <v/>
      </c>
      <c r="Q1519">
        <f>"L001-902303751"=U1519</f>
        <v/>
      </c>
      <c r="R1519">
        <f>G1519-W1519</f>
        <v/>
      </c>
      <c r="S1519" s="36" t="n">
        <v>45544</v>
      </c>
      <c r="T1519" t="n">
        <v>83517</v>
      </c>
      <c r="U1519" t="inlineStr">
        <is>
          <t>L001-107032791</t>
        </is>
      </c>
      <c r="V1519" t="inlineStr">
        <is>
          <t>នីបផន អិចប្រេស (ខេមបូឌា) ខូ អិលធីឌី</t>
        </is>
      </c>
      <c r="W1519" t="n">
        <v>83517</v>
      </c>
      <c r="X1519" t="n">
        <v>0</v>
      </c>
    </row>
    <row r="1520">
      <c r="A1520" t="n">
        <v>1519</v>
      </c>
      <c r="B1520" t="inlineStr">
        <is>
          <t>Import Shipment Expense</t>
        </is>
      </c>
      <c r="C1520" t="inlineStr">
        <is>
          <t>ស្តារ ខង់ខដ (ខេមបូឌា) ឯ.ក</t>
        </is>
      </c>
      <c r="D1520" t="inlineStr">
        <is>
          <t>K005-901805913</t>
        </is>
      </c>
      <c r="E1520" t="inlineStr">
        <is>
          <t>KHMTAXIV2410004494</t>
        </is>
      </c>
      <c r="F1520" t="inlineStr">
        <is>
          <t>09-10-2024</t>
        </is>
      </c>
      <c r="G1520" t="n">
        <v>59464</v>
      </c>
      <c r="I1520">
        <f>G1520</f>
        <v/>
      </c>
      <c r="K1520">
        <f>I1520-G1520</f>
        <v/>
      </c>
      <c r="M1520" t="inlineStr">
        <is>
          <t>KHMTAXIV2410004494</t>
        </is>
      </c>
      <c r="N1520" t="inlineStr">
        <is>
          <t>8351700</t>
        </is>
      </c>
      <c r="O1520">
        <f>M1520=N1520</f>
        <v/>
      </c>
      <c r="P1520">
        <f>AND(MONTH(F1520)=MONTH(S1520), YEAR(F1520)=YEAR(S1520))</f>
        <v/>
      </c>
      <c r="Q1520">
        <f>"L001-902303751"=U1520</f>
        <v/>
      </c>
      <c r="R1520">
        <f>G1520-W1520</f>
        <v/>
      </c>
      <c r="S1520" s="36" t="n">
        <v>45544</v>
      </c>
      <c r="T1520" t="n">
        <v>83517</v>
      </c>
      <c r="U1520" t="inlineStr">
        <is>
          <t>L001-107032791</t>
        </is>
      </c>
      <c r="V1520" t="inlineStr">
        <is>
          <t>នីបផន អិចប្រេស (ខេមបូឌា) ខូ អិលធីឌី</t>
        </is>
      </c>
      <c r="W1520" t="n">
        <v>83517</v>
      </c>
      <c r="X1520" t="n">
        <v>0</v>
      </c>
    </row>
    <row r="1521">
      <c r="A1521" t="n">
        <v>1520</v>
      </c>
      <c r="B1521" t="inlineStr">
        <is>
          <t>Import Shipment Expense</t>
        </is>
      </c>
      <c r="C1521" t="inlineStr">
        <is>
          <t>ហ្វ្រេត ខនសិប (ខេមបូឌា)</t>
        </is>
      </c>
      <c r="D1521" t="inlineStr">
        <is>
          <t>K009-901502482</t>
        </is>
      </c>
      <c r="E1521" t="inlineStr">
        <is>
          <t>241034</t>
        </is>
      </c>
      <c r="F1521" t="inlineStr">
        <is>
          <t>09-10-2024</t>
        </is>
      </c>
      <c r="G1521" t="n">
        <v>191177</v>
      </c>
      <c r="I1521">
        <f>G1521</f>
        <v/>
      </c>
      <c r="K1521">
        <f>I1521-G1521</f>
        <v/>
      </c>
      <c r="M1521" t="inlineStr">
        <is>
          <t>241034</t>
        </is>
      </c>
      <c r="N1521" t="inlineStr"/>
      <c r="O1521">
        <f>M1521=N1521</f>
        <v/>
      </c>
      <c r="P1521">
        <f>AND(MONTH(F1521)=MONTH(S1521), YEAR(F1521)=YEAR(S1521))</f>
        <v/>
      </c>
      <c r="Q1521">
        <f>"L001-902303751"=U1521</f>
        <v/>
      </c>
      <c r="R1521">
        <f>G1521-W1521</f>
        <v/>
      </c>
      <c r="S1521" s="36" t="n">
        <v>45565</v>
      </c>
      <c r="T1521" t="inlineStr"/>
      <c r="U1521" t="inlineStr">
        <is>
          <t>L001-107032791</t>
        </is>
      </c>
      <c r="V1521" t="inlineStr">
        <is>
          <t>នីបផន អិចប្រេស (ខេមបូឌា) ខូ អិលធីឌី</t>
        </is>
      </c>
      <c r="W1521" t="n">
        <v>0</v>
      </c>
      <c r="X1521" t="n">
        <v>0</v>
      </c>
    </row>
    <row r="1522">
      <c r="A1522" t="n">
        <v>1521</v>
      </c>
      <c r="B1522" t="inlineStr">
        <is>
          <t>Cargo Terminal</t>
        </is>
      </c>
      <c r="C1522" t="inlineStr">
        <is>
          <t>សូស៊ីយេតេ កុងសេស្យូនែរ ដឺ ឡាអេរ៉ូព័រ</t>
        </is>
      </c>
      <c r="D1522" t="inlineStr">
        <is>
          <t>L001-100047300</t>
        </is>
      </c>
      <c r="E1522" t="inlineStr">
        <is>
          <t>2400-080951</t>
        </is>
      </c>
      <c r="F1522" t="inlineStr">
        <is>
          <t>09-10-2024</t>
        </is>
      </c>
      <c r="G1522" t="n">
        <v>38603</v>
      </c>
      <c r="I1522">
        <f>G1522</f>
        <v/>
      </c>
      <c r="K1522">
        <f>I1522-G1522</f>
        <v/>
      </c>
      <c r="M1522" t="inlineStr">
        <is>
          <t>2400080951</t>
        </is>
      </c>
      <c r="N1522" t="inlineStr"/>
      <c r="O1522">
        <f>M1522=N1522</f>
        <v/>
      </c>
      <c r="P1522">
        <f>AND(MONTH(F1522)=MONTH(S1522), YEAR(F1522)=YEAR(S1522))</f>
        <v/>
      </c>
      <c r="Q1522">
        <f>"L001-902303751"=U1522</f>
        <v/>
      </c>
      <c r="R1522">
        <f>G1522-W1522</f>
        <v/>
      </c>
      <c r="S1522" s="36" t="n">
        <v>45565</v>
      </c>
      <c r="T1522" t="inlineStr"/>
      <c r="U1522" t="inlineStr">
        <is>
          <t>L001-107032791</t>
        </is>
      </c>
      <c r="V1522" t="inlineStr">
        <is>
          <t>នីបផន អិចប្រេស (ខេមបូឌា) ខូ អិលធីឌី</t>
        </is>
      </c>
      <c r="W1522" t="n">
        <v>0</v>
      </c>
      <c r="X1522" t="n">
        <v>0</v>
      </c>
    </row>
    <row r="1523">
      <c r="A1523" t="n">
        <v>1522</v>
      </c>
      <c r="B1523" t="inlineStr">
        <is>
          <t>Cargo Terminal</t>
        </is>
      </c>
      <c r="C1523" t="inlineStr">
        <is>
          <t>សូស៊ីយេតេ កុងសេស្យូនែរ ដឺ ឡាអេរ៉ូព័រ</t>
        </is>
      </c>
      <c r="D1523" t="inlineStr">
        <is>
          <t>L001-100047300</t>
        </is>
      </c>
      <c r="E1523" t="inlineStr">
        <is>
          <t>2400-080645</t>
        </is>
      </c>
      <c r="F1523" t="inlineStr">
        <is>
          <t>09-10-2024</t>
        </is>
      </c>
      <c r="G1523" t="n">
        <v>38307</v>
      </c>
      <c r="I1523">
        <f>G1523</f>
        <v/>
      </c>
      <c r="K1523">
        <f>I1523-G1523</f>
        <v/>
      </c>
      <c r="M1523" t="inlineStr">
        <is>
          <t>2400080645</t>
        </is>
      </c>
      <c r="N1523" t="inlineStr">
        <is>
          <t>11148500</t>
        </is>
      </c>
      <c r="O1523">
        <f>M1523=N1523</f>
        <v/>
      </c>
      <c r="P1523">
        <f>AND(MONTH(F1523)=MONTH(S1523), YEAR(F1523)=YEAR(S1523))</f>
        <v/>
      </c>
      <c r="Q1523">
        <f>"L001-902303751"=U1523</f>
        <v/>
      </c>
      <c r="R1523">
        <f>G1523-W1523</f>
        <v/>
      </c>
      <c r="S1523" s="36" t="n">
        <v>45551</v>
      </c>
      <c r="T1523" t="n">
        <v>111485</v>
      </c>
      <c r="U1523" t="inlineStr">
        <is>
          <t>L001-107032791</t>
        </is>
      </c>
      <c r="V1523" t="inlineStr">
        <is>
          <t>នីបផន អិចប្រេស (ខេមបូឌា) ខូ អិលធីឌី</t>
        </is>
      </c>
      <c r="W1523" t="n">
        <v>111485</v>
      </c>
      <c r="X1523" t="n">
        <v>0</v>
      </c>
    </row>
    <row r="1524">
      <c r="A1524" t="n">
        <v>1523</v>
      </c>
      <c r="B1524" t="inlineStr">
        <is>
          <t>Cargo Terminal</t>
        </is>
      </c>
      <c r="C1524" t="inlineStr">
        <is>
          <t>សូស៊ីយេតេ កុងសេស្យូនែរ ដឺ ឡាអេរ៉ូព័រ</t>
        </is>
      </c>
      <c r="D1524" t="inlineStr">
        <is>
          <t>L001-100047300</t>
        </is>
      </c>
      <c r="E1524" t="inlineStr">
        <is>
          <t>2400-080644</t>
        </is>
      </c>
      <c r="F1524" t="inlineStr">
        <is>
          <t>09-10-2024</t>
        </is>
      </c>
      <c r="G1524" t="n">
        <v>37398</v>
      </c>
      <c r="I1524">
        <f>G1524</f>
        <v/>
      </c>
      <c r="K1524">
        <f>I1524-G1524</f>
        <v/>
      </c>
      <c r="M1524" t="inlineStr">
        <is>
          <t>2400080644</t>
        </is>
      </c>
      <c r="N1524" t="inlineStr"/>
      <c r="O1524">
        <f>M1524=N1524</f>
        <v/>
      </c>
      <c r="P1524">
        <f>AND(MONTH(F1524)=MONTH(S1524), YEAR(F1524)=YEAR(S1524))</f>
        <v/>
      </c>
      <c r="Q1524">
        <f>"L001-902303751"=U1524</f>
        <v/>
      </c>
      <c r="R1524">
        <f>G1524-W1524</f>
        <v/>
      </c>
      <c r="S1524" s="36" t="n">
        <v>45558</v>
      </c>
      <c r="T1524" t="inlineStr"/>
      <c r="U1524" t="inlineStr">
        <is>
          <t>L001-107032791</t>
        </is>
      </c>
      <c r="V1524" t="inlineStr">
        <is>
          <t>នីបផន អិចប្រេស (ខេមបូឌា) ខូ អិលធីឌី</t>
        </is>
      </c>
      <c r="W1524" t="n">
        <v>0</v>
      </c>
      <c r="X1524" t="n">
        <v>0</v>
      </c>
    </row>
    <row r="1525">
      <c r="A1525" t="n">
        <v>1524</v>
      </c>
      <c r="B1525" t="inlineStr">
        <is>
          <t>Cargo Terminal</t>
        </is>
      </c>
      <c r="C1525" t="inlineStr">
        <is>
          <t>សូស៊ីយេតេ កុងសេស្យូនែរ ដឺ ឡាអេរ៉ូព័រ</t>
        </is>
      </c>
      <c r="D1525" t="inlineStr">
        <is>
          <t>L001-100047300</t>
        </is>
      </c>
      <c r="E1525" t="inlineStr">
        <is>
          <t>2400-080643</t>
        </is>
      </c>
      <c r="F1525" t="inlineStr">
        <is>
          <t>09-10-2024</t>
        </is>
      </c>
      <c r="G1525" t="n">
        <v>18862</v>
      </c>
      <c r="I1525">
        <f>G1525</f>
        <v/>
      </c>
      <c r="K1525">
        <f>I1525-G1525</f>
        <v/>
      </c>
      <c r="M1525" t="inlineStr">
        <is>
          <t>2400080643</t>
        </is>
      </c>
      <c r="N1525" t="inlineStr"/>
      <c r="O1525">
        <f>M1525=N1525</f>
        <v/>
      </c>
      <c r="P1525">
        <f>AND(MONTH(F1525)=MONTH(S1525), YEAR(F1525)=YEAR(S1525))</f>
        <v/>
      </c>
      <c r="Q1525">
        <f>"L001-902303751"=U1525</f>
        <v/>
      </c>
      <c r="R1525">
        <f>G1525-W1525</f>
        <v/>
      </c>
      <c r="S1525" s="36" t="n">
        <v>45551</v>
      </c>
      <c r="T1525" t="inlineStr"/>
      <c r="U1525" t="inlineStr">
        <is>
          <t>L001-107032791</t>
        </is>
      </c>
      <c r="V1525" t="inlineStr">
        <is>
          <t>នីបផន អិចប្រេស (ខេមបូឌា) ខូ អិលធីឌី</t>
        </is>
      </c>
      <c r="W1525" t="n">
        <v>0</v>
      </c>
      <c r="X1525" t="n">
        <v>0</v>
      </c>
    </row>
    <row r="1526">
      <c r="A1526" t="n">
        <v>1525</v>
      </c>
      <c r="B1526" t="inlineStr">
        <is>
          <t>Cargo Terminal</t>
        </is>
      </c>
      <c r="C1526" t="inlineStr">
        <is>
          <t>សូស៊ីយេតេ កុងសេស្យូនែរ ដឺ ឡាអេរ៉ូព័រ</t>
        </is>
      </c>
      <c r="D1526" t="inlineStr">
        <is>
          <t>L001-100047300</t>
        </is>
      </c>
      <c r="E1526" t="inlineStr">
        <is>
          <t>2400-080642</t>
        </is>
      </c>
      <c r="F1526" t="inlineStr">
        <is>
          <t>09-10-2024</t>
        </is>
      </c>
      <c r="G1526" t="n">
        <v>24423</v>
      </c>
      <c r="I1526">
        <f>G1526</f>
        <v/>
      </c>
      <c r="K1526">
        <f>I1526-G1526</f>
        <v/>
      </c>
      <c r="M1526" t="inlineStr">
        <is>
          <t>2400080642</t>
        </is>
      </c>
      <c r="N1526" t="inlineStr"/>
      <c r="O1526">
        <f>M1526=N1526</f>
        <v/>
      </c>
      <c r="P1526">
        <f>AND(MONTH(F1526)=MONTH(S1526), YEAR(F1526)=YEAR(S1526))</f>
        <v/>
      </c>
      <c r="Q1526">
        <f>"L001-902303751"=U1526</f>
        <v/>
      </c>
      <c r="R1526">
        <f>G1526-W1526</f>
        <v/>
      </c>
      <c r="S1526" s="36" t="n">
        <v>45551</v>
      </c>
      <c r="T1526" t="inlineStr"/>
      <c r="U1526" t="inlineStr">
        <is>
          <t>L001-107032791</t>
        </is>
      </c>
      <c r="V1526" t="inlineStr">
        <is>
          <t>នីបផន អិចប្រេស (ខេមបូឌា) ខូ អិលធីឌី</t>
        </is>
      </c>
      <c r="W1526" t="n">
        <v>0</v>
      </c>
      <c r="X1526" t="n">
        <v>0</v>
      </c>
    </row>
    <row r="1527">
      <c r="A1527" t="n">
        <v>1526</v>
      </c>
      <c r="B1527" t="inlineStr">
        <is>
          <t>Documentation Origin, Entry Summary Declaration, Seal Surcharge, VGM Processing Fee, Handling Charges and Terminal Handling Charges s</t>
        </is>
      </c>
      <c r="C1527" t="inlineStr">
        <is>
          <t>ឌីប៊ី សេនឃើរ (ខេមបូឌា) លីមីធីត</t>
        </is>
      </c>
      <c r="D1527" t="inlineStr">
        <is>
          <t>L001-107041723</t>
        </is>
      </c>
      <c r="E1527" t="inlineStr">
        <is>
          <t>2400008103</t>
        </is>
      </c>
      <c r="F1527" t="inlineStr">
        <is>
          <t>09-10-2024</t>
        </is>
      </c>
      <c r="G1527" t="n">
        <v>144308</v>
      </c>
      <c r="I1527">
        <f>G1527</f>
        <v/>
      </c>
      <c r="K1527">
        <f>I1527-G1527</f>
        <v/>
      </c>
      <c r="M1527" t="inlineStr">
        <is>
          <t>2400008103</t>
        </is>
      </c>
      <c r="N1527" t="inlineStr">
        <is>
          <t>17250800</t>
        </is>
      </c>
      <c r="O1527">
        <f>M1527=N1527</f>
        <v/>
      </c>
      <c r="P1527">
        <f>AND(MONTH(F1527)=MONTH(S1527), YEAR(F1527)=YEAR(S1527))</f>
        <v/>
      </c>
      <c r="Q1527">
        <f>"L001-902303751"=U1527</f>
        <v/>
      </c>
      <c r="R1527">
        <f>G1527-W1527</f>
        <v/>
      </c>
      <c r="S1527" s="36" t="n">
        <v>45537</v>
      </c>
      <c r="T1527" t="n">
        <v>172508</v>
      </c>
      <c r="U1527" t="inlineStr">
        <is>
          <t>L001-107032791</t>
        </is>
      </c>
      <c r="V1527" t="inlineStr">
        <is>
          <t>នីបផន អិចប្រេស (ខេមបូឌា) ខូ អិលធីឌី</t>
        </is>
      </c>
      <c r="W1527" t="n">
        <v>172508</v>
      </c>
      <c r="X1527" t="n">
        <v>0</v>
      </c>
    </row>
    <row r="1528">
      <c r="A1528" t="n">
        <v>1527</v>
      </c>
      <c r="B1528" t="inlineStr">
        <is>
          <t>Charge from Warehouse/cy to trucks and Storage Charges</t>
        </is>
      </c>
      <c r="C1528" t="inlineStr">
        <is>
          <t>កំពង់ផែស្វយ័តក្រុងព្រះសីហនុ</t>
        </is>
      </c>
      <c r="D1528" t="inlineStr">
        <is>
          <t>L001-100044638</t>
        </is>
      </c>
      <c r="E1528" t="inlineStr">
        <is>
          <t>207578</t>
        </is>
      </c>
      <c r="F1528" t="inlineStr">
        <is>
          <t>09-10-2024</t>
        </is>
      </c>
      <c r="G1528" t="n">
        <v>661</v>
      </c>
      <c r="I1528">
        <f>G1528</f>
        <v/>
      </c>
      <c r="K1528">
        <f>I1528-G1528</f>
        <v/>
      </c>
      <c r="M1528" t="inlineStr">
        <is>
          <t>207578</t>
        </is>
      </c>
      <c r="N1528" t="inlineStr"/>
      <c r="O1528">
        <f>M1528=N1528</f>
        <v/>
      </c>
      <c r="P1528">
        <f>AND(MONTH(F1528)=MONTH(S1528), YEAR(F1528)=YEAR(S1528))</f>
        <v/>
      </c>
      <c r="Q1528">
        <f>"L001-902303751"=U1528</f>
        <v/>
      </c>
      <c r="R1528">
        <f>G1528-W1528</f>
        <v/>
      </c>
      <c r="S1528" s="36" t="n">
        <v>45565</v>
      </c>
      <c r="T1528" t="inlineStr"/>
      <c r="U1528" t="inlineStr">
        <is>
          <t>K005-100150195</t>
        </is>
      </c>
      <c r="V1528" t="inlineStr">
        <is>
          <t>អេស អ វី ស៊ី ហ្វ្រេត សឺវីស (ខេមបូឌា) ខូ អិលធីឌី</t>
        </is>
      </c>
      <c r="W1528" t="n">
        <v>0</v>
      </c>
      <c r="X1528" t="n">
        <v>0</v>
      </c>
    </row>
    <row r="1529">
      <c r="A1529" t="n">
        <v>1528</v>
      </c>
      <c r="B1529" t="inlineStr">
        <is>
          <t>Send Docs and Material</t>
        </is>
      </c>
      <c r="C1529" t="inlineStr">
        <is>
          <t>ឌី អេច អិល អិចប្រេស (ខេមបូឌា)</t>
        </is>
      </c>
      <c r="D1529" t="inlineStr">
        <is>
          <t>L001-100045197</t>
        </is>
      </c>
      <c r="E1529" t="inlineStr">
        <is>
          <t>PNHR000506431</t>
        </is>
      </c>
      <c r="F1529" t="inlineStr">
        <is>
          <t>10-10-2024</t>
        </is>
      </c>
      <c r="G1529" t="n">
        <v>54184</v>
      </c>
      <c r="I1529">
        <f>G1529</f>
        <v/>
      </c>
      <c r="K1529">
        <f>I1529-G1529</f>
        <v/>
      </c>
      <c r="M1529" t="inlineStr">
        <is>
          <t>PNHR000506431</t>
        </is>
      </c>
      <c r="N1529" t="inlineStr">
        <is>
          <t>17267800</t>
        </is>
      </c>
      <c r="O1529">
        <f>M1529=N1529</f>
        <v/>
      </c>
      <c r="P1529">
        <f>AND(MONTH(F1529)=MONTH(S1529), YEAR(F1529)=YEAR(S1529))</f>
        <v/>
      </c>
      <c r="Q1529">
        <f>"L001-902303751"=U1529</f>
        <v/>
      </c>
      <c r="R1529">
        <f>G1529-W1529</f>
        <v/>
      </c>
      <c r="S1529" s="36" t="n">
        <v>45558</v>
      </c>
      <c r="T1529" t="n">
        <v>172678</v>
      </c>
      <c r="U1529" t="inlineStr">
        <is>
          <t>L001-100045995</t>
        </is>
      </c>
      <c r="V1529" t="inlineStr">
        <is>
          <t>ឌីអេចអិល ឡូជីស្ទីក (ខេមបូឌា)</t>
        </is>
      </c>
      <c r="W1529" t="n">
        <v>172678</v>
      </c>
      <c r="X1529" t="n">
        <v>0</v>
      </c>
    </row>
    <row r="1530">
      <c r="A1530" t="n">
        <v>1529</v>
      </c>
      <c r="B1530" t="inlineStr">
        <is>
          <t>Send Material and Docs</t>
        </is>
      </c>
      <c r="C1530" t="inlineStr">
        <is>
          <t>ឌី អេច អិល អិចប្រេស (ខេមបូឌា)</t>
        </is>
      </c>
      <c r="D1530" t="inlineStr">
        <is>
          <t>L001-100045197</t>
        </is>
      </c>
      <c r="E1530" t="inlineStr">
        <is>
          <t>PNHIR00246590</t>
        </is>
      </c>
      <c r="F1530" t="inlineStr">
        <is>
          <t>10-10-2024</t>
        </is>
      </c>
      <c r="G1530" t="n">
        <v>255715</v>
      </c>
      <c r="I1530">
        <f>G1530</f>
        <v/>
      </c>
      <c r="K1530">
        <f>I1530-G1530</f>
        <v/>
      </c>
      <c r="M1530" t="inlineStr">
        <is>
          <t>PNHIR00246590</t>
        </is>
      </c>
      <c r="N1530" t="inlineStr"/>
      <c r="O1530">
        <f>M1530=N1530</f>
        <v/>
      </c>
      <c r="P1530">
        <f>AND(MONTH(F1530)=MONTH(S1530), YEAR(F1530)=YEAR(S1530))</f>
        <v/>
      </c>
      <c r="Q1530">
        <f>"L001-902303751"=U1530</f>
        <v/>
      </c>
      <c r="R1530">
        <f>G1530-W1530</f>
        <v/>
      </c>
      <c r="S1530" s="36" t="n">
        <v>45558</v>
      </c>
      <c r="T1530" t="inlineStr"/>
      <c r="U1530" t="inlineStr">
        <is>
          <t>K005-901805913</t>
        </is>
      </c>
      <c r="V1530" t="inlineStr">
        <is>
          <t>ស្តារ ខង់ខដ (ខេមបូឌា) ឯ.ក</t>
        </is>
      </c>
      <c r="W1530" t="n">
        <v>0</v>
      </c>
      <c r="X1530" t="n">
        <v>0</v>
      </c>
    </row>
    <row r="1531">
      <c r="A1531" t="n">
        <v>1530</v>
      </c>
      <c r="B1531" t="inlineStr">
        <is>
          <t>Send Docs</t>
        </is>
      </c>
      <c r="C1531" t="inlineStr">
        <is>
          <t>ឌី អេច អិល អិចប្រេស (ខេមបូឌា)</t>
        </is>
      </c>
      <c r="D1531" t="inlineStr">
        <is>
          <t>L001-100045197</t>
        </is>
      </c>
      <c r="E1531" t="inlineStr">
        <is>
          <t>PNHIR00246570</t>
        </is>
      </c>
      <c r="F1531" t="inlineStr">
        <is>
          <t>10-10-2024</t>
        </is>
      </c>
      <c r="G1531" t="n">
        <v>6099</v>
      </c>
      <c r="I1531">
        <f>G1531</f>
        <v/>
      </c>
      <c r="K1531">
        <f>I1531-G1531</f>
        <v/>
      </c>
      <c r="M1531" t="inlineStr">
        <is>
          <t>PNHIR00246570</t>
        </is>
      </c>
      <c r="N1531" t="inlineStr">
        <is>
          <t>8310700</t>
        </is>
      </c>
      <c r="O1531">
        <f>M1531=N1531</f>
        <v/>
      </c>
      <c r="P1531">
        <f>AND(MONTH(F1531)=MONTH(S1531), YEAR(F1531)=YEAR(S1531))</f>
        <v/>
      </c>
      <c r="Q1531">
        <f>"L001-902303751"=U1531</f>
        <v/>
      </c>
      <c r="R1531">
        <f>G1531-W1531</f>
        <v/>
      </c>
      <c r="S1531" s="36" t="n">
        <v>45551</v>
      </c>
      <c r="T1531" t="n">
        <v>83107</v>
      </c>
      <c r="U1531" t="inlineStr">
        <is>
          <t>L001-100045995</t>
        </is>
      </c>
      <c r="V1531" t="inlineStr">
        <is>
          <t>ឌីអេចអិល ឡូជីស្ទីក (ខេមបូឌា)</t>
        </is>
      </c>
      <c r="W1531" t="n">
        <v>83107</v>
      </c>
      <c r="X1531" t="n">
        <v>0</v>
      </c>
    </row>
    <row r="1532">
      <c r="A1532" t="n">
        <v>1531</v>
      </c>
      <c r="B1532" t="inlineStr">
        <is>
          <t>Lift-On Charges 20" Full and Gate Fee Charges 20" Full</t>
        </is>
      </c>
      <c r="C1532" t="inlineStr">
        <is>
          <t>កំពង់ផែស្វយ័តភ្នំពេញ "ក.ស.ភ"</t>
        </is>
      </c>
      <c r="D1532" t="inlineStr">
        <is>
          <t>L001-100044999</t>
        </is>
      </c>
      <c r="E1532" t="inlineStr">
        <is>
          <t>INV20241075684</t>
        </is>
      </c>
      <c r="F1532" t="inlineStr">
        <is>
          <t>10-10-2024</t>
        </is>
      </c>
      <c r="G1532" t="n">
        <v>18704</v>
      </c>
      <c r="I1532">
        <f>G1532</f>
        <v/>
      </c>
      <c r="K1532">
        <f>I1532-G1532</f>
        <v/>
      </c>
      <c r="M1532" t="inlineStr">
        <is>
          <t>INV20241075684</t>
        </is>
      </c>
      <c r="N1532" t="inlineStr">
        <is>
          <t>8310700</t>
        </is>
      </c>
      <c r="O1532">
        <f>M1532=N1532</f>
        <v/>
      </c>
      <c r="P1532">
        <f>AND(MONTH(F1532)=MONTH(S1532), YEAR(F1532)=YEAR(S1532))</f>
        <v/>
      </c>
      <c r="Q1532">
        <f>"L001-902303751"=U1532</f>
        <v/>
      </c>
      <c r="R1532">
        <f>G1532-W1532</f>
        <v/>
      </c>
      <c r="S1532" s="36" t="n">
        <v>45551</v>
      </c>
      <c r="T1532" t="n">
        <v>83107</v>
      </c>
      <c r="U1532" t="inlineStr">
        <is>
          <t>L001-901500191</t>
        </is>
      </c>
      <c r="V1532" t="inlineStr">
        <is>
          <t>អ.អិន.វ៉ាយ ត្រេនស្ព័ត</t>
        </is>
      </c>
      <c r="W1532" t="n">
        <v>83107</v>
      </c>
      <c r="X1532" t="n">
        <v>0</v>
      </c>
    </row>
    <row r="1533">
      <c r="A1533" t="n">
        <v>1532</v>
      </c>
      <c r="B1533" t="inlineStr">
        <is>
          <t>Cargo Terminal</t>
        </is>
      </c>
      <c r="C1533" t="inlineStr">
        <is>
          <t>សូស៊ីយេតេ កុងសេស្យូនែរ ដឺ ឡាអេរ៉ូព័រ</t>
        </is>
      </c>
      <c r="D1533" t="inlineStr">
        <is>
          <t>L001-100047300</t>
        </is>
      </c>
      <c r="E1533" t="inlineStr">
        <is>
          <t>2400-081223</t>
        </is>
      </c>
      <c r="F1533" t="inlineStr">
        <is>
          <t>10-10-2024</t>
        </is>
      </c>
      <c r="G1533" t="n">
        <v>4162</v>
      </c>
      <c r="I1533">
        <f>G1533</f>
        <v/>
      </c>
      <c r="K1533">
        <f>I1533-G1533</f>
        <v/>
      </c>
      <c r="M1533" t="inlineStr">
        <is>
          <t>2400081223</t>
        </is>
      </c>
      <c r="N1533" t="inlineStr"/>
      <c r="O1533">
        <f>M1533=N1533</f>
        <v/>
      </c>
      <c r="P1533">
        <f>AND(MONTH(F1533)=MONTH(S1533), YEAR(F1533)=YEAR(S1533))</f>
        <v/>
      </c>
      <c r="Q1533">
        <f>"L001-902303751"=U1533</f>
        <v/>
      </c>
      <c r="R1533">
        <f>G1533-W1533</f>
        <v/>
      </c>
      <c r="S1533" s="36" t="n">
        <v>45558</v>
      </c>
      <c r="T1533" t="inlineStr"/>
      <c r="U1533" t="inlineStr">
        <is>
          <t>L001-107032791</t>
        </is>
      </c>
      <c r="V1533" t="inlineStr">
        <is>
          <t>នីបផន អិចប្រេស (ខេមបូឌា) ខូ អិលធីឌី</t>
        </is>
      </c>
      <c r="W1533" t="n">
        <v>0</v>
      </c>
      <c r="X1533" t="n">
        <v>0</v>
      </c>
    </row>
    <row r="1534">
      <c r="A1534" t="n">
        <v>1533</v>
      </c>
      <c r="B1534" t="inlineStr">
        <is>
          <t>Demurage and storage</t>
        </is>
      </c>
      <c r="C1534" t="inlineStr">
        <is>
          <t>ហ្វ្រេតាស (ខេមបូឌា) ឯ.ក</t>
        </is>
      </c>
      <c r="D1534" t="inlineStr">
        <is>
          <t>K007-901638107</t>
        </is>
      </c>
      <c r="E1534" t="inlineStr">
        <is>
          <t>Y24-120</t>
        </is>
      </c>
      <c r="F1534" t="inlineStr">
        <is>
          <t>08-10-2024</t>
        </is>
      </c>
      <c r="G1534" t="n">
        <v>12192</v>
      </c>
      <c r="I1534">
        <f>G1534</f>
        <v/>
      </c>
      <c r="K1534">
        <f>I1534-G1534</f>
        <v/>
      </c>
      <c r="M1534" t="inlineStr">
        <is>
          <t>Y24120</t>
        </is>
      </c>
      <c r="N1534" t="inlineStr">
        <is>
          <t>8329200</t>
        </is>
      </c>
      <c r="O1534">
        <f>M1534=N1534</f>
        <v/>
      </c>
      <c r="P1534">
        <f>AND(MONTH(F1534)=MONTH(S1534), YEAR(F1534)=YEAR(S1534))</f>
        <v/>
      </c>
      <c r="Q1534">
        <f>"L001-902303751"=U1534</f>
        <v/>
      </c>
      <c r="R1534">
        <f>G1534-W1534</f>
        <v/>
      </c>
      <c r="S1534" s="36" t="n">
        <v>45558</v>
      </c>
      <c r="T1534" t="n">
        <v>83292</v>
      </c>
      <c r="U1534" t="inlineStr">
        <is>
          <t>L001-107032791</t>
        </is>
      </c>
      <c r="V1534" t="inlineStr">
        <is>
          <t>នីបផន អិចប្រេស (ខេមបូឌា) ខូ អិលធីឌី</t>
        </is>
      </c>
      <c r="W1534" t="n">
        <v>83292</v>
      </c>
      <c r="X1534" t="n">
        <v>0</v>
      </c>
    </row>
    <row r="1535">
      <c r="A1535" t="n">
        <v>1534</v>
      </c>
      <c r="B1535" t="inlineStr">
        <is>
          <t>HAWB Freight, OM Forwarding Fee, H/C, AWB Fee, OT Warehouse and Finished</t>
        </is>
      </c>
      <c r="C1535" t="inlineStr">
        <is>
          <t>អ៊ិចស្ពែឌីធ័រ ខេមបូឌា អិលធីឌី</t>
        </is>
      </c>
      <c r="D1535" t="inlineStr">
        <is>
          <t>L001-100045898</t>
        </is>
      </c>
      <c r="E1535" t="inlineStr">
        <is>
          <t>TI-0292182</t>
        </is>
      </c>
      <c r="F1535" t="inlineStr">
        <is>
          <t>08-10-2024</t>
        </is>
      </c>
      <c r="G1535" t="n">
        <v>65024</v>
      </c>
      <c r="I1535">
        <f>G1535</f>
        <v/>
      </c>
      <c r="K1535">
        <f>I1535-G1535</f>
        <v/>
      </c>
      <c r="M1535" t="inlineStr">
        <is>
          <t>TI0292182</t>
        </is>
      </c>
      <c r="N1535" t="inlineStr"/>
      <c r="O1535">
        <f>M1535=N1535</f>
        <v/>
      </c>
      <c r="P1535">
        <f>AND(MONTH(F1535)=MONTH(S1535), YEAR(F1535)=YEAR(S1535))</f>
        <v/>
      </c>
      <c r="Q1535">
        <f>"L001-902303751"=U1535</f>
        <v/>
      </c>
      <c r="R1535">
        <f>G1535-W1535</f>
        <v/>
      </c>
      <c r="S1535" s="36" t="n">
        <v>45558</v>
      </c>
      <c r="T1535" t="inlineStr"/>
      <c r="U1535" t="inlineStr">
        <is>
          <t>L001-100045995</t>
        </is>
      </c>
      <c r="V1535" t="inlineStr">
        <is>
          <t>ឌីអេចអិល ឡូជីស្ទីក (ខេមបូឌា)</t>
        </is>
      </c>
      <c r="W1535" t="n">
        <v>0</v>
      </c>
      <c r="X1535" t="n">
        <v>0</v>
      </c>
    </row>
    <row r="1536">
      <c r="A1536" t="n">
        <v>1535</v>
      </c>
      <c r="B1536" t="inlineStr">
        <is>
          <t>HAWB Freight, OM Forwarding Fee, H/C and AWB Fee</t>
        </is>
      </c>
      <c r="C1536" t="inlineStr">
        <is>
          <t>អ៊ិចស្ពែឌីធ័រ ខេមបូឌា អិលធីឌី</t>
        </is>
      </c>
      <c r="D1536" t="inlineStr">
        <is>
          <t>L001-100045898</t>
        </is>
      </c>
      <c r="E1536" t="inlineStr">
        <is>
          <t>TI-0291890</t>
        </is>
      </c>
      <c r="F1536" t="inlineStr">
        <is>
          <t>08-10-2024</t>
        </is>
      </c>
      <c r="G1536" t="n">
        <v>46736</v>
      </c>
      <c r="I1536">
        <f>G1536</f>
        <v/>
      </c>
      <c r="K1536">
        <f>I1536-G1536</f>
        <v/>
      </c>
      <c r="M1536" t="inlineStr">
        <is>
          <t>TI0291890</t>
        </is>
      </c>
      <c r="N1536" t="inlineStr"/>
      <c r="O1536">
        <f>M1536=N1536</f>
        <v/>
      </c>
      <c r="P1536">
        <f>AND(MONTH(F1536)=MONTH(S1536), YEAR(F1536)=YEAR(S1536))</f>
        <v/>
      </c>
      <c r="Q1536">
        <f>"L001-902303751"=U1536</f>
        <v/>
      </c>
      <c r="R1536">
        <f>G1536-W1536</f>
        <v/>
      </c>
      <c r="S1536" s="36" t="n">
        <v>45551</v>
      </c>
      <c r="T1536" t="inlineStr"/>
      <c r="U1536" t="inlineStr">
        <is>
          <t>K005-901805913</t>
        </is>
      </c>
      <c r="V1536" t="inlineStr">
        <is>
          <t>ស្តារ ខង់ខដ (ខេមបូឌា) ឯ.ក</t>
        </is>
      </c>
      <c r="W1536" t="n">
        <v>0</v>
      </c>
      <c r="X1536" t="n">
        <v>0</v>
      </c>
    </row>
    <row r="1537">
      <c r="A1537" t="n">
        <v>1536</v>
      </c>
      <c r="B1537" t="inlineStr">
        <is>
          <t>Charge from Warehouse/cy to trucks and Storage Charges</t>
        </is>
      </c>
      <c r="C1537" t="inlineStr">
        <is>
          <t>កំពង់ផែស្វយ័តក្រុងព្រះសីហនុ</t>
        </is>
      </c>
      <c r="D1537" t="inlineStr">
        <is>
          <t>L001-100044638</t>
        </is>
      </c>
      <c r="E1537" t="inlineStr">
        <is>
          <t>206337</t>
        </is>
      </c>
      <c r="F1537" t="inlineStr">
        <is>
          <t>08-10-2024</t>
        </is>
      </c>
      <c r="G1537" t="n">
        <v>946</v>
      </c>
      <c r="I1537">
        <f>G1537</f>
        <v/>
      </c>
      <c r="K1537">
        <f>I1537-G1537</f>
        <v/>
      </c>
      <c r="M1537" t="inlineStr">
        <is>
          <t>206337</t>
        </is>
      </c>
      <c r="N1537" t="inlineStr">
        <is>
          <t>8351700</t>
        </is>
      </c>
      <c r="O1537">
        <f>M1537=N1537</f>
        <v/>
      </c>
      <c r="P1537">
        <f>AND(MONTH(F1537)=MONTH(S1537), YEAR(F1537)=YEAR(S1537))</f>
        <v/>
      </c>
      <c r="Q1537">
        <f>"L001-902303751"=U1537</f>
        <v/>
      </c>
      <c r="R1537">
        <f>G1537-W1537</f>
        <v/>
      </c>
      <c r="S1537" s="36" t="n">
        <v>45544</v>
      </c>
      <c r="T1537" t="n">
        <v>83517</v>
      </c>
      <c r="U1537" t="inlineStr">
        <is>
          <t>L001-107032791</t>
        </is>
      </c>
      <c r="V1537" t="inlineStr">
        <is>
          <t>នីបផន អិចប្រេស (ខេមបូឌា) ខូ អិលធីឌី</t>
        </is>
      </c>
      <c r="W1537" t="n">
        <v>83517</v>
      </c>
      <c r="X1537" t="n">
        <v>0</v>
      </c>
    </row>
    <row r="1538">
      <c r="A1538" t="n">
        <v>1537</v>
      </c>
      <c r="B1538" t="inlineStr">
        <is>
          <t>Charge from Warehouse/cy to trucks and Storage Charges</t>
        </is>
      </c>
      <c r="C1538" t="inlineStr">
        <is>
          <t>កំពង់ផែស្វយ័តក្រុងព្រះសីហនុ</t>
        </is>
      </c>
      <c r="D1538" t="inlineStr">
        <is>
          <t>L001-100044638</t>
        </is>
      </c>
      <c r="E1538" t="inlineStr">
        <is>
          <t>206335</t>
        </is>
      </c>
      <c r="F1538" t="inlineStr">
        <is>
          <t>08-10-2024</t>
        </is>
      </c>
      <c r="G1538" t="n">
        <v>2841</v>
      </c>
      <c r="I1538">
        <f>G1538</f>
        <v/>
      </c>
      <c r="K1538">
        <f>I1538-G1538</f>
        <v/>
      </c>
      <c r="M1538" t="inlineStr">
        <is>
          <t>206335</t>
        </is>
      </c>
      <c r="N1538" t="inlineStr"/>
      <c r="O1538">
        <f>M1538=N1538</f>
        <v/>
      </c>
      <c r="P1538">
        <f>AND(MONTH(F1538)=MONTH(S1538), YEAR(F1538)=YEAR(S1538))</f>
        <v/>
      </c>
      <c r="Q1538">
        <f>"L001-902303751"=U1538</f>
        <v/>
      </c>
      <c r="R1538">
        <f>G1538-W1538</f>
        <v/>
      </c>
      <c r="S1538" s="36" t="n">
        <v>45537</v>
      </c>
      <c r="T1538" t="inlineStr"/>
      <c r="U1538" t="inlineStr">
        <is>
          <t>L001-107032791</t>
        </is>
      </c>
      <c r="V1538" t="inlineStr">
        <is>
          <t>នីបផន អិចប្រេស (ខេមបូឌា) ខូ អិលធីឌី</t>
        </is>
      </c>
      <c r="W1538" t="n">
        <v>0</v>
      </c>
      <c r="X1538" t="n">
        <v>0</v>
      </c>
    </row>
    <row r="1539">
      <c r="A1539" t="n">
        <v>1538</v>
      </c>
      <c r="B1539" t="inlineStr">
        <is>
          <t>Cargo Terminal</t>
        </is>
      </c>
      <c r="C1539" t="inlineStr">
        <is>
          <t>សូស៊ីយេតេ កុងសេស្យូនែរ ដឺ ឡាអេរ៉ូព័រ</t>
        </is>
      </c>
      <c r="D1539" t="inlineStr">
        <is>
          <t>L001-100047300</t>
        </is>
      </c>
      <c r="E1539" t="inlineStr">
        <is>
          <t>2400-080279</t>
        </is>
      </c>
      <c r="F1539" t="inlineStr">
        <is>
          <t>08-10-2024</t>
        </is>
      </c>
      <c r="G1539" t="n">
        <v>10256</v>
      </c>
      <c r="I1539">
        <f>G1539</f>
        <v/>
      </c>
      <c r="K1539">
        <f>I1539-G1539</f>
        <v/>
      </c>
      <c r="M1539" t="inlineStr">
        <is>
          <t>2400080279</t>
        </is>
      </c>
      <c r="N1539" t="inlineStr"/>
      <c r="O1539">
        <f>M1539=N1539</f>
        <v/>
      </c>
      <c r="P1539">
        <f>AND(MONTH(F1539)=MONTH(S1539), YEAR(F1539)=YEAR(S1539))</f>
        <v/>
      </c>
      <c r="Q1539">
        <f>"L001-902303751"=U1539</f>
        <v/>
      </c>
      <c r="R1539">
        <f>G1539-W1539</f>
        <v/>
      </c>
      <c r="S1539" s="36" t="n">
        <v>45558</v>
      </c>
      <c r="T1539" t="inlineStr"/>
      <c r="U1539" t="inlineStr">
        <is>
          <t>L001-107032791</t>
        </is>
      </c>
      <c r="V1539" t="inlineStr">
        <is>
          <t>នីបផន អិចប្រេស (ខេមបូឌា) ខូ អិលធីឌី</t>
        </is>
      </c>
      <c r="W1539" t="n">
        <v>0</v>
      </c>
      <c r="X1539" t="n">
        <v>0</v>
      </c>
    </row>
    <row r="1540">
      <c r="A1540" t="n">
        <v>1539</v>
      </c>
      <c r="B1540" t="inlineStr">
        <is>
          <t>Charge from Warehouse/cy to trucks and Storage Charges</t>
        </is>
      </c>
      <c r="C1540" t="inlineStr">
        <is>
          <t>កំពង់ផែស្វយ័តក្រុងព្រះសីហនុ</t>
        </is>
      </c>
      <c r="D1540" t="inlineStr">
        <is>
          <t>L001-100044638</t>
        </is>
      </c>
      <c r="E1540" t="inlineStr">
        <is>
          <t>206338</t>
        </is>
      </c>
      <c r="F1540" t="inlineStr">
        <is>
          <t>08-10-2024</t>
        </is>
      </c>
      <c r="G1540" t="n">
        <v>1895</v>
      </c>
      <c r="I1540">
        <f>G1540</f>
        <v/>
      </c>
      <c r="K1540">
        <f>I1540-G1540</f>
        <v/>
      </c>
      <c r="M1540" t="inlineStr">
        <is>
          <t>206338</t>
        </is>
      </c>
      <c r="N1540" t="inlineStr">
        <is>
          <t>8329200</t>
        </is>
      </c>
      <c r="O1540">
        <f>M1540=N1540</f>
        <v/>
      </c>
      <c r="P1540">
        <f>AND(MONTH(F1540)=MONTH(S1540), YEAR(F1540)=YEAR(S1540))</f>
        <v/>
      </c>
      <c r="Q1540">
        <f>"L001-902303751"=U1540</f>
        <v/>
      </c>
      <c r="R1540">
        <f>G1540-W1540</f>
        <v/>
      </c>
      <c r="S1540" s="36" t="n">
        <v>45558</v>
      </c>
      <c r="T1540" t="n">
        <v>83292</v>
      </c>
      <c r="U1540" t="inlineStr">
        <is>
          <t>L001-100045995</t>
        </is>
      </c>
      <c r="V1540" t="inlineStr">
        <is>
          <t>ឌីអេចអិល ឡូជីស្ទីក (ខេមបូឌា)</t>
        </is>
      </c>
      <c r="W1540" t="n">
        <v>83292</v>
      </c>
      <c r="X1540" t="n">
        <v>0</v>
      </c>
    </row>
    <row r="1541">
      <c r="A1541" t="n">
        <v>1540</v>
      </c>
      <c r="B1541" t="inlineStr">
        <is>
          <t>Cargo Terminal</t>
        </is>
      </c>
      <c r="C1541" t="inlineStr">
        <is>
          <t>សូស៊ីយេតេ កុងសេស្យូនែរ ដឺ ឡាអេរ៉ូព័រ</t>
        </is>
      </c>
      <c r="D1541" t="inlineStr">
        <is>
          <t>L001-100047300</t>
        </is>
      </c>
      <c r="E1541" t="inlineStr">
        <is>
          <t>2400-080280</t>
        </is>
      </c>
      <c r="F1541" t="inlineStr">
        <is>
          <t>08-10-2024</t>
        </is>
      </c>
      <c r="G1541" t="n">
        <v>5704</v>
      </c>
      <c r="I1541">
        <f>G1541</f>
        <v/>
      </c>
      <c r="K1541">
        <f>I1541-G1541</f>
        <v/>
      </c>
      <c r="M1541" t="inlineStr">
        <is>
          <t>2400080280</t>
        </is>
      </c>
      <c r="N1541" t="inlineStr">
        <is>
          <t>1625200</t>
        </is>
      </c>
      <c r="O1541">
        <f>M1541=N1541</f>
        <v/>
      </c>
      <c r="P1541">
        <f>AND(MONTH(F1541)=MONTH(S1541), YEAR(F1541)=YEAR(S1541))</f>
        <v/>
      </c>
      <c r="Q1541">
        <f>"L001-902303751"=U1541</f>
        <v/>
      </c>
      <c r="R1541">
        <f>G1541-W1541</f>
        <v/>
      </c>
      <c r="S1541" s="36" t="n">
        <v>45560</v>
      </c>
      <c r="T1541" t="n">
        <v>16252</v>
      </c>
      <c r="U1541" t="inlineStr">
        <is>
          <t>L001-100045340</t>
        </is>
      </c>
      <c r="V1541" t="inlineStr">
        <is>
          <t xml:space="preserve">ស៊ីវ៉ា អ៊ែរ អ៊ែន អូសៀន (ខេមបូឌា) ឯ.ក </t>
        </is>
      </c>
      <c r="W1541" t="n">
        <v>16252</v>
      </c>
      <c r="X1541" t="n">
        <v>0</v>
      </c>
    </row>
    <row r="1542">
      <c r="A1542" t="n">
        <v>1541</v>
      </c>
      <c r="B1542" t="inlineStr">
        <is>
          <t>HAWB Freight, OM Forwarding Fee, H/C and AWB Fee</t>
        </is>
      </c>
      <c r="C1542" t="inlineStr">
        <is>
          <t>អ៊ិចស្ពែឌីធ័រ ខេមបូឌា អិលធីឌី</t>
        </is>
      </c>
      <c r="D1542" t="inlineStr">
        <is>
          <t>L001-100045898</t>
        </is>
      </c>
      <c r="E1542" t="inlineStr">
        <is>
          <t>TI-0291828</t>
        </is>
      </c>
      <c r="F1542" t="inlineStr">
        <is>
          <t>08-10-2024</t>
        </is>
      </c>
      <c r="G1542" t="n">
        <v>46736</v>
      </c>
      <c r="I1542">
        <f>G1542</f>
        <v/>
      </c>
      <c r="K1542">
        <f>I1542-G1542</f>
        <v/>
      </c>
      <c r="M1542" t="inlineStr">
        <is>
          <t>TI0291828</t>
        </is>
      </c>
      <c r="N1542" t="inlineStr"/>
      <c r="O1542">
        <f>M1542=N1542</f>
        <v/>
      </c>
      <c r="P1542">
        <f>AND(MONTH(F1542)=MONTH(S1542), YEAR(F1542)=YEAR(S1542))</f>
        <v/>
      </c>
      <c r="Q1542">
        <f>"L001-902303751"=U1542</f>
        <v/>
      </c>
      <c r="R1542">
        <f>G1542-W1542</f>
        <v/>
      </c>
      <c r="S1542" s="36" t="n">
        <v>45544</v>
      </c>
      <c r="T1542" t="inlineStr"/>
      <c r="U1542" t="inlineStr">
        <is>
          <t>L001-100045995</t>
        </is>
      </c>
      <c r="V1542" t="inlineStr">
        <is>
          <t>ឌីអេចអិល ឡូជីស្ទីក (ខេមបូឌា)</t>
        </is>
      </c>
      <c r="W1542" t="n">
        <v>0</v>
      </c>
      <c r="X1542" t="n">
        <v>0</v>
      </c>
    </row>
    <row r="1543">
      <c r="A1543" t="n">
        <v>1542</v>
      </c>
      <c r="B1543" t="inlineStr">
        <is>
          <t>HAWB Freight, OM Forwarding Fee, H/C and AWB Fee</t>
        </is>
      </c>
      <c r="C1543" t="inlineStr">
        <is>
          <t>អ៊ិចស្ពែឌីធ័រ ខេមបូឌា អិលធីឌី</t>
        </is>
      </c>
      <c r="D1543" t="inlineStr">
        <is>
          <t>L001-100045898</t>
        </is>
      </c>
      <c r="E1543" t="inlineStr">
        <is>
          <t>TI-0291810</t>
        </is>
      </c>
      <c r="F1543" t="inlineStr">
        <is>
          <t>08-10-2024</t>
        </is>
      </c>
      <c r="G1543" t="n">
        <v>46736</v>
      </c>
      <c r="I1543">
        <f>G1543</f>
        <v/>
      </c>
      <c r="K1543">
        <f>I1543-G1543</f>
        <v/>
      </c>
      <c r="M1543" t="inlineStr">
        <is>
          <t>TI0291810</t>
        </is>
      </c>
      <c r="N1543" t="inlineStr"/>
      <c r="O1543">
        <f>M1543=N1543</f>
        <v/>
      </c>
      <c r="P1543">
        <f>AND(MONTH(F1543)=MONTH(S1543), YEAR(F1543)=YEAR(S1543))</f>
        <v/>
      </c>
      <c r="Q1543">
        <f>"L001-902303751"=U1543</f>
        <v/>
      </c>
      <c r="R1543">
        <f>G1543-W1543</f>
        <v/>
      </c>
      <c r="S1543" s="36" t="n">
        <v>45551</v>
      </c>
      <c r="T1543" t="inlineStr"/>
      <c r="U1543" t="inlineStr">
        <is>
          <t>L001-107032791</t>
        </is>
      </c>
      <c r="V1543" t="inlineStr">
        <is>
          <t>នីបផន អិចប្រេស (ខេមបូឌា) ខូ អិលធីឌី</t>
        </is>
      </c>
      <c r="W1543" t="n">
        <v>0</v>
      </c>
      <c r="X1543" t="n">
        <v>0</v>
      </c>
    </row>
    <row r="1544">
      <c r="A1544" t="n">
        <v>1543</v>
      </c>
      <c r="B1544" t="inlineStr">
        <is>
          <t>CFS Charges, THC Charges and Bill of lading Fee</t>
        </is>
      </c>
      <c r="C1544" t="inlineStr">
        <is>
          <t>អ៊ិចស្ពែឌីធ័រ ខេមបូឌា អិលធីឌី</t>
        </is>
      </c>
      <c r="D1544" t="inlineStr">
        <is>
          <t>L001-100045898</t>
        </is>
      </c>
      <c r="E1544" t="inlineStr">
        <is>
          <t>TI-0291765</t>
        </is>
      </c>
      <c r="F1544" t="inlineStr">
        <is>
          <t>08-10-2024</t>
        </is>
      </c>
      <c r="G1544" t="n">
        <v>216449</v>
      </c>
      <c r="I1544">
        <f>G1544</f>
        <v/>
      </c>
      <c r="K1544">
        <f>I1544-G1544</f>
        <v/>
      </c>
      <c r="M1544" t="inlineStr">
        <is>
          <t>TI0291765</t>
        </is>
      </c>
      <c r="N1544" t="inlineStr"/>
      <c r="O1544">
        <f>M1544=N1544</f>
        <v/>
      </c>
      <c r="P1544">
        <f>AND(MONTH(F1544)=MONTH(S1544), YEAR(F1544)=YEAR(S1544))</f>
        <v/>
      </c>
      <c r="Q1544">
        <f>"L001-902303751"=U1544</f>
        <v/>
      </c>
      <c r="R1544">
        <f>G1544-W1544</f>
        <v/>
      </c>
      <c r="S1544" s="36" t="n">
        <v>45558</v>
      </c>
      <c r="T1544" t="inlineStr"/>
      <c r="U1544" t="inlineStr">
        <is>
          <t>L001-100045340</t>
        </is>
      </c>
      <c r="V1544" t="inlineStr">
        <is>
          <t xml:space="preserve">ស៊ីវ៉ា អ៊ែរ អ៊ែន អូសៀន (ខេមបូឌា) ឯ.ក </t>
        </is>
      </c>
      <c r="W1544" t="n">
        <v>0</v>
      </c>
      <c r="X1544" t="n">
        <v>0</v>
      </c>
    </row>
    <row r="1545">
      <c r="A1545" t="n">
        <v>1544</v>
      </c>
      <c r="B1545" t="inlineStr">
        <is>
          <t>Trucking, Customs Clearance, Extra Trucking and Truck Fuel Surcharge</t>
        </is>
      </c>
      <c r="C1545" t="inlineStr">
        <is>
          <t>អេស អ វី ស៊ី ហ្វ្រេត សឺវីស (ខេមបូឌា) ខូ អិលធីឌី</t>
        </is>
      </c>
      <c r="D1545" t="inlineStr">
        <is>
          <t>K005-100150195</t>
        </is>
      </c>
      <c r="E1545" t="inlineStr">
        <is>
          <t>SRVI2406400</t>
        </is>
      </c>
      <c r="F1545" t="inlineStr">
        <is>
          <t>08-10-2024</t>
        </is>
      </c>
      <c r="G1545" t="n">
        <v>162560</v>
      </c>
      <c r="I1545">
        <f>G1545</f>
        <v/>
      </c>
      <c r="K1545">
        <f>I1545-G1545</f>
        <v/>
      </c>
      <c r="M1545" t="inlineStr">
        <is>
          <t>SRVI2406400</t>
        </is>
      </c>
      <c r="N1545" t="inlineStr">
        <is>
          <t>20111900</t>
        </is>
      </c>
      <c r="O1545">
        <f>M1545=N1545</f>
        <v/>
      </c>
      <c r="P1545">
        <f>AND(MONTH(F1545)=MONTH(S1545), YEAR(F1545)=YEAR(S1545))</f>
        <v/>
      </c>
      <c r="Q1545">
        <f>"L001-902303751"=U1545</f>
        <v/>
      </c>
      <c r="R1545">
        <f>G1545-W1545</f>
        <v/>
      </c>
      <c r="S1545" s="36" t="n">
        <v>45558</v>
      </c>
      <c r="T1545" t="n">
        <v>201119</v>
      </c>
      <c r="U1545" t="inlineStr">
        <is>
          <t>L001-107032791</t>
        </is>
      </c>
      <c r="V1545" t="inlineStr">
        <is>
          <t>នីបផន អិចប្រេស (ខេមបូឌា) ខូ អិលធីឌី</t>
        </is>
      </c>
      <c r="W1545" t="n">
        <v>201119</v>
      </c>
      <c r="X1545" t="n">
        <v>0</v>
      </c>
    </row>
    <row r="1546">
      <c r="A1546" t="n">
        <v>1545</v>
      </c>
      <c r="B1546" t="inlineStr">
        <is>
          <t>Send Docs</t>
        </is>
      </c>
      <c r="C1546" t="inlineStr">
        <is>
          <t>ឌី អេច អិល អិចប្រេស (ខេមបូឌា)</t>
        </is>
      </c>
      <c r="D1546" t="inlineStr">
        <is>
          <t>L001-100045197</t>
        </is>
      </c>
      <c r="E1546" t="inlineStr">
        <is>
          <t>PNHIR00245646</t>
        </is>
      </c>
      <c r="F1546" t="inlineStr">
        <is>
          <t>08-10-2024</t>
        </is>
      </c>
      <c r="G1546" t="n">
        <v>12192</v>
      </c>
      <c r="I1546">
        <f>G1546</f>
        <v/>
      </c>
      <c r="K1546">
        <f>I1546-G1546</f>
        <v/>
      </c>
      <c r="M1546" t="inlineStr">
        <is>
          <t>PNHIR00245646</t>
        </is>
      </c>
      <c r="N1546" t="inlineStr"/>
      <c r="O1546">
        <f>M1546=N1546</f>
        <v/>
      </c>
      <c r="P1546">
        <f>AND(MONTH(F1546)=MONTH(S1546), YEAR(F1546)=YEAR(S1546))</f>
        <v/>
      </c>
      <c r="Q1546">
        <f>"L001-902303751"=U1546</f>
        <v/>
      </c>
      <c r="R1546">
        <f>G1546-W1546</f>
        <v/>
      </c>
      <c r="S1546" s="36" t="n">
        <v>45222</v>
      </c>
      <c r="T1546" t="inlineStr"/>
      <c r="U1546" t="inlineStr">
        <is>
          <t>L001-100045340</t>
        </is>
      </c>
      <c r="V1546" t="inlineStr">
        <is>
          <t xml:space="preserve">ស៊ីវ៉ា អ៊ែរ អ៊ែន អូសៀន (ខេមបូឌា) ឯ.ក </t>
        </is>
      </c>
      <c r="W1546" t="n">
        <v>0</v>
      </c>
      <c r="X1546" t="n">
        <v>0</v>
      </c>
    </row>
    <row r="1547">
      <c r="A1547" t="n">
        <v>1546</v>
      </c>
      <c r="B1547" t="inlineStr">
        <is>
          <t>Import Shipment Expense</t>
        </is>
      </c>
      <c r="C1547" t="inlineStr">
        <is>
          <t>ហ្វ្រេត ខនសិប (ខេមបូឌា)</t>
        </is>
      </c>
      <c r="D1547" t="inlineStr">
        <is>
          <t>K009-901502482</t>
        </is>
      </c>
      <c r="E1547" t="inlineStr">
        <is>
          <t>241028</t>
        </is>
      </c>
      <c r="F1547" t="inlineStr">
        <is>
          <t>08-10-2024</t>
        </is>
      </c>
      <c r="G1547" t="n">
        <v>87539</v>
      </c>
      <c r="I1547">
        <f>G1547</f>
        <v/>
      </c>
      <c r="K1547">
        <f>I1547-G1547</f>
        <v/>
      </c>
      <c r="M1547" t="inlineStr">
        <is>
          <t>241028</t>
        </is>
      </c>
      <c r="N1547" t="inlineStr"/>
      <c r="O1547">
        <f>M1547=N1547</f>
        <v/>
      </c>
      <c r="P1547">
        <f>AND(MONTH(F1547)=MONTH(S1547), YEAR(F1547)=YEAR(S1547))</f>
        <v/>
      </c>
      <c r="Q1547">
        <f>"L001-902303751"=U1547</f>
        <v/>
      </c>
      <c r="R1547">
        <f>G1547-W1547</f>
        <v/>
      </c>
      <c r="S1547" s="36" t="n">
        <v>45219</v>
      </c>
      <c r="T1547" t="inlineStr"/>
      <c r="U1547" t="inlineStr">
        <is>
          <t>K009-107034735</t>
        </is>
      </c>
      <c r="V1547" t="inlineStr">
        <is>
          <t>ស៊ីប៊ីជី ឡូជីស្ទីក (ខេមបូឌា)</t>
        </is>
      </c>
      <c r="W1547" t="n">
        <v>0</v>
      </c>
      <c r="X1547" t="n">
        <v>0</v>
      </c>
    </row>
    <row r="1548">
      <c r="A1548" t="n">
        <v>1547</v>
      </c>
      <c r="B1548" t="inlineStr">
        <is>
          <t>Gate Fee Charges-GC Truck-1-6 Tons</t>
        </is>
      </c>
      <c r="C1548" t="inlineStr">
        <is>
          <t>កំពង់ផែស្វយ័តភ្នំពេញ "ក.ស.ភ"</t>
        </is>
      </c>
      <c r="D1548" t="inlineStr">
        <is>
          <t>L001-100044999</t>
        </is>
      </c>
      <c r="E1548" t="inlineStr">
        <is>
          <t>INV20241075397</t>
        </is>
      </c>
      <c r="F1548" t="inlineStr">
        <is>
          <t>08-10-2024</t>
        </is>
      </c>
      <c r="G1548" t="n">
        <v>813</v>
      </c>
      <c r="I1548">
        <f>G1548</f>
        <v/>
      </c>
      <c r="K1548">
        <f>I1548-G1548</f>
        <v/>
      </c>
      <c r="M1548" t="inlineStr">
        <is>
          <t>INV20241075397</t>
        </is>
      </c>
      <c r="N1548" t="inlineStr"/>
      <c r="O1548">
        <f>M1548=N1548</f>
        <v/>
      </c>
      <c r="P1548">
        <f>AND(MONTH(F1548)=MONTH(S1548), YEAR(F1548)=YEAR(S1548))</f>
        <v/>
      </c>
      <c r="Q1548">
        <f>"L001-902303751"=U1548</f>
        <v/>
      </c>
      <c r="R1548">
        <f>G1548-W1548</f>
        <v/>
      </c>
      <c r="S1548" s="36" t="n">
        <v>45227</v>
      </c>
      <c r="T1548" t="inlineStr"/>
      <c r="U1548" t="inlineStr">
        <is>
          <t>K009-107034735</t>
        </is>
      </c>
      <c r="V1548" t="inlineStr">
        <is>
          <t>ស៊ីប៊ីជី ឡូជីស្ទីក (ខេមបូឌា)</t>
        </is>
      </c>
      <c r="W1548" t="n">
        <v>0</v>
      </c>
      <c r="X1548" t="n">
        <v>0</v>
      </c>
    </row>
    <row r="1549">
      <c r="A1549" t="n">
        <v>1548</v>
      </c>
      <c r="B1549" t="inlineStr">
        <is>
          <t>Import Shipment Expense</t>
        </is>
      </c>
      <c r="C1549" t="inlineStr">
        <is>
          <t>ប៊ី.អាយ.អិម ឡូជីស្ទីក ឯ.ក</t>
        </is>
      </c>
      <c r="D1549" t="inlineStr">
        <is>
          <t>K005-901902912</t>
        </is>
      </c>
      <c r="E1549" t="inlineStr">
        <is>
          <t>BI24-533</t>
        </is>
      </c>
      <c r="F1549" t="inlineStr">
        <is>
          <t>08-10-2024</t>
        </is>
      </c>
      <c r="G1549" t="n">
        <v>51613</v>
      </c>
      <c r="I1549">
        <f>G1549</f>
        <v/>
      </c>
      <c r="K1549">
        <f>I1549-G1549</f>
        <v/>
      </c>
      <c r="M1549" t="inlineStr">
        <is>
          <t>BI24533</t>
        </is>
      </c>
      <c r="N1549" t="inlineStr">
        <is>
          <t>38492700</t>
        </is>
      </c>
      <c r="O1549">
        <f>M1549=N1549</f>
        <v/>
      </c>
      <c r="P1549">
        <f>AND(MONTH(F1549)=MONTH(S1549), YEAR(F1549)=YEAR(S1549))</f>
        <v/>
      </c>
      <c r="Q1549">
        <f>"L001-902303751"=U1549</f>
        <v/>
      </c>
      <c r="R1549">
        <f>G1549-W1549</f>
        <v/>
      </c>
      <c r="S1549" s="36" t="n">
        <v>45224</v>
      </c>
      <c r="T1549" t="n">
        <v>384927</v>
      </c>
      <c r="U1549" t="inlineStr">
        <is>
          <t>L001-100011888</t>
        </is>
      </c>
      <c r="V1549" t="inlineStr">
        <is>
          <t>ត្រេន ស្តារ ហ្រេ្វត</t>
        </is>
      </c>
      <c r="W1549" t="n">
        <v>384927</v>
      </c>
      <c r="X1549" t="n">
        <v>0</v>
      </c>
    </row>
    <row r="1550">
      <c r="A1550" t="n">
        <v>1549</v>
      </c>
      <c r="B1550" t="inlineStr">
        <is>
          <t>Export Adminstration Fee and Custom Processing Fee</t>
        </is>
      </c>
      <c r="C1550" t="inlineStr">
        <is>
          <t>ជី លីង អិចប្រេស ឡូជីស្ទីក (ខេមបូឌា) លីមីធីត</t>
        </is>
      </c>
      <c r="D1550" t="inlineStr">
        <is>
          <t>L001-100044956</t>
        </is>
      </c>
      <c r="E1550" t="inlineStr">
        <is>
          <t>24158699</t>
        </is>
      </c>
      <c r="F1550" t="inlineStr">
        <is>
          <t>08-10-2024</t>
        </is>
      </c>
      <c r="G1550" t="n">
        <v>65024</v>
      </c>
      <c r="I1550">
        <f>G1550</f>
        <v/>
      </c>
      <c r="K1550">
        <f>I1550-G1550</f>
        <v/>
      </c>
      <c r="M1550" t="inlineStr">
        <is>
          <t>24158699</t>
        </is>
      </c>
      <c r="N1550" t="inlineStr">
        <is>
          <t>11151000</t>
        </is>
      </c>
      <c r="O1550">
        <f>M1550=N1550</f>
        <v/>
      </c>
      <c r="P1550">
        <f>AND(MONTH(F1550)=MONTH(S1550), YEAR(F1550)=YEAR(S1550))</f>
        <v/>
      </c>
      <c r="Q1550">
        <f>"L001-902303751"=U1550</f>
        <v/>
      </c>
      <c r="R1550">
        <f>G1550-W1550</f>
        <v/>
      </c>
      <c r="S1550" s="36" t="n">
        <v>45208</v>
      </c>
      <c r="T1550" t="n">
        <v>111510</v>
      </c>
      <c r="U1550" t="inlineStr">
        <is>
          <t>L001-100045995</t>
        </is>
      </c>
      <c r="V1550" t="inlineStr">
        <is>
          <t>ឌីអេចអិល ឡូជីស្ទីក (ខេមបូឌា)</t>
        </is>
      </c>
      <c r="W1550" t="n">
        <v>111510</v>
      </c>
      <c r="X1550" t="n">
        <v>0</v>
      </c>
    </row>
    <row r="1551">
      <c r="A1551" t="n">
        <v>1550</v>
      </c>
      <c r="B1551" t="inlineStr">
        <is>
          <t>Document Origin, Handling Charges Origin, Airfreight, Overtime Fee, PLACI fee and HAWB Transmission Fee</t>
        </is>
      </c>
      <c r="C1551" t="inlineStr">
        <is>
          <t>ឌីប៊ី សេនឃើរ (ខេមបូឌា) លីមីធីត</t>
        </is>
      </c>
      <c r="D1551" t="inlineStr">
        <is>
          <t>L001-107041723</t>
        </is>
      </c>
      <c r="E1551" t="inlineStr">
        <is>
          <t>2400008683</t>
        </is>
      </c>
      <c r="F1551" t="inlineStr">
        <is>
          <t>30-10-2024</t>
        </is>
      </c>
      <c r="G1551" t="n">
        <v>90560</v>
      </c>
      <c r="I1551">
        <f>G1551</f>
        <v/>
      </c>
      <c r="K1551">
        <f>I1551-G1551</f>
        <v/>
      </c>
      <c r="M1551" t="inlineStr">
        <is>
          <t>2400008683</t>
        </is>
      </c>
      <c r="N1551" t="inlineStr"/>
      <c r="O1551">
        <f>M1551=N1551</f>
        <v/>
      </c>
      <c r="P1551">
        <f>AND(MONTH(F1551)=MONTH(S1551), YEAR(F1551)=YEAR(S1551))</f>
        <v/>
      </c>
      <c r="Q1551">
        <f>"L001-902303751"=U1551</f>
        <v/>
      </c>
      <c r="R1551">
        <f>G1551-W1551</f>
        <v/>
      </c>
      <c r="S1551" s="36" t="n">
        <v>45208</v>
      </c>
      <c r="T1551" t="inlineStr"/>
      <c r="U1551" t="inlineStr">
        <is>
          <t>L001-107041723</t>
        </is>
      </c>
      <c r="V1551" t="inlineStr">
        <is>
          <t>ឌីប៊ី សេនឃើរ (ខេមបូឌា) លីមីធីត</t>
        </is>
      </c>
      <c r="W1551" t="n">
        <v>0</v>
      </c>
      <c r="X1551" t="n">
        <v>0</v>
      </c>
    </row>
    <row r="1552">
      <c r="A1552" t="n">
        <v>1551</v>
      </c>
      <c r="B1552" t="inlineStr">
        <is>
          <t>Customs Clearance Fee and Trucking Fee</t>
        </is>
      </c>
      <c r="C1552" t="inlineStr">
        <is>
          <t>ត្រាយអ៊ែងហ្គល ឡូជីស្ទីក (ខេមបូឌា) ឯ.ក</t>
        </is>
      </c>
      <c r="D1552" t="inlineStr">
        <is>
          <t>K010-902101743</t>
        </is>
      </c>
      <c r="E1552" t="inlineStr">
        <is>
          <t>TAG-24-00797</t>
        </is>
      </c>
      <c r="F1552" t="inlineStr">
        <is>
          <t>28-10-2024</t>
        </is>
      </c>
      <c r="G1552" t="n">
        <v>32488</v>
      </c>
      <c r="I1552">
        <f>G1552</f>
        <v/>
      </c>
      <c r="K1552">
        <f>I1552-G1552</f>
        <v/>
      </c>
      <c r="M1552" t="inlineStr">
        <is>
          <t>TAG2400797</t>
        </is>
      </c>
      <c r="N1552" t="inlineStr"/>
      <c r="O1552">
        <f>M1552=N1552</f>
        <v/>
      </c>
      <c r="P1552">
        <f>AND(MONTH(F1552)=MONTH(S1552), YEAR(F1552)=YEAR(S1552))</f>
        <v/>
      </c>
      <c r="Q1552">
        <f>"L001-902303751"=U1552</f>
        <v/>
      </c>
      <c r="R1552">
        <f>G1552-W1552</f>
        <v/>
      </c>
      <c r="S1552" s="36" t="n">
        <v>45215</v>
      </c>
      <c r="T1552" t="inlineStr"/>
      <c r="U1552" t="inlineStr">
        <is>
          <t>K005-901501155</t>
        </is>
      </c>
      <c r="V1552" t="inlineStr">
        <is>
          <t>ផេនដា គ្លូប៊ល ឡូជីស្ទីក (ខេមបូឌា)</t>
        </is>
      </c>
      <c r="W1552" t="n">
        <v>0</v>
      </c>
      <c r="X1552" t="n">
        <v>0</v>
      </c>
    </row>
    <row r="1553">
      <c r="A1553" t="n">
        <v>1552</v>
      </c>
      <c r="B1553" t="inlineStr">
        <is>
          <t>Customs Clearance Fee and Trucking Fee</t>
        </is>
      </c>
      <c r="C1553" t="inlineStr">
        <is>
          <t>ត្រាយអ៊ែងហ្គល ឡូជីស្ទីក (ខេមបូឌា) ឯ.ក</t>
        </is>
      </c>
      <c r="D1553" t="inlineStr">
        <is>
          <t>K010-902101743</t>
        </is>
      </c>
      <c r="E1553" t="inlineStr">
        <is>
          <t>TAG-24-00796</t>
        </is>
      </c>
      <c r="F1553" t="inlineStr">
        <is>
          <t>28-10-2024</t>
        </is>
      </c>
      <c r="G1553" t="n">
        <v>109647</v>
      </c>
      <c r="I1553">
        <f>G1553</f>
        <v/>
      </c>
      <c r="K1553">
        <f>I1553-G1553</f>
        <v/>
      </c>
      <c r="M1553" t="inlineStr">
        <is>
          <t>TAG2400796</t>
        </is>
      </c>
      <c r="N1553" t="inlineStr">
        <is>
          <t>11164500</t>
        </is>
      </c>
      <c r="O1553">
        <f>M1553=N1553</f>
        <v/>
      </c>
      <c r="P1553">
        <f>AND(MONTH(F1553)=MONTH(S1553), YEAR(F1553)=YEAR(S1553))</f>
        <v/>
      </c>
      <c r="Q1553">
        <f>"L001-902303751"=U1553</f>
        <v/>
      </c>
      <c r="R1553">
        <f>G1553-W1553</f>
        <v/>
      </c>
      <c r="S1553" s="36" t="n">
        <v>45222</v>
      </c>
      <c r="T1553" t="n">
        <v>111645</v>
      </c>
      <c r="U1553" t="inlineStr">
        <is>
          <t>L001-100045995</t>
        </is>
      </c>
      <c r="V1553" t="inlineStr">
        <is>
          <t>ឌីអេចអិល ឡូជីស្ទីក (ខេមបូឌា)</t>
        </is>
      </c>
      <c r="W1553" t="n">
        <v>111645</v>
      </c>
      <c r="X1553" t="n">
        <v>0</v>
      </c>
    </row>
    <row r="1554">
      <c r="A1554" t="n">
        <v>1553</v>
      </c>
      <c r="B1554" t="inlineStr">
        <is>
          <t>Customs Clearance Fee and Trucking Fee</t>
        </is>
      </c>
      <c r="C1554" t="inlineStr">
        <is>
          <t>ត្រាយអ៊ែងហ្គល ឡូជីស្ទីក (ខេមបូឌា) ឯ.ក</t>
        </is>
      </c>
      <c r="D1554" t="inlineStr">
        <is>
          <t>K010-902101743</t>
        </is>
      </c>
      <c r="E1554" t="inlineStr">
        <is>
          <t>TAG-24-00795</t>
        </is>
      </c>
      <c r="F1554" t="inlineStr">
        <is>
          <t>28-10-2024</t>
        </is>
      </c>
      <c r="G1554" t="n">
        <v>32488</v>
      </c>
      <c r="I1554">
        <f>G1554</f>
        <v/>
      </c>
      <c r="K1554">
        <f>I1554-G1554</f>
        <v/>
      </c>
      <c r="M1554" t="inlineStr">
        <is>
          <t>TAG2400795</t>
        </is>
      </c>
      <c r="N1554" t="inlineStr">
        <is>
          <t>8278000</t>
        </is>
      </c>
      <c r="O1554">
        <f>M1554=N1554</f>
        <v/>
      </c>
      <c r="P1554">
        <f>AND(MONTH(F1554)=MONTH(S1554), YEAR(F1554)=YEAR(S1554))</f>
        <v/>
      </c>
      <c r="Q1554">
        <f>"L001-902303751"=U1554</f>
        <v/>
      </c>
      <c r="R1554">
        <f>G1554-W1554</f>
        <v/>
      </c>
      <c r="S1554" s="36" t="n">
        <v>45224</v>
      </c>
      <c r="T1554" t="n">
        <v>82780</v>
      </c>
      <c r="U1554" t="inlineStr">
        <is>
          <t>L001-103007369</t>
        </is>
      </c>
      <c r="V1554" t="inlineStr">
        <is>
          <t>អូរៀនថល ឡូជីស្ទីក &amp; ឌីស្ទ្រីប៊្យូសិន (ខេមបូឌា)</t>
        </is>
      </c>
      <c r="W1554" t="n">
        <v>82780</v>
      </c>
      <c r="X1554" t="n">
        <v>0</v>
      </c>
    </row>
    <row r="1555">
      <c r="A1555" t="n">
        <v>1554</v>
      </c>
      <c r="B1555" t="inlineStr">
        <is>
          <t>Customs Clearance Fee and Trucking Fee</t>
        </is>
      </c>
      <c r="C1555" t="inlineStr">
        <is>
          <t>ត្រាយអ៊ែងហ្គល ឡូជីស្ទីក (ខេមបូឌា) ឯ.ក</t>
        </is>
      </c>
      <c r="D1555" t="inlineStr">
        <is>
          <t>K010-902101743</t>
        </is>
      </c>
      <c r="E1555" t="inlineStr">
        <is>
          <t>TAG-24-00794</t>
        </is>
      </c>
      <c r="F1555" t="inlineStr">
        <is>
          <t>28-10-2024</t>
        </is>
      </c>
      <c r="G1555" t="n">
        <v>109647</v>
      </c>
      <c r="I1555">
        <f>G1555</f>
        <v/>
      </c>
      <c r="K1555">
        <f>I1555-G1555</f>
        <v/>
      </c>
      <c r="M1555" t="inlineStr">
        <is>
          <t>TAG2400794</t>
        </is>
      </c>
      <c r="N1555" t="inlineStr">
        <is>
          <t>12549100</t>
        </is>
      </c>
      <c r="O1555">
        <f>M1555=N1555</f>
        <v/>
      </c>
      <c r="P1555">
        <f>AND(MONTH(F1555)=MONTH(S1555), YEAR(F1555)=YEAR(S1555))</f>
        <v/>
      </c>
      <c r="Q1555">
        <f>"L001-902303751"=U1555</f>
        <v/>
      </c>
      <c r="R1555">
        <f>G1555-W1555</f>
        <v/>
      </c>
      <c r="S1555" s="36" t="n">
        <v>45204</v>
      </c>
      <c r="T1555" t="n">
        <v>125491</v>
      </c>
      <c r="U1555" t="inlineStr">
        <is>
          <t>L001-100011888</t>
        </is>
      </c>
      <c r="V1555" t="inlineStr">
        <is>
          <t>ត្រេន ស្តារ ហ្រេ្វត</t>
        </is>
      </c>
      <c r="W1555" t="n">
        <v>125491</v>
      </c>
      <c r="X1555" t="n">
        <v>0</v>
      </c>
    </row>
    <row r="1556">
      <c r="A1556" t="n">
        <v>1555</v>
      </c>
      <c r="B1556" t="inlineStr">
        <is>
          <t>Customs Clearance Fee and Trucking Fee</t>
        </is>
      </c>
      <c r="C1556" t="inlineStr">
        <is>
          <t>ត្រាយអ៊ែងហ្គល ឡូជីស្ទីក (ខេមបូឌា) ឯ.ក</t>
        </is>
      </c>
      <c r="D1556" t="inlineStr">
        <is>
          <t>K010-902101743</t>
        </is>
      </c>
      <c r="E1556" t="inlineStr">
        <is>
          <t>TAG-24-00790</t>
        </is>
      </c>
      <c r="F1556" t="inlineStr">
        <is>
          <t>28-10-2024</t>
        </is>
      </c>
      <c r="G1556" t="n">
        <v>109647</v>
      </c>
      <c r="I1556">
        <f>G1556</f>
        <v/>
      </c>
      <c r="K1556">
        <f>I1556-G1556</f>
        <v/>
      </c>
      <c r="M1556" t="inlineStr">
        <is>
          <t>TAG2400790</t>
        </is>
      </c>
      <c r="N1556" t="inlineStr">
        <is>
          <t>8244000</t>
        </is>
      </c>
      <c r="O1556">
        <f>M1556=N1556</f>
        <v/>
      </c>
      <c r="P1556">
        <f>AND(MONTH(F1556)=MONTH(S1556), YEAR(F1556)=YEAR(S1556))</f>
        <v/>
      </c>
      <c r="Q1556">
        <f>"L001-902303751"=U1556</f>
        <v/>
      </c>
      <c r="R1556">
        <f>G1556-W1556</f>
        <v/>
      </c>
      <c r="S1556" s="36" t="n">
        <v>45200</v>
      </c>
      <c r="T1556" t="n">
        <v>82440</v>
      </c>
      <c r="U1556" t="inlineStr">
        <is>
          <t>K002-901800477</t>
        </is>
      </c>
      <c r="V1556" t="inlineStr">
        <is>
          <t>អាយធីអាយ អ៊ិនធើណេសិនណល ត្រេនស័្ពរថេសិន (ខេមបូឌា) ឯ.ក</t>
        </is>
      </c>
      <c r="W1556" t="n">
        <v>82440</v>
      </c>
      <c r="X1556" t="n">
        <v>0</v>
      </c>
    </row>
    <row r="1557">
      <c r="A1557" t="n">
        <v>1556</v>
      </c>
      <c r="B1557" t="inlineStr">
        <is>
          <t>Send Sample</t>
        </is>
      </c>
      <c r="C1557" t="inlineStr">
        <is>
          <t>ឌី អេច អិល អិចប្រេស (ខេមបូឌា)</t>
        </is>
      </c>
      <c r="D1557" t="inlineStr">
        <is>
          <t>L001-100045197</t>
        </is>
      </c>
      <c r="E1557" t="inlineStr">
        <is>
          <t>PNHIR00250125</t>
        </is>
      </c>
      <c r="F1557" t="inlineStr">
        <is>
          <t>28-10-2024</t>
        </is>
      </c>
      <c r="G1557" t="n">
        <v>16244</v>
      </c>
      <c r="I1557">
        <f>G1557</f>
        <v/>
      </c>
      <c r="K1557">
        <f>I1557-G1557</f>
        <v/>
      </c>
      <c r="M1557" t="inlineStr">
        <is>
          <t>PNHIR00250125</t>
        </is>
      </c>
      <c r="N1557" t="inlineStr"/>
      <c r="O1557">
        <f>M1557=N1557</f>
        <v/>
      </c>
      <c r="P1557">
        <f>AND(MONTH(F1557)=MONTH(S1557), YEAR(F1557)=YEAR(S1557))</f>
        <v/>
      </c>
      <c r="Q1557">
        <f>"L001-902303751"=U1557</f>
        <v/>
      </c>
      <c r="R1557">
        <f>G1557-W1557</f>
        <v/>
      </c>
      <c r="S1557" s="36" t="n">
        <v>45224</v>
      </c>
      <c r="T1557" t="inlineStr"/>
      <c r="U1557" t="inlineStr">
        <is>
          <t>L001-103007369</t>
        </is>
      </c>
      <c r="V1557" t="inlineStr">
        <is>
          <t>អូរៀនថល ឡូជីស្ទីក &amp; ឌីស្ទ្រីប៊្យូសិន (ខេមបូឌា)</t>
        </is>
      </c>
      <c r="W1557" t="n">
        <v>0</v>
      </c>
      <c r="X1557" t="n">
        <v>0</v>
      </c>
    </row>
    <row r="1558">
      <c r="A1558" t="n">
        <v>1557</v>
      </c>
      <c r="B1558" t="inlineStr">
        <is>
          <t>Rental Machine</t>
        </is>
      </c>
      <c r="C1558" t="inlineStr">
        <is>
          <t>ក្លាក ហ៊ូ ឯ.ក</t>
        </is>
      </c>
      <c r="D1558" t="inlineStr">
        <is>
          <t>K007-901639199</t>
        </is>
      </c>
      <c r="E1558" t="inlineStr">
        <is>
          <t>IN2371</t>
        </is>
      </c>
      <c r="F1558" t="inlineStr">
        <is>
          <t>28-10-2024</t>
        </is>
      </c>
      <c r="G1558" t="n">
        <v>1002255</v>
      </c>
      <c r="I1558">
        <f>G1558</f>
        <v/>
      </c>
      <c r="K1558">
        <f>I1558-G1558</f>
        <v/>
      </c>
      <c r="M1558" t="inlineStr">
        <is>
          <t>IN2371</t>
        </is>
      </c>
      <c r="N1558" t="inlineStr">
        <is>
          <t>83676600</t>
        </is>
      </c>
      <c r="O1558">
        <f>M1558=N1558</f>
        <v/>
      </c>
      <c r="P1558">
        <f>AND(MONTH(F1558)=MONTH(S1558), YEAR(F1558)=YEAR(S1558))</f>
        <v/>
      </c>
      <c r="Q1558">
        <f>"L001-902303751"=U1558</f>
        <v/>
      </c>
      <c r="R1558">
        <f>G1558-W1558</f>
        <v/>
      </c>
      <c r="S1558" s="36" t="n">
        <v>45200</v>
      </c>
      <c r="T1558" t="n">
        <v>836766</v>
      </c>
      <c r="U1558" t="inlineStr">
        <is>
          <t>K002-901800477</t>
        </is>
      </c>
      <c r="V1558" t="inlineStr">
        <is>
          <t>អាយធីអាយ អ៊ិនធើណេសិនណល ត្រេនស័្ពរថេសិន (ខេមបូឌា) ឯ.ក</t>
        </is>
      </c>
      <c r="W1558" t="n">
        <v>836766</v>
      </c>
      <c r="X1558" t="n">
        <v>0</v>
      </c>
    </row>
    <row r="1559">
      <c r="A1559" t="n">
        <v>1558</v>
      </c>
      <c r="B1559" t="inlineStr">
        <is>
          <t>Customs Clearance Fee and Trucking Fee</t>
        </is>
      </c>
      <c r="C1559" t="inlineStr">
        <is>
          <t>ត្រាយអ៊ែងហ្គល ឡូជីស្ទីក (ខេមបូឌា) ឯ.ក</t>
        </is>
      </c>
      <c r="D1559" t="inlineStr">
        <is>
          <t>K010-902101743</t>
        </is>
      </c>
      <c r="E1559" t="inlineStr">
        <is>
          <t>TAG-24-00798</t>
        </is>
      </c>
      <c r="F1559" t="inlineStr">
        <is>
          <t>28-10-2024</t>
        </is>
      </c>
      <c r="G1559" t="n">
        <v>38385</v>
      </c>
      <c r="I1559">
        <f>G1559</f>
        <v/>
      </c>
      <c r="K1559">
        <f>I1559-G1559</f>
        <v/>
      </c>
      <c r="M1559" t="inlineStr">
        <is>
          <t>TAG2400798</t>
        </is>
      </c>
      <c r="N1559" t="inlineStr"/>
      <c r="O1559">
        <f>M1559=N1559</f>
        <v/>
      </c>
      <c r="P1559">
        <f>AND(MONTH(F1559)=MONTH(S1559), YEAR(F1559)=YEAR(S1559))</f>
        <v/>
      </c>
      <c r="Q1559">
        <f>"L001-902303751"=U1559</f>
        <v/>
      </c>
      <c r="R1559">
        <f>G1559-W1559</f>
        <v/>
      </c>
      <c r="S1559" s="36" t="n">
        <v>45222</v>
      </c>
      <c r="T1559" t="inlineStr"/>
      <c r="U1559" t="inlineStr">
        <is>
          <t>L001-107032791</t>
        </is>
      </c>
      <c r="V1559" t="inlineStr">
        <is>
          <t>នីបផន អិចប្រេស (ខេមបូឌា) ខូ អិលធីឌី</t>
        </is>
      </c>
      <c r="W1559" t="n">
        <v>0</v>
      </c>
      <c r="X1559" t="n">
        <v>0</v>
      </c>
    </row>
    <row r="1560">
      <c r="A1560" t="n">
        <v>1559</v>
      </c>
      <c r="B1560" t="inlineStr">
        <is>
          <t>Customs Clearance Fee and Trucking Fee</t>
        </is>
      </c>
      <c r="C1560" t="inlineStr">
        <is>
          <t>ត្រាយអ៊ែងហ្គល ឡូជីស្ទីក (ខេមបូឌា) ឯ.ក</t>
        </is>
      </c>
      <c r="D1560" t="inlineStr">
        <is>
          <t>K010-902101743</t>
        </is>
      </c>
      <c r="E1560" t="inlineStr">
        <is>
          <t>TAG-24-00799</t>
        </is>
      </c>
      <c r="F1560" t="inlineStr">
        <is>
          <t>28-10-2024</t>
        </is>
      </c>
      <c r="G1560" t="n">
        <v>32488</v>
      </c>
      <c r="I1560">
        <f>G1560</f>
        <v/>
      </c>
      <c r="K1560">
        <f>I1560-G1560</f>
        <v/>
      </c>
      <c r="M1560" t="inlineStr">
        <is>
          <t>TAG2400799</t>
        </is>
      </c>
      <c r="N1560" t="inlineStr"/>
      <c r="O1560">
        <f>M1560=N1560</f>
        <v/>
      </c>
      <c r="P1560">
        <f>AND(MONTH(F1560)=MONTH(S1560), YEAR(F1560)=YEAR(S1560))</f>
        <v/>
      </c>
      <c r="Q1560">
        <f>"L001-902303751"=U1560</f>
        <v/>
      </c>
      <c r="R1560">
        <f>G1560-W1560</f>
        <v/>
      </c>
      <c r="S1560" s="36" t="n">
        <v>45222</v>
      </c>
      <c r="T1560" t="inlineStr"/>
      <c r="U1560" t="inlineStr">
        <is>
          <t>K003-901635943</t>
        </is>
      </c>
      <c r="V1560" t="inlineStr">
        <is>
          <t>អ៊ីឃ្យូឡាញ វើលវ៉ាយដ៍ ឡូជីស្ទីក</t>
        </is>
      </c>
      <c r="W1560" t="n">
        <v>0</v>
      </c>
      <c r="X1560" t="n">
        <v>0</v>
      </c>
    </row>
    <row r="1561">
      <c r="A1561" t="n">
        <v>1560</v>
      </c>
      <c r="B1561" t="inlineStr">
        <is>
          <t>Customs Clearance Fee and Trucking Fee</t>
        </is>
      </c>
      <c r="C1561" t="inlineStr">
        <is>
          <t>ត្រាយអ៊ែងហ្គល ឡូជីស្ទីក (ខេមបូឌា) ឯ.ក</t>
        </is>
      </c>
      <c r="D1561" t="inlineStr">
        <is>
          <t>K010-902101743</t>
        </is>
      </c>
      <c r="E1561" t="inlineStr">
        <is>
          <t>TAG-24-00800</t>
        </is>
      </c>
      <c r="F1561" t="inlineStr">
        <is>
          <t>28-10-2024</t>
        </is>
      </c>
      <c r="G1561" t="n">
        <v>39847</v>
      </c>
      <c r="I1561">
        <f>G1561</f>
        <v/>
      </c>
      <c r="K1561">
        <f>I1561-G1561</f>
        <v/>
      </c>
      <c r="M1561" t="inlineStr">
        <is>
          <t>TAG2400800</t>
        </is>
      </c>
      <c r="N1561" t="inlineStr"/>
      <c r="O1561">
        <f>M1561=N1561</f>
        <v/>
      </c>
      <c r="P1561">
        <f>AND(MONTH(F1561)=MONTH(S1561), YEAR(F1561)=YEAR(S1561))</f>
        <v/>
      </c>
      <c r="Q1561">
        <f>"L001-902303751"=U1561</f>
        <v/>
      </c>
      <c r="R1561">
        <f>G1561-W1561</f>
        <v/>
      </c>
      <c r="S1561" s="36" t="n">
        <v>45229</v>
      </c>
      <c r="T1561" t="inlineStr"/>
      <c r="U1561" t="inlineStr">
        <is>
          <t>L001-100074669</t>
        </is>
      </c>
      <c r="V1561" t="inlineStr">
        <is>
          <t>ខេអិលអិន ហ្វ្រេត (ខេមបូឌា) ឯ.ក</t>
        </is>
      </c>
      <c r="W1561" t="n">
        <v>0</v>
      </c>
      <c r="X1561" t="n">
        <v>0</v>
      </c>
    </row>
    <row r="1562">
      <c r="A1562" t="n">
        <v>1561</v>
      </c>
      <c r="B1562" t="inlineStr">
        <is>
          <t>Cargo Terminal</t>
        </is>
      </c>
      <c r="C1562" t="inlineStr">
        <is>
          <t>សូស៊ីយេតេ កុងសេស្យូនែរ ដឺ ឡាអេរ៉ូព័រ</t>
        </is>
      </c>
      <c r="D1562" t="inlineStr">
        <is>
          <t>L001-100047300</t>
        </is>
      </c>
      <c r="E1562" t="inlineStr">
        <is>
          <t>2400087251</t>
        </is>
      </c>
      <c r="F1562" t="inlineStr">
        <is>
          <t>29-10-2024</t>
        </is>
      </c>
      <c r="G1562" t="n">
        <v>15790</v>
      </c>
      <c r="I1562">
        <f>G1562</f>
        <v/>
      </c>
      <c r="K1562">
        <f>I1562-G1562</f>
        <v/>
      </c>
      <c r="M1562" t="inlineStr">
        <is>
          <t>2400087251</t>
        </is>
      </c>
      <c r="N1562" t="inlineStr">
        <is>
          <t>8278000</t>
        </is>
      </c>
      <c r="O1562">
        <f>M1562=N1562</f>
        <v/>
      </c>
      <c r="P1562">
        <f>AND(MONTH(F1562)=MONTH(S1562), YEAR(F1562)=YEAR(S1562))</f>
        <v/>
      </c>
      <c r="Q1562">
        <f>"L001-902303751"=U1562</f>
        <v/>
      </c>
      <c r="R1562">
        <f>G1562-W1562</f>
        <v/>
      </c>
      <c r="S1562" s="36" t="n">
        <v>45224</v>
      </c>
      <c r="T1562" t="n">
        <v>82780</v>
      </c>
      <c r="U1562" t="inlineStr">
        <is>
          <t>K002-901800477</t>
        </is>
      </c>
      <c r="V1562" t="inlineStr">
        <is>
          <t>អាយធីអាយ អ៊ិនធើណេសិនណល ត្រេនស័្ពរថេសិន (ខេមបូឌា) ឯ.ក</t>
        </is>
      </c>
      <c r="W1562" t="n">
        <v>82780</v>
      </c>
      <c r="X1562" t="n">
        <v>0</v>
      </c>
    </row>
    <row r="1563">
      <c r="A1563" t="n">
        <v>1562</v>
      </c>
      <c r="B1563" t="inlineStr">
        <is>
          <t>Customs Clearance Fee and Trucking Fee</t>
        </is>
      </c>
      <c r="C1563" t="inlineStr">
        <is>
          <t>ត្រាយអ៊ែងហ្គល ឡូជីស្ទីក (ខេមបូឌា) ឯ.ក</t>
        </is>
      </c>
      <c r="D1563" t="inlineStr">
        <is>
          <t>K010-902101743</t>
        </is>
      </c>
      <c r="E1563" t="inlineStr">
        <is>
          <t>TAG-24-00804</t>
        </is>
      </c>
      <c r="F1563" t="inlineStr">
        <is>
          <t>28-10-2024</t>
        </is>
      </c>
      <c r="G1563" t="n">
        <v>32488</v>
      </c>
      <c r="I1563">
        <f>G1563</f>
        <v/>
      </c>
      <c r="K1563">
        <f>I1563-G1563</f>
        <v/>
      </c>
      <c r="M1563" t="inlineStr">
        <is>
          <t>TAG2400804</t>
        </is>
      </c>
      <c r="N1563" t="inlineStr"/>
      <c r="O1563">
        <f>M1563=N1563</f>
        <v/>
      </c>
      <c r="P1563">
        <f>AND(MONTH(F1563)=MONTH(S1563), YEAR(F1563)=YEAR(S1563))</f>
        <v/>
      </c>
      <c r="Q1563">
        <f>"L001-902303751"=U1563</f>
        <v/>
      </c>
      <c r="R1563">
        <f>G1563-W1563</f>
        <v/>
      </c>
      <c r="S1563" s="36" t="n">
        <v>45224</v>
      </c>
      <c r="T1563" t="inlineStr"/>
      <c r="U1563" t="inlineStr">
        <is>
          <t>L001-103007369</t>
        </is>
      </c>
      <c r="V1563" t="inlineStr">
        <is>
          <t>អូរៀនថល ឡូជីស្ទីក &amp; ឌីស្ទ្រីប៊្យូសិន (ខេមបូឌា)</t>
        </is>
      </c>
      <c r="W1563" t="n">
        <v>0</v>
      </c>
      <c r="X1563" t="n">
        <v>0</v>
      </c>
    </row>
    <row r="1564">
      <c r="A1564" t="n">
        <v>1563</v>
      </c>
      <c r="B1564" t="inlineStr">
        <is>
          <t>THC, CFS, Scan Fee, CIC-Imbalance, Agency Fee, D.O Fee, LSS, Handling Fee, Importer Security Security Filing, Fuel Surcharge and Inbound Manifest Filing</t>
        </is>
      </c>
      <c r="C1564" t="inlineStr">
        <is>
          <t>ហ្វ្រេតាស (ខេមបូឌា) ឯ.ក</t>
        </is>
      </c>
      <c r="D1564" t="inlineStr">
        <is>
          <t>K007-901638107</t>
        </is>
      </c>
      <c r="E1564" t="inlineStr">
        <is>
          <t>Y24-133</t>
        </is>
      </c>
      <c r="F1564" t="inlineStr">
        <is>
          <t>28-10-2024</t>
        </is>
      </c>
      <c r="G1564" t="n">
        <v>315134</v>
      </c>
      <c r="I1564">
        <f>G1564</f>
        <v/>
      </c>
      <c r="K1564">
        <f>I1564-G1564</f>
        <v/>
      </c>
      <c r="M1564" t="inlineStr">
        <is>
          <t>Y24133</t>
        </is>
      </c>
      <c r="N1564" t="inlineStr"/>
      <c r="O1564">
        <f>M1564=N1564</f>
        <v/>
      </c>
      <c r="P1564">
        <f>AND(MONTH(F1564)=MONTH(S1564), YEAR(F1564)=YEAR(S1564))</f>
        <v/>
      </c>
      <c r="Q1564">
        <f>"L001-902303751"=U1564</f>
        <v/>
      </c>
      <c r="R1564">
        <f>G1564-W1564</f>
        <v/>
      </c>
      <c r="S1564" s="36" t="n">
        <v>45202</v>
      </c>
      <c r="T1564" t="inlineStr"/>
      <c r="U1564" t="inlineStr">
        <is>
          <t>L001-107041723</t>
        </is>
      </c>
      <c r="V1564" t="inlineStr">
        <is>
          <t>ឌីប៊ី សេនឃើរ (ខេមបូឌា) លីមីធីត</t>
        </is>
      </c>
      <c r="W1564" t="n">
        <v>0</v>
      </c>
      <c r="X1564" t="n">
        <v>0</v>
      </c>
    </row>
    <row r="1565">
      <c r="A1565" t="n">
        <v>1564</v>
      </c>
      <c r="B1565" t="inlineStr">
        <is>
          <t>CARGO HANDLING FEE and Bill Fee or Document Fee</t>
        </is>
      </c>
      <c r="C1565" t="inlineStr">
        <is>
          <t>អេវើរស្តារ ស៊ីលែនឌែរ</t>
        </is>
      </c>
      <c r="D1565" t="inlineStr">
        <is>
          <t>K002-100160492</t>
        </is>
      </c>
      <c r="E1565" t="inlineStr">
        <is>
          <t>TI-2024-050</t>
        </is>
      </c>
      <c r="F1565" t="inlineStr">
        <is>
          <t>28-10-2024</t>
        </is>
      </c>
      <c r="G1565" t="n">
        <v>44671</v>
      </c>
      <c r="I1565">
        <f>G1565</f>
        <v/>
      </c>
      <c r="K1565">
        <f>I1565-G1565</f>
        <v/>
      </c>
      <c r="M1565" t="inlineStr">
        <is>
          <t>TI2024050</t>
        </is>
      </c>
      <c r="N1565" t="inlineStr"/>
      <c r="O1565">
        <f>M1565=N1565</f>
        <v/>
      </c>
      <c r="P1565">
        <f>AND(MONTH(F1565)=MONTH(S1565), YEAR(F1565)=YEAR(S1565))</f>
        <v/>
      </c>
      <c r="Q1565">
        <f>"L001-902303751"=U1565</f>
        <v/>
      </c>
      <c r="R1565">
        <f>G1565-W1565</f>
        <v/>
      </c>
      <c r="S1565" s="36" t="n">
        <v>45202</v>
      </c>
      <c r="T1565" t="inlineStr"/>
      <c r="U1565" t="inlineStr">
        <is>
          <t>K003-901635943</t>
        </is>
      </c>
      <c r="V1565" t="inlineStr">
        <is>
          <t>អ៊ីឃ្យូឡាញ វើលវ៉ាយដ៍ ឡូជីស្ទីក</t>
        </is>
      </c>
      <c r="W1565" t="n">
        <v>0</v>
      </c>
      <c r="X1565" t="n">
        <v>0</v>
      </c>
    </row>
    <row r="1566">
      <c r="A1566" t="n">
        <v>1565</v>
      </c>
      <c r="B1566" t="inlineStr">
        <is>
          <t>Customs Clearance Fee</t>
        </is>
      </c>
      <c r="C1566" t="inlineStr">
        <is>
          <t>ត្រាយអ៊ែងហ្គល ឡូជីស្ទីក (ខេមបូឌា) ឯ.ក</t>
        </is>
      </c>
      <c r="D1566" t="inlineStr">
        <is>
          <t>K010-902101743</t>
        </is>
      </c>
      <c r="E1566" t="inlineStr">
        <is>
          <t>TAG-24-00814</t>
        </is>
      </c>
      <c r="F1566" t="inlineStr">
        <is>
          <t>28-10-2024</t>
        </is>
      </c>
      <c r="G1566" t="n">
        <v>8122</v>
      </c>
      <c r="I1566">
        <f>G1566</f>
        <v/>
      </c>
      <c r="K1566">
        <f>I1566-G1566</f>
        <v/>
      </c>
      <c r="M1566" t="inlineStr">
        <is>
          <t>TAG2400814</t>
        </is>
      </c>
      <c r="N1566" t="inlineStr"/>
      <c r="O1566">
        <f>M1566=N1566</f>
        <v/>
      </c>
      <c r="P1566">
        <f>AND(MONTH(F1566)=MONTH(S1566), YEAR(F1566)=YEAR(S1566))</f>
        <v/>
      </c>
      <c r="Q1566">
        <f>"L001-902303751"=U1566</f>
        <v/>
      </c>
      <c r="R1566">
        <f>G1566-W1566</f>
        <v/>
      </c>
      <c r="S1566" s="36" t="n">
        <v>45200</v>
      </c>
      <c r="T1566" t="inlineStr"/>
      <c r="U1566" t="inlineStr">
        <is>
          <t>K002-901800477</t>
        </is>
      </c>
      <c r="V1566" t="inlineStr">
        <is>
          <t>អាយធីអាយ អ៊ិនធើណេសិនណល ត្រេនស័្ពរថេសិន (ខេមបូឌា) ឯ.ក</t>
        </is>
      </c>
      <c r="W1566" t="n">
        <v>0</v>
      </c>
      <c r="X1566" t="n">
        <v>0</v>
      </c>
    </row>
    <row r="1567">
      <c r="A1567" t="n">
        <v>1566</v>
      </c>
      <c r="B1567" t="inlineStr">
        <is>
          <t>Customs Clearance Fee</t>
        </is>
      </c>
      <c r="C1567" t="inlineStr">
        <is>
          <t>ត្រាយអ៊ែងហ្គល ឡូជីស្ទីក (ខេមបូឌា) ឯ.ក</t>
        </is>
      </c>
      <c r="D1567" t="inlineStr">
        <is>
          <t>K010-902101743</t>
        </is>
      </c>
      <c r="E1567" t="inlineStr">
        <is>
          <t>TAG-24-00813</t>
        </is>
      </c>
      <c r="F1567" t="inlineStr">
        <is>
          <t>28-10-2024</t>
        </is>
      </c>
      <c r="G1567" t="n">
        <v>8122</v>
      </c>
      <c r="I1567">
        <f>G1567</f>
        <v/>
      </c>
      <c r="K1567">
        <f>I1567-G1567</f>
        <v/>
      </c>
      <c r="M1567" t="inlineStr">
        <is>
          <t>TAG2400813</t>
        </is>
      </c>
      <c r="N1567" t="inlineStr"/>
      <c r="O1567">
        <f>M1567=N1567</f>
        <v/>
      </c>
      <c r="P1567">
        <f>AND(MONTH(F1567)=MONTH(S1567), YEAR(F1567)=YEAR(S1567))</f>
        <v/>
      </c>
      <c r="Q1567">
        <f>"L001-902303751"=U1567</f>
        <v/>
      </c>
      <c r="R1567">
        <f>G1567-W1567</f>
        <v/>
      </c>
      <c r="S1567" s="36" t="n">
        <v>45200</v>
      </c>
      <c r="T1567" t="inlineStr"/>
      <c r="U1567" t="inlineStr">
        <is>
          <t>K002-901800477</t>
        </is>
      </c>
      <c r="V1567" t="inlineStr">
        <is>
          <t>អាយធីអាយ អ៊ិនធើណេសិនណល ត្រេនស័្ពរថេសិន (ខេមបូឌា) ឯ.ក</t>
        </is>
      </c>
      <c r="W1567" t="n">
        <v>0</v>
      </c>
      <c r="X1567" t="n">
        <v>0</v>
      </c>
    </row>
    <row r="1568">
      <c r="A1568" t="n">
        <v>1567</v>
      </c>
      <c r="B1568" t="inlineStr">
        <is>
          <t>Customs Clearance Fee</t>
        </is>
      </c>
      <c r="C1568" t="inlineStr">
        <is>
          <t>ត្រាយអ៊ែងហ្គល ឡូជីស្ទីក (ខេមបូឌា) ឯ.ក</t>
        </is>
      </c>
      <c r="D1568" t="inlineStr">
        <is>
          <t>K010-902101743</t>
        </is>
      </c>
      <c r="E1568" t="inlineStr">
        <is>
          <t>TAG-24-00812</t>
        </is>
      </c>
      <c r="F1568" t="inlineStr">
        <is>
          <t>28-10-2024</t>
        </is>
      </c>
      <c r="G1568" t="n">
        <v>8122</v>
      </c>
      <c r="I1568">
        <f>G1568</f>
        <v/>
      </c>
      <c r="K1568">
        <f>I1568-G1568</f>
        <v/>
      </c>
      <c r="M1568" t="inlineStr">
        <is>
          <t>TAG2400812</t>
        </is>
      </c>
      <c r="N1568" t="inlineStr"/>
      <c r="O1568">
        <f>M1568=N1568</f>
        <v/>
      </c>
      <c r="P1568">
        <f>AND(MONTH(F1568)=MONTH(S1568), YEAR(F1568)=YEAR(S1568))</f>
        <v/>
      </c>
      <c r="Q1568">
        <f>"L001-902303751"=U1568</f>
        <v/>
      </c>
      <c r="R1568">
        <f>G1568-W1568</f>
        <v/>
      </c>
      <c r="S1568" s="36" t="n">
        <v>45200</v>
      </c>
      <c r="T1568" t="inlineStr"/>
      <c r="U1568" t="inlineStr">
        <is>
          <t>K002-901800477</t>
        </is>
      </c>
      <c r="V1568" t="inlineStr">
        <is>
          <t>អាយធីអាយ អ៊ិនធើណេសិនណល ត្រេនស័្ពរថេសិន (ខេមបូឌា) ឯ.ក</t>
        </is>
      </c>
      <c r="W1568" t="n">
        <v>0</v>
      </c>
      <c r="X1568" t="n">
        <v>0</v>
      </c>
    </row>
    <row r="1569">
      <c r="A1569" t="n">
        <v>1568</v>
      </c>
      <c r="B1569" t="inlineStr">
        <is>
          <t>Customs Clearance Fee</t>
        </is>
      </c>
      <c r="C1569" t="inlineStr">
        <is>
          <t>ត្រាយអ៊ែងហ្គល ឡូជីស្ទីក (ខេមបូឌា) ឯ.ក</t>
        </is>
      </c>
      <c r="D1569" t="inlineStr">
        <is>
          <t>K010-902101743</t>
        </is>
      </c>
      <c r="E1569" t="inlineStr">
        <is>
          <t>TAG-24-00811</t>
        </is>
      </c>
      <c r="F1569" t="inlineStr">
        <is>
          <t>28-10-2024</t>
        </is>
      </c>
      <c r="G1569" t="n">
        <v>8122</v>
      </c>
      <c r="I1569">
        <f>G1569</f>
        <v/>
      </c>
      <c r="K1569">
        <f>I1569-G1569</f>
        <v/>
      </c>
      <c r="M1569" t="inlineStr">
        <is>
          <t>TAG2400811</t>
        </is>
      </c>
      <c r="N1569" t="inlineStr">
        <is>
          <t>20281100</t>
        </is>
      </c>
      <c r="O1569">
        <f>M1569=N1569</f>
        <v/>
      </c>
      <c r="P1569">
        <f>AND(MONTH(F1569)=MONTH(S1569), YEAR(F1569)=YEAR(S1569))</f>
        <v/>
      </c>
      <c r="Q1569">
        <f>"L001-902303751"=U1569</f>
        <v/>
      </c>
      <c r="R1569">
        <f>G1569-W1569</f>
        <v/>
      </c>
      <c r="S1569" s="36" t="n">
        <v>45224</v>
      </c>
      <c r="T1569" t="n">
        <v>202811</v>
      </c>
      <c r="U1569" t="inlineStr">
        <is>
          <t>K002-901800477</t>
        </is>
      </c>
      <c r="V1569" t="inlineStr">
        <is>
          <t>អាយធីអាយ អ៊ិនធើណេសិនណល ត្រេនស័្ពរថេសិន (ខេមបូឌា) ឯ.ក</t>
        </is>
      </c>
      <c r="W1569" t="n">
        <v>202811</v>
      </c>
      <c r="X1569" t="n">
        <v>0</v>
      </c>
    </row>
    <row r="1570">
      <c r="A1570" t="n">
        <v>1569</v>
      </c>
      <c r="B1570" t="inlineStr">
        <is>
          <t>Customs Clearance Fee and Trucking Fee</t>
        </is>
      </c>
      <c r="C1570" t="inlineStr">
        <is>
          <t>ត្រាយអ៊ែងហ្គល ឡូជីស្ទីក (ខេមបូឌា) ឯ.ក</t>
        </is>
      </c>
      <c r="D1570" t="inlineStr">
        <is>
          <t>K010-902101743</t>
        </is>
      </c>
      <c r="E1570" t="inlineStr">
        <is>
          <t>TAG-24-00810</t>
        </is>
      </c>
      <c r="F1570" t="inlineStr">
        <is>
          <t>28-10-2024</t>
        </is>
      </c>
      <c r="G1570" t="n">
        <v>28427</v>
      </c>
      <c r="I1570">
        <f>G1570</f>
        <v/>
      </c>
      <c r="K1570">
        <f>I1570-G1570</f>
        <v/>
      </c>
      <c r="M1570" t="inlineStr">
        <is>
          <t>TAG2400810</t>
        </is>
      </c>
      <c r="N1570" t="inlineStr"/>
      <c r="O1570">
        <f>M1570=N1570</f>
        <v/>
      </c>
      <c r="P1570">
        <f>AND(MONTH(F1570)=MONTH(S1570), YEAR(F1570)=YEAR(S1570))</f>
        <v/>
      </c>
      <c r="Q1570">
        <f>"L001-902303751"=U1570</f>
        <v/>
      </c>
      <c r="R1570">
        <f>G1570-W1570</f>
        <v/>
      </c>
      <c r="S1570" s="36" t="n">
        <v>45224</v>
      </c>
      <c r="T1570" t="inlineStr"/>
      <c r="U1570" t="inlineStr">
        <is>
          <t>L001-901500191</t>
        </is>
      </c>
      <c r="V1570" t="inlineStr">
        <is>
          <t>អ.អិន.វ៉ាយ ត្រេនស្ព័ត</t>
        </is>
      </c>
      <c r="W1570" t="n">
        <v>0</v>
      </c>
      <c r="X1570" t="n">
        <v>0</v>
      </c>
    </row>
    <row r="1571">
      <c r="A1571" t="n">
        <v>1570</v>
      </c>
      <c r="B1571" t="inlineStr">
        <is>
          <t>Customs Clearance Fee and Trucking Fee</t>
        </is>
      </c>
      <c r="C1571" t="inlineStr">
        <is>
          <t>ត្រាយអ៊ែងហ្គល ឡូជីស្ទីក (ខេមបូឌា) ឯ.ក</t>
        </is>
      </c>
      <c r="D1571" t="inlineStr">
        <is>
          <t>K010-902101743</t>
        </is>
      </c>
      <c r="E1571" t="inlineStr">
        <is>
          <t>TAG-24-00809</t>
        </is>
      </c>
      <c r="F1571" t="inlineStr">
        <is>
          <t>28-10-2024</t>
        </is>
      </c>
      <c r="G1571" t="n">
        <v>28427</v>
      </c>
      <c r="I1571">
        <f>G1571</f>
        <v/>
      </c>
      <c r="K1571">
        <f>I1571-G1571</f>
        <v/>
      </c>
      <c r="M1571" t="inlineStr">
        <is>
          <t>TAG2400809</t>
        </is>
      </c>
      <c r="N1571" t="inlineStr"/>
      <c r="O1571">
        <f>M1571=N1571</f>
        <v/>
      </c>
      <c r="P1571">
        <f>AND(MONTH(F1571)=MONTH(S1571), YEAR(F1571)=YEAR(S1571))</f>
        <v/>
      </c>
      <c r="Q1571">
        <f>"L001-902303751"=U1571</f>
        <v/>
      </c>
      <c r="R1571">
        <f>G1571-W1571</f>
        <v/>
      </c>
      <c r="S1571" s="36" t="n">
        <v>45224</v>
      </c>
      <c r="T1571" t="inlineStr"/>
      <c r="U1571" t="inlineStr">
        <is>
          <t>K002-901800477</t>
        </is>
      </c>
      <c r="V1571" t="inlineStr">
        <is>
          <t>អាយធីអាយ អ៊ិនធើណេសិនណល ត្រេនស័្ពរថេសិន (ខេមបូឌា) ឯ.ក</t>
        </is>
      </c>
      <c r="W1571" t="n">
        <v>0</v>
      </c>
      <c r="X1571" t="n">
        <v>0</v>
      </c>
    </row>
    <row r="1572">
      <c r="A1572" t="n">
        <v>1571</v>
      </c>
      <c r="B1572" t="inlineStr">
        <is>
          <t>Customs Clearance Fee and Trucking Fee</t>
        </is>
      </c>
      <c r="C1572" t="inlineStr">
        <is>
          <t>ត្រាយអ៊ែងហ្គល ឡូជីស្ទីក (ខេមបូឌា) ឯ.ក</t>
        </is>
      </c>
      <c r="D1572" t="inlineStr">
        <is>
          <t>K010-902101743</t>
        </is>
      </c>
      <c r="E1572" t="inlineStr">
        <is>
          <t>TAG-24-00805</t>
        </is>
      </c>
      <c r="F1572" t="inlineStr">
        <is>
          <t>28-10-2024</t>
        </is>
      </c>
      <c r="G1572" t="n">
        <v>32488</v>
      </c>
      <c r="I1572">
        <f>G1572</f>
        <v/>
      </c>
      <c r="K1572">
        <f>I1572-G1572</f>
        <v/>
      </c>
      <c r="M1572" t="inlineStr">
        <is>
          <t>TAG2400805</t>
        </is>
      </c>
      <c r="N1572" t="inlineStr">
        <is>
          <t>8264000</t>
        </is>
      </c>
      <c r="O1572">
        <f>M1572=N1572</f>
        <v/>
      </c>
      <c r="P1572">
        <f>AND(MONTH(F1572)=MONTH(S1572), YEAR(F1572)=YEAR(S1572))</f>
        <v/>
      </c>
      <c r="Q1572">
        <f>"L001-902303751"=U1572</f>
        <v/>
      </c>
      <c r="R1572">
        <f>G1572-W1572</f>
        <v/>
      </c>
      <c r="S1572" s="36" t="n">
        <v>45219</v>
      </c>
      <c r="T1572" t="n">
        <v>82640</v>
      </c>
      <c r="U1572" t="inlineStr">
        <is>
          <t>K009-107034735</t>
        </is>
      </c>
      <c r="V1572" t="inlineStr">
        <is>
          <t>ស៊ីប៊ីជី ឡូជីស្ទីក (ខេមបូឌា)</t>
        </is>
      </c>
      <c r="W1572" t="n">
        <v>82640</v>
      </c>
      <c r="X1572" t="n">
        <v>0</v>
      </c>
    </row>
    <row r="1573">
      <c r="A1573" t="n">
        <v>1572</v>
      </c>
      <c r="B1573" t="inlineStr">
        <is>
          <t>Monthly Security for October 2024</t>
        </is>
      </c>
      <c r="C1573" t="inlineStr">
        <is>
          <t>អិល.ប៊ី.អិល.អេច ស៊ីឃ្យូរឹធី ឯ.ក</t>
        </is>
      </c>
      <c r="D1573" t="inlineStr">
        <is>
          <t>K010-902202247</t>
        </is>
      </c>
      <c r="E1573" t="inlineStr">
        <is>
          <t>L.B.L.H00024</t>
        </is>
      </c>
      <c r="F1573" t="inlineStr">
        <is>
          <t>25-10-2024</t>
        </is>
      </c>
      <c r="G1573" t="n">
        <v>812200</v>
      </c>
      <c r="I1573">
        <f>G1573</f>
        <v/>
      </c>
      <c r="K1573">
        <f>I1573-G1573</f>
        <v/>
      </c>
      <c r="M1573" t="inlineStr">
        <is>
          <t>LBLH00024</t>
        </is>
      </c>
      <c r="N1573" t="inlineStr"/>
      <c r="O1573">
        <f>M1573=N1573</f>
        <v/>
      </c>
      <c r="P1573">
        <f>AND(MONTH(F1573)=MONTH(S1573), YEAR(F1573)=YEAR(S1573))</f>
        <v/>
      </c>
      <c r="Q1573">
        <f>"L001-902303751"=U1573</f>
        <v/>
      </c>
      <c r="R1573">
        <f>G1573-W1573</f>
        <v/>
      </c>
      <c r="S1573" s="36" t="n">
        <v>45222</v>
      </c>
      <c r="T1573" t="inlineStr"/>
      <c r="U1573" t="inlineStr">
        <is>
          <t>L001-100045995</t>
        </is>
      </c>
      <c r="V1573" t="inlineStr">
        <is>
          <t>ឌីអេចអិល ឡូជីស្ទីក (ខេមបូឌា)</t>
        </is>
      </c>
      <c r="W1573" t="n">
        <v>0</v>
      </c>
      <c r="X1573" t="n">
        <v>0</v>
      </c>
    </row>
    <row r="1574">
      <c r="A1574" t="n">
        <v>1573</v>
      </c>
      <c r="B1574" t="inlineStr">
        <is>
          <t>Customs Clearance Fee and Trucking Fee</t>
        </is>
      </c>
      <c r="C1574" t="inlineStr">
        <is>
          <t>ត្រាយអ៊ែងហ្គល ឡូជីស្ទីក (ខេមបូឌា) ឯ.ក</t>
        </is>
      </c>
      <c r="D1574" t="inlineStr">
        <is>
          <t>K010-902101743</t>
        </is>
      </c>
      <c r="E1574" t="inlineStr">
        <is>
          <t>TAG-24-00783</t>
        </is>
      </c>
      <c r="F1574" t="inlineStr">
        <is>
          <t>25-10-2024</t>
        </is>
      </c>
      <c r="G1574" t="n">
        <v>32488</v>
      </c>
      <c r="I1574">
        <f>G1574</f>
        <v/>
      </c>
      <c r="K1574">
        <f>I1574-G1574</f>
        <v/>
      </c>
      <c r="M1574" t="inlineStr">
        <is>
          <t>TAG2400783</t>
        </is>
      </c>
      <c r="N1574" t="inlineStr">
        <is>
          <t>20271300</t>
        </is>
      </c>
      <c r="O1574">
        <f>M1574=N1574</f>
        <v/>
      </c>
      <c r="P1574">
        <f>AND(MONTH(F1574)=MONTH(S1574), YEAR(F1574)=YEAR(S1574))</f>
        <v/>
      </c>
      <c r="Q1574">
        <f>"L001-902303751"=U1574</f>
        <v/>
      </c>
      <c r="R1574">
        <f>G1574-W1574</f>
        <v/>
      </c>
      <c r="S1574" s="36" t="n">
        <v>45227</v>
      </c>
      <c r="T1574" t="n">
        <v>202713</v>
      </c>
      <c r="U1574" t="inlineStr">
        <is>
          <t>L001-902000739</t>
        </is>
      </c>
      <c r="V1574" t="inlineStr">
        <is>
          <t>អាន រ៉ុង ហ្ស៊ី យី ឯ.ក</t>
        </is>
      </c>
      <c r="W1574" t="n">
        <v>202713</v>
      </c>
      <c r="X1574" t="n">
        <v>0</v>
      </c>
    </row>
    <row r="1575">
      <c r="A1575" t="n">
        <v>1574</v>
      </c>
      <c r="B1575" t="inlineStr">
        <is>
          <t>Customs Clearance Fee and Trucking Fee</t>
        </is>
      </c>
      <c r="C1575" t="inlineStr">
        <is>
          <t>ត្រាយអ៊ែងហ្គល ឡូជីស្ទីក (ខេមបូឌា) ឯ.ក</t>
        </is>
      </c>
      <c r="D1575" t="inlineStr">
        <is>
          <t>K010-902101743</t>
        </is>
      </c>
      <c r="E1575" t="inlineStr">
        <is>
          <t>TAG-24-00782</t>
        </is>
      </c>
      <c r="F1575" t="inlineStr">
        <is>
          <t>25-10-2024</t>
        </is>
      </c>
      <c r="G1575" t="n">
        <v>32488</v>
      </c>
      <c r="I1575">
        <f>G1575</f>
        <v/>
      </c>
      <c r="K1575">
        <f>I1575-G1575</f>
        <v/>
      </c>
      <c r="M1575" t="inlineStr">
        <is>
          <t>TAG2400782</t>
        </is>
      </c>
      <c r="N1575" t="inlineStr"/>
      <c r="O1575">
        <f>M1575=N1575</f>
        <v/>
      </c>
      <c r="P1575">
        <f>AND(MONTH(F1575)=MONTH(S1575), YEAR(F1575)=YEAR(S1575))</f>
        <v/>
      </c>
      <c r="Q1575">
        <f>"L001-902303751"=U1575</f>
        <v/>
      </c>
      <c r="R1575">
        <f>G1575-W1575</f>
        <v/>
      </c>
      <c r="S1575" s="36" t="n">
        <v>45226</v>
      </c>
      <c r="T1575" t="inlineStr"/>
      <c r="U1575" t="inlineStr">
        <is>
          <t>L001-100045995</t>
        </is>
      </c>
      <c r="V1575" t="inlineStr">
        <is>
          <t>ឌីអេចអិល ឡូជីស្ទីក (ខេមបូឌា)</t>
        </is>
      </c>
      <c r="W1575" t="n">
        <v>0</v>
      </c>
      <c r="X1575" t="n">
        <v>0</v>
      </c>
    </row>
    <row r="1576">
      <c r="A1576" t="n">
        <v>1575</v>
      </c>
      <c r="B1576" t="inlineStr">
        <is>
          <t>Customs Clearance Fee and Trucking Fee</t>
        </is>
      </c>
      <c r="C1576" t="inlineStr">
        <is>
          <t>ត្រាយអ៊ែងហ្គល ឡូជីស្ទីក (ខេមបូឌា) ឯ.ក</t>
        </is>
      </c>
      <c r="D1576" t="inlineStr">
        <is>
          <t>K010-902101743</t>
        </is>
      </c>
      <c r="E1576" t="inlineStr">
        <is>
          <t>TAG-24-00781</t>
        </is>
      </c>
      <c r="F1576" t="inlineStr">
        <is>
          <t>25-10-2024</t>
        </is>
      </c>
      <c r="G1576" t="n">
        <v>32488</v>
      </c>
      <c r="I1576">
        <f>G1576</f>
        <v/>
      </c>
      <c r="K1576">
        <f>I1576-G1576</f>
        <v/>
      </c>
      <c r="M1576" t="inlineStr">
        <is>
          <t>TAG2400781</t>
        </is>
      </c>
      <c r="N1576" t="inlineStr">
        <is>
          <t>147762300</t>
        </is>
      </c>
      <c r="O1576">
        <f>M1576=N1576</f>
        <v/>
      </c>
      <c r="P1576">
        <f>AND(MONTH(F1576)=MONTH(S1576), YEAR(F1576)=YEAR(S1576))</f>
        <v/>
      </c>
      <c r="Q1576">
        <f>"L001-902303751"=U1576</f>
        <v/>
      </c>
      <c r="R1576">
        <f>G1576-W1576</f>
        <v/>
      </c>
      <c r="S1576" s="36" t="n">
        <v>45224</v>
      </c>
      <c r="T1576" t="n">
        <v>1477623</v>
      </c>
      <c r="U1576" t="inlineStr">
        <is>
          <t>K002-901800477</t>
        </is>
      </c>
      <c r="V1576" t="inlineStr">
        <is>
          <t>អាយធីអាយ អ៊ិនធើណេសិនណល ត្រេនស័្ពរថេសិន (ខេមបូឌា) ឯ.ក</t>
        </is>
      </c>
      <c r="W1576" t="n">
        <v>1477623</v>
      </c>
      <c r="X1576" t="n">
        <v>0</v>
      </c>
    </row>
    <row r="1577">
      <c r="A1577" t="n">
        <v>1576</v>
      </c>
      <c r="B1577" t="inlineStr">
        <is>
          <t>Customs Clearance Fee and Trucking Fee</t>
        </is>
      </c>
      <c r="C1577" t="inlineStr">
        <is>
          <t>ត្រាយអ៊ែងហ្គល ឡូជីស្ទីក (ខេមបូឌា) ឯ.ក</t>
        </is>
      </c>
      <c r="D1577" t="inlineStr">
        <is>
          <t>K010-902101743</t>
        </is>
      </c>
      <c r="E1577" t="inlineStr">
        <is>
          <t>TAG-24-00779</t>
        </is>
      </c>
      <c r="F1577" t="inlineStr">
        <is>
          <t>25-10-2024</t>
        </is>
      </c>
      <c r="G1577" t="n">
        <v>50153</v>
      </c>
      <c r="I1577">
        <f>G1577</f>
        <v/>
      </c>
      <c r="K1577">
        <f>I1577-G1577</f>
        <v/>
      </c>
      <c r="M1577" t="inlineStr">
        <is>
          <t>TAG2400779</t>
        </is>
      </c>
      <c r="N1577" t="inlineStr"/>
      <c r="O1577">
        <f>M1577=N1577</f>
        <v/>
      </c>
      <c r="P1577">
        <f>AND(MONTH(F1577)=MONTH(S1577), YEAR(F1577)=YEAR(S1577))</f>
        <v/>
      </c>
      <c r="Q1577">
        <f>"L001-902303751"=U1577</f>
        <v/>
      </c>
      <c r="R1577">
        <f>G1577-W1577</f>
        <v/>
      </c>
      <c r="S1577" s="36" t="n">
        <v>45202</v>
      </c>
      <c r="T1577" t="inlineStr"/>
      <c r="U1577" t="inlineStr">
        <is>
          <t>L001-107032791</t>
        </is>
      </c>
      <c r="V1577" t="inlineStr">
        <is>
          <t>នីបផន អិចប្រេស (ខេមបូឌា) ខូ អិលធីឌី</t>
        </is>
      </c>
      <c r="W1577" t="n">
        <v>0</v>
      </c>
      <c r="X1577" t="n">
        <v>0</v>
      </c>
    </row>
    <row r="1578">
      <c r="A1578" t="n">
        <v>1577</v>
      </c>
      <c r="B1578" t="inlineStr">
        <is>
          <t>Customs Clearance Fee and Trucking Fee</t>
        </is>
      </c>
      <c r="C1578" t="inlineStr">
        <is>
          <t>ត្រាយអ៊ែងហ្គល ឡូជីស្ទីក (ខេមបូឌា) ឯ.ក</t>
        </is>
      </c>
      <c r="D1578" t="inlineStr">
        <is>
          <t>K010-902101743</t>
        </is>
      </c>
      <c r="E1578" t="inlineStr">
        <is>
          <t>TAG-24-00778</t>
        </is>
      </c>
      <c r="F1578" t="inlineStr">
        <is>
          <t>25-10-2024</t>
        </is>
      </c>
      <c r="G1578" t="n">
        <v>32488</v>
      </c>
      <c r="I1578">
        <f>G1578</f>
        <v/>
      </c>
      <c r="K1578">
        <f>I1578-G1578</f>
        <v/>
      </c>
      <c r="M1578" t="inlineStr">
        <is>
          <t>TAG2400778</t>
        </is>
      </c>
      <c r="N1578" t="inlineStr"/>
      <c r="O1578">
        <f>M1578=N1578</f>
        <v/>
      </c>
      <c r="P1578">
        <f>AND(MONTH(F1578)=MONTH(S1578), YEAR(F1578)=YEAR(S1578))</f>
        <v/>
      </c>
      <c r="Q1578">
        <f>"L001-902303751"=U1578</f>
        <v/>
      </c>
      <c r="R1578">
        <f>G1578-W1578</f>
        <v/>
      </c>
      <c r="S1578" s="36" t="n">
        <v>45204</v>
      </c>
      <c r="T1578" t="inlineStr"/>
      <c r="U1578" t="inlineStr">
        <is>
          <t>L001-100011888</t>
        </is>
      </c>
      <c r="V1578" t="inlineStr">
        <is>
          <t>ត្រេន ស្តារ ហ្រេ្វត</t>
        </is>
      </c>
      <c r="W1578" t="n">
        <v>0</v>
      </c>
      <c r="X1578" t="n">
        <v>0</v>
      </c>
    </row>
    <row r="1579">
      <c r="A1579" t="n">
        <v>1578</v>
      </c>
      <c r="B1579" t="inlineStr">
        <is>
          <t>Customs Clearance Fee and Trucking Fee</t>
        </is>
      </c>
      <c r="C1579" t="inlineStr">
        <is>
          <t>ត្រាយអ៊ែងហ្គល ឡូជីស្ទីក (ខេមបូឌា) ឯ.ក</t>
        </is>
      </c>
      <c r="D1579" t="inlineStr">
        <is>
          <t>K010-902101743</t>
        </is>
      </c>
      <c r="E1579" t="inlineStr">
        <is>
          <t>TAG-24-00777</t>
        </is>
      </c>
      <c r="F1579" t="inlineStr">
        <is>
          <t>25-10-2024</t>
        </is>
      </c>
      <c r="G1579" t="n">
        <v>32488</v>
      </c>
      <c r="I1579">
        <f>G1579</f>
        <v/>
      </c>
      <c r="K1579">
        <f>I1579-G1579</f>
        <v/>
      </c>
      <c r="M1579" t="inlineStr">
        <is>
          <t>TAG2400777</t>
        </is>
      </c>
      <c r="N1579" t="inlineStr"/>
      <c r="O1579">
        <f>M1579=N1579</f>
        <v/>
      </c>
      <c r="P1579">
        <f>AND(MONTH(F1579)=MONTH(S1579), YEAR(F1579)=YEAR(S1579))</f>
        <v/>
      </c>
      <c r="Q1579">
        <f>"L001-902303751"=U1579</f>
        <v/>
      </c>
      <c r="R1579">
        <f>G1579-W1579</f>
        <v/>
      </c>
      <c r="S1579" s="36" t="n">
        <v>45224</v>
      </c>
      <c r="T1579" t="inlineStr"/>
      <c r="U1579" t="inlineStr">
        <is>
          <t>K002-901800477</t>
        </is>
      </c>
      <c r="V1579" t="inlineStr">
        <is>
          <t>អាយធីអាយ អ៊ិនធើណេសិនណល ត្រេនស័្ពរថេសិន (ខេមបូឌា) ឯ.ក</t>
        </is>
      </c>
      <c r="W1579" t="n">
        <v>0</v>
      </c>
      <c r="X1579" t="n">
        <v>0</v>
      </c>
    </row>
    <row r="1580">
      <c r="A1580" t="n">
        <v>1579</v>
      </c>
      <c r="B1580" t="inlineStr">
        <is>
          <t>THC Fee, LCL Fee, Scanning Fee, Doc Fee, DO Fee, Agency Fee, CIC and Handling Fee</t>
        </is>
      </c>
      <c r="C1580" t="inlineStr">
        <is>
          <t>គ្លូប៊ល ស៊ី &amp; លែន ឯ.ក</t>
        </is>
      </c>
      <c r="D1580" t="inlineStr">
        <is>
          <t>K007-901702732</t>
        </is>
      </c>
      <c r="E1580" t="inlineStr">
        <is>
          <t>PPTI24-10-063</t>
        </is>
      </c>
      <c r="F1580" t="inlineStr">
        <is>
          <t>25-10-2024</t>
        </is>
      </c>
      <c r="G1580" t="n">
        <v>88936</v>
      </c>
      <c r="I1580">
        <f>G1580</f>
        <v/>
      </c>
      <c r="K1580">
        <f>I1580-G1580</f>
        <v/>
      </c>
      <c r="M1580" t="inlineStr">
        <is>
          <t>PPTI2410063</t>
        </is>
      </c>
      <c r="N1580" t="inlineStr"/>
      <c r="O1580">
        <f>M1580=N1580</f>
        <v/>
      </c>
      <c r="P1580">
        <f>AND(MONTH(F1580)=MONTH(S1580), YEAR(F1580)=YEAR(S1580))</f>
        <v/>
      </c>
      <c r="Q1580">
        <f>"L001-902303751"=U1580</f>
        <v/>
      </c>
      <c r="R1580">
        <f>G1580-W1580</f>
        <v/>
      </c>
      <c r="S1580" s="36" t="n">
        <v>45222</v>
      </c>
      <c r="T1580" t="inlineStr"/>
      <c r="U1580" t="inlineStr">
        <is>
          <t>K005-901902888</t>
        </is>
      </c>
      <c r="V1580" t="inlineStr">
        <is>
          <t>អឹឡាយអិន ហ្វ័រវើឌីង (ខេមបូឌា) ឯ.ក</t>
        </is>
      </c>
      <c r="W1580" t="n">
        <v>0</v>
      </c>
      <c r="X1580" t="n">
        <v>0</v>
      </c>
    </row>
    <row r="1581">
      <c r="A1581" t="n">
        <v>1580</v>
      </c>
      <c r="B1581" t="inlineStr">
        <is>
          <t>Monthly Security for October 2024</t>
        </is>
      </c>
      <c r="C1581" t="inlineStr">
        <is>
          <t>អិល.ប៊ី.អិល.អេច ស៊ីឃ្យូរឹធី ឯ.ក</t>
        </is>
      </c>
      <c r="D1581" t="inlineStr">
        <is>
          <t>K010-902202247</t>
        </is>
      </c>
      <c r="E1581" t="inlineStr">
        <is>
          <t>L.B.L.H00010</t>
        </is>
      </c>
      <c r="F1581" t="inlineStr">
        <is>
          <t>25-10-2024</t>
        </is>
      </c>
      <c r="G1581" t="n">
        <v>1388862</v>
      </c>
      <c r="I1581">
        <f>G1581</f>
        <v/>
      </c>
      <c r="K1581">
        <f>I1581-G1581</f>
        <v/>
      </c>
      <c r="M1581" t="inlineStr">
        <is>
          <t>LBLH00010</t>
        </is>
      </c>
      <c r="N1581" t="inlineStr">
        <is>
          <t>8274000</t>
        </is>
      </c>
      <c r="O1581">
        <f>M1581=N1581</f>
        <v/>
      </c>
      <c r="P1581">
        <f>AND(MONTH(F1581)=MONTH(S1581), YEAR(F1581)=YEAR(S1581))</f>
        <v/>
      </c>
      <c r="Q1581">
        <f>"L001-902303751"=U1581</f>
        <v/>
      </c>
      <c r="R1581">
        <f>G1581-W1581</f>
        <v/>
      </c>
      <c r="S1581" s="36" t="n">
        <v>45227</v>
      </c>
      <c r="T1581" t="n">
        <v>82740</v>
      </c>
      <c r="U1581" t="inlineStr">
        <is>
          <t>K009-107034735</t>
        </is>
      </c>
      <c r="V1581" t="inlineStr">
        <is>
          <t>ស៊ីប៊ីជី ឡូជីស្ទីក (ខេមបូឌា)</t>
        </is>
      </c>
      <c r="W1581" t="n">
        <v>82740</v>
      </c>
      <c r="X1581" t="n">
        <v>0</v>
      </c>
    </row>
    <row r="1582">
      <c r="A1582" t="n">
        <v>1581</v>
      </c>
      <c r="B1582" t="inlineStr">
        <is>
          <t>Customs Clearance Fee and Trucking Fee</t>
        </is>
      </c>
      <c r="C1582" t="inlineStr">
        <is>
          <t>ត្រាយអ៊ែងហ្គល ឡូជីស្ទីក (ខេមបូឌា) ឯ.ក</t>
        </is>
      </c>
      <c r="D1582" t="inlineStr">
        <is>
          <t>K010-902101743</t>
        </is>
      </c>
      <c r="E1582" t="inlineStr">
        <is>
          <t>TAG-24-00785</t>
        </is>
      </c>
      <c r="F1582" t="inlineStr">
        <is>
          <t>25-10-2024</t>
        </is>
      </c>
      <c r="G1582" t="n">
        <v>63896</v>
      </c>
      <c r="I1582">
        <f>G1582</f>
        <v/>
      </c>
      <c r="K1582">
        <f>I1582-G1582</f>
        <v/>
      </c>
      <c r="M1582" t="inlineStr">
        <is>
          <t>TAG2400785</t>
        </is>
      </c>
      <c r="N1582" t="inlineStr"/>
      <c r="O1582">
        <f>M1582=N1582</f>
        <v/>
      </c>
      <c r="P1582">
        <f>AND(MONTH(F1582)=MONTH(S1582), YEAR(F1582)=YEAR(S1582))</f>
        <v/>
      </c>
      <c r="Q1582">
        <f>"L001-902303751"=U1582</f>
        <v/>
      </c>
      <c r="R1582">
        <f>G1582-W1582</f>
        <v/>
      </c>
      <c r="S1582" s="36" t="n">
        <v>45227</v>
      </c>
      <c r="T1582" t="inlineStr"/>
      <c r="U1582" t="inlineStr">
        <is>
          <t>L001-902000739</t>
        </is>
      </c>
      <c r="V1582" t="inlineStr">
        <is>
          <t>អាន រ៉ុង ហ្ស៊ី យី ឯ.ក</t>
        </is>
      </c>
      <c r="W1582" t="n">
        <v>0</v>
      </c>
      <c r="X1582" t="n">
        <v>0</v>
      </c>
    </row>
    <row r="1583">
      <c r="A1583" t="n">
        <v>1582</v>
      </c>
      <c r="B1583" t="inlineStr">
        <is>
          <t>Import Shipment Expense</t>
        </is>
      </c>
      <c r="C1583" t="inlineStr">
        <is>
          <t>ខេអិលអិន ហ្វ្រេត (ខេមបូឌា) ឯ.ក</t>
        </is>
      </c>
      <c r="D1583" t="inlineStr">
        <is>
          <t>L001-100074669</t>
        </is>
      </c>
      <c r="E1583" t="inlineStr">
        <is>
          <t>IVO16741</t>
        </is>
      </c>
      <c r="F1583" t="inlineStr">
        <is>
          <t>25-10-2024</t>
        </is>
      </c>
      <c r="G1583" t="n">
        <v>285333</v>
      </c>
      <c r="I1583">
        <f>G1583</f>
        <v/>
      </c>
      <c r="K1583">
        <f>I1583-G1583</f>
        <v/>
      </c>
      <c r="M1583" t="inlineStr">
        <is>
          <t>IVO16741</t>
        </is>
      </c>
      <c r="N1583" t="inlineStr">
        <is>
          <t>8522200</t>
        </is>
      </c>
      <c r="O1583">
        <f>M1583=N1583</f>
        <v/>
      </c>
      <c r="P1583">
        <f>AND(MONTH(F1583)=MONTH(S1583), YEAR(F1583)=YEAR(S1583))</f>
        <v/>
      </c>
      <c r="Q1583">
        <f>"L001-902303751"=U1583</f>
        <v/>
      </c>
      <c r="R1583">
        <f>G1583-W1583</f>
        <v/>
      </c>
      <c r="S1583" s="36" t="n">
        <v>45229</v>
      </c>
      <c r="T1583" t="n">
        <v>85222</v>
      </c>
      <c r="U1583" t="inlineStr">
        <is>
          <t>K003-901635943</t>
        </is>
      </c>
      <c r="V1583" t="inlineStr">
        <is>
          <t>អ៊ីឃ្យូឡាញ វើលវ៉ាយដ៍ ឡូជីស្ទីក</t>
        </is>
      </c>
      <c r="W1583" t="n">
        <v>85222</v>
      </c>
      <c r="X1583" t="n">
        <v>0</v>
      </c>
    </row>
    <row r="1584">
      <c r="A1584" t="n">
        <v>1583</v>
      </c>
      <c r="B1584" t="inlineStr">
        <is>
          <t>Import Shipment Expense</t>
        </is>
      </c>
      <c r="C1584" t="inlineStr">
        <is>
          <t>ខេអិលអិន ហ្វ្រេត (ខេមបូឌា) ឯ.ក</t>
        </is>
      </c>
      <c r="D1584" t="inlineStr">
        <is>
          <t>L001-100074669</t>
        </is>
      </c>
      <c r="E1584" t="inlineStr">
        <is>
          <t>IVO16718</t>
        </is>
      </c>
      <c r="F1584" t="inlineStr">
        <is>
          <t>25-10-2024</t>
        </is>
      </c>
      <c r="G1584" t="n">
        <v>214210</v>
      </c>
      <c r="I1584">
        <f>G1584</f>
        <v/>
      </c>
      <c r="K1584">
        <f>I1584-G1584</f>
        <v/>
      </c>
      <c r="M1584" t="inlineStr">
        <is>
          <t>IVO16718</t>
        </is>
      </c>
      <c r="N1584" t="inlineStr">
        <is>
          <t>8254000</t>
        </is>
      </c>
      <c r="O1584">
        <f>M1584=N1584</f>
        <v/>
      </c>
      <c r="P1584">
        <f>AND(MONTH(F1584)=MONTH(S1584), YEAR(F1584)=YEAR(S1584))</f>
        <v/>
      </c>
      <c r="Q1584">
        <f>"L001-902303751"=U1584</f>
        <v/>
      </c>
      <c r="R1584">
        <f>G1584-W1584</f>
        <v/>
      </c>
      <c r="S1584" s="36" t="n">
        <v>45202</v>
      </c>
      <c r="T1584" t="n">
        <v>82540</v>
      </c>
      <c r="U1584" t="inlineStr">
        <is>
          <t>L001-100045995</t>
        </is>
      </c>
      <c r="V1584" t="inlineStr">
        <is>
          <t>ឌីអេចអិល ឡូជីស្ទីក (ខេមបូឌា)</t>
        </is>
      </c>
      <c r="W1584" t="n">
        <v>82540</v>
      </c>
      <c r="X1584" t="n">
        <v>0</v>
      </c>
    </row>
    <row r="1585">
      <c r="A1585" t="n">
        <v>1584</v>
      </c>
      <c r="B1585" t="inlineStr">
        <is>
          <t>Customs Clearance Fee and Trucking Fee</t>
        </is>
      </c>
      <c r="C1585" t="inlineStr">
        <is>
          <t>ត្រាយអ៊ែងហ្គល ឡូជីស្ទីក (ខេមបូឌា) ឯ.ក</t>
        </is>
      </c>
      <c r="D1585" t="inlineStr">
        <is>
          <t>K010-902101743</t>
        </is>
      </c>
      <c r="E1585" t="inlineStr">
        <is>
          <t>TAG-24-00784</t>
        </is>
      </c>
      <c r="F1585" t="inlineStr">
        <is>
          <t>25-10-2024</t>
        </is>
      </c>
      <c r="G1585" t="n">
        <v>32488</v>
      </c>
      <c r="I1585">
        <f>G1585</f>
        <v/>
      </c>
      <c r="K1585">
        <f>I1585-G1585</f>
        <v/>
      </c>
      <c r="M1585" t="inlineStr">
        <is>
          <t>TAG2400784</t>
        </is>
      </c>
      <c r="N1585" t="inlineStr"/>
      <c r="O1585">
        <f>M1585=N1585</f>
        <v/>
      </c>
      <c r="P1585">
        <f>AND(MONTH(F1585)=MONTH(S1585), YEAR(F1585)=YEAR(S1585))</f>
        <v/>
      </c>
      <c r="Q1585">
        <f>"L001-902303751"=U1585</f>
        <v/>
      </c>
      <c r="R1585">
        <f>G1585-W1585</f>
        <v/>
      </c>
      <c r="S1585" s="36" t="n">
        <v>45202</v>
      </c>
      <c r="T1585" t="inlineStr"/>
      <c r="U1585" t="inlineStr">
        <is>
          <t>K003-901635943</t>
        </is>
      </c>
      <c r="V1585" t="inlineStr">
        <is>
          <t>អ៊ីឃ្យូឡាញ វើលវ៉ាយដ៍ ឡូជីស្ទីក</t>
        </is>
      </c>
      <c r="W1585" t="n">
        <v>0</v>
      </c>
      <c r="X1585" t="n">
        <v>0</v>
      </c>
    </row>
    <row r="1586">
      <c r="A1586" t="n">
        <v>1585</v>
      </c>
      <c r="B1586" t="inlineStr">
        <is>
          <t>Customs Clearance Fee and Trucking Fee</t>
        </is>
      </c>
      <c r="C1586" t="inlineStr">
        <is>
          <t>ត្រាយអ៊ែងហ្គល ឡូជីស្ទីក (ខេមបូឌា) ឯ.ក</t>
        </is>
      </c>
      <c r="D1586" t="inlineStr">
        <is>
          <t>K010-902101743</t>
        </is>
      </c>
      <c r="E1586" t="inlineStr">
        <is>
          <t>TAG-24-00788</t>
        </is>
      </c>
      <c r="F1586" t="inlineStr">
        <is>
          <t>25-10-2024</t>
        </is>
      </c>
      <c r="G1586" t="n">
        <v>109647</v>
      </c>
      <c r="I1586">
        <f>G1586</f>
        <v/>
      </c>
      <c r="K1586">
        <f>I1586-G1586</f>
        <v/>
      </c>
      <c r="M1586" t="inlineStr">
        <is>
          <t>TAG2400788</t>
        </is>
      </c>
      <c r="N1586" t="inlineStr">
        <is>
          <t>8501600</t>
        </is>
      </c>
      <c r="O1586">
        <f>M1586=N1586</f>
        <v/>
      </c>
      <c r="P1586">
        <f>AND(MONTH(F1586)=MONTH(S1586), YEAR(F1586)=YEAR(S1586))</f>
        <v/>
      </c>
      <c r="Q1586">
        <f>"L001-902303751"=U1586</f>
        <v/>
      </c>
      <c r="R1586">
        <f>G1586-W1586</f>
        <v/>
      </c>
      <c r="S1586" s="36" t="n">
        <v>45202</v>
      </c>
      <c r="T1586" t="n">
        <v>85016</v>
      </c>
      <c r="U1586" t="inlineStr">
        <is>
          <t>K003-901635943</t>
        </is>
      </c>
      <c r="V1586" t="inlineStr">
        <is>
          <t>អ៊ីឃ្យូឡាញ វើលវ៉ាយដ៍ ឡូជីស្ទីក</t>
        </is>
      </c>
      <c r="W1586" t="n">
        <v>85016</v>
      </c>
      <c r="X1586" t="n">
        <v>0</v>
      </c>
    </row>
    <row r="1587">
      <c r="A1587" t="n">
        <v>1586</v>
      </c>
      <c r="B1587" t="inlineStr">
        <is>
          <t>Lift-on &amp; Lift-off</t>
        </is>
      </c>
      <c r="C1587" t="inlineStr">
        <is>
          <t>កំពង់ផែស្វយ័តក្រុងព្រះសីហនុ</t>
        </is>
      </c>
      <c r="D1587" t="inlineStr">
        <is>
          <t>L001-100044638</t>
        </is>
      </c>
      <c r="E1587" t="inlineStr">
        <is>
          <t>223097</t>
        </is>
      </c>
      <c r="F1587" t="inlineStr">
        <is>
          <t>28-10-2024</t>
        </is>
      </c>
      <c r="G1587" t="n">
        <v>23148</v>
      </c>
      <c r="I1587">
        <f>G1587</f>
        <v/>
      </c>
      <c r="K1587">
        <f>I1587-G1587</f>
        <v/>
      </c>
      <c r="M1587" t="inlineStr">
        <is>
          <t>223097</t>
        </is>
      </c>
      <c r="N1587" t="inlineStr">
        <is>
          <t>991200</t>
        </is>
      </c>
      <c r="O1587">
        <f>M1587=N1587</f>
        <v/>
      </c>
      <c r="P1587">
        <f>AND(MONTH(F1587)=MONTH(S1587), YEAR(F1587)=YEAR(S1587))</f>
        <v/>
      </c>
      <c r="Q1587">
        <f>"L001-902303751"=U1587</f>
        <v/>
      </c>
      <c r="R1587">
        <f>G1587-W1587</f>
        <v/>
      </c>
      <c r="S1587" s="36" t="n">
        <v>45209</v>
      </c>
      <c r="T1587" t="n">
        <v>9912</v>
      </c>
      <c r="U1587" t="inlineStr">
        <is>
          <t>K002-901800477</t>
        </is>
      </c>
      <c r="V1587" t="inlineStr">
        <is>
          <t>អាយធីអាយ អ៊ិនធើណេសិនណល ត្រេនស័្ពរថេសិន (ខេមបូឌា) ឯ.ក</t>
        </is>
      </c>
      <c r="W1587" t="n">
        <v>9912</v>
      </c>
      <c r="X1587" t="n">
        <v>0</v>
      </c>
    </row>
    <row r="1588">
      <c r="A1588" t="n">
        <v>1587</v>
      </c>
      <c r="B1588" t="inlineStr">
        <is>
          <t>Charge from warehouse/cy to truck</t>
        </is>
      </c>
      <c r="C1588" t="inlineStr">
        <is>
          <t>កំពង់ផែស្វយ័តក្រុងព្រះសីហនុ</t>
        </is>
      </c>
      <c r="D1588" t="inlineStr">
        <is>
          <t>L001-100044638</t>
        </is>
      </c>
      <c r="E1588" t="inlineStr">
        <is>
          <t>222592</t>
        </is>
      </c>
      <c r="F1588" t="inlineStr">
        <is>
          <t>28-10-2024</t>
        </is>
      </c>
      <c r="G1588" t="n">
        <v>2485</v>
      </c>
      <c r="I1588">
        <f>G1588</f>
        <v/>
      </c>
      <c r="K1588">
        <f>I1588-G1588</f>
        <v/>
      </c>
      <c r="M1588" t="inlineStr">
        <is>
          <t>222592</t>
        </is>
      </c>
      <c r="N1588" t="inlineStr"/>
      <c r="O1588">
        <f>M1588=N1588</f>
        <v/>
      </c>
      <c r="P1588">
        <f>AND(MONTH(F1588)=MONTH(S1588), YEAR(F1588)=YEAR(S1588))</f>
        <v/>
      </c>
      <c r="Q1588">
        <f>"L001-902303751"=U1588</f>
        <v/>
      </c>
      <c r="R1588">
        <f>G1588-W1588</f>
        <v/>
      </c>
      <c r="S1588" s="36" t="n">
        <v>45208</v>
      </c>
      <c r="T1588" t="inlineStr"/>
      <c r="U1588" t="inlineStr">
        <is>
          <t>K002-901800477</t>
        </is>
      </c>
      <c r="V1588" t="inlineStr">
        <is>
          <t>អាយធីអាយ អ៊ិនធើណេសិនណល ត្រេនស័្ពរថេសិន (ខេមបូឌា) ឯ.ក</t>
        </is>
      </c>
      <c r="W1588" t="n">
        <v>0</v>
      </c>
      <c r="X1588" t="n">
        <v>0</v>
      </c>
    </row>
    <row r="1589">
      <c r="A1589" t="n">
        <v>1588</v>
      </c>
      <c r="B1589" t="inlineStr">
        <is>
          <t>Charge from Warehouse/cy to trucks</t>
        </is>
      </c>
      <c r="C1589" t="inlineStr">
        <is>
          <t>កំពង់ផែស្វយ័តក្រុងព្រះសីហនុ</t>
        </is>
      </c>
      <c r="D1589" t="inlineStr">
        <is>
          <t>L001-100044638</t>
        </is>
      </c>
      <c r="E1589" t="inlineStr">
        <is>
          <t>222589</t>
        </is>
      </c>
      <c r="F1589" t="inlineStr">
        <is>
          <t>28-10-2024</t>
        </is>
      </c>
      <c r="G1589" t="n">
        <v>620</v>
      </c>
      <c r="I1589">
        <f>G1589</f>
        <v/>
      </c>
      <c r="K1589">
        <f>I1589-G1589</f>
        <v/>
      </c>
      <c r="M1589" t="inlineStr">
        <is>
          <t>222589</t>
        </is>
      </c>
      <c r="N1589" t="inlineStr"/>
      <c r="O1589">
        <f>M1589=N1589</f>
        <v/>
      </c>
      <c r="P1589">
        <f>AND(MONTH(F1589)=MONTH(S1589), YEAR(F1589)=YEAR(S1589))</f>
        <v/>
      </c>
      <c r="Q1589">
        <f>"L001-902303751"=U1589</f>
        <v/>
      </c>
      <c r="R1589">
        <f>G1589-W1589</f>
        <v/>
      </c>
      <c r="S1589" s="36" t="n">
        <v>45200</v>
      </c>
      <c r="T1589" t="inlineStr"/>
      <c r="U1589" t="inlineStr">
        <is>
          <t>L001-107000385</t>
        </is>
      </c>
      <c r="V1589" t="inlineStr">
        <is>
          <t>អិចស្ពោលាំងកា ហ្រ្វេត (ខេមបូឌា) លីមីធីត</t>
        </is>
      </c>
      <c r="W1589" t="n">
        <v>0</v>
      </c>
      <c r="X1589" t="n">
        <v>0</v>
      </c>
    </row>
    <row r="1590">
      <c r="A1590" t="n">
        <v>1589</v>
      </c>
      <c r="B1590" t="inlineStr">
        <is>
          <t>Charge from warehouse/cy to truck</t>
        </is>
      </c>
      <c r="C1590" t="inlineStr">
        <is>
          <t>កំពង់ផែស្វយ័តក្រុងព្រះសីហនុ</t>
        </is>
      </c>
      <c r="D1590" t="inlineStr">
        <is>
          <t>L001-100044638</t>
        </is>
      </c>
      <c r="E1590" t="inlineStr">
        <is>
          <t>222578</t>
        </is>
      </c>
      <c r="F1590" t="inlineStr">
        <is>
          <t>28-10-2024</t>
        </is>
      </c>
      <c r="G1590" t="n">
        <v>1244</v>
      </c>
      <c r="I1590">
        <f>G1590</f>
        <v/>
      </c>
      <c r="K1590">
        <f>I1590-G1590</f>
        <v/>
      </c>
      <c r="M1590" t="inlineStr">
        <is>
          <t>222578</t>
        </is>
      </c>
      <c r="N1590" t="inlineStr">
        <is>
          <t>20197800</t>
        </is>
      </c>
      <c r="O1590">
        <f>M1590=N1590</f>
        <v/>
      </c>
      <c r="P1590">
        <f>AND(MONTH(F1590)=MONTH(S1590), YEAR(F1590)=YEAR(S1590))</f>
        <v/>
      </c>
      <c r="Q1590">
        <f>"L001-902303751"=U1590</f>
        <v/>
      </c>
      <c r="R1590">
        <f>G1590-W1590</f>
        <v/>
      </c>
      <c r="S1590" s="36" t="n">
        <v>45200</v>
      </c>
      <c r="T1590" t="n">
        <v>201978</v>
      </c>
      <c r="U1590" t="inlineStr">
        <is>
          <t>K005-100150195</t>
        </is>
      </c>
      <c r="V1590" t="inlineStr">
        <is>
          <t>អេស អ វី ស៊ី ហ្វ្រេត សឺវីស (ខេមបូឌា) ខូ អិលធីឌី</t>
        </is>
      </c>
      <c r="W1590" t="n">
        <v>201978</v>
      </c>
      <c r="X1590" t="n">
        <v>0</v>
      </c>
    </row>
    <row r="1591">
      <c r="A1591" t="n">
        <v>1590</v>
      </c>
      <c r="B1591" t="inlineStr">
        <is>
          <t>Non Woven Interlining</t>
        </is>
      </c>
      <c r="C1591" t="inlineStr">
        <is>
          <t>ដេលី ហ្គាមេន អេកសេសឺរី</t>
        </is>
      </c>
      <c r="D1591" t="inlineStr">
        <is>
          <t>L001-108012794</t>
        </is>
      </c>
      <c r="E1591" t="inlineStr">
        <is>
          <t>00448</t>
        </is>
      </c>
      <c r="F1591" t="inlineStr">
        <is>
          <t>28-10-2024</t>
        </is>
      </c>
      <c r="G1591" t="n">
        <v>1171347</v>
      </c>
      <c r="I1591">
        <f>G1591</f>
        <v/>
      </c>
      <c r="K1591">
        <f>I1591-G1591</f>
        <v/>
      </c>
      <c r="M1591" t="inlineStr">
        <is>
          <t>00448</t>
        </is>
      </c>
      <c r="N1591" t="inlineStr"/>
      <c r="O1591">
        <f>M1591=N1591</f>
        <v/>
      </c>
      <c r="P1591">
        <f>AND(MONTH(F1591)=MONTH(S1591), YEAR(F1591)=YEAR(S1591))</f>
        <v/>
      </c>
      <c r="Q1591">
        <f>"L001-902303751"=U1591</f>
        <v/>
      </c>
      <c r="R1591">
        <f>G1591-W1591</f>
        <v/>
      </c>
      <c r="S1591" s="36" t="n">
        <v>45224</v>
      </c>
      <c r="T1591" t="inlineStr"/>
      <c r="U1591" t="inlineStr">
        <is>
          <t>K002-901800477</t>
        </is>
      </c>
      <c r="V1591" t="inlineStr">
        <is>
          <t>អាយធីអាយ អ៊ិនធើណេសិនណល ត្រេនស័្ពរថេសិន (ខេមបូឌា) ឯ.ក</t>
        </is>
      </c>
      <c r="W1591" t="n">
        <v>0</v>
      </c>
      <c r="X1591" t="n">
        <v>0</v>
      </c>
    </row>
    <row r="1592">
      <c r="A1592" t="n">
        <v>1591</v>
      </c>
      <c r="B1592" t="inlineStr">
        <is>
          <t>Hardware</t>
        </is>
      </c>
      <c r="C1592" t="inlineStr">
        <is>
          <t>ភ្នំពេញ ថប វើលដ៍ ខនស្ត្រាក់សិន &amp; អេនជីនារីង ឯ.ក</t>
        </is>
      </c>
      <c r="D1592" t="inlineStr">
        <is>
          <t>K005-901638261</t>
        </is>
      </c>
      <c r="E1592" t="inlineStr">
        <is>
          <t>000026</t>
        </is>
      </c>
      <c r="F1592" t="inlineStr">
        <is>
          <t>28-10-2024</t>
        </is>
      </c>
      <c r="G1592" t="n">
        <v>831490</v>
      </c>
      <c r="I1592">
        <f>G1592</f>
        <v/>
      </c>
      <c r="K1592">
        <f>I1592-G1592</f>
        <v/>
      </c>
      <c r="M1592" t="inlineStr">
        <is>
          <t>000026</t>
        </is>
      </c>
      <c r="N1592" t="inlineStr">
        <is>
          <t>8278000</t>
        </is>
      </c>
      <c r="O1592">
        <f>M1592=N1592</f>
        <v/>
      </c>
      <c r="P1592">
        <f>AND(MONTH(F1592)=MONTH(S1592), YEAR(F1592)=YEAR(S1592))</f>
        <v/>
      </c>
      <c r="Q1592">
        <f>"L001-902303751"=U1592</f>
        <v/>
      </c>
      <c r="R1592">
        <f>G1592-W1592</f>
        <v/>
      </c>
      <c r="S1592" s="36" t="n">
        <v>45224</v>
      </c>
      <c r="T1592" t="n">
        <v>82780</v>
      </c>
      <c r="U1592" t="inlineStr">
        <is>
          <t>L001-103007369</t>
        </is>
      </c>
      <c r="V1592" t="inlineStr">
        <is>
          <t>អូរៀនថល ឡូជីស្ទីក &amp; ឌីស្ទ្រីប៊្យូសិន (ខេមបូឌា)</t>
        </is>
      </c>
      <c r="W1592" t="n">
        <v>82780</v>
      </c>
      <c r="X1592" t="n">
        <v>0</v>
      </c>
    </row>
    <row r="1593">
      <c r="A1593" t="n">
        <v>1592</v>
      </c>
      <c r="B1593" t="inlineStr">
        <is>
          <t>Documentation Origin, Handling Charges Origin, PLACI fee and HAWB Transmission Fee</t>
        </is>
      </c>
      <c r="C1593" t="inlineStr">
        <is>
          <t>ឌីប៊ី សេនឃើរ (ខេមបូឌា) លីមីធីត</t>
        </is>
      </c>
      <c r="D1593" t="inlineStr">
        <is>
          <t>L001-107041723</t>
        </is>
      </c>
      <c r="E1593" t="inlineStr">
        <is>
          <t>2400008681</t>
        </is>
      </c>
      <c r="F1593" t="inlineStr">
        <is>
          <t>30-10-2024</t>
        </is>
      </c>
      <c r="G1593" t="n">
        <v>49950</v>
      </c>
      <c r="I1593">
        <f>G1593</f>
        <v/>
      </c>
      <c r="K1593">
        <f>I1593-G1593</f>
        <v/>
      </c>
      <c r="M1593" t="inlineStr">
        <is>
          <t>2400008681</t>
        </is>
      </c>
      <c r="N1593" t="inlineStr">
        <is>
          <t>8518100</t>
        </is>
      </c>
      <c r="O1593">
        <f>M1593=N1593</f>
        <v/>
      </c>
      <c r="P1593">
        <f>AND(MONTH(F1593)=MONTH(S1593), YEAR(F1593)=YEAR(S1593))</f>
        <v/>
      </c>
      <c r="Q1593">
        <f>"L001-902303751"=U1593</f>
        <v/>
      </c>
      <c r="R1593">
        <f>G1593-W1593</f>
        <v/>
      </c>
      <c r="S1593" s="36" t="n">
        <v>45222</v>
      </c>
      <c r="T1593" t="n">
        <v>85181</v>
      </c>
      <c r="U1593" t="inlineStr">
        <is>
          <t>L001-100045340</t>
        </is>
      </c>
      <c r="V1593" t="inlineStr">
        <is>
          <t xml:space="preserve">ស៊ីវ៉ា អ៊ែរ អ៊ែន អូសៀន (ខេមបូឌា) ឯ.ក </t>
        </is>
      </c>
      <c r="W1593" t="n">
        <v>85181</v>
      </c>
      <c r="X1593" t="n">
        <v>0</v>
      </c>
    </row>
    <row r="1594">
      <c r="A1594" t="n">
        <v>1593</v>
      </c>
      <c r="B1594" t="inlineStr">
        <is>
          <t>Documentation Origin, Handling Charges Origin, PLACI fee and HAWB Transmission Fee</t>
        </is>
      </c>
      <c r="C1594" t="inlineStr">
        <is>
          <t>ឌីប៊ី សេនឃើរ (ខេមបូឌា) លីមីធីត</t>
        </is>
      </c>
      <c r="D1594" t="inlineStr">
        <is>
          <t>L001-107041723</t>
        </is>
      </c>
      <c r="E1594" t="inlineStr">
        <is>
          <t>2400008684</t>
        </is>
      </c>
      <c r="F1594" t="inlineStr">
        <is>
          <t>30-10-2024</t>
        </is>
      </c>
      <c r="G1594" t="n">
        <v>49950</v>
      </c>
      <c r="I1594">
        <f>G1594</f>
        <v/>
      </c>
      <c r="K1594">
        <f>I1594-G1594</f>
        <v/>
      </c>
      <c r="M1594" t="inlineStr">
        <is>
          <t>2400008684</t>
        </is>
      </c>
      <c r="N1594" t="inlineStr">
        <is>
          <t>2067500</t>
        </is>
      </c>
      <c r="O1594">
        <f>M1594=N1594</f>
        <v/>
      </c>
      <c r="P1594">
        <f>AND(MONTH(F1594)=MONTH(S1594), YEAR(F1594)=YEAR(S1594))</f>
        <v/>
      </c>
      <c r="Q1594">
        <f>"L001-902303751"=U1594</f>
        <v/>
      </c>
      <c r="R1594">
        <f>G1594-W1594</f>
        <v/>
      </c>
      <c r="S1594" s="36" t="n">
        <v>45222</v>
      </c>
      <c r="T1594" t="n">
        <v>20675</v>
      </c>
      <c r="U1594" t="inlineStr">
        <is>
          <t>L001-100045995</t>
        </is>
      </c>
      <c r="V1594" t="inlineStr">
        <is>
          <t>ឌីអេចអិល ឡូជីស្ទីក (ខេមបូឌា)</t>
        </is>
      </c>
      <c r="W1594" t="n">
        <v>20675</v>
      </c>
      <c r="X1594" t="n">
        <v>0</v>
      </c>
    </row>
    <row r="1595">
      <c r="A1595" t="n">
        <v>1594</v>
      </c>
      <c r="B1595" t="inlineStr">
        <is>
          <t>Cargo Terminal</t>
        </is>
      </c>
      <c r="C1595" t="inlineStr">
        <is>
          <t>សូស៊ីយេតេ កុងសេស្យូនែរ ដឺ ឡាអេរ៉ូព័រ</t>
        </is>
      </c>
      <c r="D1595" t="inlineStr">
        <is>
          <t>L001-100047300</t>
        </is>
      </c>
      <c r="E1595" t="inlineStr">
        <is>
          <t>2400087532</t>
        </is>
      </c>
      <c r="F1595" t="inlineStr">
        <is>
          <t>30-10-2024</t>
        </is>
      </c>
      <c r="G1595" t="n">
        <v>812</v>
      </c>
      <c r="I1595">
        <f>G1595</f>
        <v/>
      </c>
      <c r="K1595">
        <f>I1595-G1595</f>
        <v/>
      </c>
      <c r="M1595" t="inlineStr">
        <is>
          <t>2400087532</t>
        </is>
      </c>
      <c r="N1595" t="inlineStr">
        <is>
          <t>8274000</t>
        </is>
      </c>
      <c r="O1595">
        <f>M1595=N1595</f>
        <v/>
      </c>
      <c r="P1595">
        <f>AND(MONTH(F1595)=MONTH(S1595), YEAR(F1595)=YEAR(S1595))</f>
        <v/>
      </c>
      <c r="Q1595">
        <f>"L001-902303751"=U1595</f>
        <v/>
      </c>
      <c r="R1595">
        <f>G1595-W1595</f>
        <v/>
      </c>
      <c r="S1595" s="36" t="n">
        <v>45226</v>
      </c>
      <c r="T1595" t="n">
        <v>82740</v>
      </c>
      <c r="U1595" t="inlineStr">
        <is>
          <t>L001-100045995</t>
        </is>
      </c>
      <c r="V1595" t="inlineStr">
        <is>
          <t>ឌីអេចអិល ឡូជីស្ទីក (ខេមបូឌា)</t>
        </is>
      </c>
      <c r="W1595" t="n">
        <v>82740</v>
      </c>
      <c r="X1595" t="n">
        <v>0</v>
      </c>
    </row>
    <row r="1596">
      <c r="A1596" t="n">
        <v>1595</v>
      </c>
      <c r="B1596" t="inlineStr">
        <is>
          <t>Raw Material</t>
        </is>
      </c>
      <c r="C1596" t="inlineStr">
        <is>
          <t>ក្លាក ហ៊ូ ឯ.ក</t>
        </is>
      </c>
      <c r="D1596" t="inlineStr">
        <is>
          <t>K007-901639199</t>
        </is>
      </c>
      <c r="E1596" t="inlineStr">
        <is>
          <t>IN2477</t>
        </is>
      </c>
      <c r="F1596" t="inlineStr">
        <is>
          <t>31-10-2024</t>
        </is>
      </c>
      <c r="G1596" t="n">
        <v>467164</v>
      </c>
      <c r="I1596">
        <f>G1596</f>
        <v/>
      </c>
      <c r="K1596">
        <f>I1596-G1596</f>
        <v/>
      </c>
      <c r="M1596" t="inlineStr">
        <is>
          <t>IN2477</t>
        </is>
      </c>
      <c r="N1596" t="inlineStr"/>
      <c r="O1596">
        <f>M1596=N1596</f>
        <v/>
      </c>
      <c r="P1596">
        <f>AND(MONTH(F1596)=MONTH(S1596), YEAR(F1596)=YEAR(S1596))</f>
        <v/>
      </c>
      <c r="Q1596">
        <f>"L001-902303751"=U1596</f>
        <v/>
      </c>
      <c r="R1596">
        <f>G1596-W1596</f>
        <v/>
      </c>
      <c r="S1596" s="36" t="n">
        <v>45229</v>
      </c>
      <c r="T1596" t="inlineStr"/>
      <c r="U1596" t="inlineStr">
        <is>
          <t>K003-901635943</t>
        </is>
      </c>
      <c r="V1596" t="inlineStr">
        <is>
          <t>អ៊ីឃ្យូឡាញ វើលវ៉ាយដ៍ ឡូជីស្ទីក</t>
        </is>
      </c>
      <c r="W1596" t="n">
        <v>0</v>
      </c>
      <c r="X1596" t="n">
        <v>0</v>
      </c>
    </row>
    <row r="1597">
      <c r="A1597" t="n">
        <v>1596</v>
      </c>
      <c r="B1597" t="inlineStr">
        <is>
          <t>Needle</t>
        </is>
      </c>
      <c r="C1597" t="inlineStr">
        <is>
          <t>ក្លាក ហ៊ូ ឯ.ក</t>
        </is>
      </c>
      <c r="D1597" t="inlineStr">
        <is>
          <t>K007-901639199</t>
        </is>
      </c>
      <c r="E1597" t="inlineStr">
        <is>
          <t>IN2476</t>
        </is>
      </c>
      <c r="F1597" t="inlineStr">
        <is>
          <t>31-10-2024</t>
        </is>
      </c>
      <c r="G1597" t="n">
        <v>570526</v>
      </c>
      <c r="I1597">
        <f>G1597</f>
        <v/>
      </c>
      <c r="K1597">
        <f>I1597-G1597</f>
        <v/>
      </c>
      <c r="M1597" t="inlineStr">
        <is>
          <t>IN2476</t>
        </is>
      </c>
      <c r="N1597" t="inlineStr"/>
      <c r="O1597">
        <f>M1597=N1597</f>
        <v/>
      </c>
      <c r="P1597">
        <f>AND(MONTH(F1597)=MONTH(S1597), YEAR(F1597)=YEAR(S1597))</f>
        <v/>
      </c>
      <c r="Q1597">
        <f>"L001-902303751"=U1597</f>
        <v/>
      </c>
      <c r="R1597">
        <f>G1597-W1597</f>
        <v/>
      </c>
      <c r="S1597" s="36" t="n">
        <v>45224</v>
      </c>
      <c r="T1597" t="inlineStr"/>
      <c r="U1597" t="inlineStr">
        <is>
          <t>L001-100011888</t>
        </is>
      </c>
      <c r="V1597" t="inlineStr">
        <is>
          <t>ត្រេន ស្តារ ហ្រេ្វត</t>
        </is>
      </c>
      <c r="W1597" t="n">
        <v>0</v>
      </c>
      <c r="X1597" t="n">
        <v>0</v>
      </c>
    </row>
    <row r="1598">
      <c r="A1598" t="n">
        <v>1597</v>
      </c>
      <c r="B1598" t="inlineStr">
        <is>
          <t>Maintenance Cutting Machine</t>
        </is>
      </c>
      <c r="C1598" t="inlineStr">
        <is>
          <t>ក្លាក ហ៊ូ ឯ.ក</t>
        </is>
      </c>
      <c r="D1598" t="inlineStr">
        <is>
          <t>K007-901639199</t>
        </is>
      </c>
      <c r="E1598" t="inlineStr">
        <is>
          <t>IN2430</t>
        </is>
      </c>
      <c r="F1598" t="inlineStr">
        <is>
          <t>31-10-2024</t>
        </is>
      </c>
      <c r="G1598" t="n">
        <v>170646</v>
      </c>
      <c r="I1598">
        <f>G1598</f>
        <v/>
      </c>
      <c r="K1598">
        <f>I1598-G1598</f>
        <v/>
      </c>
      <c r="M1598" t="inlineStr">
        <is>
          <t>IN2430</t>
        </is>
      </c>
      <c r="N1598" t="inlineStr"/>
      <c r="O1598">
        <f>M1598=N1598</f>
        <v/>
      </c>
      <c r="P1598">
        <f>AND(MONTH(F1598)=MONTH(S1598), YEAR(F1598)=YEAR(S1598))</f>
        <v/>
      </c>
      <c r="Q1598">
        <f>"L001-902303751"=U1598</f>
        <v/>
      </c>
      <c r="R1598">
        <f>G1598-W1598</f>
        <v/>
      </c>
      <c r="S1598" s="36" t="n">
        <v>45202</v>
      </c>
      <c r="T1598" t="inlineStr"/>
      <c r="U1598" t="inlineStr">
        <is>
          <t>L001-100045995</t>
        </is>
      </c>
      <c r="V1598" t="inlineStr">
        <is>
          <t>ឌីអេចអិល ឡូជីស្ទីក (ខេមបូឌា)</t>
        </is>
      </c>
      <c r="W1598" t="n">
        <v>0</v>
      </c>
      <c r="X1598" t="n">
        <v>0</v>
      </c>
    </row>
    <row r="1599">
      <c r="A1599" t="n">
        <v>1598</v>
      </c>
      <c r="B1599" t="inlineStr">
        <is>
          <t>Rental Machine</t>
        </is>
      </c>
      <c r="C1599" t="inlineStr">
        <is>
          <t>ក្លាក ហ៊ូ ឯ.ក</t>
        </is>
      </c>
      <c r="D1599" t="inlineStr">
        <is>
          <t>K007-901639199</t>
        </is>
      </c>
      <c r="E1599" t="inlineStr">
        <is>
          <t>IN2429</t>
        </is>
      </c>
      <c r="F1599" t="inlineStr">
        <is>
          <t>31-10-2024</t>
        </is>
      </c>
      <c r="G1599" t="n">
        <v>40630</v>
      </c>
      <c r="I1599">
        <f>G1599</f>
        <v/>
      </c>
      <c r="K1599">
        <f>I1599-G1599</f>
        <v/>
      </c>
      <c r="M1599" t="inlineStr">
        <is>
          <t>IN2429</t>
        </is>
      </c>
      <c r="N1599" t="inlineStr"/>
      <c r="O1599">
        <f>M1599=N1599</f>
        <v/>
      </c>
      <c r="P1599">
        <f>AND(MONTH(F1599)=MONTH(S1599), YEAR(F1599)=YEAR(S1599))</f>
        <v/>
      </c>
      <c r="Q1599">
        <f>"L001-902303751"=U1599</f>
        <v/>
      </c>
      <c r="R1599">
        <f>G1599-W1599</f>
        <v/>
      </c>
      <c r="S1599" s="36" t="n">
        <v>45208</v>
      </c>
      <c r="T1599" t="inlineStr"/>
      <c r="U1599" t="inlineStr">
        <is>
          <t>L001-107032791</t>
        </is>
      </c>
      <c r="V1599" t="inlineStr">
        <is>
          <t>នីបផន អិចប្រេស (ខេមបូឌា) ខូ អិលធីឌី</t>
        </is>
      </c>
      <c r="W1599" t="n">
        <v>0</v>
      </c>
      <c r="X1599" t="n">
        <v>0</v>
      </c>
    </row>
    <row r="1600">
      <c r="A1600" t="n">
        <v>1599</v>
      </c>
      <c r="B1600" t="inlineStr">
        <is>
          <t>Rental Machine</t>
        </is>
      </c>
      <c r="C1600" t="inlineStr">
        <is>
          <t>ក្លាក ហ៊ូ ឯ.ក</t>
        </is>
      </c>
      <c r="D1600" t="inlineStr">
        <is>
          <t>K007-901639199</t>
        </is>
      </c>
      <c r="E1600" t="inlineStr">
        <is>
          <t>IN2428</t>
        </is>
      </c>
      <c r="F1600" t="inlineStr">
        <is>
          <t>31-10-2024</t>
        </is>
      </c>
      <c r="G1600" t="n">
        <v>138681</v>
      </c>
      <c r="I1600">
        <f>G1600</f>
        <v/>
      </c>
      <c r="K1600">
        <f>I1600-G1600</f>
        <v/>
      </c>
      <c r="M1600" t="inlineStr">
        <is>
          <t>IN2428</t>
        </is>
      </c>
      <c r="N1600" t="inlineStr">
        <is>
          <t>8260000</t>
        </is>
      </c>
      <c r="O1600">
        <f>M1600=N1600</f>
        <v/>
      </c>
      <c r="P1600">
        <f>AND(MONTH(F1600)=MONTH(S1600), YEAR(F1600)=YEAR(S1600))</f>
        <v/>
      </c>
      <c r="Q1600">
        <f>"L001-902303751"=U1600</f>
        <v/>
      </c>
      <c r="R1600">
        <f>G1600-W1600</f>
        <v/>
      </c>
      <c r="S1600" s="36" t="n">
        <v>45208</v>
      </c>
      <c r="T1600" t="n">
        <v>82600</v>
      </c>
      <c r="U1600" t="inlineStr">
        <is>
          <t>L001-100045995</t>
        </is>
      </c>
      <c r="V1600" t="inlineStr">
        <is>
          <t>ឌីអេចអិល ឡូជីស្ទីក (ខេមបូឌា)</t>
        </is>
      </c>
      <c r="W1600" t="n">
        <v>82600</v>
      </c>
      <c r="X1600" t="n">
        <v>0</v>
      </c>
    </row>
    <row r="1601">
      <c r="A1601" t="n">
        <v>1600</v>
      </c>
      <c r="B1601" t="inlineStr">
        <is>
          <t>Rental Machine</t>
        </is>
      </c>
      <c r="C1601" t="inlineStr">
        <is>
          <t>ក្លាក ហ៊ូ ឯ.ក</t>
        </is>
      </c>
      <c r="D1601" t="inlineStr">
        <is>
          <t>K007-901639199</t>
        </is>
      </c>
      <c r="E1601" t="inlineStr">
        <is>
          <t>IN2427</t>
        </is>
      </c>
      <c r="F1601" t="inlineStr">
        <is>
          <t>31-10-2024</t>
        </is>
      </c>
      <c r="G1601" t="n">
        <v>211276</v>
      </c>
      <c r="I1601">
        <f>G1601</f>
        <v/>
      </c>
      <c r="K1601">
        <f>I1601-G1601</f>
        <v/>
      </c>
      <c r="M1601" t="inlineStr">
        <is>
          <t>IN2427</t>
        </is>
      </c>
      <c r="N1601" t="inlineStr">
        <is>
          <t>11175300</t>
        </is>
      </c>
      <c r="O1601">
        <f>M1601=N1601</f>
        <v/>
      </c>
      <c r="P1601">
        <f>AND(MONTH(F1601)=MONTH(S1601), YEAR(F1601)=YEAR(S1601))</f>
        <v/>
      </c>
      <c r="Q1601">
        <f>"L001-902303751"=U1601</f>
        <v/>
      </c>
      <c r="R1601">
        <f>G1601-W1601</f>
        <v/>
      </c>
      <c r="S1601" s="36" t="n">
        <v>45224</v>
      </c>
      <c r="T1601" t="n">
        <v>111753</v>
      </c>
      <c r="U1601" t="inlineStr">
        <is>
          <t>K002-901800477</t>
        </is>
      </c>
      <c r="V1601" t="inlineStr">
        <is>
          <t>អាយធីអាយ អ៊ិនធើណេសិនណល ត្រេនស័្ពរថេសិន (ខេមបូឌា) ឯ.ក</t>
        </is>
      </c>
      <c r="W1601" t="n">
        <v>111753</v>
      </c>
      <c r="X1601" t="n">
        <v>0</v>
      </c>
    </row>
    <row r="1602">
      <c r="A1602" t="n">
        <v>1601</v>
      </c>
      <c r="B1602" t="inlineStr">
        <is>
          <t>Rental Machine</t>
        </is>
      </c>
      <c r="C1602" t="inlineStr">
        <is>
          <t>ក្លាក ហ៊ូ ឯ.ក</t>
        </is>
      </c>
      <c r="D1602" t="inlineStr">
        <is>
          <t>K007-901639199</t>
        </is>
      </c>
      <c r="E1602" t="inlineStr">
        <is>
          <t>IN2426</t>
        </is>
      </c>
      <c r="F1602" t="inlineStr">
        <is>
          <t>31-10-2024</t>
        </is>
      </c>
      <c r="G1602" t="n">
        <v>87894</v>
      </c>
      <c r="I1602">
        <f>G1602</f>
        <v/>
      </c>
      <c r="K1602">
        <f>I1602-G1602</f>
        <v/>
      </c>
      <c r="M1602" t="inlineStr">
        <is>
          <t>IN2426</t>
        </is>
      </c>
      <c r="N1602" t="inlineStr">
        <is>
          <t>17383800</t>
        </is>
      </c>
      <c r="O1602">
        <f>M1602=N1602</f>
        <v/>
      </c>
      <c r="P1602">
        <f>AND(MONTH(F1602)=MONTH(S1602), YEAR(F1602)=YEAR(S1602))</f>
        <v/>
      </c>
      <c r="Q1602">
        <f>"L001-902303751"=U1602</f>
        <v/>
      </c>
      <c r="R1602">
        <f>G1602-W1602</f>
        <v/>
      </c>
      <c r="S1602" s="36" t="n">
        <v>45224</v>
      </c>
      <c r="T1602" t="n">
        <v>173838</v>
      </c>
      <c r="U1602" t="inlineStr">
        <is>
          <t>K002-901800477</t>
        </is>
      </c>
      <c r="V1602" t="inlineStr">
        <is>
          <t>អាយធីអាយ អ៊ិនធើណេសិនណល ត្រេនស័្ពរថេសិន (ខេមបូឌា) ឯ.ក</t>
        </is>
      </c>
      <c r="W1602" t="n">
        <v>173838</v>
      </c>
      <c r="X1602" t="n">
        <v>0</v>
      </c>
    </row>
    <row r="1603">
      <c r="A1603" t="n">
        <v>1602</v>
      </c>
      <c r="B1603" t="inlineStr">
        <is>
          <t>Rental Machine</t>
        </is>
      </c>
      <c r="C1603" t="inlineStr">
        <is>
          <t>ក្លាក ហ៊ូ ឯ.ក</t>
        </is>
      </c>
      <c r="D1603" t="inlineStr">
        <is>
          <t>K007-901639199</t>
        </is>
      </c>
      <c r="E1603" t="inlineStr">
        <is>
          <t>IN2425</t>
        </is>
      </c>
      <c r="F1603" t="inlineStr">
        <is>
          <t>31-10-2024</t>
        </is>
      </c>
      <c r="G1603" t="n">
        <v>95348</v>
      </c>
      <c r="I1603">
        <f>G1603</f>
        <v/>
      </c>
      <c r="K1603">
        <f>I1603-G1603</f>
        <v/>
      </c>
      <c r="M1603" t="inlineStr">
        <is>
          <t>IN2425</t>
        </is>
      </c>
      <c r="N1603" t="inlineStr">
        <is>
          <t>8501600</t>
        </is>
      </c>
      <c r="O1603">
        <f>M1603=N1603</f>
        <v/>
      </c>
      <c r="P1603">
        <f>AND(MONTH(F1603)=MONTH(S1603), YEAR(F1603)=YEAR(S1603))</f>
        <v/>
      </c>
      <c r="Q1603">
        <f>"L001-902303751"=U1603</f>
        <v/>
      </c>
      <c r="R1603">
        <f>G1603-W1603</f>
        <v/>
      </c>
      <c r="S1603" s="36" t="n">
        <v>45216</v>
      </c>
      <c r="T1603" t="n">
        <v>85016</v>
      </c>
      <c r="U1603" t="inlineStr">
        <is>
          <t>K003-901635943</t>
        </is>
      </c>
      <c r="V1603" t="inlineStr">
        <is>
          <t>អ៊ីឃ្យូឡាញ វើលវ៉ាយដ៍ ឡូជីស្ទីក</t>
        </is>
      </c>
      <c r="W1603" t="n">
        <v>85016</v>
      </c>
      <c r="X1603" t="n">
        <v>0</v>
      </c>
    </row>
    <row r="1604">
      <c r="A1604" t="n">
        <v>1603</v>
      </c>
      <c r="B1604" t="inlineStr">
        <is>
          <t>Rental Machine</t>
        </is>
      </c>
      <c r="C1604" t="inlineStr">
        <is>
          <t>ក្លាក ហ៊ូ ឯ.ក</t>
        </is>
      </c>
      <c r="D1604" t="inlineStr">
        <is>
          <t>K007-901639199</t>
        </is>
      </c>
      <c r="E1604" t="inlineStr">
        <is>
          <t>IN2424</t>
        </is>
      </c>
      <c r="F1604" t="inlineStr">
        <is>
          <t>31-10-2024</t>
        </is>
      </c>
      <c r="G1604" t="n">
        <v>1305848</v>
      </c>
      <c r="I1604">
        <f>G1604</f>
        <v/>
      </c>
      <c r="K1604">
        <f>I1604-G1604</f>
        <v/>
      </c>
      <c r="M1604" t="inlineStr">
        <is>
          <t>IN2424</t>
        </is>
      </c>
      <c r="N1604" t="inlineStr">
        <is>
          <t>20232100</t>
        </is>
      </c>
      <c r="O1604">
        <f>M1604=N1604</f>
        <v/>
      </c>
      <c r="P1604">
        <f>AND(MONTH(F1604)=MONTH(S1604), YEAR(F1604)=YEAR(S1604))</f>
        <v/>
      </c>
      <c r="Q1604">
        <f>"L001-902303751"=U1604</f>
        <v/>
      </c>
      <c r="R1604">
        <f>G1604-W1604</f>
        <v/>
      </c>
      <c r="S1604" s="36" t="n">
        <v>45215</v>
      </c>
      <c r="T1604" t="n">
        <v>202321</v>
      </c>
      <c r="U1604" t="inlineStr">
        <is>
          <t>K005-901501155</t>
        </is>
      </c>
      <c r="V1604" t="inlineStr">
        <is>
          <t>ផេនដា គ្លូប៊ល ឡូជីស្ទីក (ខេមបូឌា)</t>
        </is>
      </c>
      <c r="W1604" t="n">
        <v>202321</v>
      </c>
      <c r="X1604" t="n">
        <v>0</v>
      </c>
    </row>
    <row r="1605">
      <c r="A1605" t="n">
        <v>1604</v>
      </c>
      <c r="B1605" t="inlineStr">
        <is>
          <t>Rental Machine</t>
        </is>
      </c>
      <c r="C1605" t="inlineStr">
        <is>
          <t>ក្លាក ហ៊ូ ឯ.ក</t>
        </is>
      </c>
      <c r="D1605" t="inlineStr">
        <is>
          <t>K007-901639199</t>
        </is>
      </c>
      <c r="E1605" t="inlineStr">
        <is>
          <t>IN2423</t>
        </is>
      </c>
      <c r="F1605" t="inlineStr">
        <is>
          <t>31-10-2024</t>
        </is>
      </c>
      <c r="G1605" t="n">
        <v>60945</v>
      </c>
      <c r="I1605">
        <f>G1605</f>
        <v/>
      </c>
      <c r="K1605">
        <f>I1605-G1605</f>
        <v/>
      </c>
      <c r="M1605" t="inlineStr">
        <is>
          <t>IN2423</t>
        </is>
      </c>
      <c r="N1605" t="inlineStr">
        <is>
          <t>1241100</t>
        </is>
      </c>
      <c r="O1605">
        <f>M1605=N1605</f>
        <v/>
      </c>
      <c r="P1605">
        <f>AND(MONTH(F1605)=MONTH(S1605), YEAR(F1605)=YEAR(S1605))</f>
        <v/>
      </c>
      <c r="Q1605">
        <f>"L001-902303751"=U1605</f>
        <v/>
      </c>
      <c r="R1605">
        <f>G1605-W1605</f>
        <v/>
      </c>
      <c r="S1605" s="36" t="n">
        <v>45229</v>
      </c>
      <c r="T1605" t="n">
        <v>12411</v>
      </c>
      <c r="U1605" t="inlineStr">
        <is>
          <t>K002-901800477</t>
        </is>
      </c>
      <c r="V1605" t="inlineStr">
        <is>
          <t>អាយធីអាយ អ៊ិនធើណេសិនណល ត្រេនស័្ពរថេសិន (ខេមបូឌា) ឯ.ក</t>
        </is>
      </c>
      <c r="W1605" t="n">
        <v>12411</v>
      </c>
      <c r="X1605" t="n">
        <v>0</v>
      </c>
    </row>
    <row r="1606">
      <c r="A1606" t="n">
        <v>1605</v>
      </c>
      <c r="B1606" t="inlineStr">
        <is>
          <t>Rental Machine</t>
        </is>
      </c>
      <c r="C1606" t="inlineStr">
        <is>
          <t>ក្លាក ហ៊ូ ឯ.ក</t>
        </is>
      </c>
      <c r="D1606" t="inlineStr">
        <is>
          <t>K007-901639199</t>
        </is>
      </c>
      <c r="E1606" t="inlineStr">
        <is>
          <t>IN2422</t>
        </is>
      </c>
      <c r="F1606" t="inlineStr">
        <is>
          <t>31-10-2024</t>
        </is>
      </c>
      <c r="G1606" t="n">
        <v>60945</v>
      </c>
      <c r="I1606">
        <f>G1606</f>
        <v/>
      </c>
      <c r="K1606">
        <f>I1606-G1606</f>
        <v/>
      </c>
      <c r="M1606" t="inlineStr">
        <is>
          <t>IN2422</t>
        </is>
      </c>
      <c r="N1606" t="inlineStr">
        <is>
          <t>11169900</t>
        </is>
      </c>
      <c r="O1606">
        <f>M1606=N1606</f>
        <v/>
      </c>
      <c r="P1606">
        <f>AND(MONTH(F1606)=MONTH(S1606), YEAR(F1606)=YEAR(S1606))</f>
        <v/>
      </c>
      <c r="Q1606">
        <f>"L001-902303751"=U1606</f>
        <v/>
      </c>
      <c r="R1606">
        <f>G1606-W1606</f>
        <v/>
      </c>
      <c r="S1606" s="36" t="n">
        <v>45229</v>
      </c>
      <c r="T1606" t="n">
        <v>111699</v>
      </c>
      <c r="U1606" t="inlineStr">
        <is>
          <t>L001-107032791</t>
        </is>
      </c>
      <c r="V1606" t="inlineStr">
        <is>
          <t>នីបផន អិចប្រេស (ខេមបូឌា) ខូ អិលធីឌី</t>
        </is>
      </c>
      <c r="W1606" t="n">
        <v>111699</v>
      </c>
      <c r="X1606" t="n">
        <v>0</v>
      </c>
    </row>
    <row r="1607">
      <c r="A1607" t="n">
        <v>1606</v>
      </c>
      <c r="B1607" t="inlineStr">
        <is>
          <t>Rental Machine</t>
        </is>
      </c>
      <c r="C1607" t="inlineStr">
        <is>
          <t>ក្លាក ហ៊ូ ឯ.ក</t>
        </is>
      </c>
      <c r="D1607" t="inlineStr">
        <is>
          <t>K007-901639199</t>
        </is>
      </c>
      <c r="E1607" t="inlineStr">
        <is>
          <t>IN2421</t>
        </is>
      </c>
      <c r="F1607" t="inlineStr">
        <is>
          <t>31-10-2024</t>
        </is>
      </c>
      <c r="G1607" t="n">
        <v>57968</v>
      </c>
      <c r="I1607">
        <f>G1607</f>
        <v/>
      </c>
      <c r="K1607">
        <f>I1607-G1607</f>
        <v/>
      </c>
      <c r="M1607" t="inlineStr">
        <is>
          <t>IN2421</t>
        </is>
      </c>
      <c r="N1607" t="inlineStr"/>
      <c r="O1607">
        <f>M1607=N1607</f>
        <v/>
      </c>
      <c r="P1607">
        <f>AND(MONTH(F1607)=MONTH(S1607), YEAR(F1607)=YEAR(S1607))</f>
        <v/>
      </c>
      <c r="Q1607">
        <f>"L001-902303751"=U1607</f>
        <v/>
      </c>
      <c r="R1607">
        <f>G1607-W1607</f>
        <v/>
      </c>
      <c r="S1607" s="36" t="n">
        <v>45224</v>
      </c>
      <c r="T1607" t="inlineStr"/>
      <c r="U1607" t="inlineStr">
        <is>
          <t>K010-902101743</t>
        </is>
      </c>
      <c r="V1607" t="inlineStr">
        <is>
          <t>ត្រាយអ៊ែងហ្គល ឡូជីស្ទីក (ខេមបូឌា) ឯ.ក</t>
        </is>
      </c>
      <c r="W1607" t="n">
        <v>0</v>
      </c>
      <c r="X1607" t="n">
        <v>0</v>
      </c>
    </row>
    <row r="1608">
      <c r="A1608" t="n">
        <v>1607</v>
      </c>
      <c r="B1608" t="inlineStr">
        <is>
          <t>Rental Machine</t>
        </is>
      </c>
      <c r="C1608" t="inlineStr">
        <is>
          <t>ក្លាក ហ៊ូ ឯ.ក</t>
        </is>
      </c>
      <c r="D1608" t="inlineStr">
        <is>
          <t>K007-901639199</t>
        </is>
      </c>
      <c r="E1608" t="inlineStr">
        <is>
          <t>IN2420</t>
        </is>
      </c>
      <c r="F1608" t="inlineStr">
        <is>
          <t>31-10-2024</t>
        </is>
      </c>
      <c r="G1608" t="n">
        <v>97512</v>
      </c>
      <c r="I1608">
        <f>G1608</f>
        <v/>
      </c>
      <c r="K1608">
        <f>I1608-G1608</f>
        <v/>
      </c>
      <c r="M1608" t="inlineStr">
        <is>
          <t>IN2420</t>
        </is>
      </c>
      <c r="N1608" t="inlineStr"/>
      <c r="O1608">
        <f>M1608=N1608</f>
        <v/>
      </c>
      <c r="P1608">
        <f>AND(MONTH(F1608)=MONTH(S1608), YEAR(F1608)=YEAR(S1608))</f>
        <v/>
      </c>
      <c r="Q1608">
        <f>"L001-902303751"=U1608</f>
        <v/>
      </c>
      <c r="R1608">
        <f>G1608-W1608</f>
        <v/>
      </c>
      <c r="S1608" s="36" t="n">
        <v>45224</v>
      </c>
      <c r="T1608" t="inlineStr"/>
      <c r="U1608" t="inlineStr">
        <is>
          <t>K002-901800477</t>
        </is>
      </c>
      <c r="V1608" t="inlineStr">
        <is>
          <t>អាយធីអាយ អ៊ិនធើណេសិនណល ត្រេនស័្ពរថេសិន (ខេមបូឌា) ឯ.ក</t>
        </is>
      </c>
      <c r="W1608" t="n">
        <v>0</v>
      </c>
      <c r="X1608" t="n">
        <v>0</v>
      </c>
    </row>
    <row r="1609">
      <c r="A1609" t="n">
        <v>1608</v>
      </c>
      <c r="B1609" t="inlineStr">
        <is>
          <t>Rental Machine</t>
        </is>
      </c>
      <c r="C1609" t="inlineStr">
        <is>
          <t>ក្លាក ហ៊ូ ឯ.ក</t>
        </is>
      </c>
      <c r="D1609" t="inlineStr">
        <is>
          <t>K007-901639199</t>
        </is>
      </c>
      <c r="E1609" t="inlineStr">
        <is>
          <t>IN2419</t>
        </is>
      </c>
      <c r="F1609" t="inlineStr">
        <is>
          <t>31-10-2024</t>
        </is>
      </c>
      <c r="G1609" t="n">
        <v>22753</v>
      </c>
      <c r="I1609">
        <f>G1609</f>
        <v/>
      </c>
      <c r="K1609">
        <f>I1609-G1609</f>
        <v/>
      </c>
      <c r="M1609" t="inlineStr">
        <is>
          <t>IN2419</t>
        </is>
      </c>
      <c r="N1609" t="inlineStr">
        <is>
          <t>11151000</t>
        </is>
      </c>
      <c r="O1609">
        <f>M1609=N1609</f>
        <v/>
      </c>
      <c r="P1609">
        <f>AND(MONTH(F1609)=MONTH(S1609), YEAR(F1609)=YEAR(S1609))</f>
        <v/>
      </c>
      <c r="Q1609">
        <f>"L001-902303751"=U1609</f>
        <v/>
      </c>
      <c r="R1609">
        <f>G1609-W1609</f>
        <v/>
      </c>
      <c r="S1609" s="36" t="n">
        <v>45208</v>
      </c>
      <c r="T1609" t="n">
        <v>111510</v>
      </c>
      <c r="U1609" t="inlineStr">
        <is>
          <t>L001-107032791</t>
        </is>
      </c>
      <c r="V1609" t="inlineStr">
        <is>
          <t>នីបផន អិចប្រេស (ខេមបូឌា) ខូ អិលធីឌី</t>
        </is>
      </c>
      <c r="W1609" t="n">
        <v>111510</v>
      </c>
      <c r="X1609" t="n">
        <v>0</v>
      </c>
    </row>
    <row r="1610">
      <c r="A1610" t="n">
        <v>1609</v>
      </c>
      <c r="B1610" t="inlineStr">
        <is>
          <t>Rental Machine</t>
        </is>
      </c>
      <c r="C1610" t="inlineStr">
        <is>
          <t>ក្លាក ហ៊ូ ឯ.ក</t>
        </is>
      </c>
      <c r="D1610" t="inlineStr">
        <is>
          <t>K007-901639199</t>
        </is>
      </c>
      <c r="E1610" t="inlineStr">
        <is>
          <t>IN2418</t>
        </is>
      </c>
      <c r="F1610" t="inlineStr">
        <is>
          <t>31-10-2024</t>
        </is>
      </c>
      <c r="G1610" t="n">
        <v>170646</v>
      </c>
      <c r="I1610">
        <f>G1610</f>
        <v/>
      </c>
      <c r="K1610">
        <f>I1610-G1610</f>
        <v/>
      </c>
      <c r="M1610" t="inlineStr">
        <is>
          <t>IN2418</t>
        </is>
      </c>
      <c r="N1610" t="inlineStr"/>
      <c r="O1610">
        <f>M1610=N1610</f>
        <v/>
      </c>
      <c r="P1610">
        <f>AND(MONTH(F1610)=MONTH(S1610), YEAR(F1610)=YEAR(S1610))</f>
        <v/>
      </c>
      <c r="Q1610">
        <f>"L001-902303751"=U1610</f>
        <v/>
      </c>
      <c r="R1610">
        <f>G1610-W1610</f>
        <v/>
      </c>
      <c r="S1610" s="36" t="n">
        <v>45208</v>
      </c>
      <c r="T1610" t="inlineStr"/>
      <c r="U1610" t="inlineStr">
        <is>
          <t>L001-100045995</t>
        </is>
      </c>
      <c r="V1610" t="inlineStr">
        <is>
          <t>ឌីអេចអិល ឡូជីស្ទីក (ខេមបូឌា)</t>
        </is>
      </c>
      <c r="W1610" t="n">
        <v>0</v>
      </c>
      <c r="X1610" t="n">
        <v>0</v>
      </c>
    </row>
    <row r="1611">
      <c r="A1611" t="n">
        <v>1610</v>
      </c>
      <c r="B1611" t="inlineStr">
        <is>
          <t>Rental Machine</t>
        </is>
      </c>
      <c r="C1611" t="inlineStr">
        <is>
          <t>ក្លាក ហ៊ូ ឯ.ក</t>
        </is>
      </c>
      <c r="D1611" t="inlineStr">
        <is>
          <t>K007-901639199</t>
        </is>
      </c>
      <c r="E1611" t="inlineStr">
        <is>
          <t>IN2417</t>
        </is>
      </c>
      <c r="F1611" t="inlineStr">
        <is>
          <t>31-10-2024</t>
        </is>
      </c>
      <c r="G1611" t="n">
        <v>65547</v>
      </c>
      <c r="I1611">
        <f>G1611</f>
        <v/>
      </c>
      <c r="K1611">
        <f>I1611-G1611</f>
        <v/>
      </c>
      <c r="M1611" t="inlineStr">
        <is>
          <t>IN2417</t>
        </is>
      </c>
      <c r="N1611" t="inlineStr"/>
      <c r="O1611">
        <f>M1611=N1611</f>
        <v/>
      </c>
      <c r="P1611">
        <f>AND(MONTH(F1611)=MONTH(S1611), YEAR(F1611)=YEAR(S1611))</f>
        <v/>
      </c>
      <c r="Q1611">
        <f>"L001-902303751"=U1611</f>
        <v/>
      </c>
      <c r="R1611">
        <f>G1611-W1611</f>
        <v/>
      </c>
      <c r="S1611" s="36" t="n">
        <v>45208</v>
      </c>
      <c r="T1611" t="inlineStr"/>
      <c r="U1611" t="inlineStr">
        <is>
          <t>K003-901635943</t>
        </is>
      </c>
      <c r="V1611" t="inlineStr">
        <is>
          <t>អ៊ីឃ្យូឡាញ វើលវ៉ាយដ៍ ឡូជីស្ទីក</t>
        </is>
      </c>
      <c r="W1611" t="n">
        <v>0</v>
      </c>
      <c r="X1611" t="n">
        <v>0</v>
      </c>
    </row>
    <row r="1612">
      <c r="A1612" t="n">
        <v>1611</v>
      </c>
      <c r="B1612" t="inlineStr">
        <is>
          <t>Rental Machine</t>
        </is>
      </c>
      <c r="C1612" t="inlineStr">
        <is>
          <t>ក្លាក ហ៊ូ ឯ.ក</t>
        </is>
      </c>
      <c r="D1612" t="inlineStr">
        <is>
          <t>K007-901639199</t>
        </is>
      </c>
      <c r="E1612" t="inlineStr">
        <is>
          <t>IN2416</t>
        </is>
      </c>
      <c r="F1612" t="inlineStr">
        <is>
          <t>31-10-2024</t>
        </is>
      </c>
      <c r="G1612" t="n">
        <v>42662</v>
      </c>
      <c r="I1612">
        <f>G1612</f>
        <v/>
      </c>
      <c r="K1612">
        <f>I1612-G1612</f>
        <v/>
      </c>
      <c r="M1612" t="inlineStr">
        <is>
          <t>IN2416</t>
        </is>
      </c>
      <c r="N1612" t="inlineStr">
        <is>
          <t>74608200</t>
        </is>
      </c>
      <c r="O1612">
        <f>M1612=N1612</f>
        <v/>
      </c>
      <c r="P1612">
        <f>AND(MONTH(F1612)=MONTH(S1612), YEAR(F1612)=YEAR(S1612))</f>
        <v/>
      </c>
      <c r="Q1612">
        <f>"L001-902303751"=U1612</f>
        <v/>
      </c>
      <c r="R1612">
        <f>G1612-W1612</f>
        <v/>
      </c>
      <c r="S1612" s="36" t="n">
        <v>45200</v>
      </c>
      <c r="T1612" t="n">
        <v>746082</v>
      </c>
      <c r="U1612" t="inlineStr">
        <is>
          <t>L001-901802873</t>
        </is>
      </c>
      <c r="V1612" t="inlineStr">
        <is>
          <t>គ្លូប៊ល ហៅស៍ (ខេមបូឌា) ឯ.ក</t>
        </is>
      </c>
      <c r="W1612" t="n">
        <v>746082</v>
      </c>
      <c r="X1612" t="n">
        <v>0</v>
      </c>
    </row>
    <row r="1613">
      <c r="A1613" t="n">
        <v>1612</v>
      </c>
      <c r="B1613" t="inlineStr">
        <is>
          <t>Rental Machine</t>
        </is>
      </c>
      <c r="C1613" t="inlineStr">
        <is>
          <t>ក្លាក ហ៊ូ ឯ.ក</t>
        </is>
      </c>
      <c r="D1613" t="inlineStr">
        <is>
          <t>K007-901639199</t>
        </is>
      </c>
      <c r="E1613" t="inlineStr">
        <is>
          <t>IN2415</t>
        </is>
      </c>
      <c r="F1613" t="inlineStr">
        <is>
          <t>31-10-2024</t>
        </is>
      </c>
      <c r="G1613" t="n">
        <v>33450</v>
      </c>
      <c r="I1613">
        <f>G1613</f>
        <v/>
      </c>
      <c r="K1613">
        <f>I1613-G1613</f>
        <v/>
      </c>
      <c r="M1613" t="inlineStr">
        <is>
          <t>IN2415</t>
        </is>
      </c>
      <c r="N1613" t="inlineStr"/>
      <c r="O1613">
        <f>M1613=N1613</f>
        <v/>
      </c>
      <c r="P1613">
        <f>AND(MONTH(F1613)=MONTH(S1613), YEAR(F1613)=YEAR(S1613))</f>
        <v/>
      </c>
      <c r="Q1613">
        <f>"L001-902303751"=U1613</f>
        <v/>
      </c>
      <c r="R1613">
        <f>G1613-W1613</f>
        <v/>
      </c>
      <c r="S1613" s="36" t="n">
        <v>45216</v>
      </c>
      <c r="T1613" t="inlineStr"/>
      <c r="U1613" t="inlineStr">
        <is>
          <t>K003-901635943</t>
        </is>
      </c>
      <c r="V1613" t="inlineStr">
        <is>
          <t>អ៊ីឃ្យូឡាញ វើលវ៉ាយដ៍ ឡូជីស្ទីក</t>
        </is>
      </c>
      <c r="W1613" t="n">
        <v>0</v>
      </c>
      <c r="X1613" t="n">
        <v>0</v>
      </c>
    </row>
    <row r="1614">
      <c r="A1614" t="n">
        <v>1613</v>
      </c>
      <c r="B1614" t="inlineStr">
        <is>
          <t>Rental Machine</t>
        </is>
      </c>
      <c r="C1614" t="inlineStr">
        <is>
          <t>ក្លាក ហ៊ូ ឯ.ក</t>
        </is>
      </c>
      <c r="D1614" t="inlineStr">
        <is>
          <t>K007-901639199</t>
        </is>
      </c>
      <c r="E1614" t="inlineStr">
        <is>
          <t>IN2414</t>
        </is>
      </c>
      <c r="F1614" t="inlineStr">
        <is>
          <t>31-10-2024</t>
        </is>
      </c>
      <c r="G1614" t="n">
        <v>25597</v>
      </c>
      <c r="I1614">
        <f>G1614</f>
        <v/>
      </c>
      <c r="K1614">
        <f>I1614-G1614</f>
        <v/>
      </c>
      <c r="M1614" t="inlineStr">
        <is>
          <t>IN2414</t>
        </is>
      </c>
      <c r="N1614" t="inlineStr">
        <is>
          <t>8278000</t>
        </is>
      </c>
      <c r="O1614">
        <f>M1614=N1614</f>
        <v/>
      </c>
      <c r="P1614">
        <f>AND(MONTH(F1614)=MONTH(S1614), YEAR(F1614)=YEAR(S1614))</f>
        <v/>
      </c>
      <c r="Q1614">
        <f>"L001-902303751"=U1614</f>
        <v/>
      </c>
      <c r="R1614">
        <f>G1614-W1614</f>
        <v/>
      </c>
      <c r="S1614" s="36" t="n">
        <v>45224</v>
      </c>
      <c r="T1614" t="n">
        <v>82780</v>
      </c>
      <c r="U1614" t="inlineStr">
        <is>
          <t>K005-901501155</t>
        </is>
      </c>
      <c r="V1614" t="inlineStr">
        <is>
          <t>ផេនដា គ្លូប៊ល ឡូជីស្ទីក (ខេមបូឌា)</t>
        </is>
      </c>
      <c r="W1614" t="n">
        <v>82780</v>
      </c>
      <c r="X1614" t="n">
        <v>0</v>
      </c>
    </row>
    <row r="1615">
      <c r="A1615" t="n">
        <v>1614</v>
      </c>
      <c r="B1615" t="inlineStr">
        <is>
          <t>Rental Machine</t>
        </is>
      </c>
      <c r="C1615" t="inlineStr">
        <is>
          <t>ក្លាក ហ៊ូ ឯ.ក</t>
        </is>
      </c>
      <c r="D1615" t="inlineStr">
        <is>
          <t>K007-901639199</t>
        </is>
      </c>
      <c r="E1615" t="inlineStr">
        <is>
          <t>IN2413</t>
        </is>
      </c>
      <c r="F1615" t="inlineStr">
        <is>
          <t>31-10-2024</t>
        </is>
      </c>
      <c r="G1615" t="n">
        <v>229896</v>
      </c>
      <c r="I1615">
        <f>G1615</f>
        <v/>
      </c>
      <c r="K1615">
        <f>I1615-G1615</f>
        <v/>
      </c>
      <c r="M1615" t="inlineStr">
        <is>
          <t>IN2413</t>
        </is>
      </c>
      <c r="N1615" t="inlineStr">
        <is>
          <t>8278000</t>
        </is>
      </c>
      <c r="O1615">
        <f>M1615=N1615</f>
        <v/>
      </c>
      <c r="P1615">
        <f>AND(MONTH(F1615)=MONTH(S1615), YEAR(F1615)=YEAR(S1615))</f>
        <v/>
      </c>
      <c r="Q1615">
        <f>"L001-902303751"=U1615</f>
        <v/>
      </c>
      <c r="R1615">
        <f>G1615-W1615</f>
        <v/>
      </c>
      <c r="S1615" s="36" t="n">
        <v>45224</v>
      </c>
      <c r="T1615" t="n">
        <v>82780</v>
      </c>
      <c r="U1615" t="inlineStr">
        <is>
          <t>L001-103007369</t>
        </is>
      </c>
      <c r="V1615" t="inlineStr">
        <is>
          <t>អូរៀនថល ឡូជីស្ទីក &amp; ឌីស្ទ្រីប៊្យូសិន (ខេមបូឌា)</t>
        </is>
      </c>
      <c r="W1615" t="n">
        <v>82780</v>
      </c>
      <c r="X1615" t="n">
        <v>0</v>
      </c>
    </row>
    <row r="1616">
      <c r="A1616" t="n">
        <v>1615</v>
      </c>
      <c r="B1616" t="inlineStr">
        <is>
          <t>Rental Machine</t>
        </is>
      </c>
      <c r="C1616" t="inlineStr">
        <is>
          <t>ក្លាក ហ៊ូ ឯ.ក</t>
        </is>
      </c>
      <c r="D1616" t="inlineStr">
        <is>
          <t>K007-901639199</t>
        </is>
      </c>
      <c r="E1616" t="inlineStr">
        <is>
          <t>IN2412</t>
        </is>
      </c>
      <c r="F1616" t="inlineStr">
        <is>
          <t>31-10-2024</t>
        </is>
      </c>
      <c r="G1616" t="n">
        <v>18487</v>
      </c>
      <c r="I1616">
        <f>G1616</f>
        <v/>
      </c>
      <c r="K1616">
        <f>I1616-G1616</f>
        <v/>
      </c>
      <c r="M1616" t="inlineStr">
        <is>
          <t>IN2412</t>
        </is>
      </c>
      <c r="N1616" t="inlineStr">
        <is>
          <t>11151000</t>
        </is>
      </c>
      <c r="O1616">
        <f>M1616=N1616</f>
        <v/>
      </c>
      <c r="P1616">
        <f>AND(MONTH(F1616)=MONTH(S1616), YEAR(F1616)=YEAR(S1616))</f>
        <v/>
      </c>
      <c r="Q1616">
        <f>"L001-902303751"=U1616</f>
        <v/>
      </c>
      <c r="R1616">
        <f>G1616-W1616</f>
        <v/>
      </c>
      <c r="S1616" s="36" t="n">
        <v>45208</v>
      </c>
      <c r="T1616" t="n">
        <v>111510</v>
      </c>
      <c r="U1616" t="inlineStr">
        <is>
          <t>L001-107041723</t>
        </is>
      </c>
      <c r="V1616" t="inlineStr">
        <is>
          <t>ឌីប៊ី សេនឃើរ (ខេមបូឌា) លីមីធីត</t>
        </is>
      </c>
      <c r="W1616" t="n">
        <v>111510</v>
      </c>
      <c r="X1616" t="n">
        <v>0</v>
      </c>
    </row>
    <row r="1617">
      <c r="A1617" t="n">
        <v>1616</v>
      </c>
      <c r="B1617" t="inlineStr">
        <is>
          <t>Raw Material</t>
        </is>
      </c>
      <c r="C1617" t="inlineStr">
        <is>
          <t>ក្លាក ហ៊ូ ឯ.ក</t>
        </is>
      </c>
      <c r="D1617" t="inlineStr">
        <is>
          <t>K007-901639199</t>
        </is>
      </c>
      <c r="E1617" t="inlineStr">
        <is>
          <t>IN2478</t>
        </is>
      </c>
      <c r="F1617" t="inlineStr">
        <is>
          <t>31-10-2024</t>
        </is>
      </c>
      <c r="G1617" t="n">
        <v>433116</v>
      </c>
      <c r="I1617">
        <f>G1617</f>
        <v/>
      </c>
      <c r="K1617">
        <f>I1617-G1617</f>
        <v/>
      </c>
      <c r="M1617" t="inlineStr">
        <is>
          <t>IN2478</t>
        </is>
      </c>
      <c r="N1617" t="inlineStr">
        <is>
          <t>8260000</t>
        </is>
      </c>
      <c r="O1617">
        <f>M1617=N1617</f>
        <v/>
      </c>
      <c r="P1617">
        <f>AND(MONTH(F1617)=MONTH(S1617), YEAR(F1617)=YEAR(S1617))</f>
        <v/>
      </c>
      <c r="Q1617">
        <f>"L001-902303751"=U1617</f>
        <v/>
      </c>
      <c r="R1617">
        <f>G1617-W1617</f>
        <v/>
      </c>
      <c r="S1617" s="36" t="n">
        <v>45208</v>
      </c>
      <c r="T1617" t="n">
        <v>82600</v>
      </c>
      <c r="U1617" t="inlineStr">
        <is>
          <t>K002-901800477</t>
        </is>
      </c>
      <c r="V1617" t="inlineStr">
        <is>
          <t>អាយធីអាយ អ៊ិនធើណេសិនណល ត្រេនស័្ពរថេសិន (ខេមបូឌា) ឯ.ក</t>
        </is>
      </c>
      <c r="W1617" t="n">
        <v>82600</v>
      </c>
      <c r="X1617" t="n">
        <v>0</v>
      </c>
    </row>
    <row r="1618">
      <c r="A1618" t="n">
        <v>1617</v>
      </c>
      <c r="B1618" t="inlineStr">
        <is>
          <t>Raw Material</t>
        </is>
      </c>
      <c r="C1618" t="inlineStr">
        <is>
          <t>ក្លាក ហ៊ូ ឯ.ក</t>
        </is>
      </c>
      <c r="D1618" t="inlineStr">
        <is>
          <t>K007-901639199</t>
        </is>
      </c>
      <c r="E1618" t="inlineStr">
        <is>
          <t>IN2479</t>
        </is>
      </c>
      <c r="F1618" t="inlineStr">
        <is>
          <t>31-10-2024</t>
        </is>
      </c>
      <c r="G1618" t="n">
        <v>223262</v>
      </c>
      <c r="I1618">
        <f>G1618</f>
        <v/>
      </c>
      <c r="K1618">
        <f>I1618-G1618</f>
        <v/>
      </c>
      <c r="M1618" t="inlineStr">
        <is>
          <t>IN2479</t>
        </is>
      </c>
      <c r="N1618" t="inlineStr">
        <is>
          <t>56883600</t>
        </is>
      </c>
      <c r="O1618">
        <f>M1618=N1618</f>
        <v/>
      </c>
      <c r="P1618">
        <f>AND(MONTH(F1618)=MONTH(S1618), YEAR(F1618)=YEAR(S1618))</f>
        <v/>
      </c>
      <c r="Q1618">
        <f>"L001-902303751"=U1618</f>
        <v/>
      </c>
      <c r="R1618">
        <f>G1618-W1618</f>
        <v/>
      </c>
      <c r="S1618" s="36" t="n">
        <v>45200</v>
      </c>
      <c r="T1618" t="n">
        <v>568836</v>
      </c>
      <c r="U1618" t="inlineStr">
        <is>
          <t>L001-100044956</t>
        </is>
      </c>
      <c r="V1618" t="inlineStr">
        <is>
          <t>ជី លីង អិចប្រេស ឡូជីស្ទីក (ខេមបូឌា) លីមីធីត</t>
        </is>
      </c>
      <c r="W1618" t="n">
        <v>568836</v>
      </c>
      <c r="X1618" t="n">
        <v>0</v>
      </c>
    </row>
    <row r="1619">
      <c r="A1619" t="n">
        <v>1618</v>
      </c>
      <c r="B1619" t="inlineStr">
        <is>
          <t>Customs Clearance Fee and Trucking Fee</t>
        </is>
      </c>
      <c r="C1619" t="inlineStr">
        <is>
          <t>ត្រាយអ៊ែងហ្គល ឡូជីស្ទីក (ខេមបូឌា) ឯ.ក</t>
        </is>
      </c>
      <c r="D1619" t="inlineStr">
        <is>
          <t>K010-902101743</t>
        </is>
      </c>
      <c r="E1619" t="inlineStr">
        <is>
          <t>TAG-24-00824</t>
        </is>
      </c>
      <c r="F1619" t="inlineStr">
        <is>
          <t>31-10-2024</t>
        </is>
      </c>
      <c r="G1619" t="n">
        <v>109701</v>
      </c>
      <c r="I1619">
        <f>G1619</f>
        <v/>
      </c>
      <c r="K1619">
        <f>I1619-G1619</f>
        <v/>
      </c>
      <c r="M1619" t="inlineStr">
        <is>
          <t>TAG2400824</t>
        </is>
      </c>
      <c r="N1619" t="inlineStr"/>
      <c r="O1619">
        <f>M1619=N1619</f>
        <v/>
      </c>
      <c r="P1619">
        <f>AND(MONTH(F1619)=MONTH(S1619), YEAR(F1619)=YEAR(S1619))</f>
        <v/>
      </c>
      <c r="Q1619">
        <f>"L001-902303751"=U1619</f>
        <v/>
      </c>
      <c r="R1619">
        <f>G1619-W1619</f>
        <v/>
      </c>
      <c r="S1619" s="36" t="n">
        <v>45200</v>
      </c>
      <c r="T1619" t="inlineStr"/>
      <c r="U1619" t="inlineStr">
        <is>
          <t>K005-100150195</t>
        </is>
      </c>
      <c r="V1619" t="inlineStr">
        <is>
          <t>អេស អ វី ស៊ី ហ្វ្រេត សឺវីស (ខេមបូឌា) ខូ អិលធីឌី</t>
        </is>
      </c>
      <c r="W1619" t="n">
        <v>0</v>
      </c>
      <c r="X1619" t="n">
        <v>0</v>
      </c>
    </row>
    <row r="1620">
      <c r="A1620" t="n">
        <v>1619</v>
      </c>
      <c r="B1620" t="inlineStr">
        <is>
          <t>Transportation Fee</t>
        </is>
      </c>
      <c r="C1620" t="inlineStr">
        <is>
          <t>យូ អេហ្វ អេស គ្លូប៊ល អិចប្រេស ឡូជីស្ទីក</t>
        </is>
      </c>
      <c r="D1620" t="inlineStr">
        <is>
          <t>K010-108005623</t>
        </is>
      </c>
      <c r="E1620" t="inlineStr">
        <is>
          <t>UFS-00827</t>
        </is>
      </c>
      <c r="F1620" t="inlineStr">
        <is>
          <t>31-10-2024</t>
        </is>
      </c>
      <c r="G1620" t="n">
        <v>3619958</v>
      </c>
      <c r="I1620">
        <f>G1620</f>
        <v/>
      </c>
      <c r="K1620">
        <f>I1620-G1620</f>
        <v/>
      </c>
      <c r="M1620" t="inlineStr">
        <is>
          <t>UFS00827</t>
        </is>
      </c>
      <c r="N1620" t="inlineStr">
        <is>
          <t>50909700</t>
        </is>
      </c>
      <c r="O1620">
        <f>M1620=N1620</f>
        <v/>
      </c>
      <c r="P1620">
        <f>AND(MONTH(F1620)=MONTH(S1620), YEAR(F1620)=YEAR(S1620))</f>
        <v/>
      </c>
      <c r="Q1620">
        <f>"L001-902303751"=U1620</f>
        <v/>
      </c>
      <c r="R1620">
        <f>G1620-W1620</f>
        <v/>
      </c>
      <c r="S1620" s="36" t="n">
        <v>45224</v>
      </c>
      <c r="T1620" t="n">
        <v>509097</v>
      </c>
      <c r="U1620" t="inlineStr">
        <is>
          <t>L001-100182259</t>
        </is>
      </c>
      <c r="V1620" t="inlineStr">
        <is>
          <t>សាខាក្រុមហ៊ុន ប៊ី ឡូជីស្ទីក ខបភើរេសិន (ខេមបូឌា)</t>
        </is>
      </c>
      <c r="W1620" t="n">
        <v>509097</v>
      </c>
      <c r="X1620" t="n">
        <v>0</v>
      </c>
    </row>
    <row r="1621">
      <c r="A1621" t="n">
        <v>1620</v>
      </c>
      <c r="B1621" t="inlineStr">
        <is>
          <t>OM Forwarding Fee, Terminal Handling, Carrier BL, Document Assembly, VGM Admin Fee and Container Seal</t>
        </is>
      </c>
      <c r="C1621" t="inlineStr">
        <is>
          <t>អ៊ិចស្ពែឌីធ័រ ខេមបូឌា អិលធីឌី</t>
        </is>
      </c>
      <c r="D1621" t="inlineStr">
        <is>
          <t>L001-100045898</t>
        </is>
      </c>
      <c r="E1621" t="inlineStr">
        <is>
          <t>TI-0295113</t>
        </is>
      </c>
      <c r="F1621" t="inlineStr">
        <is>
          <t>31-10-2024</t>
        </is>
      </c>
      <c r="G1621" t="n">
        <v>162520</v>
      </c>
      <c r="I1621">
        <f>G1621</f>
        <v/>
      </c>
      <c r="K1621">
        <f>I1621-G1621</f>
        <v/>
      </c>
      <c r="M1621" t="inlineStr">
        <is>
          <t>TI0295113</t>
        </is>
      </c>
      <c r="N1621" t="inlineStr">
        <is>
          <t>8270000</t>
        </is>
      </c>
      <c r="O1621">
        <f>M1621=N1621</f>
        <v/>
      </c>
      <c r="P1621">
        <f>AND(MONTH(F1621)=MONTH(S1621), YEAR(F1621)=YEAR(S1621))</f>
        <v/>
      </c>
      <c r="Q1621">
        <f>"L001-902303751"=U1621</f>
        <v/>
      </c>
      <c r="R1621">
        <f>G1621-W1621</f>
        <v/>
      </c>
      <c r="S1621" s="36" t="n">
        <v>45222</v>
      </c>
      <c r="T1621" t="n">
        <v>82700</v>
      </c>
      <c r="U1621" t="inlineStr">
        <is>
          <t>K005-901902888</t>
        </is>
      </c>
      <c r="V1621" t="inlineStr">
        <is>
          <t>អឹឡាយអិន ហ្វ័រវើឌីង (ខេមបូឌា) ឯ.ក</t>
        </is>
      </c>
      <c r="W1621" t="n">
        <v>82700</v>
      </c>
      <c r="X1621" t="n">
        <v>0</v>
      </c>
    </row>
    <row r="1622">
      <c r="A1622" t="n">
        <v>1621</v>
      </c>
      <c r="B1622" t="inlineStr">
        <is>
          <t>Customs Clearance Fee and Trucking Fee</t>
        </is>
      </c>
      <c r="C1622" t="inlineStr">
        <is>
          <t>ត្រាយអ៊ែងហ្គល ឡូជីស្ទីក (ខេមបូឌា) ឯ.ក</t>
        </is>
      </c>
      <c r="D1622" t="inlineStr">
        <is>
          <t>K010-902101743</t>
        </is>
      </c>
      <c r="E1622" t="inlineStr">
        <is>
          <t>TAG-24-00833</t>
        </is>
      </c>
      <c r="F1622" t="inlineStr">
        <is>
          <t>31-10-2024</t>
        </is>
      </c>
      <c r="G1622" t="n">
        <v>60782</v>
      </c>
      <c r="I1622">
        <f>G1622</f>
        <v/>
      </c>
      <c r="K1622">
        <f>I1622-G1622</f>
        <v/>
      </c>
      <c r="M1622" t="inlineStr">
        <is>
          <t>TAG2400833</t>
        </is>
      </c>
      <c r="N1622" t="inlineStr"/>
      <c r="O1622">
        <f>M1622=N1622</f>
        <v/>
      </c>
      <c r="P1622">
        <f>AND(MONTH(F1622)=MONTH(S1622), YEAR(F1622)=YEAR(S1622))</f>
        <v/>
      </c>
      <c r="Q1622">
        <f>"L001-902303751"=U1622</f>
        <v/>
      </c>
      <c r="R1622">
        <f>G1622-W1622</f>
        <v/>
      </c>
      <c r="S1622" s="36" t="n">
        <v>45224</v>
      </c>
      <c r="T1622" t="inlineStr"/>
      <c r="U1622" t="inlineStr">
        <is>
          <t>L001-103007369</t>
        </is>
      </c>
      <c r="V1622" t="inlineStr">
        <is>
          <t>អូរៀនថល ឡូជីស្ទីក &amp; ឌីស្ទ្រីប៊្យូសិន (ខេមបូឌា)</t>
        </is>
      </c>
      <c r="W1622" t="n">
        <v>0</v>
      </c>
      <c r="X1622" t="n">
        <v>0</v>
      </c>
    </row>
    <row r="1623">
      <c r="A1623" t="n">
        <v>1622</v>
      </c>
      <c r="B1623" t="inlineStr">
        <is>
          <t>Customs Clearance Fee and Trucking Fee</t>
        </is>
      </c>
      <c r="C1623" t="inlineStr">
        <is>
          <t>ត្រាយអ៊ែងហ្គល ឡូជីស្ទីក (ខេមបូឌា) ឯ.ក</t>
        </is>
      </c>
      <c r="D1623" t="inlineStr">
        <is>
          <t>K010-902101743</t>
        </is>
      </c>
      <c r="E1623" t="inlineStr">
        <is>
          <t>TAG-24-00832</t>
        </is>
      </c>
      <c r="F1623" t="inlineStr">
        <is>
          <t>31-10-2024</t>
        </is>
      </c>
      <c r="G1623" t="n">
        <v>32504</v>
      </c>
      <c r="I1623">
        <f>G1623</f>
        <v/>
      </c>
      <c r="K1623">
        <f>I1623-G1623</f>
        <v/>
      </c>
      <c r="M1623" t="inlineStr">
        <is>
          <t>TAG2400832</t>
        </is>
      </c>
      <c r="N1623" t="inlineStr"/>
      <c r="O1623">
        <f>M1623=N1623</f>
        <v/>
      </c>
      <c r="P1623">
        <f>AND(MONTH(F1623)=MONTH(S1623), YEAR(F1623)=YEAR(S1623))</f>
        <v/>
      </c>
      <c r="Q1623">
        <f>"L001-902303751"=U1623</f>
        <v/>
      </c>
      <c r="R1623">
        <f>G1623-W1623</f>
        <v/>
      </c>
      <c r="S1623" s="36" t="n">
        <v>45202</v>
      </c>
      <c r="T1623" t="inlineStr"/>
      <c r="U1623" t="inlineStr">
        <is>
          <t>L001-107041723</t>
        </is>
      </c>
      <c r="V1623" t="inlineStr">
        <is>
          <t>ឌីប៊ី សេនឃើរ (ខេមបូឌា) លីមីធីត</t>
        </is>
      </c>
      <c r="W1623" t="n">
        <v>0</v>
      </c>
      <c r="X1623" t="n">
        <v>0</v>
      </c>
    </row>
    <row r="1624">
      <c r="A1624" t="n">
        <v>1623</v>
      </c>
      <c r="B1624" t="inlineStr">
        <is>
          <t>Customs Clearance Fee</t>
        </is>
      </c>
      <c r="C1624" t="inlineStr">
        <is>
          <t>ត្រាយអ៊ែងហ្គល ឡូជីស្ទីក (ខេមបូឌា) ឯ.ក</t>
        </is>
      </c>
      <c r="D1624" t="inlineStr">
        <is>
          <t>K010-902101743</t>
        </is>
      </c>
      <c r="E1624" t="inlineStr">
        <is>
          <t>TAG-24-00831</t>
        </is>
      </c>
      <c r="F1624" t="inlineStr">
        <is>
          <t>31-10-2024</t>
        </is>
      </c>
      <c r="G1624" t="n">
        <v>8126</v>
      </c>
      <c r="I1624">
        <f>G1624</f>
        <v/>
      </c>
      <c r="K1624">
        <f>I1624-G1624</f>
        <v/>
      </c>
      <c r="M1624" t="inlineStr">
        <is>
          <t>TAG2400831</t>
        </is>
      </c>
      <c r="N1624" t="inlineStr">
        <is>
          <t>8254000</t>
        </is>
      </c>
      <c r="O1624">
        <f>M1624=N1624</f>
        <v/>
      </c>
      <c r="P1624">
        <f>AND(MONTH(F1624)=MONTH(S1624), YEAR(F1624)=YEAR(S1624))</f>
        <v/>
      </c>
      <c r="Q1624">
        <f>"L001-902303751"=U1624</f>
        <v/>
      </c>
      <c r="R1624">
        <f>G1624-W1624</f>
        <v/>
      </c>
      <c r="S1624" s="36" t="n">
        <v>45202</v>
      </c>
      <c r="T1624" t="n">
        <v>82540</v>
      </c>
      <c r="U1624" t="inlineStr">
        <is>
          <t>L001-107041723</t>
        </is>
      </c>
      <c r="V1624" t="inlineStr">
        <is>
          <t>ឌីប៊ី សេនឃើរ (ខេមបូឌា) លីមីធីត</t>
        </is>
      </c>
      <c r="W1624" t="n">
        <v>82540</v>
      </c>
      <c r="X1624" t="n">
        <v>0</v>
      </c>
    </row>
    <row r="1625">
      <c r="A1625" t="n">
        <v>1624</v>
      </c>
      <c r="B1625" t="inlineStr">
        <is>
          <t>Customs Clearance Fee</t>
        </is>
      </c>
      <c r="C1625" t="inlineStr">
        <is>
          <t>ត្រាយអ៊ែងហ្គល ឡូជីស្ទីក (ខេមបូឌា) ឯ.ក</t>
        </is>
      </c>
      <c r="D1625" t="inlineStr">
        <is>
          <t>K010-902101743</t>
        </is>
      </c>
      <c r="E1625" t="inlineStr">
        <is>
          <t>TAG-24-00830</t>
        </is>
      </c>
      <c r="F1625" t="inlineStr">
        <is>
          <t>31-10-2024</t>
        </is>
      </c>
      <c r="G1625" t="n">
        <v>8126</v>
      </c>
      <c r="I1625">
        <f>G1625</f>
        <v/>
      </c>
      <c r="K1625">
        <f>I1625-G1625</f>
        <v/>
      </c>
      <c r="M1625" t="inlineStr">
        <is>
          <t>TAG2400830</t>
        </is>
      </c>
      <c r="N1625" t="inlineStr">
        <is>
          <t>11129400</t>
        </is>
      </c>
      <c r="O1625">
        <f>M1625=N1625</f>
        <v/>
      </c>
      <c r="P1625">
        <f>AND(MONTH(F1625)=MONTH(S1625), YEAR(F1625)=YEAR(S1625))</f>
        <v/>
      </c>
      <c r="Q1625">
        <f>"L001-902303751"=U1625</f>
        <v/>
      </c>
      <c r="R1625">
        <f>G1625-W1625</f>
        <v/>
      </c>
      <c r="S1625" s="36" t="n">
        <v>45200</v>
      </c>
      <c r="T1625" t="n">
        <v>111294</v>
      </c>
      <c r="U1625" t="inlineStr">
        <is>
          <t>K002-901800477</t>
        </is>
      </c>
      <c r="V1625" t="inlineStr">
        <is>
          <t>អាយធីអាយ អ៊ិនធើណេសិនណល ត្រេនស័្ពរថេសិន (ខេមបូឌា) ឯ.ក</t>
        </is>
      </c>
      <c r="W1625" t="n">
        <v>111294</v>
      </c>
      <c r="X1625" t="n">
        <v>0</v>
      </c>
    </row>
    <row r="1626">
      <c r="A1626" t="n">
        <v>1625</v>
      </c>
      <c r="B1626" t="inlineStr">
        <is>
          <t>Customs Clearance Fee</t>
        </is>
      </c>
      <c r="C1626" t="inlineStr">
        <is>
          <t>ត្រាយអ៊ែងហ្គល ឡូជីស្ទីក (ខេមបូឌា) ឯ.ក</t>
        </is>
      </c>
      <c r="D1626" t="inlineStr">
        <is>
          <t>K010-902101743</t>
        </is>
      </c>
      <c r="E1626" t="inlineStr">
        <is>
          <t>TAG-24-00829</t>
        </is>
      </c>
      <c r="F1626" t="inlineStr">
        <is>
          <t>31-10-2024</t>
        </is>
      </c>
      <c r="G1626" t="n">
        <v>8126</v>
      </c>
      <c r="I1626">
        <f>G1626</f>
        <v/>
      </c>
      <c r="K1626">
        <f>I1626-G1626</f>
        <v/>
      </c>
      <c r="M1626" t="inlineStr">
        <is>
          <t>TAG2400829</t>
        </is>
      </c>
      <c r="N1626" t="inlineStr">
        <is>
          <t>8518100</t>
        </is>
      </c>
      <c r="O1626">
        <f>M1626=N1626</f>
        <v/>
      </c>
      <c r="P1626">
        <f>AND(MONTH(F1626)=MONTH(S1626), YEAR(F1626)=YEAR(S1626))</f>
        <v/>
      </c>
      <c r="Q1626">
        <f>"L001-902303751"=U1626</f>
        <v/>
      </c>
      <c r="R1626">
        <f>G1626-W1626</f>
        <v/>
      </c>
      <c r="S1626" s="36" t="n">
        <v>45222</v>
      </c>
      <c r="T1626" t="n">
        <v>85181</v>
      </c>
      <c r="U1626" t="inlineStr">
        <is>
          <t>K003-901635943</t>
        </is>
      </c>
      <c r="V1626" t="inlineStr">
        <is>
          <t>អ៊ីឃ្យូឡាញ វើលវ៉ាយដ៍ ឡូជីស្ទីក</t>
        </is>
      </c>
      <c r="W1626" t="n">
        <v>85181</v>
      </c>
      <c r="X1626" t="n">
        <v>0</v>
      </c>
    </row>
    <row r="1627">
      <c r="A1627" t="n">
        <v>1626</v>
      </c>
      <c r="B1627" t="inlineStr">
        <is>
          <t>Customs Clearance Fee</t>
        </is>
      </c>
      <c r="C1627" t="inlineStr">
        <is>
          <t>ត្រាយអ៊ែងហ្គល ឡូជីស្ទីក (ខេមបូឌា) ឯ.ក</t>
        </is>
      </c>
      <c r="D1627" t="inlineStr">
        <is>
          <t>K010-902101743</t>
        </is>
      </c>
      <c r="E1627" t="inlineStr">
        <is>
          <t>TAG-24-00828</t>
        </is>
      </c>
      <c r="F1627" t="inlineStr">
        <is>
          <t>31-10-2024</t>
        </is>
      </c>
      <c r="G1627" t="n">
        <v>8126</v>
      </c>
      <c r="I1627">
        <f>G1627</f>
        <v/>
      </c>
      <c r="K1627">
        <f>I1627-G1627</f>
        <v/>
      </c>
      <c r="M1627" t="inlineStr">
        <is>
          <t>TAG2400828</t>
        </is>
      </c>
      <c r="N1627" t="inlineStr">
        <is>
          <t>8274000</t>
        </is>
      </c>
      <c r="O1627">
        <f>M1627=N1627</f>
        <v/>
      </c>
      <c r="P1627">
        <f>AND(MONTH(F1627)=MONTH(S1627), YEAR(F1627)=YEAR(S1627))</f>
        <v/>
      </c>
      <c r="Q1627">
        <f>"L001-902303751"=U1627</f>
        <v/>
      </c>
      <c r="R1627">
        <f>G1627-W1627</f>
        <v/>
      </c>
      <c r="S1627" s="36" t="n">
        <v>45227</v>
      </c>
      <c r="T1627" t="n">
        <v>82740</v>
      </c>
      <c r="U1627" t="inlineStr">
        <is>
          <t>K003-901635943</t>
        </is>
      </c>
      <c r="V1627" t="inlineStr">
        <is>
          <t>អ៊ីឃ្យូឡាញ វើលវ៉ាយដ៍ ឡូជីស្ទីក</t>
        </is>
      </c>
      <c r="W1627" t="n">
        <v>82740</v>
      </c>
      <c r="X1627" t="n">
        <v>0</v>
      </c>
    </row>
    <row r="1628">
      <c r="A1628" t="n">
        <v>1627</v>
      </c>
      <c r="B1628" t="inlineStr">
        <is>
          <t>Customs Clearance Fee and Trucking Fee</t>
        </is>
      </c>
      <c r="C1628" t="inlineStr">
        <is>
          <t>ត្រាយអ៊ែងហ្គល ឡូជីស្ទីក (ខេមបូឌា) ឯ.ក</t>
        </is>
      </c>
      <c r="D1628" t="inlineStr">
        <is>
          <t>K010-902101743</t>
        </is>
      </c>
      <c r="E1628" t="inlineStr">
        <is>
          <t>TAG-24-00826</t>
        </is>
      </c>
      <c r="F1628" t="inlineStr">
        <is>
          <t>31-10-2024</t>
        </is>
      </c>
      <c r="G1628" t="n">
        <v>49731</v>
      </c>
      <c r="I1628">
        <f>G1628</f>
        <v/>
      </c>
      <c r="K1628">
        <f>I1628-G1628</f>
        <v/>
      </c>
      <c r="M1628" t="inlineStr">
        <is>
          <t>TAG2400826</t>
        </is>
      </c>
      <c r="N1628" t="inlineStr">
        <is>
          <t>8274000</t>
        </is>
      </c>
      <c r="O1628">
        <f>M1628=N1628</f>
        <v/>
      </c>
      <c r="P1628">
        <f>AND(MONTH(F1628)=MONTH(S1628), YEAR(F1628)=YEAR(S1628))</f>
        <v/>
      </c>
      <c r="Q1628">
        <f>"L001-902303751"=U1628</f>
        <v/>
      </c>
      <c r="R1628">
        <f>G1628-W1628</f>
        <v/>
      </c>
      <c r="S1628" s="36" t="n">
        <v>45226</v>
      </c>
      <c r="T1628" t="n">
        <v>82740</v>
      </c>
      <c r="U1628" t="inlineStr">
        <is>
          <t>L001-100045995</t>
        </is>
      </c>
      <c r="V1628" t="inlineStr">
        <is>
          <t>ឌីអេចអិល ឡូជីស្ទីក (ខេមបូឌា)</t>
        </is>
      </c>
      <c r="W1628" t="n">
        <v>82740</v>
      </c>
      <c r="X1628" t="n">
        <v>0</v>
      </c>
    </row>
    <row r="1629">
      <c r="A1629" t="n">
        <v>1628</v>
      </c>
      <c r="B1629" t="inlineStr">
        <is>
          <t>Customs Clearance Fee and Trucking Fee</t>
        </is>
      </c>
      <c r="C1629" t="inlineStr">
        <is>
          <t>ត្រាយអ៊ែងហ្គល ឡូជីស្ទីក (ខេមបូឌា) ឯ.ក</t>
        </is>
      </c>
      <c r="D1629" t="inlineStr">
        <is>
          <t>K010-902101743</t>
        </is>
      </c>
      <c r="E1629" t="inlineStr">
        <is>
          <t>TAG-24-00821</t>
        </is>
      </c>
      <c r="F1629" t="inlineStr">
        <is>
          <t>31-10-2024</t>
        </is>
      </c>
      <c r="G1629" t="n">
        <v>32504</v>
      </c>
      <c r="I1629">
        <f>G1629</f>
        <v/>
      </c>
      <c r="K1629">
        <f>I1629-G1629</f>
        <v/>
      </c>
      <c r="M1629" t="inlineStr">
        <is>
          <t>TAG2400821</t>
        </is>
      </c>
      <c r="N1629" t="inlineStr">
        <is>
          <t>48816600</t>
        </is>
      </c>
      <c r="O1629">
        <f>M1629=N1629</f>
        <v/>
      </c>
      <c r="P1629">
        <f>AND(MONTH(F1629)=MONTH(S1629), YEAR(F1629)=YEAR(S1629))</f>
        <v/>
      </c>
      <c r="Q1629">
        <f>"L001-902303751"=U1629</f>
        <v/>
      </c>
      <c r="R1629">
        <f>G1629-W1629</f>
        <v/>
      </c>
      <c r="S1629" s="36" t="n">
        <v>45229</v>
      </c>
      <c r="T1629" t="n">
        <v>488166</v>
      </c>
      <c r="U1629" t="inlineStr">
        <is>
          <t>L001-100074669</t>
        </is>
      </c>
      <c r="V1629" t="inlineStr">
        <is>
          <t>ខេអិលអិន ហ្វ្រេត (ខេមបូឌា) ឯ.ក</t>
        </is>
      </c>
      <c r="W1629" t="n">
        <v>488166</v>
      </c>
      <c r="X1629" t="n">
        <v>0</v>
      </c>
    </row>
    <row r="1630">
      <c r="A1630" t="n">
        <v>1629</v>
      </c>
      <c r="B1630" t="inlineStr">
        <is>
          <t>Send Docs and Material</t>
        </is>
      </c>
      <c r="C1630" t="inlineStr">
        <is>
          <t>ឌី អេច អិល អិចប្រេស (ខេមបូឌា)</t>
        </is>
      </c>
      <c r="D1630" t="inlineStr">
        <is>
          <t>L001-100045197</t>
        </is>
      </c>
      <c r="E1630" t="inlineStr">
        <is>
          <t>PNHIR00250819</t>
        </is>
      </c>
      <c r="F1630" t="inlineStr">
        <is>
          <t>31-10-2024</t>
        </is>
      </c>
      <c r="G1630" t="n">
        <v>27474</v>
      </c>
      <c r="I1630">
        <f>G1630</f>
        <v/>
      </c>
      <c r="K1630">
        <f>I1630-G1630</f>
        <v/>
      </c>
      <c r="M1630" t="inlineStr">
        <is>
          <t>PNHIR00250819</t>
        </is>
      </c>
      <c r="N1630" t="inlineStr"/>
      <c r="O1630">
        <f>M1630=N1630</f>
        <v/>
      </c>
      <c r="P1630">
        <f>AND(MONTH(F1630)=MONTH(S1630), YEAR(F1630)=YEAR(S1630))</f>
        <v/>
      </c>
      <c r="Q1630">
        <f>"L001-902303751"=U1630</f>
        <v/>
      </c>
      <c r="R1630">
        <f>G1630-W1630</f>
        <v/>
      </c>
      <c r="S1630" s="36" t="n">
        <v>45224</v>
      </c>
      <c r="T1630" t="inlineStr"/>
      <c r="U1630" t="inlineStr">
        <is>
          <t>K002-901800477</t>
        </is>
      </c>
      <c r="V1630" t="inlineStr">
        <is>
          <t>អាយធីអាយ អ៊ិនធើណេសិនណល ត្រេនស័្ពរថេសិន (ខេមបូឌា) ឯ.ក</t>
        </is>
      </c>
      <c r="W1630" t="n">
        <v>0</v>
      </c>
      <c r="X1630" t="n">
        <v>0</v>
      </c>
    </row>
    <row r="1631">
      <c r="A1631" t="n">
        <v>1630</v>
      </c>
      <c r="B1631" t="inlineStr">
        <is>
          <t>Customs Clearance Fee</t>
        </is>
      </c>
      <c r="C1631" t="inlineStr">
        <is>
          <t>ត្រាយអ៊ែងហ្គល ឡូជីស្ទីក (ខេមបូឌា) ឯ.ក</t>
        </is>
      </c>
      <c r="D1631" t="inlineStr">
        <is>
          <t>K010-902101743</t>
        </is>
      </c>
      <c r="E1631" t="inlineStr">
        <is>
          <t>TAG-24-00820</t>
        </is>
      </c>
      <c r="F1631" t="inlineStr">
        <is>
          <t>31-10-2024</t>
        </is>
      </c>
      <c r="G1631" t="n">
        <v>8126</v>
      </c>
      <c r="I1631">
        <f>G1631</f>
        <v/>
      </c>
      <c r="K1631">
        <f>I1631-G1631</f>
        <v/>
      </c>
      <c r="M1631" t="inlineStr">
        <is>
          <t>TAG2400820</t>
        </is>
      </c>
      <c r="N1631" t="inlineStr">
        <is>
          <t>17333400</t>
        </is>
      </c>
      <c r="O1631">
        <f>M1631=N1631</f>
        <v/>
      </c>
      <c r="P1631">
        <f>AND(MONTH(F1631)=MONTH(S1631), YEAR(F1631)=YEAR(S1631))</f>
        <v/>
      </c>
      <c r="Q1631">
        <f>"L001-902303751"=U1631</f>
        <v/>
      </c>
      <c r="R1631">
        <f>G1631-W1631</f>
        <v/>
      </c>
      <c r="S1631" s="36" t="n">
        <v>45202</v>
      </c>
      <c r="T1631" t="n">
        <v>173334</v>
      </c>
      <c r="U1631" t="inlineStr">
        <is>
          <t>L001-107032791</t>
        </is>
      </c>
      <c r="V1631" t="inlineStr">
        <is>
          <t>នីបផន អិចប្រេស (ខេមបូឌា) ខូ អិលធីឌី</t>
        </is>
      </c>
      <c r="W1631" t="n">
        <v>173334</v>
      </c>
      <c r="X1631" t="n">
        <v>0</v>
      </c>
    </row>
    <row r="1632">
      <c r="A1632" t="n">
        <v>1631</v>
      </c>
      <c r="B1632" t="inlineStr">
        <is>
          <t>Customs Clearance Fee</t>
        </is>
      </c>
      <c r="C1632" t="inlineStr">
        <is>
          <t>ត្រាយអ៊ែងហ្គល ឡូជីស្ទីក (ខេមបូឌា) ឯ.ក</t>
        </is>
      </c>
      <c r="D1632" t="inlineStr">
        <is>
          <t>K010-902101743</t>
        </is>
      </c>
      <c r="E1632" t="inlineStr">
        <is>
          <t>TAG-24-00819</t>
        </is>
      </c>
      <c r="F1632" t="inlineStr">
        <is>
          <t>31-10-2024</t>
        </is>
      </c>
      <c r="G1632" t="n">
        <v>28441</v>
      </c>
      <c r="I1632">
        <f>G1632</f>
        <v/>
      </c>
      <c r="K1632">
        <f>I1632-G1632</f>
        <v/>
      </c>
      <c r="M1632" t="inlineStr">
        <is>
          <t>TAG2400819</t>
        </is>
      </c>
      <c r="N1632" t="inlineStr">
        <is>
          <t>11398800</t>
        </is>
      </c>
      <c r="O1632">
        <f>M1632=N1632</f>
        <v/>
      </c>
      <c r="P1632">
        <f>AND(MONTH(F1632)=MONTH(S1632), YEAR(F1632)=YEAR(S1632))</f>
        <v/>
      </c>
      <c r="Q1632">
        <f>"L001-902303751"=U1632</f>
        <v/>
      </c>
      <c r="R1632">
        <f>G1632-W1632</f>
        <v/>
      </c>
      <c r="S1632" s="36" t="n">
        <v>45208</v>
      </c>
      <c r="T1632" t="n">
        <v>113988</v>
      </c>
      <c r="U1632" t="inlineStr">
        <is>
          <t>K003-901635943</t>
        </is>
      </c>
      <c r="V1632" t="inlineStr">
        <is>
          <t>អ៊ីឃ្យូឡាញ វើលវ៉ាយដ៍ ឡូជីស្ទីក</t>
        </is>
      </c>
      <c r="W1632" t="n">
        <v>113988</v>
      </c>
      <c r="X1632" t="n">
        <v>0</v>
      </c>
    </row>
    <row r="1633">
      <c r="A1633" t="n">
        <v>1632</v>
      </c>
      <c r="B1633" t="inlineStr">
        <is>
          <t>Customs Clearance Fee and Trucking Fee</t>
        </is>
      </c>
      <c r="C1633" t="inlineStr">
        <is>
          <t>ត្រាយអ៊ែងហ្គល ឡូជីស្ទីក (ខេមបូឌា) ឯ.ក</t>
        </is>
      </c>
      <c r="D1633" t="inlineStr">
        <is>
          <t>K010-902101743</t>
        </is>
      </c>
      <c r="E1633" t="inlineStr">
        <is>
          <t>TAG-24-00818</t>
        </is>
      </c>
      <c r="F1633" t="inlineStr">
        <is>
          <t>31-10-2024</t>
        </is>
      </c>
      <c r="G1633" t="n">
        <v>28441</v>
      </c>
      <c r="I1633">
        <f>G1633</f>
        <v/>
      </c>
      <c r="K1633">
        <f>I1633-G1633</f>
        <v/>
      </c>
      <c r="M1633" t="inlineStr">
        <is>
          <t>TAG2400818</t>
        </is>
      </c>
      <c r="N1633" t="inlineStr">
        <is>
          <t>9192100</t>
        </is>
      </c>
      <c r="O1633">
        <f>M1633=N1633</f>
        <v/>
      </c>
      <c r="P1633">
        <f>AND(MONTH(F1633)=MONTH(S1633), YEAR(F1633)=YEAR(S1633))</f>
        <v/>
      </c>
      <c r="Q1633">
        <f>"L001-902303751"=U1633</f>
        <v/>
      </c>
      <c r="R1633">
        <f>G1633-W1633</f>
        <v/>
      </c>
      <c r="S1633" s="36" t="n">
        <v>45200</v>
      </c>
      <c r="T1633" t="n">
        <v>91921</v>
      </c>
      <c r="U1633" t="inlineStr">
        <is>
          <t>L001-107000385</t>
        </is>
      </c>
      <c r="V1633" t="inlineStr">
        <is>
          <t>អិចស្ពោលាំងកា ហ្រ្វេត (ខេមបូឌា) លីមីធីត</t>
        </is>
      </c>
      <c r="W1633" t="n">
        <v>91921</v>
      </c>
      <c r="X1633" t="n">
        <v>0</v>
      </c>
    </row>
    <row r="1634">
      <c r="A1634" t="n">
        <v>1633</v>
      </c>
      <c r="B1634" t="inlineStr">
        <is>
          <t>Customs Clearance Fee</t>
        </is>
      </c>
      <c r="C1634" t="inlineStr">
        <is>
          <t>ត្រាយអ៊ែងហ្គល ឡូជីស្ទីក (ខេមបូឌា) ឯ.ក</t>
        </is>
      </c>
      <c r="D1634" t="inlineStr">
        <is>
          <t>K010-902101743</t>
        </is>
      </c>
      <c r="E1634" t="inlineStr">
        <is>
          <t>TAG-24-00816</t>
        </is>
      </c>
      <c r="F1634" t="inlineStr">
        <is>
          <t>31-10-2024</t>
        </is>
      </c>
      <c r="G1634" t="n">
        <v>8126</v>
      </c>
      <c r="I1634">
        <f>G1634</f>
        <v/>
      </c>
      <c r="K1634">
        <f>I1634-G1634</f>
        <v/>
      </c>
      <c r="M1634" t="inlineStr">
        <is>
          <t>TAG2400816</t>
        </is>
      </c>
      <c r="N1634" t="inlineStr">
        <is>
          <t>8278000</t>
        </is>
      </c>
      <c r="O1634">
        <f>M1634=N1634</f>
        <v/>
      </c>
      <c r="P1634">
        <f>AND(MONTH(F1634)=MONTH(S1634), YEAR(F1634)=YEAR(S1634))</f>
        <v/>
      </c>
      <c r="Q1634">
        <f>"L001-902303751"=U1634</f>
        <v/>
      </c>
      <c r="R1634">
        <f>G1634-W1634</f>
        <v/>
      </c>
      <c r="S1634" s="36" t="n">
        <v>45224</v>
      </c>
      <c r="T1634" t="n">
        <v>82780</v>
      </c>
      <c r="U1634" t="inlineStr">
        <is>
          <t>K010-902101743</t>
        </is>
      </c>
      <c r="V1634" t="inlineStr">
        <is>
          <t>ត្រាយអ៊ែងហ្គល ឡូជីស្ទីក (ខេមបូឌា) ឯ.ក</t>
        </is>
      </c>
      <c r="W1634" t="n">
        <v>82780</v>
      </c>
      <c r="X1634" t="n">
        <v>0</v>
      </c>
    </row>
    <row r="1635">
      <c r="A1635" t="n">
        <v>1634</v>
      </c>
      <c r="B1635" t="inlineStr">
        <is>
          <t>Trucking, Customs Clearance, Extra Trucking and Truck Fuel Surcharge</t>
        </is>
      </c>
      <c r="C1635" t="inlineStr">
        <is>
          <t>អេស អ វី ស៊ី ហ្វ្រេត សឺវីស (ខេមបូឌា) ខូ អិលធីឌី</t>
        </is>
      </c>
      <c r="D1635" t="inlineStr">
        <is>
          <t>K005-100150195</t>
        </is>
      </c>
      <c r="E1635" t="inlineStr">
        <is>
          <t>SRVI2406836</t>
        </is>
      </c>
      <c r="F1635" t="inlineStr">
        <is>
          <t>31-10-2024</t>
        </is>
      </c>
      <c r="G1635" t="n">
        <v>176741</v>
      </c>
      <c r="I1635">
        <f>G1635</f>
        <v/>
      </c>
      <c r="K1635">
        <f>I1635-G1635</f>
        <v/>
      </c>
      <c r="M1635" t="inlineStr">
        <is>
          <t>SRVI2406836</t>
        </is>
      </c>
      <c r="N1635" t="inlineStr">
        <is>
          <t>11142900</t>
        </is>
      </c>
      <c r="O1635">
        <f>M1635=N1635</f>
        <v/>
      </c>
      <c r="P1635">
        <f>AND(MONTH(F1635)=MONTH(S1635), YEAR(F1635)=YEAR(S1635))</f>
        <v/>
      </c>
      <c r="Q1635">
        <f>"L001-902303751"=U1635</f>
        <v/>
      </c>
      <c r="R1635">
        <f>G1635-W1635</f>
        <v/>
      </c>
      <c r="S1635" s="36" t="n">
        <v>45202</v>
      </c>
      <c r="T1635" t="n">
        <v>111429</v>
      </c>
      <c r="U1635" t="inlineStr">
        <is>
          <t>L001-107041723</t>
        </is>
      </c>
      <c r="V1635" t="inlineStr">
        <is>
          <t>ឌីប៊ី សេនឃើរ (ខេមបូឌា) លីមីធីត</t>
        </is>
      </c>
      <c r="W1635" t="n">
        <v>111429</v>
      </c>
      <c r="X1635" t="n">
        <v>0</v>
      </c>
    </row>
    <row r="1636">
      <c r="A1636" t="n">
        <v>1635</v>
      </c>
      <c r="B1636" t="inlineStr">
        <is>
          <t>Send Docs and Material</t>
        </is>
      </c>
      <c r="C1636" t="inlineStr">
        <is>
          <t>ឌី អេច អិល អិចប្រេស (ខេមបូឌា)</t>
        </is>
      </c>
      <c r="D1636" t="inlineStr">
        <is>
          <t>L001-100045197</t>
        </is>
      </c>
      <c r="E1636" t="inlineStr">
        <is>
          <t>PNHR000508340</t>
        </is>
      </c>
      <c r="F1636" t="inlineStr">
        <is>
          <t>31-10-2024</t>
        </is>
      </c>
      <c r="G1636" t="n">
        <v>125339</v>
      </c>
      <c r="I1636">
        <f>G1636</f>
        <v/>
      </c>
      <c r="K1636">
        <f>I1636-G1636</f>
        <v/>
      </c>
      <c r="M1636" t="inlineStr">
        <is>
          <t>PNHR000508340</t>
        </is>
      </c>
      <c r="N1636" t="inlineStr"/>
      <c r="O1636">
        <f>M1636=N1636</f>
        <v/>
      </c>
      <c r="P1636">
        <f>AND(MONTH(F1636)=MONTH(S1636), YEAR(F1636)=YEAR(S1636))</f>
        <v/>
      </c>
      <c r="Q1636">
        <f>"L001-902303751"=U1636</f>
        <v/>
      </c>
      <c r="R1636">
        <f>G1636-W1636</f>
        <v/>
      </c>
      <c r="S1636" s="36" t="n">
        <v>45208</v>
      </c>
      <c r="T1636" t="inlineStr"/>
      <c r="U1636" t="inlineStr">
        <is>
          <t>L001-100045995</t>
        </is>
      </c>
      <c r="V1636" t="inlineStr">
        <is>
          <t>ឌីអេចអិល ឡូជីស្ទីក (ខេមបូឌា)</t>
        </is>
      </c>
      <c r="W1636" t="n">
        <v>0</v>
      </c>
      <c r="X1636" t="n">
        <v>0</v>
      </c>
    </row>
    <row r="1637">
      <c r="A1637" t="n">
        <v>1636</v>
      </c>
      <c r="B1637" t="inlineStr">
        <is>
          <t>Send Docs</t>
        </is>
      </c>
      <c r="C1637" t="inlineStr">
        <is>
          <t>ឌី អេច អិល អិចប្រេស (ខេមបូឌា)</t>
        </is>
      </c>
      <c r="D1637" t="inlineStr">
        <is>
          <t>L001-100045197</t>
        </is>
      </c>
      <c r="E1637" t="inlineStr">
        <is>
          <t>PNHIR00250820</t>
        </is>
      </c>
      <c r="F1637" t="inlineStr">
        <is>
          <t>31-10-2024</t>
        </is>
      </c>
      <c r="G1637" t="n">
        <v>12189</v>
      </c>
      <c r="I1637">
        <f>G1637</f>
        <v/>
      </c>
      <c r="K1637">
        <f>I1637-G1637</f>
        <v/>
      </c>
      <c r="M1637" t="inlineStr">
        <is>
          <t>PNHIR00250820</t>
        </is>
      </c>
      <c r="N1637" t="inlineStr"/>
      <c r="O1637">
        <f>M1637=N1637</f>
        <v/>
      </c>
      <c r="P1637">
        <f>AND(MONTH(F1637)=MONTH(S1637), YEAR(F1637)=YEAR(S1637))</f>
        <v/>
      </c>
      <c r="Q1637">
        <f>"L001-902303751"=U1637</f>
        <v/>
      </c>
      <c r="R1637">
        <f>G1637-W1637</f>
        <v/>
      </c>
      <c r="S1637" s="36" t="n">
        <v>45208</v>
      </c>
      <c r="T1637" t="inlineStr"/>
      <c r="U1637" t="inlineStr">
        <is>
          <t>L001-107041723</t>
        </is>
      </c>
      <c r="V1637" t="inlineStr">
        <is>
          <t>ឌីប៊ី សេនឃើរ (ខេមបូឌា) លីមីធីត</t>
        </is>
      </c>
      <c r="W1637" t="n">
        <v>0</v>
      </c>
      <c r="X1637" t="n">
        <v>0</v>
      </c>
    </row>
    <row r="1638">
      <c r="A1638" t="n">
        <v>1637</v>
      </c>
      <c r="B1638" t="inlineStr">
        <is>
          <t>Transportation Fee</t>
        </is>
      </c>
      <c r="C1638" t="inlineStr">
        <is>
          <t>សំអាង &amp; មករា ត្រេនស្ព័ត ឯ.ក</t>
        </is>
      </c>
      <c r="D1638" t="inlineStr">
        <is>
          <t>K010-902204282</t>
        </is>
      </c>
      <c r="E1638" t="inlineStr">
        <is>
          <t>202300108</t>
        </is>
      </c>
      <c r="F1638" t="inlineStr">
        <is>
          <t>31-10-2024</t>
        </is>
      </c>
      <c r="G1638" t="n">
        <v>943022</v>
      </c>
      <c r="I1638">
        <f>G1638</f>
        <v/>
      </c>
      <c r="K1638">
        <f>I1638-G1638</f>
        <v/>
      </c>
      <c r="M1638" t="inlineStr">
        <is>
          <t>202300108</t>
        </is>
      </c>
      <c r="N1638" t="inlineStr">
        <is>
          <t>11151000</t>
        </is>
      </c>
      <c r="O1638">
        <f>M1638=N1638</f>
        <v/>
      </c>
      <c r="P1638">
        <f>AND(MONTH(F1638)=MONTH(S1638), YEAR(F1638)=YEAR(S1638))</f>
        <v/>
      </c>
      <c r="Q1638">
        <f>"L001-902303751"=U1638</f>
        <v/>
      </c>
      <c r="R1638">
        <f>G1638-W1638</f>
        <v/>
      </c>
      <c r="S1638" s="36" t="n">
        <v>45208</v>
      </c>
      <c r="T1638" t="n">
        <v>111510</v>
      </c>
      <c r="U1638" t="inlineStr">
        <is>
          <t>L001-107041723</t>
        </is>
      </c>
      <c r="V1638" t="inlineStr">
        <is>
          <t>ឌីប៊ី សេនឃើរ (ខេមបូឌា) លីមីធីត</t>
        </is>
      </c>
      <c r="W1638" t="n">
        <v>111510</v>
      </c>
      <c r="X1638" t="n">
        <v>0</v>
      </c>
    </row>
    <row r="1639">
      <c r="A1639" t="n">
        <v>1638</v>
      </c>
      <c r="B1639" t="inlineStr">
        <is>
          <t>Thread</t>
        </is>
      </c>
      <c r="C1639" t="inlineStr">
        <is>
          <t>គ្លូប៊ល សុីលីន ហ្គាមុិន អេកសេសឺរី ឯ.ក</t>
        </is>
      </c>
      <c r="D1639" t="inlineStr">
        <is>
          <t>L001-902200857</t>
        </is>
      </c>
      <c r="E1639" t="inlineStr">
        <is>
          <t>000808</t>
        </is>
      </c>
      <c r="F1639" t="inlineStr">
        <is>
          <t>31-10-2024</t>
        </is>
      </c>
      <c r="G1639" t="n">
        <v>211276</v>
      </c>
      <c r="I1639">
        <f>G1639</f>
        <v/>
      </c>
      <c r="K1639">
        <f>I1639-G1639</f>
        <v/>
      </c>
      <c r="M1639" t="inlineStr">
        <is>
          <t>000808</t>
        </is>
      </c>
      <c r="N1639" t="inlineStr"/>
      <c r="O1639">
        <f>M1639=N1639</f>
        <v/>
      </c>
      <c r="P1639">
        <f>AND(MONTH(F1639)=MONTH(S1639), YEAR(F1639)=YEAR(S1639))</f>
        <v/>
      </c>
      <c r="Q1639">
        <f>"L001-902303751"=U1639</f>
        <v/>
      </c>
      <c r="R1639">
        <f>G1639-W1639</f>
        <v/>
      </c>
      <c r="S1639" s="36" t="n">
        <v>45200</v>
      </c>
      <c r="T1639" t="inlineStr"/>
      <c r="U1639" t="inlineStr">
        <is>
          <t>L001-100044956</t>
        </is>
      </c>
      <c r="V1639" t="inlineStr">
        <is>
          <t>ជី លីង អិចប្រេស ឡូជីស្ទីក (ខេមបូឌា) លីមីធីត</t>
        </is>
      </c>
      <c r="W1639" t="n">
        <v>0</v>
      </c>
      <c r="X1639" t="n">
        <v>0</v>
      </c>
    </row>
    <row r="1640">
      <c r="A1640" t="n">
        <v>1639</v>
      </c>
      <c r="B1640" t="inlineStr">
        <is>
          <t>Thread</t>
        </is>
      </c>
      <c r="C1640" t="inlineStr">
        <is>
          <t>គ្លូប៊ល សុីលីន ហ្គាមុិន អេកសេសឺរី ឯ.ក</t>
        </is>
      </c>
      <c r="D1640" t="inlineStr">
        <is>
          <t>L001-902200857</t>
        </is>
      </c>
      <c r="E1640" t="inlineStr">
        <is>
          <t>000807</t>
        </is>
      </c>
      <c r="F1640" t="inlineStr">
        <is>
          <t>31-10-2024</t>
        </is>
      </c>
      <c r="G1640" t="n">
        <v>199250</v>
      </c>
      <c r="I1640">
        <f>G1640</f>
        <v/>
      </c>
      <c r="K1640">
        <f>I1640-G1640</f>
        <v/>
      </c>
      <c r="M1640" t="inlineStr">
        <is>
          <t>000807</t>
        </is>
      </c>
      <c r="N1640" t="inlineStr"/>
      <c r="O1640">
        <f>M1640=N1640</f>
        <v/>
      </c>
      <c r="P1640">
        <f>AND(MONTH(F1640)=MONTH(S1640), YEAR(F1640)=YEAR(S1640))</f>
        <v/>
      </c>
      <c r="Q1640">
        <f>"L001-902303751"=U1640</f>
        <v/>
      </c>
      <c r="R1640">
        <f>G1640-W1640</f>
        <v/>
      </c>
      <c r="S1640" s="36" t="n">
        <v>45224</v>
      </c>
      <c r="T1640" t="inlineStr"/>
      <c r="U1640" t="inlineStr">
        <is>
          <t>K002-901800477</t>
        </is>
      </c>
      <c r="V1640" t="inlineStr">
        <is>
          <t>អាយធីអាយ អ៊ិនធើណេសិនណល ត្រេនស័្ពរថេសិន (ខេមបូឌា) ឯ.ក</t>
        </is>
      </c>
      <c r="W1640" t="n">
        <v>0</v>
      </c>
      <c r="X1640" t="n">
        <v>0</v>
      </c>
    </row>
    <row r="1641">
      <c r="A1641" t="n">
        <v>1640</v>
      </c>
      <c r="B1641" t="inlineStr">
        <is>
          <t>Coated Paper</t>
        </is>
      </c>
      <c r="C1641" t="inlineStr">
        <is>
          <t>ហ្គូដញូ ភែកឃីជីង ថេកណឡជី ឯ.ក</t>
        </is>
      </c>
      <c r="D1641" t="inlineStr">
        <is>
          <t>L001-901704919</t>
        </is>
      </c>
      <c r="E1641" t="inlineStr">
        <is>
          <t>TI-GN-2024-059</t>
        </is>
      </c>
      <c r="F1641" t="inlineStr">
        <is>
          <t>30-10-2024</t>
        </is>
      </c>
      <c r="G1641" t="n">
        <v>180736</v>
      </c>
      <c r="I1641">
        <f>G1641</f>
        <v/>
      </c>
      <c r="K1641">
        <f>I1641-G1641</f>
        <v/>
      </c>
      <c r="M1641" t="inlineStr">
        <is>
          <t>TIGN2024059</t>
        </is>
      </c>
      <c r="N1641" t="inlineStr">
        <is>
          <t>8274000</t>
        </is>
      </c>
      <c r="O1641">
        <f>M1641=N1641</f>
        <v/>
      </c>
      <c r="P1641">
        <f>AND(MONTH(F1641)=MONTH(S1641), YEAR(F1641)=YEAR(S1641))</f>
        <v/>
      </c>
      <c r="Q1641">
        <f>"L001-902303751"=U1641</f>
        <v/>
      </c>
      <c r="R1641">
        <f>G1641-W1641</f>
        <v/>
      </c>
      <c r="S1641" s="36" t="n">
        <v>45229</v>
      </c>
      <c r="T1641" t="n">
        <v>82740</v>
      </c>
      <c r="U1641" t="inlineStr">
        <is>
          <t>L001-107032791</t>
        </is>
      </c>
      <c r="V1641" t="inlineStr">
        <is>
          <t>នីបផន អិចប្រេស (ខេមបូឌា) ខូ អិលធីឌី</t>
        </is>
      </c>
      <c r="W1641" t="n">
        <v>82740</v>
      </c>
      <c r="X1641" t="n">
        <v>0</v>
      </c>
    </row>
    <row r="1642">
      <c r="A1642" t="n">
        <v>1641</v>
      </c>
      <c r="B1642" t="inlineStr">
        <is>
          <t>Port and Terminal Handling Chaarges Origin, Custom Clearance, Trucking Charges, HBL Fee, Bunker Adjustment Factor, CFS Charges Origin, Handling Origin and BL Surrender</t>
        </is>
      </c>
      <c r="C1642" t="inlineStr">
        <is>
          <t>អិចស្ពោលាំងកា ហ្រ្វេត (ខេមបូឌា) លីមីធីត</t>
        </is>
      </c>
      <c r="D1642" t="inlineStr">
        <is>
          <t>L001-107000385</t>
        </is>
      </c>
      <c r="E1642" t="inlineStr">
        <is>
          <t>EFL-PNH-00070297</t>
        </is>
      </c>
      <c r="F1642" t="inlineStr">
        <is>
          <t>30-10-2024</t>
        </is>
      </c>
      <c r="G1642" t="n">
        <v>185374</v>
      </c>
      <c r="I1642">
        <f>G1642</f>
        <v/>
      </c>
      <c r="K1642">
        <f>I1642-G1642</f>
        <v/>
      </c>
      <c r="M1642" t="inlineStr">
        <is>
          <t>EFLPNH00070297</t>
        </is>
      </c>
      <c r="N1642" t="inlineStr"/>
      <c r="O1642">
        <f>M1642=N1642</f>
        <v/>
      </c>
      <c r="P1642">
        <f>AND(MONTH(F1642)=MONTH(S1642), YEAR(F1642)=YEAR(S1642))</f>
        <v/>
      </c>
      <c r="Q1642">
        <f>"L001-902303751"=U1642</f>
        <v/>
      </c>
      <c r="R1642">
        <f>G1642-W1642</f>
        <v/>
      </c>
      <c r="S1642" s="36" t="n">
        <v>45224</v>
      </c>
      <c r="T1642" t="inlineStr"/>
      <c r="U1642" t="inlineStr">
        <is>
          <t>K005-901501155</t>
        </is>
      </c>
      <c r="V1642" t="inlineStr">
        <is>
          <t>ផេនដា គ្លូប៊ល ឡូជីស្ទីក (ខេមបូឌា)</t>
        </is>
      </c>
      <c r="W1642" t="n">
        <v>0</v>
      </c>
      <c r="X1642" t="n">
        <v>0</v>
      </c>
    </row>
    <row r="1643">
      <c r="A1643" t="n">
        <v>1642</v>
      </c>
      <c r="B1643" t="inlineStr">
        <is>
          <t>Automatic cutting blade and Special double-sided tape</t>
        </is>
      </c>
      <c r="C1643" t="inlineStr">
        <is>
          <t>យីស៊ូ ធេមផ្លេត ក្រាហ្វ ឯ.ក</t>
        </is>
      </c>
      <c r="D1643" t="inlineStr">
        <is>
          <t>K010-902200360</t>
        </is>
      </c>
      <c r="E1643" t="inlineStr">
        <is>
          <t>24-0226</t>
        </is>
      </c>
      <c r="F1643" t="inlineStr">
        <is>
          <t>30-10-2024</t>
        </is>
      </c>
      <c r="G1643" t="n">
        <v>121830</v>
      </c>
      <c r="I1643">
        <f>G1643</f>
        <v/>
      </c>
      <c r="K1643">
        <f>I1643-G1643</f>
        <v/>
      </c>
      <c r="M1643" t="inlineStr">
        <is>
          <t>240226</t>
        </is>
      </c>
      <c r="N1643" t="inlineStr"/>
      <c r="O1643">
        <f>M1643=N1643</f>
        <v/>
      </c>
      <c r="P1643">
        <f>AND(MONTH(F1643)=MONTH(S1643), YEAR(F1643)=YEAR(S1643))</f>
        <v/>
      </c>
      <c r="Q1643">
        <f>"L001-902303751"=U1643</f>
        <v/>
      </c>
      <c r="R1643">
        <f>G1643-W1643</f>
        <v/>
      </c>
      <c r="S1643" s="36" t="n">
        <v>45208</v>
      </c>
      <c r="T1643" t="inlineStr"/>
      <c r="U1643" t="inlineStr">
        <is>
          <t>L001-107041723</t>
        </is>
      </c>
      <c r="V1643" t="inlineStr">
        <is>
          <t>ឌីប៊ី សេនឃើរ (ខេមបូឌា) លីមីធីត</t>
        </is>
      </c>
      <c r="W1643" t="n">
        <v>0</v>
      </c>
      <c r="X1643" t="n">
        <v>0</v>
      </c>
    </row>
    <row r="1644">
      <c r="A1644" t="n">
        <v>1643</v>
      </c>
      <c r="B1644" t="inlineStr">
        <is>
          <t>Cargo Terminal</t>
        </is>
      </c>
      <c r="C1644" t="inlineStr">
        <is>
          <t>សូស៊ីយេតេ កុងសេស្យូនែរ ដឺ ឡាអេរ៉ូព័រ</t>
        </is>
      </c>
      <c r="D1644" t="inlineStr">
        <is>
          <t>L001-100047300</t>
        </is>
      </c>
      <c r="E1644" t="inlineStr">
        <is>
          <t>2400087632</t>
        </is>
      </c>
      <c r="F1644" t="inlineStr">
        <is>
          <t>30-10-2024</t>
        </is>
      </c>
      <c r="G1644" t="n">
        <v>6106</v>
      </c>
      <c r="I1644">
        <f>G1644</f>
        <v/>
      </c>
      <c r="K1644">
        <f>I1644-G1644</f>
        <v/>
      </c>
      <c r="M1644" t="inlineStr">
        <is>
          <t>2400087632</t>
        </is>
      </c>
      <c r="N1644" t="inlineStr"/>
      <c r="O1644">
        <f>M1644=N1644</f>
        <v/>
      </c>
      <c r="P1644">
        <f>AND(MONTH(F1644)=MONTH(S1644), YEAR(F1644)=YEAR(S1644))</f>
        <v/>
      </c>
      <c r="Q1644">
        <f>"L001-902303751"=U1644</f>
        <v/>
      </c>
      <c r="R1644">
        <f>G1644-W1644</f>
        <v/>
      </c>
      <c r="S1644" s="36" t="n">
        <v>45200</v>
      </c>
      <c r="T1644" t="inlineStr"/>
      <c r="U1644" t="inlineStr">
        <is>
          <t>K002-901800477</t>
        </is>
      </c>
      <c r="V1644" t="inlineStr">
        <is>
          <t>អាយធីអាយ អ៊ិនធើណេសិនណល ត្រេនស័្ពរថេសិន (ខេមបូឌា) ឯ.ក</t>
        </is>
      </c>
      <c r="W1644" t="n">
        <v>0</v>
      </c>
      <c r="X1644" t="n">
        <v>0</v>
      </c>
    </row>
    <row r="1645">
      <c r="A1645" t="n">
        <v>1644</v>
      </c>
      <c r="B1645" t="inlineStr">
        <is>
          <t>Export Custom Clearance, B/L Surrender Fee, CFS Charges, Handling Fee, Trucking Fee, Documentation Fee and Terminal Handling Charges</t>
        </is>
      </c>
      <c r="C1645" t="inlineStr">
        <is>
          <t>អ៊ីឃ្យូឡាញ វើលវ៉ាយដ៍ ឡូជីស្ទីក</t>
        </is>
      </c>
      <c r="D1645" t="inlineStr">
        <is>
          <t>K003-901635943</t>
        </is>
      </c>
      <c r="E1645" t="inlineStr">
        <is>
          <t>PPTI24/005188</t>
        </is>
      </c>
      <c r="F1645" t="inlineStr">
        <is>
          <t>22-10-2024</t>
        </is>
      </c>
      <c r="G1645" t="n">
        <v>290230</v>
      </c>
      <c r="I1645">
        <f>G1645</f>
        <v/>
      </c>
      <c r="K1645">
        <f>I1645-G1645</f>
        <v/>
      </c>
      <c r="M1645" t="inlineStr">
        <is>
          <t>PPTI24005188</t>
        </is>
      </c>
      <c r="N1645" t="inlineStr"/>
      <c r="O1645">
        <f>M1645=N1645</f>
        <v/>
      </c>
      <c r="P1645">
        <f>AND(MONTH(F1645)=MONTH(S1645), YEAR(F1645)=YEAR(S1645))</f>
        <v/>
      </c>
      <c r="Q1645">
        <f>"L001-902303751"=U1645</f>
        <v/>
      </c>
      <c r="R1645">
        <f>G1645-W1645</f>
        <v/>
      </c>
      <c r="S1645" s="36" t="n">
        <v>45227</v>
      </c>
      <c r="T1645" t="inlineStr"/>
      <c r="U1645" t="inlineStr">
        <is>
          <t>K003-901635943</t>
        </is>
      </c>
      <c r="V1645" t="inlineStr">
        <is>
          <t>អ៊ីឃ្យូឡាញ វើលវ៉ាយដ៍ ឡូជីស្ទីក</t>
        </is>
      </c>
      <c r="W1645" t="n">
        <v>0</v>
      </c>
      <c r="X1645" t="n">
        <v>0</v>
      </c>
    </row>
    <row r="1646">
      <c r="A1646" t="n">
        <v>1645</v>
      </c>
      <c r="B1646" t="inlineStr">
        <is>
          <t>Docs Fee and Handling Fee</t>
        </is>
      </c>
      <c r="C1646" t="inlineStr">
        <is>
          <t>អិមអាយ ឡូជីកស៍ (ខេមបូឌា)</t>
        </is>
      </c>
      <c r="D1646" t="inlineStr">
        <is>
          <t>K009-107021862</t>
        </is>
      </c>
      <c r="E1646" t="inlineStr">
        <is>
          <t>MII202409-001</t>
        </is>
      </c>
      <c r="F1646" t="inlineStr">
        <is>
          <t>22-10-2024</t>
        </is>
      </c>
      <c r="G1646" t="n">
        <v>24372</v>
      </c>
      <c r="I1646">
        <f>G1646</f>
        <v/>
      </c>
      <c r="K1646">
        <f>I1646-G1646</f>
        <v/>
      </c>
      <c r="M1646" t="inlineStr">
        <is>
          <t>MII202409001</t>
        </is>
      </c>
      <c r="N1646" t="inlineStr"/>
      <c r="O1646">
        <f>M1646=N1646</f>
        <v/>
      </c>
      <c r="P1646">
        <f>AND(MONTH(F1646)=MONTH(S1646), YEAR(F1646)=YEAR(S1646))</f>
        <v/>
      </c>
      <c r="Q1646">
        <f>"L001-902303751"=U1646</f>
        <v/>
      </c>
      <c r="R1646">
        <f>G1646-W1646</f>
        <v/>
      </c>
      <c r="S1646" s="36" t="n">
        <v>45226</v>
      </c>
      <c r="T1646" t="inlineStr"/>
      <c r="U1646" t="inlineStr">
        <is>
          <t>L001-100045995</t>
        </is>
      </c>
      <c r="V1646" t="inlineStr">
        <is>
          <t>ឌីអេចអិល ឡូជីស្ទីក (ខេមបូឌា)</t>
        </is>
      </c>
      <c r="W1646" t="n">
        <v>0</v>
      </c>
      <c r="X1646" t="n">
        <v>0</v>
      </c>
    </row>
    <row r="1647">
      <c r="A1647" t="n">
        <v>1646</v>
      </c>
      <c r="B1647" t="inlineStr">
        <is>
          <t>Customs Clearance Fee and Trucking Fee</t>
        </is>
      </c>
      <c r="C1647" t="inlineStr">
        <is>
          <t>ត្រាយអ៊ែងហ្គល ឡូជីស្ទីក (ខេមបូឌា) ឯ.ក</t>
        </is>
      </c>
      <c r="D1647" t="inlineStr">
        <is>
          <t>K010-902101743</t>
        </is>
      </c>
      <c r="E1647" t="inlineStr">
        <is>
          <t>TAG-24-00751</t>
        </is>
      </c>
      <c r="F1647" t="inlineStr">
        <is>
          <t>22-10-2024</t>
        </is>
      </c>
      <c r="G1647" t="n">
        <v>28434</v>
      </c>
      <c r="I1647">
        <f>G1647</f>
        <v/>
      </c>
      <c r="K1647">
        <f>I1647-G1647</f>
        <v/>
      </c>
      <c r="M1647" t="inlineStr">
        <is>
          <t>TAG2400751</t>
        </is>
      </c>
      <c r="N1647" t="inlineStr"/>
      <c r="O1647">
        <f>M1647=N1647</f>
        <v/>
      </c>
      <c r="P1647">
        <f>AND(MONTH(F1647)=MONTH(S1647), YEAR(F1647)=YEAR(S1647))</f>
        <v/>
      </c>
      <c r="Q1647">
        <f>"L001-902303751"=U1647</f>
        <v/>
      </c>
      <c r="R1647">
        <f>G1647-W1647</f>
        <v/>
      </c>
      <c r="S1647" s="36" t="n">
        <v>45229</v>
      </c>
      <c r="T1647" t="inlineStr"/>
      <c r="U1647" t="inlineStr">
        <is>
          <t>L001-107032791</t>
        </is>
      </c>
      <c r="V1647" t="inlineStr">
        <is>
          <t>នីបផន អិចប្រេស (ខេមបូឌា) ខូ អិលធីឌី</t>
        </is>
      </c>
      <c r="W1647" t="n">
        <v>0</v>
      </c>
      <c r="X1647" t="n">
        <v>0</v>
      </c>
    </row>
    <row r="1648">
      <c r="A1648" t="n">
        <v>1647</v>
      </c>
      <c r="B1648" t="inlineStr">
        <is>
          <t>HAWB Freight, OM Forwarding Fee, H/C and AWB Fee</t>
        </is>
      </c>
      <c r="C1648" t="inlineStr">
        <is>
          <t>អ៊ិចស្ពែឌីធ័រ ខេមបូឌា អិលធីឌី</t>
        </is>
      </c>
      <c r="D1648" t="inlineStr">
        <is>
          <t>L001-100045898</t>
        </is>
      </c>
      <c r="E1648" t="inlineStr">
        <is>
          <t>TI-0293745</t>
        </is>
      </c>
      <c r="F1648" t="inlineStr">
        <is>
          <t>22-10-2024</t>
        </is>
      </c>
      <c r="G1648" t="n">
        <v>46713</v>
      </c>
      <c r="I1648">
        <f>G1648</f>
        <v/>
      </c>
      <c r="K1648">
        <f>I1648-G1648</f>
        <v/>
      </c>
      <c r="M1648" t="inlineStr">
        <is>
          <t>TI0293745</t>
        </is>
      </c>
      <c r="N1648" t="inlineStr"/>
      <c r="O1648">
        <f>M1648=N1648</f>
        <v/>
      </c>
      <c r="P1648">
        <f>AND(MONTH(F1648)=MONTH(S1648), YEAR(F1648)=YEAR(S1648))</f>
        <v/>
      </c>
      <c r="Q1648">
        <f>"L001-902303751"=U1648</f>
        <v/>
      </c>
      <c r="R1648">
        <f>G1648-W1648</f>
        <v/>
      </c>
      <c r="S1648" s="36" t="n">
        <v>45229</v>
      </c>
      <c r="T1648" t="inlineStr"/>
      <c r="U1648" t="inlineStr">
        <is>
          <t>L001-107032791</t>
        </is>
      </c>
      <c r="V1648" t="inlineStr">
        <is>
          <t>នីបផន អិចប្រេស (ខេមបូឌា) ខូ អិលធីឌី</t>
        </is>
      </c>
      <c r="W1648" t="n">
        <v>0</v>
      </c>
      <c r="X1648" t="n">
        <v>0</v>
      </c>
    </row>
    <row r="1649">
      <c r="A1649" t="n">
        <v>1648</v>
      </c>
      <c r="B1649" t="inlineStr">
        <is>
          <t>Customs Clearance Fee</t>
        </is>
      </c>
      <c r="C1649" t="inlineStr">
        <is>
          <t>ត្រាយអ៊ែងហ្គល ឡូជីស្ទីក (ខេមបូឌា) ឯ.ក</t>
        </is>
      </c>
      <c r="D1649" t="inlineStr">
        <is>
          <t>K010-902101743</t>
        </is>
      </c>
      <c r="E1649" t="inlineStr">
        <is>
          <t>TAG-24-00755</t>
        </is>
      </c>
      <c r="F1649" t="inlineStr">
        <is>
          <t>22-10-2024</t>
        </is>
      </c>
      <c r="G1649" t="n">
        <v>8124</v>
      </c>
      <c r="I1649">
        <f>G1649</f>
        <v/>
      </c>
      <c r="K1649">
        <f>I1649-G1649</f>
        <v/>
      </c>
      <c r="M1649" t="inlineStr">
        <is>
          <t>TAG2400755</t>
        </is>
      </c>
      <c r="N1649" t="inlineStr"/>
      <c r="O1649">
        <f>M1649=N1649</f>
        <v/>
      </c>
      <c r="P1649">
        <f>AND(MONTH(F1649)=MONTH(S1649), YEAR(F1649)=YEAR(S1649))</f>
        <v/>
      </c>
      <c r="Q1649">
        <f>"L001-902303751"=U1649</f>
        <v/>
      </c>
      <c r="R1649">
        <f>G1649-W1649</f>
        <v/>
      </c>
      <c r="S1649" s="36" t="n">
        <v>45200</v>
      </c>
      <c r="T1649" t="inlineStr"/>
      <c r="U1649" t="inlineStr">
        <is>
          <t>L001-901802873</t>
        </is>
      </c>
      <c r="V1649" t="inlineStr">
        <is>
          <t>គ្លូប៊ល ហៅស៍ (ខេមបូឌា) ឯ.ក</t>
        </is>
      </c>
      <c r="W1649" t="n">
        <v>0</v>
      </c>
      <c r="X1649" t="n">
        <v>0</v>
      </c>
    </row>
    <row r="1650">
      <c r="A1650" t="n">
        <v>1649</v>
      </c>
      <c r="B1650" t="inlineStr">
        <is>
          <t>Customs Clearance Fee</t>
        </is>
      </c>
      <c r="C1650" t="inlineStr">
        <is>
          <t>ត្រាយអ៊ែងហ្គល ឡូជីស្ទីក (ខេមបូឌា) ឯ.ក</t>
        </is>
      </c>
      <c r="D1650" t="inlineStr">
        <is>
          <t>K010-902101743</t>
        </is>
      </c>
      <c r="E1650" t="inlineStr">
        <is>
          <t>TAG-24-00754</t>
        </is>
      </c>
      <c r="F1650" t="inlineStr">
        <is>
          <t>22-10-2024</t>
        </is>
      </c>
      <c r="G1650" t="n">
        <v>8124</v>
      </c>
      <c r="I1650">
        <f>G1650</f>
        <v/>
      </c>
      <c r="K1650">
        <f>I1650-G1650</f>
        <v/>
      </c>
      <c r="M1650" t="inlineStr">
        <is>
          <t>TAG2400754</t>
        </is>
      </c>
      <c r="N1650" t="inlineStr">
        <is>
          <t>11175300</t>
        </is>
      </c>
      <c r="O1650">
        <f>M1650=N1650</f>
        <v/>
      </c>
      <c r="P1650">
        <f>AND(MONTH(F1650)=MONTH(S1650), YEAR(F1650)=YEAR(S1650))</f>
        <v/>
      </c>
      <c r="Q1650">
        <f>"L001-902303751"=U1650</f>
        <v/>
      </c>
      <c r="R1650">
        <f>G1650-W1650</f>
        <v/>
      </c>
      <c r="S1650" s="36" t="n">
        <v>45224</v>
      </c>
      <c r="T1650" t="n">
        <v>111753</v>
      </c>
      <c r="U1650" t="inlineStr">
        <is>
          <t>K002-901800477</t>
        </is>
      </c>
      <c r="V1650" t="inlineStr">
        <is>
          <t>អាយធីអាយ អ៊ិនធើណេសិនណល ត្រេនស័្ពរថេសិន (ខេមបូឌា) ឯ.ក</t>
        </is>
      </c>
      <c r="W1650" t="n">
        <v>111753</v>
      </c>
      <c r="X1650" t="n">
        <v>0</v>
      </c>
    </row>
    <row r="1651">
      <c r="A1651" t="n">
        <v>1650</v>
      </c>
      <c r="B1651" t="inlineStr">
        <is>
          <t>Customs Clearance Fee</t>
        </is>
      </c>
      <c r="C1651" t="inlineStr">
        <is>
          <t>ត្រាយអ៊ែងហ្គល ឡូជីស្ទីក (ខេមបូឌា) ឯ.ក</t>
        </is>
      </c>
      <c r="D1651" t="inlineStr">
        <is>
          <t>K010-902101743</t>
        </is>
      </c>
      <c r="E1651" t="inlineStr">
        <is>
          <t>TAG-24-00753</t>
        </is>
      </c>
      <c r="F1651" t="inlineStr">
        <is>
          <t>22-10-2024</t>
        </is>
      </c>
      <c r="G1651" t="n">
        <v>8124</v>
      </c>
      <c r="I1651">
        <f>G1651</f>
        <v/>
      </c>
      <c r="K1651">
        <f>I1651-G1651</f>
        <v/>
      </c>
      <c r="M1651" t="inlineStr">
        <is>
          <t>TAG2400753</t>
        </is>
      </c>
      <c r="N1651" t="inlineStr">
        <is>
          <t>11175300</t>
        </is>
      </c>
      <c r="O1651">
        <f>M1651=N1651</f>
        <v/>
      </c>
      <c r="P1651">
        <f>AND(MONTH(F1651)=MONTH(S1651), YEAR(F1651)=YEAR(S1651))</f>
        <v/>
      </c>
      <c r="Q1651">
        <f>"L001-902303751"=U1651</f>
        <v/>
      </c>
      <c r="R1651">
        <f>G1651-W1651</f>
        <v/>
      </c>
      <c r="S1651" s="36" t="n">
        <v>45224</v>
      </c>
      <c r="T1651" t="n">
        <v>111753</v>
      </c>
      <c r="U1651" t="inlineStr">
        <is>
          <t>L001-901500191</t>
        </is>
      </c>
      <c r="V1651" t="inlineStr">
        <is>
          <t>អ.អិន.វ៉ាយ ត្រេនស្ព័ត</t>
        </is>
      </c>
      <c r="W1651" t="n">
        <v>111753</v>
      </c>
      <c r="X1651" t="n">
        <v>0</v>
      </c>
    </row>
    <row r="1652">
      <c r="A1652" t="n">
        <v>1651</v>
      </c>
      <c r="B1652" t="inlineStr">
        <is>
          <t>Customs Clearance Fee and Trucking Fee</t>
        </is>
      </c>
      <c r="C1652" t="inlineStr">
        <is>
          <t>ត្រាយអ៊ែងហ្គល ឡូជីស្ទីក (ខេមបូឌា) ឯ.ក</t>
        </is>
      </c>
      <c r="D1652" t="inlineStr">
        <is>
          <t>K010-902101743</t>
        </is>
      </c>
      <c r="E1652" t="inlineStr">
        <is>
          <t>TAG-24-00752</t>
        </is>
      </c>
      <c r="F1652" t="inlineStr">
        <is>
          <t>22-10-2024</t>
        </is>
      </c>
      <c r="G1652" t="n">
        <v>28434</v>
      </c>
      <c r="I1652">
        <f>G1652</f>
        <v/>
      </c>
      <c r="K1652">
        <f>I1652-G1652</f>
        <v/>
      </c>
      <c r="M1652" t="inlineStr">
        <is>
          <t>TAG2400752</t>
        </is>
      </c>
      <c r="N1652" t="inlineStr"/>
      <c r="O1652">
        <f>M1652=N1652</f>
        <v/>
      </c>
      <c r="P1652">
        <f>AND(MONTH(F1652)=MONTH(S1652), YEAR(F1652)=YEAR(S1652))</f>
        <v/>
      </c>
      <c r="Q1652">
        <f>"L001-902303751"=U1652</f>
        <v/>
      </c>
      <c r="R1652">
        <f>G1652-W1652</f>
        <v/>
      </c>
      <c r="S1652" s="36" t="n">
        <v>45224</v>
      </c>
      <c r="T1652" t="inlineStr"/>
      <c r="U1652" t="inlineStr">
        <is>
          <t>L001-100182259</t>
        </is>
      </c>
      <c r="V1652" t="inlineStr">
        <is>
          <t>សាខាក្រុមហ៊ុន ប៊ី ឡូជីស្ទីក ខបភើរេសិន (ខេមបូឌា)</t>
        </is>
      </c>
      <c r="W1652" t="n">
        <v>0</v>
      </c>
      <c r="X1652" t="n">
        <v>0</v>
      </c>
    </row>
    <row r="1653">
      <c r="A1653" t="n">
        <v>1652</v>
      </c>
      <c r="B1653" t="inlineStr">
        <is>
          <t>Customs Clearance Fee and Trucking Fee</t>
        </is>
      </c>
      <c r="C1653" t="inlineStr">
        <is>
          <t>ត្រាយអ៊ែងហ្គល ឡូជីស្ទីក (ខេមបូឌា) ឯ.ក</t>
        </is>
      </c>
      <c r="D1653" t="inlineStr">
        <is>
          <t>K010-902101743</t>
        </is>
      </c>
      <c r="E1653" t="inlineStr">
        <is>
          <t>TAG-24-00750</t>
        </is>
      </c>
      <c r="F1653" t="inlineStr">
        <is>
          <t>22-10-2024</t>
        </is>
      </c>
      <c r="G1653" t="n">
        <v>28434</v>
      </c>
      <c r="I1653">
        <f>G1653</f>
        <v/>
      </c>
      <c r="K1653">
        <f>I1653-G1653</f>
        <v/>
      </c>
      <c r="M1653" t="inlineStr">
        <is>
          <t>TAG2400750</t>
        </is>
      </c>
      <c r="N1653" t="inlineStr">
        <is>
          <t>11164500</t>
        </is>
      </c>
      <c r="O1653">
        <f>M1653=N1653</f>
        <v/>
      </c>
      <c r="P1653">
        <f>AND(MONTH(F1653)=MONTH(S1653), YEAR(F1653)=YEAR(S1653))</f>
        <v/>
      </c>
      <c r="Q1653">
        <f>"L001-902303751"=U1653</f>
        <v/>
      </c>
      <c r="R1653">
        <f>G1653-W1653</f>
        <v/>
      </c>
      <c r="S1653" s="36" t="n">
        <v>45222</v>
      </c>
      <c r="T1653" t="n">
        <v>111645</v>
      </c>
      <c r="U1653" t="inlineStr">
        <is>
          <t>L001-107032791</t>
        </is>
      </c>
      <c r="V1653" t="inlineStr">
        <is>
          <t>នីបផន អិចប្រេស (ខេមបូឌា) ខូ អិលធីឌី</t>
        </is>
      </c>
      <c r="W1653" t="n">
        <v>111645</v>
      </c>
      <c r="X1653" t="n">
        <v>0</v>
      </c>
    </row>
    <row r="1654">
      <c r="A1654" t="n">
        <v>1653</v>
      </c>
      <c r="B1654" t="inlineStr">
        <is>
          <t>Customs Clearance Fee and Trucking Fee</t>
        </is>
      </c>
      <c r="C1654" t="inlineStr">
        <is>
          <t>ត្រាយអ៊ែងហ្គល ឡូជីស្ទីក (ខេមបូឌា) ឯ.ក</t>
        </is>
      </c>
      <c r="D1654" t="inlineStr">
        <is>
          <t>K010-902101743</t>
        </is>
      </c>
      <c r="E1654" t="inlineStr">
        <is>
          <t>TAG-24-00749</t>
        </is>
      </c>
      <c r="F1654" t="inlineStr">
        <is>
          <t>22-10-2024</t>
        </is>
      </c>
      <c r="G1654" t="n">
        <v>28434</v>
      </c>
      <c r="I1654">
        <f>G1654</f>
        <v/>
      </c>
      <c r="K1654">
        <f>I1654-G1654</f>
        <v/>
      </c>
      <c r="M1654" t="inlineStr">
        <is>
          <t>TAG2400749</t>
        </is>
      </c>
      <c r="N1654" t="inlineStr">
        <is>
          <t>9739700</t>
        </is>
      </c>
      <c r="O1654">
        <f>M1654=N1654</f>
        <v/>
      </c>
      <c r="P1654">
        <f>AND(MONTH(F1654)=MONTH(S1654), YEAR(F1654)=YEAR(S1654))</f>
        <v/>
      </c>
      <c r="Q1654">
        <f>"L001-902303751"=U1654</f>
        <v/>
      </c>
      <c r="R1654">
        <f>G1654-W1654</f>
        <v/>
      </c>
      <c r="S1654" s="36" t="n">
        <v>45202</v>
      </c>
      <c r="T1654" t="n">
        <v>97397</v>
      </c>
      <c r="U1654" t="inlineStr">
        <is>
          <t>K003-901635943</t>
        </is>
      </c>
      <c r="V1654" t="inlineStr">
        <is>
          <t>អ៊ីឃ្យូឡាញ វើលវ៉ាយដ៍ ឡូជីស្ទីក</t>
        </is>
      </c>
      <c r="W1654" t="n">
        <v>97397</v>
      </c>
      <c r="X1654" t="n">
        <v>0</v>
      </c>
    </row>
    <row r="1655">
      <c r="A1655" t="n">
        <v>1654</v>
      </c>
      <c r="B1655" t="inlineStr">
        <is>
          <t>Customs Clearance Fee</t>
        </is>
      </c>
      <c r="C1655" t="inlineStr">
        <is>
          <t>ត្រាយអ៊ែងហ្គល ឡូជីស្ទីក (ខេមបូឌា) ឯ.ក</t>
        </is>
      </c>
      <c r="D1655" t="inlineStr">
        <is>
          <t>K010-902101743</t>
        </is>
      </c>
      <c r="E1655" t="inlineStr">
        <is>
          <t>TAG-24-00748</t>
        </is>
      </c>
      <c r="F1655" t="inlineStr">
        <is>
          <t>22-10-2024</t>
        </is>
      </c>
      <c r="G1655" t="n">
        <v>8124</v>
      </c>
      <c r="I1655">
        <f>G1655</f>
        <v/>
      </c>
      <c r="K1655">
        <f>I1655-G1655</f>
        <v/>
      </c>
      <c r="M1655" t="inlineStr">
        <is>
          <t>TAG2400748</t>
        </is>
      </c>
      <c r="N1655" t="inlineStr">
        <is>
          <t>11151000</t>
        </is>
      </c>
      <c r="O1655">
        <f>M1655=N1655</f>
        <v/>
      </c>
      <c r="P1655">
        <f>AND(MONTH(F1655)=MONTH(S1655), YEAR(F1655)=YEAR(S1655))</f>
        <v/>
      </c>
      <c r="Q1655">
        <f>"L001-902303751"=U1655</f>
        <v/>
      </c>
      <c r="R1655">
        <f>G1655-W1655</f>
        <v/>
      </c>
      <c r="S1655" s="36" t="n">
        <v>45208</v>
      </c>
      <c r="T1655" t="n">
        <v>111510</v>
      </c>
      <c r="U1655" t="inlineStr">
        <is>
          <t>L001-107041723</t>
        </is>
      </c>
      <c r="V1655" t="inlineStr">
        <is>
          <t>ឌីប៊ី សេនឃើរ (ខេមបូឌា) លីមីធីត</t>
        </is>
      </c>
      <c r="W1655" t="n">
        <v>111510</v>
      </c>
      <c r="X1655" t="n">
        <v>0</v>
      </c>
    </row>
    <row r="1656">
      <c r="A1656" t="n">
        <v>1655</v>
      </c>
      <c r="B1656" t="inlineStr">
        <is>
          <t>Customs Clearance Fee</t>
        </is>
      </c>
      <c r="C1656" t="inlineStr">
        <is>
          <t>ត្រាយអ៊ែងហ្គល ឡូជីស្ទីក (ខេមបូឌា) ឯ.ក</t>
        </is>
      </c>
      <c r="D1656" t="inlineStr">
        <is>
          <t>K010-902101743</t>
        </is>
      </c>
      <c r="E1656" t="inlineStr">
        <is>
          <t>TAG-24-00747</t>
        </is>
      </c>
      <c r="F1656" t="inlineStr">
        <is>
          <t>22-10-2024</t>
        </is>
      </c>
      <c r="G1656" t="n">
        <v>8124</v>
      </c>
      <c r="I1656">
        <f>G1656</f>
        <v/>
      </c>
      <c r="K1656">
        <f>I1656-G1656</f>
        <v/>
      </c>
      <c r="M1656" t="inlineStr">
        <is>
          <t>TAG2400747</t>
        </is>
      </c>
      <c r="N1656" t="inlineStr">
        <is>
          <t>8244000</t>
        </is>
      </c>
      <c r="O1656">
        <f>M1656=N1656</f>
        <v/>
      </c>
      <c r="P1656">
        <f>AND(MONTH(F1656)=MONTH(S1656), YEAR(F1656)=YEAR(S1656))</f>
        <v/>
      </c>
      <c r="Q1656">
        <f>"L001-902303751"=U1656</f>
        <v/>
      </c>
      <c r="R1656">
        <f>G1656-W1656</f>
        <v/>
      </c>
      <c r="S1656" s="36" t="n">
        <v>45200</v>
      </c>
      <c r="T1656" t="n">
        <v>82440</v>
      </c>
      <c r="U1656" t="inlineStr">
        <is>
          <t>K002-901800477</t>
        </is>
      </c>
      <c r="V1656" t="inlineStr">
        <is>
          <t>អាយធីអាយ អ៊ិនធើណេសិនណល ត្រេនស័្ពរថេសិន (ខេមបូឌា) ឯ.ក</t>
        </is>
      </c>
      <c r="W1656" t="n">
        <v>82440</v>
      </c>
      <c r="X1656" t="n">
        <v>0</v>
      </c>
    </row>
    <row r="1657">
      <c r="A1657" t="n">
        <v>1656</v>
      </c>
      <c r="B1657" t="inlineStr">
        <is>
          <t>Customs Clearance Fee</t>
        </is>
      </c>
      <c r="C1657" t="inlineStr">
        <is>
          <t>ត្រាយអ៊ែងហ្គល ឡូជីស្ទីក (ខេមបូឌា) ឯ.ក</t>
        </is>
      </c>
      <c r="D1657" t="inlineStr">
        <is>
          <t>K010-902101743</t>
        </is>
      </c>
      <c r="E1657" t="inlineStr">
        <is>
          <t>TAG-24-00746</t>
        </is>
      </c>
      <c r="F1657" t="inlineStr">
        <is>
          <t>22-10-2024</t>
        </is>
      </c>
      <c r="G1657" t="n">
        <v>8124</v>
      </c>
      <c r="I1657">
        <f>G1657</f>
        <v/>
      </c>
      <c r="K1657">
        <f>I1657-G1657</f>
        <v/>
      </c>
      <c r="M1657" t="inlineStr">
        <is>
          <t>TAG2400746</t>
        </is>
      </c>
      <c r="N1657" t="inlineStr">
        <is>
          <t>8244000</t>
        </is>
      </c>
      <c r="O1657">
        <f>M1657=N1657</f>
        <v/>
      </c>
      <c r="P1657">
        <f>AND(MONTH(F1657)=MONTH(S1657), YEAR(F1657)=YEAR(S1657))</f>
        <v/>
      </c>
      <c r="Q1657">
        <f>"L001-902303751"=U1657</f>
        <v/>
      </c>
      <c r="R1657">
        <f>G1657-W1657</f>
        <v/>
      </c>
      <c r="S1657" s="36" t="n">
        <v>45200</v>
      </c>
      <c r="T1657" t="n">
        <v>82440</v>
      </c>
      <c r="U1657" t="inlineStr">
        <is>
          <t>K002-901800477</t>
        </is>
      </c>
      <c r="V1657" t="inlineStr">
        <is>
          <t>អាយធីអាយ អ៊ិនធើណេសិនណល ត្រេនស័្ពរថេសិន (ខេមបូឌា) ឯ.ក</t>
        </is>
      </c>
      <c r="W1657" t="n">
        <v>82440</v>
      </c>
      <c r="X1657" t="n">
        <v>0</v>
      </c>
    </row>
    <row r="1658">
      <c r="A1658" t="n">
        <v>1657</v>
      </c>
      <c r="B1658" t="inlineStr">
        <is>
          <t>Customs Clearance Fee</t>
        </is>
      </c>
      <c r="C1658" t="inlineStr">
        <is>
          <t>ត្រាយអ៊ែងហ្គល ឡូជីស្ទីក (ខេមបូឌា) ឯ.ក</t>
        </is>
      </c>
      <c r="D1658" t="inlineStr">
        <is>
          <t>K010-902101743</t>
        </is>
      </c>
      <c r="E1658" t="inlineStr">
        <is>
          <t>TAG-24-00745</t>
        </is>
      </c>
      <c r="F1658" t="inlineStr">
        <is>
          <t>22-10-2024</t>
        </is>
      </c>
      <c r="G1658" t="n">
        <v>8124</v>
      </c>
      <c r="I1658">
        <f>G1658</f>
        <v/>
      </c>
      <c r="K1658">
        <f>I1658-G1658</f>
        <v/>
      </c>
      <c r="M1658" t="inlineStr">
        <is>
          <t>TAG2400745</t>
        </is>
      </c>
      <c r="N1658" t="inlineStr"/>
      <c r="O1658">
        <f>M1658=N1658</f>
        <v/>
      </c>
      <c r="P1658">
        <f>AND(MONTH(F1658)=MONTH(S1658), YEAR(F1658)=YEAR(S1658))</f>
        <v/>
      </c>
      <c r="Q1658">
        <f>"L001-902303751"=U1658</f>
        <v/>
      </c>
      <c r="R1658">
        <f>G1658-W1658</f>
        <v/>
      </c>
      <c r="S1658" s="36" t="n">
        <v>45200</v>
      </c>
      <c r="T1658" t="inlineStr"/>
      <c r="U1658" t="inlineStr">
        <is>
          <t>K002-901800477</t>
        </is>
      </c>
      <c r="V1658" t="inlineStr">
        <is>
          <t>អាយធីអាយ អ៊ិនធើណេសិនណល ត្រេនស័្ពរថេសិន (ខេមបូឌា) ឯ.ក</t>
        </is>
      </c>
      <c r="W1658" t="n">
        <v>0</v>
      </c>
      <c r="X1658" t="n">
        <v>0</v>
      </c>
    </row>
    <row r="1659">
      <c r="A1659" t="n">
        <v>1658</v>
      </c>
      <c r="B1659" t="inlineStr">
        <is>
          <t>Customs Clearance Fee</t>
        </is>
      </c>
      <c r="C1659" t="inlineStr">
        <is>
          <t>ត្រាយអ៊ែងហ្គល ឡូជីស្ទីក (ខេមបូឌា) ឯ.ក</t>
        </is>
      </c>
      <c r="D1659" t="inlineStr">
        <is>
          <t>K010-902101743</t>
        </is>
      </c>
      <c r="E1659" t="inlineStr">
        <is>
          <t>TAG-24-00744</t>
        </is>
      </c>
      <c r="F1659" t="inlineStr">
        <is>
          <t>22-10-2024</t>
        </is>
      </c>
      <c r="G1659" t="n">
        <v>8124</v>
      </c>
      <c r="I1659">
        <f>G1659</f>
        <v/>
      </c>
      <c r="K1659">
        <f>I1659-G1659</f>
        <v/>
      </c>
      <c r="M1659" t="inlineStr">
        <is>
          <t>TAG2400744</t>
        </is>
      </c>
      <c r="N1659" t="inlineStr">
        <is>
          <t>11170500</t>
        </is>
      </c>
      <c r="O1659">
        <f>M1659=N1659</f>
        <v/>
      </c>
      <c r="P1659">
        <f>AND(MONTH(F1659)=MONTH(S1659), YEAR(F1659)=YEAR(S1659))</f>
        <v/>
      </c>
      <c r="Q1659">
        <f>"L001-902303751"=U1659</f>
        <v/>
      </c>
      <c r="R1659">
        <f>G1659-W1659</f>
        <v/>
      </c>
      <c r="S1659" s="36" t="n">
        <v>45579</v>
      </c>
      <c r="T1659" t="n">
        <v>111705</v>
      </c>
      <c r="U1659" t="inlineStr">
        <is>
          <t>L001-107032791</t>
        </is>
      </c>
      <c r="V1659" t="inlineStr">
        <is>
          <t>នីបផន អិចប្រេស (ខេមបូឌា) ខូ អិលធីឌី</t>
        </is>
      </c>
      <c r="W1659" t="n">
        <v>111705</v>
      </c>
      <c r="X1659" t="n">
        <v>0</v>
      </c>
    </row>
    <row r="1660">
      <c r="A1660" t="n">
        <v>1659</v>
      </c>
      <c r="B1660" t="inlineStr">
        <is>
          <t>Customs Clearance Fee and Trucking Fee</t>
        </is>
      </c>
      <c r="C1660" t="inlineStr">
        <is>
          <t>ត្រាយអ៊ែងហ្គល ឡូជីស្ទីក (ខេមបូឌា) ឯ.ក</t>
        </is>
      </c>
      <c r="D1660" t="inlineStr">
        <is>
          <t>K010-902101743</t>
        </is>
      </c>
      <c r="E1660" t="inlineStr">
        <is>
          <t>TAG-24-00743</t>
        </is>
      </c>
      <c r="F1660" t="inlineStr">
        <is>
          <t>22-10-2024</t>
        </is>
      </c>
      <c r="G1660" t="n">
        <v>28434</v>
      </c>
      <c r="I1660">
        <f>G1660</f>
        <v/>
      </c>
      <c r="K1660">
        <f>I1660-G1660</f>
        <v/>
      </c>
      <c r="M1660" t="inlineStr">
        <is>
          <t>TAG2400743</t>
        </is>
      </c>
      <c r="N1660" t="inlineStr">
        <is>
          <t>11154000</t>
        </is>
      </c>
      <c r="O1660">
        <f>M1660=N1660</f>
        <v/>
      </c>
      <c r="P1660">
        <f>AND(MONTH(F1660)=MONTH(S1660), YEAR(F1660)=YEAR(S1660))</f>
        <v/>
      </c>
      <c r="Q1660">
        <f>"L001-902303751"=U1660</f>
        <v/>
      </c>
      <c r="R1660">
        <f>G1660-W1660</f>
        <v/>
      </c>
      <c r="S1660" s="36" t="n">
        <v>45572</v>
      </c>
      <c r="T1660" t="n">
        <v>111540</v>
      </c>
      <c r="U1660" t="inlineStr">
        <is>
          <t>K005-100150195</t>
        </is>
      </c>
      <c r="V1660" t="inlineStr">
        <is>
          <t>អេស អ វី ស៊ី ហ្វ្រេត សឺវីស (ខេមបូឌា) ខូ អិលធីឌី</t>
        </is>
      </c>
      <c r="W1660" t="n">
        <v>111540</v>
      </c>
      <c r="X1660" t="n">
        <v>0</v>
      </c>
    </row>
    <row r="1661">
      <c r="A1661" t="n">
        <v>1660</v>
      </c>
      <c r="B1661" t="inlineStr">
        <is>
          <t>Customs Clearance Fee and Trucking Fee</t>
        </is>
      </c>
      <c r="C1661" t="inlineStr">
        <is>
          <t>ត្រាយអ៊ែងហ្គល ឡូជីស្ទីក (ខេមបូឌា) ឯ.ក</t>
        </is>
      </c>
      <c r="D1661" t="inlineStr">
        <is>
          <t>K010-902101743</t>
        </is>
      </c>
      <c r="E1661" t="inlineStr">
        <is>
          <t>TAG-24-00742</t>
        </is>
      </c>
      <c r="F1661" t="inlineStr">
        <is>
          <t>22-10-2024</t>
        </is>
      </c>
      <c r="G1661" t="n">
        <v>28434</v>
      </c>
      <c r="I1661">
        <f>G1661</f>
        <v/>
      </c>
      <c r="K1661">
        <f>I1661-G1661</f>
        <v/>
      </c>
      <c r="M1661" t="inlineStr">
        <is>
          <t>TAG2400742</t>
        </is>
      </c>
      <c r="N1661" t="inlineStr"/>
      <c r="O1661">
        <f>M1661=N1661</f>
        <v/>
      </c>
      <c r="P1661">
        <f>AND(MONTH(F1661)=MONTH(S1661), YEAR(F1661)=YEAR(S1661))</f>
        <v/>
      </c>
      <c r="Q1661">
        <f>"L001-902303751"=U1661</f>
        <v/>
      </c>
      <c r="R1661">
        <f>G1661-W1661</f>
        <v/>
      </c>
      <c r="S1661" s="36" t="n">
        <v>45593</v>
      </c>
      <c r="T1661" t="inlineStr"/>
      <c r="U1661" t="inlineStr">
        <is>
          <t>L001-107032791</t>
        </is>
      </c>
      <c r="V1661" t="inlineStr">
        <is>
          <t>នីបផន អិចប្រេស (ខេមបូឌា) ខូ អិលធីឌី</t>
        </is>
      </c>
      <c r="W1661" t="n">
        <v>0</v>
      </c>
      <c r="X1661" t="n">
        <v>0</v>
      </c>
    </row>
    <row r="1662">
      <c r="A1662" t="n">
        <v>1661</v>
      </c>
      <c r="B1662" t="inlineStr">
        <is>
          <t>Trucking, Customs Clearance, Extra Trucking and Truck Fuel Surcharge</t>
        </is>
      </c>
      <c r="C1662" t="inlineStr">
        <is>
          <t>អេស អ វី ស៊ី ហ្វ្រេត សឺវីស (ខេមបូឌា) ខូ អិលធីឌី</t>
        </is>
      </c>
      <c r="D1662" t="inlineStr">
        <is>
          <t>K005-100150195</t>
        </is>
      </c>
      <c r="E1662" t="inlineStr">
        <is>
          <t>SRVI2406696</t>
        </is>
      </c>
      <c r="F1662" t="inlineStr">
        <is>
          <t>22-10-2024</t>
        </is>
      </c>
      <c r="G1662" t="n">
        <v>176697</v>
      </c>
      <c r="I1662">
        <f>G1662</f>
        <v/>
      </c>
      <c r="K1662">
        <f>I1662-G1662</f>
        <v/>
      </c>
      <c r="M1662" t="inlineStr">
        <is>
          <t>SRVI2406696</t>
        </is>
      </c>
      <c r="N1662" t="inlineStr"/>
      <c r="O1662">
        <f>M1662=N1662</f>
        <v/>
      </c>
      <c r="P1662">
        <f>AND(MONTH(F1662)=MONTH(S1662), YEAR(F1662)=YEAR(S1662))</f>
        <v/>
      </c>
      <c r="Q1662">
        <f>"L001-902303751"=U1662</f>
        <v/>
      </c>
      <c r="R1662">
        <f>G1662-W1662</f>
        <v/>
      </c>
      <c r="S1662" s="36" t="n">
        <v>45586</v>
      </c>
      <c r="T1662" t="inlineStr"/>
      <c r="U1662" t="inlineStr">
        <is>
          <t>K005-901902888</t>
        </is>
      </c>
      <c r="V1662" t="inlineStr">
        <is>
          <t>អឹឡាយអិន ហ្វ័រវើឌីង (ខេមបូឌា) ឯ.ក</t>
        </is>
      </c>
      <c r="W1662" t="n">
        <v>0</v>
      </c>
      <c r="X1662" t="n">
        <v>0</v>
      </c>
    </row>
    <row r="1663">
      <c r="A1663" t="n">
        <v>1662</v>
      </c>
      <c r="B1663" t="inlineStr">
        <is>
          <t>Import Shipment Expense</t>
        </is>
      </c>
      <c r="C1663" t="inlineStr">
        <is>
          <t>ប៊ី.អាយ.អិម ឡូជីស្ទីក ឯ.ក</t>
        </is>
      </c>
      <c r="D1663" t="inlineStr">
        <is>
          <t>K005-901902912</t>
        </is>
      </c>
      <c r="E1663" t="inlineStr">
        <is>
          <t>BI24-568</t>
        </is>
      </c>
      <c r="F1663" t="inlineStr">
        <is>
          <t>21-10-2024</t>
        </is>
      </c>
      <c r="G1663" t="n">
        <v>51587</v>
      </c>
      <c r="I1663">
        <f>G1663</f>
        <v/>
      </c>
      <c r="K1663">
        <f>I1663-G1663</f>
        <v/>
      </c>
      <c r="M1663" t="inlineStr">
        <is>
          <t>BI24568</t>
        </is>
      </c>
      <c r="N1663" t="inlineStr">
        <is>
          <t>11154000</t>
        </is>
      </c>
      <c r="O1663">
        <f>M1663=N1663</f>
        <v/>
      </c>
      <c r="P1663">
        <f>AND(MONTH(F1663)=MONTH(S1663), YEAR(F1663)=YEAR(S1663))</f>
        <v/>
      </c>
      <c r="Q1663">
        <f>"L001-902303751"=U1663</f>
        <v/>
      </c>
      <c r="R1663">
        <f>G1663-W1663</f>
        <v/>
      </c>
      <c r="S1663" s="36" t="n">
        <v>45572</v>
      </c>
      <c r="T1663" t="n">
        <v>111540</v>
      </c>
      <c r="U1663" t="inlineStr">
        <is>
          <t>L001-100045995</t>
        </is>
      </c>
      <c r="V1663" t="inlineStr">
        <is>
          <t>ឌីអេចអិល ឡូជីស្ទីក (ខេមបូឌា)</t>
        </is>
      </c>
      <c r="W1663" t="n">
        <v>111540</v>
      </c>
      <c r="X1663" t="n">
        <v>0</v>
      </c>
    </row>
    <row r="1664">
      <c r="A1664" t="n">
        <v>1663</v>
      </c>
      <c r="B1664" t="inlineStr">
        <is>
          <t>Gate Fee Charges-GC Truck-1-6 Tons</t>
        </is>
      </c>
      <c r="C1664" t="inlineStr">
        <is>
          <t>កំពង់ផែស្វយ័តភ្នំពេញ "ក.ស.ភ"</t>
        </is>
      </c>
      <c r="D1664" t="inlineStr">
        <is>
          <t>L001-100044999</t>
        </is>
      </c>
      <c r="E1664" t="inlineStr">
        <is>
          <t>INV20241078713</t>
        </is>
      </c>
      <c r="F1664" t="inlineStr">
        <is>
          <t>21-10-2024</t>
        </is>
      </c>
      <c r="G1664" t="n">
        <v>812</v>
      </c>
      <c r="I1664">
        <f>G1664</f>
        <v/>
      </c>
      <c r="K1664">
        <f>I1664-G1664</f>
        <v/>
      </c>
      <c r="M1664" t="inlineStr">
        <is>
          <t>INV20241078713</t>
        </is>
      </c>
      <c r="N1664" t="inlineStr"/>
      <c r="O1664">
        <f>M1664=N1664</f>
        <v/>
      </c>
      <c r="P1664">
        <f>AND(MONTH(F1664)=MONTH(S1664), YEAR(F1664)=YEAR(S1664))</f>
        <v/>
      </c>
      <c r="Q1664">
        <f>"L001-902303751"=U1664</f>
        <v/>
      </c>
      <c r="R1664">
        <f>G1664-W1664</f>
        <v/>
      </c>
      <c r="S1664" s="36" t="n">
        <v>45572</v>
      </c>
      <c r="T1664" t="inlineStr"/>
      <c r="U1664" t="inlineStr">
        <is>
          <t>K005-100150195</t>
        </is>
      </c>
      <c r="V1664" t="inlineStr">
        <is>
          <t>អេស អ វី ស៊ី ហ្វ្រេត សឺវីស (ខេមបូឌា) ខូ អិលធីឌី</t>
        </is>
      </c>
      <c r="W1664" t="n">
        <v>0</v>
      </c>
      <c r="X1664" t="n">
        <v>0</v>
      </c>
    </row>
    <row r="1665">
      <c r="A1665" t="n">
        <v>1664</v>
      </c>
      <c r="B1665" t="inlineStr">
        <is>
          <t>Decoratiion</t>
        </is>
      </c>
      <c r="C1665" t="inlineStr">
        <is>
          <t>ដឹ សាយ អេឡិកត្រូមេឃែនីខល អេនជីនារីង ឯ.ក</t>
        </is>
      </c>
      <c r="D1665" t="inlineStr">
        <is>
          <t>K009-902303599</t>
        </is>
      </c>
      <c r="E1665" t="inlineStr">
        <is>
          <t>00022</t>
        </is>
      </c>
      <c r="F1665" t="inlineStr">
        <is>
          <t>22-10-2024</t>
        </is>
      </c>
      <c r="G1665" t="n">
        <v>2894747</v>
      </c>
      <c r="I1665">
        <f>G1665</f>
        <v/>
      </c>
      <c r="K1665">
        <f>I1665-G1665</f>
        <v/>
      </c>
      <c r="M1665" t="inlineStr">
        <is>
          <t>00022</t>
        </is>
      </c>
      <c r="N1665" t="inlineStr">
        <is>
          <t>8558200</t>
        </is>
      </c>
      <c r="O1665">
        <f>M1665=N1665</f>
        <v/>
      </c>
      <c r="P1665">
        <f>AND(MONTH(F1665)=MONTH(S1665), YEAR(F1665)=YEAR(S1665))</f>
        <v/>
      </c>
      <c r="Q1665">
        <f>"L001-902303751"=U1665</f>
        <v/>
      </c>
      <c r="R1665">
        <f>G1665-W1665</f>
        <v/>
      </c>
      <c r="S1665" s="36" t="n">
        <v>45572</v>
      </c>
      <c r="T1665" t="n">
        <v>85582</v>
      </c>
      <c r="U1665" t="inlineStr">
        <is>
          <t>K005-901805913</t>
        </is>
      </c>
      <c r="V1665" t="inlineStr">
        <is>
          <t>ស្តារ ខង់ខដ (ខេមបូឌា) ឯ.ក</t>
        </is>
      </c>
      <c r="W1665" t="n">
        <v>85582</v>
      </c>
      <c r="X1665" t="n">
        <v>0</v>
      </c>
    </row>
    <row r="1666">
      <c r="A1666" t="n">
        <v>1665</v>
      </c>
      <c r="B1666" t="inlineStr">
        <is>
          <t>Export Adminstration Fee, Port Formality and Service Charge</t>
        </is>
      </c>
      <c r="C1666" t="inlineStr">
        <is>
          <t>ឆាយ ដា ឡូយីស្ទីក</t>
        </is>
      </c>
      <c r="D1666" t="inlineStr">
        <is>
          <t>L001-100063098</t>
        </is>
      </c>
      <c r="E1666" t="inlineStr">
        <is>
          <t>2410015753</t>
        </is>
      </c>
      <c r="F1666" t="inlineStr">
        <is>
          <t>22-10-2024</t>
        </is>
      </c>
      <c r="G1666" t="n">
        <v>76772</v>
      </c>
      <c r="I1666">
        <f>G1666</f>
        <v/>
      </c>
      <c r="K1666">
        <f>I1666-G1666</f>
        <v/>
      </c>
      <c r="M1666" t="inlineStr">
        <is>
          <t>2410015753</t>
        </is>
      </c>
      <c r="N1666" t="inlineStr">
        <is>
          <t>189861400</t>
        </is>
      </c>
      <c r="O1666">
        <f>M1666=N1666</f>
        <v/>
      </c>
      <c r="P1666">
        <f>AND(MONTH(F1666)=MONTH(S1666), YEAR(F1666)=YEAR(S1666))</f>
        <v/>
      </c>
      <c r="Q1666">
        <f>"L001-902303751"=U1666</f>
        <v/>
      </c>
      <c r="R1666">
        <f>G1666-W1666</f>
        <v/>
      </c>
      <c r="S1666" s="36" t="n">
        <v>45572</v>
      </c>
      <c r="T1666" t="n">
        <v>1898614</v>
      </c>
      <c r="U1666" t="inlineStr">
        <is>
          <t>K004-105012505</t>
        </is>
      </c>
      <c r="V1666" t="inlineStr">
        <is>
          <t>អេស៊ាន ហ្វ្រេត (ខេមបូឌា)</t>
        </is>
      </c>
      <c r="W1666" t="n">
        <v>1898614</v>
      </c>
      <c r="X1666" t="n">
        <v>0</v>
      </c>
    </row>
    <row r="1667">
      <c r="A1667" t="n">
        <v>1666</v>
      </c>
      <c r="B1667" t="inlineStr">
        <is>
          <t>Cargo Terminal</t>
        </is>
      </c>
      <c r="C1667" t="inlineStr">
        <is>
          <t>សូស៊ីយេតេ កុងសេស្យូនែរ ដឺ ឡាអេរ៉ូព័រ</t>
        </is>
      </c>
      <c r="D1667" t="inlineStr">
        <is>
          <t>L001-100047300</t>
        </is>
      </c>
      <c r="E1667" t="inlineStr">
        <is>
          <t>2400085128</t>
        </is>
      </c>
      <c r="F1667" t="inlineStr">
        <is>
          <t>22-10-2024</t>
        </is>
      </c>
      <c r="G1667" t="n">
        <v>2829</v>
      </c>
      <c r="I1667">
        <f>G1667</f>
        <v/>
      </c>
      <c r="K1667">
        <f>I1667-G1667</f>
        <v/>
      </c>
      <c r="M1667" t="inlineStr">
        <is>
          <t>2400085128</t>
        </is>
      </c>
      <c r="N1667" t="inlineStr">
        <is>
          <t>11170500</t>
        </is>
      </c>
      <c r="O1667">
        <f>M1667=N1667</f>
        <v/>
      </c>
      <c r="P1667">
        <f>AND(MONTH(F1667)=MONTH(S1667), YEAR(F1667)=YEAR(S1667))</f>
        <v/>
      </c>
      <c r="Q1667">
        <f>"L001-902303751"=U1667</f>
        <v/>
      </c>
      <c r="R1667">
        <f>G1667-W1667</f>
        <v/>
      </c>
      <c r="S1667" s="36" t="n">
        <v>45579</v>
      </c>
      <c r="T1667" t="n">
        <v>111705</v>
      </c>
      <c r="U1667" t="inlineStr">
        <is>
          <t>L001-107041723</t>
        </is>
      </c>
      <c r="V1667" t="inlineStr">
        <is>
          <t>ឌីប៊ី សេនឃើរ (ខេមបូឌា) លីមីធីត</t>
        </is>
      </c>
      <c r="W1667" t="n">
        <v>111705</v>
      </c>
      <c r="X1667" t="n">
        <v>0</v>
      </c>
    </row>
    <row r="1668">
      <c r="A1668" t="n">
        <v>1667</v>
      </c>
      <c r="B1668" t="inlineStr">
        <is>
          <t>Send Sample</t>
        </is>
      </c>
      <c r="C1668" t="inlineStr">
        <is>
          <t>ឌី អេច អិល អិចប្រេស (ខេមបូឌា)</t>
        </is>
      </c>
      <c r="D1668" t="inlineStr">
        <is>
          <t>L001-100045197</t>
        </is>
      </c>
      <c r="E1668" t="inlineStr">
        <is>
          <t>PNHIR00248239</t>
        </is>
      </c>
      <c r="F1668" t="inlineStr">
        <is>
          <t>21-10-2024</t>
        </is>
      </c>
      <c r="G1668" t="n">
        <v>8124</v>
      </c>
      <c r="I1668">
        <f>G1668</f>
        <v/>
      </c>
      <c r="K1668">
        <f>I1668-G1668</f>
        <v/>
      </c>
      <c r="M1668" t="inlineStr">
        <is>
          <t>PNHIR00248239</t>
        </is>
      </c>
      <c r="N1668" t="inlineStr"/>
      <c r="O1668">
        <f>M1668=N1668</f>
        <v/>
      </c>
      <c r="P1668">
        <f>AND(MONTH(F1668)=MONTH(S1668), YEAR(F1668)=YEAR(S1668))</f>
        <v/>
      </c>
      <c r="Q1668">
        <f>"L001-902303751"=U1668</f>
        <v/>
      </c>
      <c r="R1668">
        <f>G1668-W1668</f>
        <v/>
      </c>
      <c r="S1668" s="36" t="n">
        <v>45579</v>
      </c>
      <c r="T1668" t="inlineStr"/>
      <c r="U1668" t="inlineStr">
        <is>
          <t>L001-107041723</t>
        </is>
      </c>
      <c r="V1668" t="inlineStr">
        <is>
          <t>ឌីប៊ី សេនឃើរ (ខេមបូឌា) លីមីធីត</t>
        </is>
      </c>
      <c r="W1668" t="n">
        <v>0</v>
      </c>
      <c r="X1668" t="n">
        <v>0</v>
      </c>
    </row>
    <row r="1669">
      <c r="A1669" t="n">
        <v>1668</v>
      </c>
      <c r="B1669" t="inlineStr">
        <is>
          <t>Customs Clearance Fee and Trucking Fee</t>
        </is>
      </c>
      <c r="C1669" t="inlineStr">
        <is>
          <t>ត្រាយអ៊ែងហ្គល ឡូជីស្ទីក (ខេមបូឌា) ឯ.ក</t>
        </is>
      </c>
      <c r="D1669" t="inlineStr">
        <is>
          <t>K010-902101743</t>
        </is>
      </c>
      <c r="E1669" t="inlineStr">
        <is>
          <t>TAG-24-00741</t>
        </is>
      </c>
      <c r="F1669" t="inlineStr">
        <is>
          <t>21-10-2024</t>
        </is>
      </c>
      <c r="G1669" t="n">
        <v>28434</v>
      </c>
      <c r="I1669">
        <f>G1669</f>
        <v/>
      </c>
      <c r="K1669">
        <f>I1669-G1669</f>
        <v/>
      </c>
      <c r="M1669" t="inlineStr">
        <is>
          <t>TAG2400741</t>
        </is>
      </c>
      <c r="N1669" t="inlineStr"/>
      <c r="O1669">
        <f>M1669=N1669</f>
        <v/>
      </c>
      <c r="P1669">
        <f>AND(MONTH(F1669)=MONTH(S1669), YEAR(F1669)=YEAR(S1669))</f>
        <v/>
      </c>
      <c r="Q1669">
        <f>"L001-902303751"=U1669</f>
        <v/>
      </c>
      <c r="R1669">
        <f>G1669-W1669</f>
        <v/>
      </c>
      <c r="S1669" s="36" t="n">
        <v>45591</v>
      </c>
      <c r="T1669" t="inlineStr"/>
      <c r="U1669" t="inlineStr">
        <is>
          <t>L001-100045340</t>
        </is>
      </c>
      <c r="V1669" t="inlineStr">
        <is>
          <t xml:space="preserve">ស៊ីវ៉ា អ៊ែរ អ៊ែន អូសៀន (ខេមបូឌា) ឯ.ក </t>
        </is>
      </c>
      <c r="W1669" t="n">
        <v>0</v>
      </c>
      <c r="X1669" t="n">
        <v>0</v>
      </c>
    </row>
    <row r="1670">
      <c r="A1670" t="n">
        <v>1669</v>
      </c>
      <c r="B1670" t="inlineStr">
        <is>
          <t>Customs Clearance Fee and Trucking Fee</t>
        </is>
      </c>
      <c r="C1670" t="inlineStr">
        <is>
          <t>ត្រាយអ៊ែងហ្គល ឡូជីស្ទីក (ខេមបូឌា) ឯ.ក</t>
        </is>
      </c>
      <c r="D1670" t="inlineStr">
        <is>
          <t>K010-902101743</t>
        </is>
      </c>
      <c r="E1670" t="inlineStr">
        <is>
          <t>TAG-24-00740</t>
        </is>
      </c>
      <c r="F1670" t="inlineStr">
        <is>
          <t>21-10-2024</t>
        </is>
      </c>
      <c r="G1670" t="n">
        <v>28434</v>
      </c>
      <c r="I1670">
        <f>G1670</f>
        <v/>
      </c>
      <c r="K1670">
        <f>I1670-G1670</f>
        <v/>
      </c>
      <c r="M1670" t="inlineStr">
        <is>
          <t>TAG2400740</t>
        </is>
      </c>
      <c r="N1670" t="inlineStr"/>
      <c r="O1670">
        <f>M1670=N1670</f>
        <v/>
      </c>
      <c r="P1670">
        <f>AND(MONTH(F1670)=MONTH(S1670), YEAR(F1670)=YEAR(S1670))</f>
        <v/>
      </c>
      <c r="Q1670">
        <f>"L001-902303751"=U1670</f>
        <v/>
      </c>
      <c r="R1670">
        <f>G1670-W1670</f>
        <v/>
      </c>
      <c r="S1670" s="36" t="n">
        <v>45593</v>
      </c>
      <c r="T1670" t="inlineStr"/>
      <c r="U1670" t="inlineStr">
        <is>
          <t>K005-901805913</t>
        </is>
      </c>
      <c r="V1670" t="inlineStr">
        <is>
          <t>ស្តារ ខង់ខដ (ខេមបូឌា) ឯ.ក</t>
        </is>
      </c>
      <c r="W1670" t="n">
        <v>0</v>
      </c>
      <c r="X1670" t="n">
        <v>0</v>
      </c>
    </row>
    <row r="1671">
      <c r="A1671" t="n">
        <v>1670</v>
      </c>
      <c r="B1671" t="inlineStr">
        <is>
          <t>Customs Clearance Fee and Trucking Fee</t>
        </is>
      </c>
      <c r="C1671" t="inlineStr">
        <is>
          <t>ត្រាយអ៊ែងហ្គល ឡូជីស្ទីក (ខេមបូឌា) ឯ.ក</t>
        </is>
      </c>
      <c r="D1671" t="inlineStr">
        <is>
          <t>K010-902101743</t>
        </is>
      </c>
      <c r="E1671" t="inlineStr">
        <is>
          <t>TAG-24-00739</t>
        </is>
      </c>
      <c r="F1671" t="inlineStr">
        <is>
          <t>21-10-2024</t>
        </is>
      </c>
      <c r="G1671" t="n">
        <v>64992</v>
      </c>
      <c r="I1671">
        <f>G1671</f>
        <v/>
      </c>
      <c r="K1671">
        <f>I1671-G1671</f>
        <v/>
      </c>
      <c r="M1671" t="inlineStr">
        <is>
          <t>TAG2400739</t>
        </is>
      </c>
      <c r="N1671" t="inlineStr"/>
      <c r="O1671">
        <f>M1671=N1671</f>
        <v/>
      </c>
      <c r="P1671">
        <f>AND(MONTH(F1671)=MONTH(S1671), YEAR(F1671)=YEAR(S1671))</f>
        <v/>
      </c>
      <c r="Q1671">
        <f>"L001-902303751"=U1671</f>
        <v/>
      </c>
      <c r="R1671">
        <f>G1671-W1671</f>
        <v/>
      </c>
      <c r="S1671" s="36" t="n">
        <v>45593</v>
      </c>
      <c r="T1671" t="inlineStr"/>
      <c r="U1671" t="inlineStr">
        <is>
          <t>L001-107032791</t>
        </is>
      </c>
      <c r="V1671" t="inlineStr">
        <is>
          <t>នីបផន អិចប្រេស (ខេមបូឌា) ខូ អិលធីឌី</t>
        </is>
      </c>
      <c r="W1671" t="n">
        <v>0</v>
      </c>
      <c r="X1671" t="n">
        <v>0</v>
      </c>
    </row>
    <row r="1672">
      <c r="A1672" t="n">
        <v>1671</v>
      </c>
      <c r="B1672" t="inlineStr">
        <is>
          <t>Customs Clearance Fee and Trucking Fee</t>
        </is>
      </c>
      <c r="C1672" t="inlineStr">
        <is>
          <t>ត្រាយអ៊ែងហ្គល ឡូជីស្ទីក (ខេមបូឌា) ឯ.ក</t>
        </is>
      </c>
      <c r="D1672" t="inlineStr">
        <is>
          <t>K010-902101743</t>
        </is>
      </c>
      <c r="E1672" t="inlineStr">
        <is>
          <t>TAG-24-00738</t>
        </is>
      </c>
      <c r="F1672" t="inlineStr">
        <is>
          <t>21-10-2024</t>
        </is>
      </c>
      <c r="G1672" t="n">
        <v>58818</v>
      </c>
      <c r="I1672">
        <f>G1672</f>
        <v/>
      </c>
      <c r="K1672">
        <f>I1672-G1672</f>
        <v/>
      </c>
      <c r="M1672" t="inlineStr">
        <is>
          <t>TAG2400738</t>
        </is>
      </c>
      <c r="N1672" t="inlineStr"/>
      <c r="O1672">
        <f>M1672=N1672</f>
        <v/>
      </c>
      <c r="P1672">
        <f>AND(MONTH(F1672)=MONTH(S1672), YEAR(F1672)=YEAR(S1672))</f>
        <v/>
      </c>
      <c r="Q1672">
        <f>"L001-902303751"=U1672</f>
        <v/>
      </c>
      <c r="R1672">
        <f>G1672-W1672</f>
        <v/>
      </c>
      <c r="S1672" s="36" t="n">
        <v>45586</v>
      </c>
      <c r="T1672" t="inlineStr"/>
      <c r="U1672" t="inlineStr">
        <is>
          <t>L001-107032791</t>
        </is>
      </c>
      <c r="V1672" t="inlineStr">
        <is>
          <t>នីបផន អិចប្រេស (ខេមបូឌា) ខូ អិលធីឌី</t>
        </is>
      </c>
      <c r="W1672" t="n">
        <v>0</v>
      </c>
      <c r="X1672" t="n">
        <v>0</v>
      </c>
    </row>
    <row r="1673">
      <c r="A1673" t="n">
        <v>1672</v>
      </c>
      <c r="B1673" t="inlineStr">
        <is>
          <t>Customs Clearance Fee and Trucking Fee</t>
        </is>
      </c>
      <c r="C1673" t="inlineStr">
        <is>
          <t>ត្រាយអ៊ែងហ្គល ឡូជីស្ទីក (ខេមបូឌា) ឯ.ក</t>
        </is>
      </c>
      <c r="D1673" t="inlineStr">
        <is>
          <t>K010-902101743</t>
        </is>
      </c>
      <c r="E1673" t="inlineStr">
        <is>
          <t>TAG-24-00735</t>
        </is>
      </c>
      <c r="F1673" t="inlineStr">
        <is>
          <t>21-10-2024</t>
        </is>
      </c>
      <c r="G1673" t="n">
        <v>28434</v>
      </c>
      <c r="I1673">
        <f>G1673</f>
        <v/>
      </c>
      <c r="K1673">
        <f>I1673-G1673</f>
        <v/>
      </c>
      <c r="M1673" t="inlineStr">
        <is>
          <t>TAG2400735</t>
        </is>
      </c>
      <c r="N1673" t="inlineStr"/>
      <c r="O1673">
        <f>M1673=N1673</f>
        <v/>
      </c>
      <c r="P1673">
        <f>AND(MONTH(F1673)=MONTH(S1673), YEAR(F1673)=YEAR(S1673))</f>
        <v/>
      </c>
      <c r="Q1673">
        <f>"L001-902303751"=U1673</f>
        <v/>
      </c>
      <c r="R1673">
        <f>G1673-W1673</f>
        <v/>
      </c>
      <c r="S1673" s="36" t="n">
        <v>45579</v>
      </c>
      <c r="T1673" t="inlineStr"/>
      <c r="U1673" t="inlineStr">
        <is>
          <t>L001-107032791</t>
        </is>
      </c>
      <c r="V1673" t="inlineStr">
        <is>
          <t>នីបផន អិចប្រេស (ខេមបូឌា) ខូ អិលធីឌី</t>
        </is>
      </c>
      <c r="W1673" t="n">
        <v>0</v>
      </c>
      <c r="X1673" t="n">
        <v>0</v>
      </c>
    </row>
    <row r="1674">
      <c r="A1674" t="n">
        <v>1673</v>
      </c>
      <c r="B1674" t="inlineStr">
        <is>
          <t>Customs Clearance Fee and Trucking Fee</t>
        </is>
      </c>
      <c r="C1674" t="inlineStr">
        <is>
          <t>ត្រាយអ៊ែងហ្គល ឡូជីស្ទីក (ខេមបូឌា) ឯ.ក</t>
        </is>
      </c>
      <c r="D1674" t="inlineStr">
        <is>
          <t>K010-902101743</t>
        </is>
      </c>
      <c r="E1674" t="inlineStr">
        <is>
          <t>TAG-24-00734</t>
        </is>
      </c>
      <c r="F1674" t="inlineStr">
        <is>
          <t>21-10-2024</t>
        </is>
      </c>
      <c r="G1674" t="n">
        <v>28434</v>
      </c>
      <c r="I1674">
        <f>G1674</f>
        <v/>
      </c>
      <c r="K1674">
        <f>I1674-G1674</f>
        <v/>
      </c>
      <c r="M1674" t="inlineStr">
        <is>
          <t>TAG2400734</t>
        </is>
      </c>
      <c r="N1674" t="inlineStr"/>
      <c r="O1674">
        <f>M1674=N1674</f>
        <v/>
      </c>
      <c r="P1674">
        <f>AND(MONTH(F1674)=MONTH(S1674), YEAR(F1674)=YEAR(S1674))</f>
        <v/>
      </c>
      <c r="Q1674">
        <f>"L001-902303751"=U1674</f>
        <v/>
      </c>
      <c r="R1674">
        <f>G1674-W1674</f>
        <v/>
      </c>
      <c r="S1674" s="36" t="n">
        <v>45579</v>
      </c>
      <c r="T1674" t="inlineStr"/>
      <c r="U1674" t="inlineStr">
        <is>
          <t>L001-100011888</t>
        </is>
      </c>
      <c r="V1674" t="inlineStr">
        <is>
          <t>ត្រេន ស្តារ ហ្រេ្វត</t>
        </is>
      </c>
      <c r="W1674" t="n">
        <v>0</v>
      </c>
      <c r="X1674" t="n">
        <v>0</v>
      </c>
    </row>
    <row r="1675">
      <c r="A1675" t="n">
        <v>1674</v>
      </c>
      <c r="B1675" t="inlineStr">
        <is>
          <t>Customs Clearance Fee and Trucking Fee</t>
        </is>
      </c>
      <c r="C1675" t="inlineStr">
        <is>
          <t>ត្រាយអ៊ែងហ្គល ឡូជីស្ទីក (ខេមបូឌា) ឯ.ក</t>
        </is>
      </c>
      <c r="D1675" t="inlineStr">
        <is>
          <t>K010-902101743</t>
        </is>
      </c>
      <c r="E1675" t="inlineStr">
        <is>
          <t>TAG-24-00733</t>
        </is>
      </c>
      <c r="F1675" t="inlineStr">
        <is>
          <t>21-10-2024</t>
        </is>
      </c>
      <c r="G1675" t="n">
        <v>28434</v>
      </c>
      <c r="I1675">
        <f>G1675</f>
        <v/>
      </c>
      <c r="K1675">
        <f>I1675-G1675</f>
        <v/>
      </c>
      <c r="M1675" t="inlineStr">
        <is>
          <t>TAG2400733</t>
        </is>
      </c>
      <c r="N1675" t="inlineStr"/>
      <c r="O1675">
        <f>M1675=N1675</f>
        <v/>
      </c>
      <c r="P1675">
        <f>AND(MONTH(F1675)=MONTH(S1675), YEAR(F1675)=YEAR(S1675))</f>
        <v/>
      </c>
      <c r="Q1675">
        <f>"L001-902303751"=U1675</f>
        <v/>
      </c>
      <c r="R1675">
        <f>G1675-W1675</f>
        <v/>
      </c>
      <c r="S1675" s="36" t="n">
        <v>45590</v>
      </c>
      <c r="T1675" t="inlineStr"/>
      <c r="U1675" t="inlineStr">
        <is>
          <t>L001-103007369</t>
        </is>
      </c>
      <c r="V1675" t="inlineStr">
        <is>
          <t>អូរៀនថល ឡូជីស្ទីក &amp; ឌីស្ទ្រីប៊្យូសិន (ខេមបូឌា)</t>
        </is>
      </c>
      <c r="W1675" t="n">
        <v>0</v>
      </c>
      <c r="X1675" t="n">
        <v>0</v>
      </c>
    </row>
    <row r="1676">
      <c r="A1676" t="n">
        <v>1675</v>
      </c>
      <c r="B1676" t="inlineStr">
        <is>
          <t>Customs Clearance Fee and Trucking Fee</t>
        </is>
      </c>
      <c r="C1676" t="inlineStr">
        <is>
          <t>ត្រាយអ៊ែងហ្គល ឡូជីស្ទីក (ខេមបូឌា) ឯ.ក</t>
        </is>
      </c>
      <c r="D1676" t="inlineStr">
        <is>
          <t>K010-902101743</t>
        </is>
      </c>
      <c r="E1676" t="inlineStr">
        <is>
          <t>TAG-24-00732</t>
        </is>
      </c>
      <c r="F1676" t="inlineStr">
        <is>
          <t>21-10-2024</t>
        </is>
      </c>
      <c r="G1676" t="n">
        <v>28434</v>
      </c>
      <c r="I1676">
        <f>G1676</f>
        <v/>
      </c>
      <c r="K1676">
        <f>I1676-G1676</f>
        <v/>
      </c>
      <c r="M1676" t="inlineStr">
        <is>
          <t>TAG2400732</t>
        </is>
      </c>
      <c r="N1676" t="inlineStr">
        <is>
          <t>8327100</t>
        </is>
      </c>
      <c r="O1676">
        <f>M1676=N1676</f>
        <v/>
      </c>
      <c r="P1676">
        <f>AND(MONTH(F1676)=MONTH(S1676), YEAR(F1676)=YEAR(S1676))</f>
        <v/>
      </c>
      <c r="Q1676">
        <f>"L001-902303751"=U1676</f>
        <v/>
      </c>
      <c r="R1676">
        <f>G1676-W1676</f>
        <v/>
      </c>
      <c r="S1676" s="36" t="n">
        <v>45589</v>
      </c>
      <c r="T1676" t="n">
        <v>83271</v>
      </c>
      <c r="U1676" t="inlineStr">
        <is>
          <t>L001-100045995</t>
        </is>
      </c>
      <c r="V1676" t="inlineStr">
        <is>
          <t>ឌីអេចអិល ឡូជីស្ទីក (ខេមបូឌា)</t>
        </is>
      </c>
      <c r="W1676" t="n">
        <v>83271</v>
      </c>
      <c r="X1676" t="n">
        <v>0</v>
      </c>
    </row>
    <row r="1677">
      <c r="A1677" t="n">
        <v>1676</v>
      </c>
      <c r="B1677" t="inlineStr">
        <is>
          <t>Import Shipment Expense</t>
        </is>
      </c>
      <c r="C1677" t="inlineStr">
        <is>
          <t>អេស៊ាន ហ្វ្រេត (ខេមបូឌា)</t>
        </is>
      </c>
      <c r="D1677" t="inlineStr">
        <is>
          <t>K004-105012505</t>
        </is>
      </c>
      <c r="E1677" t="inlineStr">
        <is>
          <t>PPTI24/2201</t>
        </is>
      </c>
      <c r="F1677" t="inlineStr">
        <is>
          <t>21-10-2024</t>
        </is>
      </c>
      <c r="G1677" t="n">
        <v>47119</v>
      </c>
      <c r="I1677">
        <f>G1677</f>
        <v/>
      </c>
      <c r="K1677">
        <f>I1677-G1677</f>
        <v/>
      </c>
      <c r="M1677" t="inlineStr">
        <is>
          <t>PPTI242201</t>
        </is>
      </c>
      <c r="N1677" t="inlineStr">
        <is>
          <t>11170500</t>
        </is>
      </c>
      <c r="O1677">
        <f>M1677=N1677</f>
        <v/>
      </c>
      <c r="P1677">
        <f>AND(MONTH(F1677)=MONTH(S1677), YEAR(F1677)=YEAR(S1677))</f>
        <v/>
      </c>
      <c r="Q1677">
        <f>"L001-902303751"=U1677</f>
        <v/>
      </c>
      <c r="R1677">
        <f>G1677-W1677</f>
        <v/>
      </c>
      <c r="S1677" s="36" t="n">
        <v>45586</v>
      </c>
      <c r="T1677" t="n">
        <v>111705</v>
      </c>
      <c r="U1677" t="inlineStr">
        <is>
          <t>L001-107032791</t>
        </is>
      </c>
      <c r="V1677" t="inlineStr">
        <is>
          <t>នីបផន អិចប្រេស (ខេមបូឌា) ខូ អិលធីឌី</t>
        </is>
      </c>
      <c r="W1677" t="n">
        <v>111705</v>
      </c>
      <c r="X1677" t="n">
        <v>0</v>
      </c>
    </row>
    <row r="1678">
      <c r="A1678" t="n">
        <v>1677</v>
      </c>
      <c r="B1678" t="inlineStr">
        <is>
          <t>Cargo Terminal</t>
        </is>
      </c>
      <c r="C1678" t="inlineStr">
        <is>
          <t>សូស៊ីយេតេ កុងសេស្យូនែរ ដឺ ឡាអេរ៉ូព័រ</t>
        </is>
      </c>
      <c r="D1678" t="inlineStr">
        <is>
          <t>L001-100047300</t>
        </is>
      </c>
      <c r="E1678" t="inlineStr">
        <is>
          <t>2400086306</t>
        </is>
      </c>
      <c r="F1678" t="inlineStr">
        <is>
          <t>25-10-2024</t>
        </is>
      </c>
      <c r="G1678" t="n">
        <v>812</v>
      </c>
      <c r="I1678">
        <f>G1678</f>
        <v/>
      </c>
      <c r="K1678">
        <f>I1678-G1678</f>
        <v/>
      </c>
      <c r="M1678" t="inlineStr">
        <is>
          <t>2400086306</t>
        </is>
      </c>
      <c r="N1678" t="inlineStr">
        <is>
          <t>11414200</t>
        </is>
      </c>
      <c r="O1678">
        <f>M1678=N1678</f>
        <v/>
      </c>
      <c r="P1678">
        <f>AND(MONTH(F1678)=MONTH(S1678), YEAR(F1678)=YEAR(S1678))</f>
        <v/>
      </c>
      <c r="Q1678">
        <f>"L001-902303751"=U1678</f>
        <v/>
      </c>
      <c r="R1678">
        <f>G1678-W1678</f>
        <v/>
      </c>
      <c r="S1678" s="36" t="n">
        <v>45586</v>
      </c>
      <c r="T1678" t="n">
        <v>114142</v>
      </c>
      <c r="U1678" t="inlineStr">
        <is>
          <t>L001-100045340</t>
        </is>
      </c>
      <c r="V1678" t="inlineStr">
        <is>
          <t xml:space="preserve">ស៊ីវ៉ា អ៊ែរ អ៊ែន អូសៀន (ខេមបូឌា) ឯ.ក </t>
        </is>
      </c>
      <c r="W1678" t="n">
        <v>114142</v>
      </c>
      <c r="X1678" t="n">
        <v>0</v>
      </c>
    </row>
    <row r="1679">
      <c r="A1679" t="n">
        <v>1678</v>
      </c>
      <c r="B1679" t="inlineStr">
        <is>
          <t>Export Custom Clearance</t>
        </is>
      </c>
      <c r="C1679" t="inlineStr">
        <is>
          <t>អ៊ីឃ្យូឡាញ វើលវ៉ាយដ៍ ឡូជីស្ទីក</t>
        </is>
      </c>
      <c r="D1679" t="inlineStr">
        <is>
          <t>K003-901635943</t>
        </is>
      </c>
      <c r="E1679" t="inlineStr">
        <is>
          <t>PPTI24/005244</t>
        </is>
      </c>
      <c r="F1679" t="inlineStr">
        <is>
          <t>24-10-2024</t>
        </is>
      </c>
      <c r="G1679" t="n">
        <v>64992</v>
      </c>
      <c r="I1679">
        <f>G1679</f>
        <v/>
      </c>
      <c r="K1679">
        <f>I1679-G1679</f>
        <v/>
      </c>
      <c r="M1679" t="inlineStr">
        <is>
          <t>PPTI24005244</t>
        </is>
      </c>
      <c r="N1679" t="inlineStr"/>
      <c r="O1679">
        <f>M1679=N1679</f>
        <v/>
      </c>
      <c r="P1679">
        <f>AND(MONTH(F1679)=MONTH(S1679), YEAR(F1679)=YEAR(S1679))</f>
        <v/>
      </c>
      <c r="Q1679">
        <f>"L001-902303751"=U1679</f>
        <v/>
      </c>
      <c r="R1679">
        <f>G1679-W1679</f>
        <v/>
      </c>
      <c r="S1679" s="36" t="n">
        <v>45586</v>
      </c>
      <c r="T1679" t="inlineStr"/>
      <c r="U1679" t="inlineStr">
        <is>
          <t>L001-107032791</t>
        </is>
      </c>
      <c r="V1679" t="inlineStr">
        <is>
          <t>នីបផន អិចប្រេស (ខេមបូឌា) ខូ អិលធីឌី</t>
        </is>
      </c>
      <c r="W1679" t="n">
        <v>0</v>
      </c>
      <c r="X1679" t="n">
        <v>0</v>
      </c>
    </row>
    <row r="1680">
      <c r="A1680" t="n">
        <v>1679</v>
      </c>
      <c r="B1680" t="inlineStr">
        <is>
          <t>Send Docs and Material</t>
        </is>
      </c>
      <c r="C1680" t="inlineStr">
        <is>
          <t>ឌី អេច អិល អិចប្រេស (ខេមបូឌា)</t>
        </is>
      </c>
      <c r="D1680" t="inlineStr">
        <is>
          <t>L001-100045197</t>
        </is>
      </c>
      <c r="E1680" t="inlineStr">
        <is>
          <t>PNHR000507644</t>
        </is>
      </c>
      <c r="F1680" t="inlineStr">
        <is>
          <t>24-10-2024</t>
        </is>
      </c>
      <c r="G1680" t="n">
        <v>58412</v>
      </c>
      <c r="I1680">
        <f>G1680</f>
        <v/>
      </c>
      <c r="K1680">
        <f>I1680-G1680</f>
        <v/>
      </c>
      <c r="M1680" t="inlineStr">
        <is>
          <t>PNHR000507644</t>
        </is>
      </c>
      <c r="N1680" t="inlineStr"/>
      <c r="O1680">
        <f>M1680=N1680</f>
        <v/>
      </c>
      <c r="P1680">
        <f>AND(MONTH(F1680)=MONTH(S1680), YEAR(F1680)=YEAR(S1680))</f>
        <v/>
      </c>
      <c r="Q1680">
        <f>"L001-902303751"=U1680</f>
        <v/>
      </c>
      <c r="R1680">
        <f>G1680-W1680</f>
        <v/>
      </c>
      <c r="S1680" s="36" t="n">
        <v>45574</v>
      </c>
      <c r="T1680" t="inlineStr"/>
      <c r="U1680" t="inlineStr">
        <is>
          <t>L001-107032791</t>
        </is>
      </c>
      <c r="V1680" t="inlineStr">
        <is>
          <t>នីបផន អិចប្រេស (ខេមបូឌា) ខូ អិលធីឌី</t>
        </is>
      </c>
      <c r="W1680" t="n">
        <v>0</v>
      </c>
      <c r="X1680" t="n">
        <v>0</v>
      </c>
    </row>
    <row r="1681">
      <c r="A1681" t="n">
        <v>1680</v>
      </c>
      <c r="B1681" t="inlineStr">
        <is>
          <t>Send Material</t>
        </is>
      </c>
      <c r="C1681" t="inlineStr">
        <is>
          <t>ឌី អេច អិល អិចប្រេស (ខេមបូឌា)</t>
        </is>
      </c>
      <c r="D1681" t="inlineStr">
        <is>
          <t>L001-100045197</t>
        </is>
      </c>
      <c r="E1681" t="inlineStr">
        <is>
          <t>PNHIR00249354</t>
        </is>
      </c>
      <c r="F1681" t="inlineStr">
        <is>
          <t>24-10-2024</t>
        </is>
      </c>
      <c r="G1681" t="n">
        <v>11053</v>
      </c>
      <c r="I1681">
        <f>G1681</f>
        <v/>
      </c>
      <c r="K1681">
        <f>I1681-G1681</f>
        <v/>
      </c>
      <c r="M1681" t="inlineStr">
        <is>
          <t>PNHIR00249354</t>
        </is>
      </c>
      <c r="N1681" t="inlineStr"/>
      <c r="O1681">
        <f>M1681=N1681</f>
        <v/>
      </c>
      <c r="P1681">
        <f>AND(MONTH(F1681)=MONTH(S1681), YEAR(F1681)=YEAR(S1681))</f>
        <v/>
      </c>
      <c r="Q1681">
        <f>"L001-902303751"=U1681</f>
        <v/>
      </c>
      <c r="R1681">
        <f>G1681-W1681</f>
        <v/>
      </c>
      <c r="S1681" s="36" t="n">
        <v>45579</v>
      </c>
      <c r="T1681" t="inlineStr"/>
      <c r="U1681" t="inlineStr">
        <is>
          <t>L001-107032791</t>
        </is>
      </c>
      <c r="V1681" t="inlineStr">
        <is>
          <t>នីបផន អិចប្រេស (ខេមបូឌា) ខូ អិលធីឌី</t>
        </is>
      </c>
      <c r="W1681" t="n">
        <v>0</v>
      </c>
      <c r="X1681" t="n">
        <v>0</v>
      </c>
    </row>
    <row r="1682">
      <c r="A1682" t="n">
        <v>1681</v>
      </c>
      <c r="B1682" t="inlineStr">
        <is>
          <t>Send Material</t>
        </is>
      </c>
      <c r="C1682" t="inlineStr">
        <is>
          <t>ឌី អេច អិល អិចប្រេស (ខេមបូឌា)</t>
        </is>
      </c>
      <c r="D1682" t="inlineStr">
        <is>
          <t>L001-100045197</t>
        </is>
      </c>
      <c r="E1682" t="inlineStr">
        <is>
          <t>PNHIR00249353</t>
        </is>
      </c>
      <c r="F1682" t="inlineStr">
        <is>
          <t>24-10-2024</t>
        </is>
      </c>
      <c r="G1682" t="n">
        <v>10614</v>
      </c>
      <c r="I1682">
        <f>G1682</f>
        <v/>
      </c>
      <c r="K1682">
        <f>I1682-G1682</f>
        <v/>
      </c>
      <c r="M1682" t="inlineStr">
        <is>
          <t>PNHIR00249353</t>
        </is>
      </c>
      <c r="N1682" t="inlineStr">
        <is>
          <t>11414200</t>
        </is>
      </c>
      <c r="O1682">
        <f>M1682=N1682</f>
        <v/>
      </c>
      <c r="P1682">
        <f>AND(MONTH(F1682)=MONTH(S1682), YEAR(F1682)=YEAR(S1682))</f>
        <v/>
      </c>
      <c r="Q1682">
        <f>"L001-902303751"=U1682</f>
        <v/>
      </c>
      <c r="R1682">
        <f>G1682-W1682</f>
        <v/>
      </c>
      <c r="S1682" s="36" t="n">
        <v>45586</v>
      </c>
      <c r="T1682" t="n">
        <v>114142</v>
      </c>
      <c r="U1682" t="inlineStr">
        <is>
          <t>L001-100045340</t>
        </is>
      </c>
      <c r="V1682" t="inlineStr">
        <is>
          <t xml:space="preserve">ស៊ីវ៉ា អ៊ែរ អ៊ែន អូសៀន (ខេមបូឌា) ឯ.ក </t>
        </is>
      </c>
      <c r="W1682" t="n">
        <v>114142</v>
      </c>
      <c r="X1682" t="n">
        <v>0</v>
      </c>
    </row>
    <row r="1683">
      <c r="A1683" t="n">
        <v>1682</v>
      </c>
      <c r="B1683" t="inlineStr">
        <is>
          <t>Import Shipment Expense</t>
        </is>
      </c>
      <c r="C1683" t="inlineStr">
        <is>
          <t>ផេនដា គ្លូប៊ល ឡូជីស្ទីក (ខេមបូឌា)</t>
        </is>
      </c>
      <c r="D1683" t="inlineStr">
        <is>
          <t>K005-901501155</t>
        </is>
      </c>
      <c r="E1683" t="inlineStr">
        <is>
          <t>PD240431</t>
        </is>
      </c>
      <c r="F1683" t="inlineStr">
        <is>
          <t>24-10-2024</t>
        </is>
      </c>
      <c r="G1683" t="n">
        <v>96498</v>
      </c>
      <c r="I1683">
        <f>G1683</f>
        <v/>
      </c>
      <c r="K1683">
        <f>I1683-G1683</f>
        <v/>
      </c>
      <c r="M1683" t="inlineStr">
        <is>
          <t>PD240431</t>
        </is>
      </c>
      <c r="N1683" t="inlineStr">
        <is>
          <t>17263500</t>
        </is>
      </c>
      <c r="O1683">
        <f>M1683=N1683</f>
        <v/>
      </c>
      <c r="P1683">
        <f>AND(MONTH(F1683)=MONTH(S1683), YEAR(F1683)=YEAR(S1683))</f>
        <v/>
      </c>
      <c r="Q1683">
        <f>"L001-902303751"=U1683</f>
        <v/>
      </c>
      <c r="R1683">
        <f>G1683-W1683</f>
        <v/>
      </c>
      <c r="S1683" s="36" t="n">
        <v>45586</v>
      </c>
      <c r="T1683" t="n">
        <v>172635</v>
      </c>
      <c r="U1683" t="inlineStr">
        <is>
          <t>L001-100045995</t>
        </is>
      </c>
      <c r="V1683" t="inlineStr">
        <is>
          <t>ឌីអេចអិល ឡូជីស្ទីក (ខេមបូឌា)</t>
        </is>
      </c>
      <c r="W1683" t="n">
        <v>172635</v>
      </c>
      <c r="X1683" t="n">
        <v>0</v>
      </c>
    </row>
    <row r="1684">
      <c r="A1684" t="n">
        <v>1683</v>
      </c>
      <c r="B1684" t="inlineStr">
        <is>
          <t>Import Shipment Expense</t>
        </is>
      </c>
      <c r="C1684" t="inlineStr">
        <is>
          <t>ផេនដា គ្លូប៊ល ឡូជីស្ទីក (ខេមបូឌា)</t>
        </is>
      </c>
      <c r="D1684" t="inlineStr">
        <is>
          <t>K005-901501155</t>
        </is>
      </c>
      <c r="E1684" t="inlineStr">
        <is>
          <t>PD240430</t>
        </is>
      </c>
      <c r="F1684" t="inlineStr">
        <is>
          <t>24-10-2024</t>
        </is>
      </c>
      <c r="G1684" t="n">
        <v>161993</v>
      </c>
      <c r="I1684">
        <f>G1684</f>
        <v/>
      </c>
      <c r="K1684">
        <f>I1684-G1684</f>
        <v/>
      </c>
      <c r="M1684" t="inlineStr">
        <is>
          <t>PD240430</t>
        </is>
      </c>
      <c r="N1684" t="inlineStr">
        <is>
          <t>20106900</t>
        </is>
      </c>
      <c r="O1684">
        <f>M1684=N1684</f>
        <v/>
      </c>
      <c r="P1684">
        <f>AND(MONTH(F1684)=MONTH(S1684), YEAR(F1684)=YEAR(S1684))</f>
        <v/>
      </c>
      <c r="Q1684">
        <f>"L001-902303751"=U1684</f>
        <v/>
      </c>
      <c r="R1684">
        <f>G1684-W1684</f>
        <v/>
      </c>
      <c r="S1684" s="36" t="n">
        <v>45586</v>
      </c>
      <c r="T1684" t="n">
        <v>201069</v>
      </c>
      <c r="U1684" t="inlineStr">
        <is>
          <t>L001-107032791</t>
        </is>
      </c>
      <c r="V1684" t="inlineStr">
        <is>
          <t>នីបផន អិចប្រេស (ខេមបូឌា) ខូ អិលធីឌី</t>
        </is>
      </c>
      <c r="W1684" t="n">
        <v>201069</v>
      </c>
      <c r="X1684" t="n">
        <v>0</v>
      </c>
    </row>
    <row r="1685">
      <c r="A1685" t="n">
        <v>1684</v>
      </c>
      <c r="B1685" t="inlineStr">
        <is>
          <t>Knitted Flatkni</t>
        </is>
      </c>
      <c r="C1685" t="inlineStr">
        <is>
          <t>សូស៊ីយេតេ កុងសេស្យូនែរ ដឺ ឡាអេរ៉ូព័រ</t>
        </is>
      </c>
      <c r="D1685" t="inlineStr">
        <is>
          <t>L001-100047300</t>
        </is>
      </c>
      <c r="E1685" t="inlineStr">
        <is>
          <t>2400085654</t>
        </is>
      </c>
      <c r="F1685" t="inlineStr">
        <is>
          <t>24-10-2024</t>
        </is>
      </c>
      <c r="G1685" t="n">
        <v>3346</v>
      </c>
      <c r="I1685">
        <f>G1685</f>
        <v/>
      </c>
      <c r="K1685">
        <f>I1685-G1685</f>
        <v/>
      </c>
      <c r="M1685" t="inlineStr">
        <is>
          <t>2400085654</t>
        </is>
      </c>
      <c r="N1685" t="inlineStr">
        <is>
          <t>8327100</t>
        </is>
      </c>
      <c r="O1685">
        <f>M1685=N1685</f>
        <v/>
      </c>
      <c r="P1685">
        <f>AND(MONTH(F1685)=MONTH(S1685), YEAR(F1685)=YEAR(S1685))</f>
        <v/>
      </c>
      <c r="Q1685">
        <f>"L001-902303751"=U1685</f>
        <v/>
      </c>
      <c r="R1685">
        <f>G1685-W1685</f>
        <v/>
      </c>
      <c r="S1685" s="36" t="n">
        <v>45586</v>
      </c>
      <c r="T1685" t="n">
        <v>83271</v>
      </c>
      <c r="U1685" t="inlineStr">
        <is>
          <t>K005-901902888</t>
        </is>
      </c>
      <c r="V1685" t="inlineStr">
        <is>
          <t>អឹឡាយអិន ហ្វ័រវើឌីង (ខេមបូឌា) ឯ.ក</t>
        </is>
      </c>
      <c r="W1685" t="n">
        <v>83271</v>
      </c>
      <c r="X1685" t="n">
        <v>0</v>
      </c>
    </row>
    <row r="1686">
      <c r="A1686" t="n">
        <v>1685</v>
      </c>
      <c r="B1686" t="inlineStr">
        <is>
          <t>Document Origin, Handling Charges Origin, Airfreight, PLACI fee and HAWB Transmission Fee</t>
        </is>
      </c>
      <c r="C1686" t="inlineStr">
        <is>
          <t>ឌីប៊ី សេនឃើរ (ខេមបូឌា) លីមីធីត</t>
        </is>
      </c>
      <c r="D1686" t="inlineStr">
        <is>
          <t>L001-107041723</t>
        </is>
      </c>
      <c r="E1686" t="inlineStr">
        <is>
          <t>2400008519</t>
        </is>
      </c>
      <c r="F1686" t="inlineStr">
        <is>
          <t>24-10-2024</t>
        </is>
      </c>
      <c r="G1686" t="n">
        <v>49963</v>
      </c>
      <c r="I1686">
        <f>G1686</f>
        <v/>
      </c>
      <c r="K1686">
        <f>I1686-G1686</f>
        <v/>
      </c>
      <c r="M1686" t="inlineStr">
        <is>
          <t>2400008519</t>
        </is>
      </c>
      <c r="N1686" t="inlineStr"/>
      <c r="O1686">
        <f>M1686=N1686</f>
        <v/>
      </c>
      <c r="P1686">
        <f>AND(MONTH(F1686)=MONTH(S1686), YEAR(F1686)=YEAR(S1686))</f>
        <v/>
      </c>
      <c r="Q1686">
        <f>"L001-902303751"=U1686</f>
        <v/>
      </c>
      <c r="R1686">
        <f>G1686-W1686</f>
        <v/>
      </c>
      <c r="S1686" s="36" t="n">
        <v>45579</v>
      </c>
      <c r="T1686" t="inlineStr"/>
      <c r="U1686" t="inlineStr">
        <is>
          <t>K005-901805913</t>
        </is>
      </c>
      <c r="V1686" t="inlineStr">
        <is>
          <t>ស្តារ ខង់ខដ (ខេមបូឌា) ឯ.ក</t>
        </is>
      </c>
      <c r="W1686" t="n">
        <v>0</v>
      </c>
      <c r="X1686" t="n">
        <v>0</v>
      </c>
    </row>
    <row r="1687">
      <c r="A1687" t="n">
        <v>1686</v>
      </c>
      <c r="B1687" t="inlineStr">
        <is>
          <t>Stationery</t>
        </is>
      </c>
      <c r="C1687" t="inlineStr">
        <is>
          <t>ស៊ី &amp; ជី ត្រេឌីង ឯ.ក</t>
        </is>
      </c>
      <c r="D1687" t="inlineStr">
        <is>
          <t>K010-902205065</t>
        </is>
      </c>
      <c r="E1687" t="inlineStr">
        <is>
          <t>2024-0084</t>
        </is>
      </c>
      <c r="F1687" t="inlineStr">
        <is>
          <t>25-10-2024</t>
        </is>
      </c>
      <c r="G1687" t="n">
        <v>45426</v>
      </c>
      <c r="I1687">
        <f>G1687</f>
        <v/>
      </c>
      <c r="K1687">
        <f>I1687-G1687</f>
        <v/>
      </c>
      <c r="M1687" t="inlineStr">
        <is>
          <t>20240084</t>
        </is>
      </c>
      <c r="N1687" t="inlineStr"/>
      <c r="O1687">
        <f>M1687=N1687</f>
        <v/>
      </c>
      <c r="P1687">
        <f>AND(MONTH(F1687)=MONTH(S1687), YEAR(F1687)=YEAR(S1687))</f>
        <v/>
      </c>
      <c r="Q1687">
        <f>"L001-902303751"=U1687</f>
        <v/>
      </c>
      <c r="R1687">
        <f>G1687-W1687</f>
        <v/>
      </c>
      <c r="S1687" s="36" t="n">
        <v>45579</v>
      </c>
      <c r="T1687" t="inlineStr"/>
      <c r="U1687" t="inlineStr">
        <is>
          <t>L001-107032791</t>
        </is>
      </c>
      <c r="V1687" t="inlineStr">
        <is>
          <t>នីបផន អិចប្រេស (ខេមបូឌា) ខូ អិលធីឌី</t>
        </is>
      </c>
      <c r="W1687" t="n">
        <v>0</v>
      </c>
      <c r="X1687" t="n">
        <v>0</v>
      </c>
    </row>
    <row r="1688">
      <c r="A1688" t="n">
        <v>1687</v>
      </c>
      <c r="B1688" t="inlineStr">
        <is>
          <t>Cargo Terminal</t>
        </is>
      </c>
      <c r="C1688" t="inlineStr">
        <is>
          <t>សូស៊ីយេតេ កុងសេស្យូនែរ ដឺ ឡាអេរ៉ូព័រ</t>
        </is>
      </c>
      <c r="D1688" t="inlineStr">
        <is>
          <t>L001-100047300</t>
        </is>
      </c>
      <c r="E1688" t="inlineStr">
        <is>
          <t>2400085984</t>
        </is>
      </c>
      <c r="F1688" t="inlineStr">
        <is>
          <t>25-10-2024</t>
        </is>
      </c>
      <c r="G1688" t="n">
        <v>3769</v>
      </c>
      <c r="I1688">
        <f>G1688</f>
        <v/>
      </c>
      <c r="K1688">
        <f>I1688-G1688</f>
        <v/>
      </c>
      <c r="M1688" t="inlineStr">
        <is>
          <t>2400085984</t>
        </is>
      </c>
      <c r="N1688" t="inlineStr"/>
      <c r="O1688">
        <f>M1688=N1688</f>
        <v/>
      </c>
      <c r="P1688">
        <f>AND(MONTH(F1688)=MONTH(S1688), YEAR(F1688)=YEAR(S1688))</f>
        <v/>
      </c>
      <c r="Q1688">
        <f>"L001-902303751"=U1688</f>
        <v/>
      </c>
      <c r="R1688">
        <f>G1688-W1688</f>
        <v/>
      </c>
      <c r="S1688" s="36" t="n">
        <v>45572</v>
      </c>
      <c r="T1688" t="inlineStr"/>
      <c r="U1688" t="inlineStr">
        <is>
          <t>L001-100045995</t>
        </is>
      </c>
      <c r="V1688" t="inlineStr">
        <is>
          <t>ឌីអេចអិល ឡូជីស្ទីក (ខេមបូឌា)</t>
        </is>
      </c>
      <c r="W1688" t="n">
        <v>0</v>
      </c>
      <c r="X1688" t="n">
        <v>0</v>
      </c>
    </row>
    <row r="1689">
      <c r="A1689" t="n">
        <v>1688</v>
      </c>
      <c r="B1689" t="inlineStr">
        <is>
          <t>Cargo Terminal</t>
        </is>
      </c>
      <c r="C1689" t="inlineStr">
        <is>
          <t>សូស៊ីយេតេ កុងសេស្យូនែរ ដឺ ឡាអេរ៉ូព័រ</t>
        </is>
      </c>
      <c r="D1689" t="inlineStr">
        <is>
          <t>L001-100047300</t>
        </is>
      </c>
      <c r="E1689" t="inlineStr">
        <is>
          <t>2400085983</t>
        </is>
      </c>
      <c r="F1689" t="inlineStr">
        <is>
          <t>25-10-2024</t>
        </is>
      </c>
      <c r="G1689" t="n">
        <v>812</v>
      </c>
      <c r="I1689">
        <f>G1689</f>
        <v/>
      </c>
      <c r="K1689">
        <f>I1689-G1689</f>
        <v/>
      </c>
      <c r="M1689" t="inlineStr">
        <is>
          <t>2400085983</t>
        </is>
      </c>
      <c r="N1689" t="inlineStr">
        <is>
          <t>252404900</t>
        </is>
      </c>
      <c r="O1689">
        <f>M1689=N1689</f>
        <v/>
      </c>
      <c r="P1689">
        <f>AND(MONTH(F1689)=MONTH(S1689), YEAR(F1689)=YEAR(S1689))</f>
        <v/>
      </c>
      <c r="Q1689">
        <f>"L001-902303751"=U1689</f>
        <v/>
      </c>
      <c r="R1689">
        <f>G1689-W1689</f>
        <v/>
      </c>
      <c r="S1689" s="36" t="n">
        <v>45572</v>
      </c>
      <c r="T1689" t="n">
        <v>2524049</v>
      </c>
      <c r="U1689" t="inlineStr">
        <is>
          <t>K004-105012505</t>
        </is>
      </c>
      <c r="V1689" t="inlineStr">
        <is>
          <t>អេស៊ាន ហ្វ្រេត (ខេមបូឌា)</t>
        </is>
      </c>
      <c r="W1689" t="n">
        <v>2524049</v>
      </c>
      <c r="X1689" t="n">
        <v>0</v>
      </c>
    </row>
    <row r="1690">
      <c r="A1690" t="n">
        <v>1689</v>
      </c>
      <c r="B1690" t="inlineStr">
        <is>
          <t>Documentation Origin, Handling Charges Origin, PLACI fee and HAWB Transmission Fee</t>
        </is>
      </c>
      <c r="C1690" t="inlineStr">
        <is>
          <t>ឌីប៊ី សេនឃើរ (ខេមបូឌា) លីមីធីត</t>
        </is>
      </c>
      <c r="D1690" t="inlineStr">
        <is>
          <t>L001-107041723</t>
        </is>
      </c>
      <c r="E1690" t="inlineStr">
        <is>
          <t>2400008530</t>
        </is>
      </c>
      <c r="F1690" t="inlineStr">
        <is>
          <t>25-10-2024</t>
        </is>
      </c>
      <c r="G1690" t="n">
        <v>49950</v>
      </c>
      <c r="I1690">
        <f>G1690</f>
        <v/>
      </c>
      <c r="K1690">
        <f>I1690-G1690</f>
        <v/>
      </c>
      <c r="M1690" t="inlineStr">
        <is>
          <t>2400008530</t>
        </is>
      </c>
      <c r="N1690" t="inlineStr"/>
      <c r="O1690">
        <f>M1690=N1690</f>
        <v/>
      </c>
      <c r="P1690">
        <f>AND(MONTH(F1690)=MONTH(S1690), YEAR(F1690)=YEAR(S1690))</f>
        <v/>
      </c>
      <c r="Q1690">
        <f>"L001-902303751"=U1690</f>
        <v/>
      </c>
      <c r="R1690">
        <f>G1690-W1690</f>
        <v/>
      </c>
      <c r="S1690" s="36" t="n">
        <v>45586</v>
      </c>
      <c r="T1690" t="inlineStr"/>
      <c r="U1690" t="inlineStr">
        <is>
          <t>K002-901635875</t>
        </is>
      </c>
      <c r="V1690" t="inlineStr">
        <is>
          <t>ដាត គ្លូប៊ល ឡូជីស្ទីក (ខេមបូឌា)</t>
        </is>
      </c>
      <c r="W1690" t="n">
        <v>0</v>
      </c>
      <c r="X1690" t="n">
        <v>0</v>
      </c>
    </row>
    <row r="1691">
      <c r="A1691" t="n">
        <v>1690</v>
      </c>
      <c r="B1691" t="inlineStr">
        <is>
          <t>Document Origin, Handling Charges Origin, Airfreight, PLACI fee and HAWB Transmission Fee</t>
        </is>
      </c>
      <c r="C1691" t="inlineStr">
        <is>
          <t>ឌីប៊ី សេនឃើរ (ខេមបូឌា) លីមីធីត</t>
        </is>
      </c>
      <c r="D1691" t="inlineStr">
        <is>
          <t>L001-107041723</t>
        </is>
      </c>
      <c r="E1691" t="inlineStr">
        <is>
          <t>2400008529</t>
        </is>
      </c>
      <c r="F1691" t="inlineStr">
        <is>
          <t>25-10-2024</t>
        </is>
      </c>
      <c r="G1691" t="n">
        <v>49950</v>
      </c>
      <c r="I1691">
        <f>G1691</f>
        <v/>
      </c>
      <c r="K1691">
        <f>I1691-G1691</f>
        <v/>
      </c>
      <c r="M1691" t="inlineStr">
        <is>
          <t>2400008529</t>
        </is>
      </c>
      <c r="N1691" t="inlineStr"/>
      <c r="O1691">
        <f>M1691=N1691</f>
        <v/>
      </c>
      <c r="P1691">
        <f>AND(MONTH(F1691)=MONTH(S1691), YEAR(F1691)=YEAR(S1691))</f>
        <v/>
      </c>
      <c r="Q1691">
        <f>"L001-902303751"=U1691</f>
        <v/>
      </c>
      <c r="R1691">
        <f>G1691-W1691</f>
        <v/>
      </c>
      <c r="S1691" s="36" t="n">
        <v>45586</v>
      </c>
      <c r="T1691" t="inlineStr"/>
      <c r="U1691" t="inlineStr">
        <is>
          <t>L001-100045340</t>
        </is>
      </c>
      <c r="V1691" t="inlineStr">
        <is>
          <t xml:space="preserve">ស៊ីវ៉ា អ៊ែរ អ៊ែន អូសៀន (ខេមបូឌា) ឯ.ក </t>
        </is>
      </c>
      <c r="W1691" t="n">
        <v>0</v>
      </c>
      <c r="X1691" t="n">
        <v>0</v>
      </c>
    </row>
    <row r="1692">
      <c r="A1692" t="n">
        <v>1691</v>
      </c>
      <c r="B1692" t="inlineStr">
        <is>
          <t>Charge from Warehouse/cy to trucks</t>
        </is>
      </c>
      <c r="C1692" t="inlineStr">
        <is>
          <t>កំពង់ផែស្វយ័តក្រុងព្រះសីហនុ</t>
        </is>
      </c>
      <c r="D1692" t="inlineStr">
        <is>
          <t>L001-100044638</t>
        </is>
      </c>
      <c r="E1692" t="inlineStr">
        <is>
          <t>220795</t>
        </is>
      </c>
      <c r="F1692" t="inlineStr">
        <is>
          <t>25-10-2024</t>
        </is>
      </c>
      <c r="G1692" t="n">
        <v>620</v>
      </c>
      <c r="I1692">
        <f>G1692</f>
        <v/>
      </c>
      <c r="K1692">
        <f>I1692-G1692</f>
        <v/>
      </c>
      <c r="M1692" t="inlineStr">
        <is>
          <t>220795</t>
        </is>
      </c>
      <c r="N1692" t="inlineStr"/>
      <c r="O1692">
        <f>M1692=N1692</f>
        <v/>
      </c>
      <c r="P1692">
        <f>AND(MONTH(F1692)=MONTH(S1692), YEAR(F1692)=YEAR(S1692))</f>
        <v/>
      </c>
      <c r="Q1692">
        <f>"L001-902303751"=U1692</f>
        <v/>
      </c>
      <c r="R1692">
        <f>G1692-W1692</f>
        <v/>
      </c>
      <c r="S1692" s="36" t="n">
        <v>45579</v>
      </c>
      <c r="T1692" t="inlineStr"/>
      <c r="U1692" t="inlineStr">
        <is>
          <t>L001-107032791</t>
        </is>
      </c>
      <c r="V1692" t="inlineStr">
        <is>
          <t>នីបផន អិចប្រេស (ខេមបូឌា) ខូ អិលធីឌី</t>
        </is>
      </c>
      <c r="W1692" t="n">
        <v>0</v>
      </c>
      <c r="X1692" t="n">
        <v>0</v>
      </c>
    </row>
    <row r="1693">
      <c r="A1693" t="n">
        <v>1692</v>
      </c>
      <c r="B1693" t="inlineStr">
        <is>
          <t>Stationery</t>
        </is>
      </c>
      <c r="C1693" t="inlineStr">
        <is>
          <t>ស៊ី &amp; ជី ត្រេឌីង ឯ.ក</t>
        </is>
      </c>
      <c r="D1693" t="inlineStr">
        <is>
          <t>K010-902205065</t>
        </is>
      </c>
      <c r="E1693" t="inlineStr">
        <is>
          <t>2024-0085</t>
        </is>
      </c>
      <c r="F1693" t="inlineStr">
        <is>
          <t>25-10-2024</t>
        </is>
      </c>
      <c r="G1693" t="n">
        <v>1105831</v>
      </c>
      <c r="I1693">
        <f>G1693</f>
        <v/>
      </c>
      <c r="K1693">
        <f>I1693-G1693</f>
        <v/>
      </c>
      <c r="M1693" t="inlineStr">
        <is>
          <t>20240085</t>
        </is>
      </c>
      <c r="N1693" t="inlineStr">
        <is>
          <t>11170500</t>
        </is>
      </c>
      <c r="O1693">
        <f>M1693=N1693</f>
        <v/>
      </c>
      <c r="P1693">
        <f>AND(MONTH(F1693)=MONTH(S1693), YEAR(F1693)=YEAR(S1693))</f>
        <v/>
      </c>
      <c r="Q1693">
        <f>"L001-902303751"=U1693</f>
        <v/>
      </c>
      <c r="R1693">
        <f>G1693-W1693</f>
        <v/>
      </c>
      <c r="S1693" s="36" t="n">
        <v>45579</v>
      </c>
      <c r="T1693" t="n">
        <v>111705</v>
      </c>
      <c r="U1693" t="inlineStr">
        <is>
          <t>L001-107032791</t>
        </is>
      </c>
      <c r="V1693" t="inlineStr">
        <is>
          <t>នីបផន អិចប្រេស (ខេមបូឌា) ខូ អិលធីឌី</t>
        </is>
      </c>
      <c r="W1693" t="n">
        <v>111705</v>
      </c>
      <c r="X1693" t="n">
        <v>0</v>
      </c>
    </row>
    <row r="1694">
      <c r="A1694" t="n">
        <v>1693</v>
      </c>
      <c r="B1694" t="inlineStr">
        <is>
          <t>Monthly Tax Service for September 2024</t>
        </is>
      </c>
      <c r="C1694" t="inlineStr">
        <is>
          <t>ខេឌី ខនសាល់ធេន ឯ.ក</t>
        </is>
      </c>
      <c r="D1694" t="inlineStr">
        <is>
          <t>K005-901704277</t>
        </is>
      </c>
      <c r="E1694" t="inlineStr">
        <is>
          <t>20240001328</t>
        </is>
      </c>
      <c r="F1694" t="inlineStr">
        <is>
          <t>25-10-2024</t>
        </is>
      </c>
      <c r="G1694" t="n">
        <v>101525</v>
      </c>
      <c r="I1694">
        <f>G1694</f>
        <v/>
      </c>
      <c r="K1694">
        <f>I1694-G1694</f>
        <v/>
      </c>
      <c r="M1694" t="inlineStr">
        <is>
          <t>20240001328</t>
        </is>
      </c>
      <c r="N1694" t="inlineStr">
        <is>
          <t>12629700</t>
        </is>
      </c>
      <c r="O1694">
        <f>M1694=N1694</f>
        <v/>
      </c>
      <c r="P1694">
        <f>AND(MONTH(F1694)=MONTH(S1694), YEAR(F1694)=YEAR(S1694))</f>
        <v/>
      </c>
      <c r="Q1694">
        <f>"L001-902303751"=U1694</f>
        <v/>
      </c>
      <c r="R1694">
        <f>G1694-W1694</f>
        <v/>
      </c>
      <c r="S1694" s="36" t="n">
        <v>45591</v>
      </c>
      <c r="T1694" t="n">
        <v>126297</v>
      </c>
      <c r="U1694" t="inlineStr">
        <is>
          <t>L001-100045340</t>
        </is>
      </c>
      <c r="V1694" t="inlineStr">
        <is>
          <t xml:space="preserve">ស៊ីវ៉ា អ៊ែរ អ៊ែន អូសៀន (ខេមបូឌា) ឯ.ក </t>
        </is>
      </c>
      <c r="W1694" t="n">
        <v>126297</v>
      </c>
      <c r="X1694" t="n">
        <v>0</v>
      </c>
    </row>
    <row r="1695">
      <c r="A1695" t="n">
        <v>1694</v>
      </c>
      <c r="B1695" t="inlineStr">
        <is>
          <t>CFS Handling, Carrier BL, Document Assembly, Terminal Handling, Handling Fee, VGM Weighting Fee-CFS and Fuel Surcharge</t>
        </is>
      </c>
      <c r="C1695" t="inlineStr">
        <is>
          <t>អ៊ិចស្ពែឌីធ័រ ខេមបូឌា អិលធីឌី</t>
        </is>
      </c>
      <c r="D1695" t="inlineStr">
        <is>
          <t>L001-100045898</t>
        </is>
      </c>
      <c r="E1695" t="inlineStr">
        <is>
          <t>TI-0294143</t>
        </is>
      </c>
      <c r="F1695" t="inlineStr">
        <is>
          <t>24-10-2024</t>
        </is>
      </c>
      <c r="G1695" t="n">
        <v>103341</v>
      </c>
      <c r="I1695">
        <f>G1695</f>
        <v/>
      </c>
      <c r="K1695">
        <f>I1695-G1695</f>
        <v/>
      </c>
      <c r="M1695" t="inlineStr">
        <is>
          <t>TI0294143</t>
        </is>
      </c>
      <c r="N1695" t="inlineStr">
        <is>
          <t>11167800</t>
        </is>
      </c>
      <c r="O1695">
        <f>M1695=N1695</f>
        <v/>
      </c>
      <c r="P1695">
        <f>AND(MONTH(F1695)=MONTH(S1695), YEAR(F1695)=YEAR(S1695))</f>
        <v/>
      </c>
      <c r="Q1695">
        <f>"L001-902303751"=U1695</f>
        <v/>
      </c>
      <c r="R1695">
        <f>G1695-W1695</f>
        <v/>
      </c>
      <c r="S1695" s="36" t="n">
        <v>45593</v>
      </c>
      <c r="T1695" t="n">
        <v>111678</v>
      </c>
      <c r="U1695" t="inlineStr">
        <is>
          <t>L001-107032791</t>
        </is>
      </c>
      <c r="V1695" t="inlineStr">
        <is>
          <t>នីបផន អិចប្រេស (ខេមបូឌា) ខូ អិលធីឌី</t>
        </is>
      </c>
      <c r="W1695" t="n">
        <v>111678</v>
      </c>
      <c r="X1695" t="n">
        <v>0</v>
      </c>
    </row>
    <row r="1696">
      <c r="A1696" t="n">
        <v>1695</v>
      </c>
      <c r="B1696" t="inlineStr">
        <is>
          <t>PVC Thin Film</t>
        </is>
      </c>
      <c r="C1696" t="inlineStr">
        <is>
          <t>ដឹ សាយ អេឡិកត្រូមេឃែនីខល អេនជីនារីង ឯ.ក</t>
        </is>
      </c>
      <c r="D1696" t="inlineStr">
        <is>
          <t>K009-902303599</t>
        </is>
      </c>
      <c r="E1696" t="inlineStr">
        <is>
          <t>00024</t>
        </is>
      </c>
      <c r="F1696" t="inlineStr">
        <is>
          <t>25-10-2024</t>
        </is>
      </c>
      <c r="G1696" t="n">
        <v>89342</v>
      </c>
      <c r="I1696">
        <f>G1696</f>
        <v/>
      </c>
      <c r="K1696">
        <f>I1696-G1696</f>
        <v/>
      </c>
      <c r="M1696" t="inlineStr">
        <is>
          <t>00024</t>
        </is>
      </c>
      <c r="N1696" t="inlineStr"/>
      <c r="O1696">
        <f>M1696=N1696</f>
        <v/>
      </c>
      <c r="P1696">
        <f>AND(MONTH(F1696)=MONTH(S1696), YEAR(F1696)=YEAR(S1696))</f>
        <v/>
      </c>
      <c r="Q1696">
        <f>"L001-902303751"=U1696</f>
        <v/>
      </c>
      <c r="R1696">
        <f>G1696-W1696</f>
        <v/>
      </c>
      <c r="S1696" s="36" t="n">
        <v>45586</v>
      </c>
      <c r="T1696" t="inlineStr"/>
      <c r="U1696" t="inlineStr">
        <is>
          <t>L001-107032791</t>
        </is>
      </c>
      <c r="V1696" t="inlineStr">
        <is>
          <t>នីបផន អិចប្រេស (ខេមបូឌា) ខូ អិលធីឌី</t>
        </is>
      </c>
      <c r="W1696" t="n">
        <v>0</v>
      </c>
      <c r="X1696" t="n">
        <v>0</v>
      </c>
    </row>
    <row r="1697">
      <c r="A1697" t="n">
        <v>1696</v>
      </c>
      <c r="B1697" t="inlineStr">
        <is>
          <t>Hardware</t>
        </is>
      </c>
      <c r="C1697" t="inlineStr">
        <is>
          <t>ភ្នំពេញ ថប វើលដ៍ ខនស្ត្រាក់សិន &amp; អេនជីនារីង ឯ.ក</t>
        </is>
      </c>
      <c r="D1697" t="inlineStr">
        <is>
          <t>K005-901638261</t>
        </is>
      </c>
      <c r="E1697" t="inlineStr">
        <is>
          <t>000028</t>
        </is>
      </c>
      <c r="F1697" t="inlineStr">
        <is>
          <t>25-10-2024</t>
        </is>
      </c>
      <c r="G1697" t="n">
        <v>1199564</v>
      </c>
      <c r="I1697">
        <f>G1697</f>
        <v/>
      </c>
      <c r="K1697">
        <f>I1697-G1697</f>
        <v/>
      </c>
      <c r="M1697" t="inlineStr">
        <is>
          <t>000028</t>
        </is>
      </c>
      <c r="N1697" t="inlineStr">
        <is>
          <t>11170500</t>
        </is>
      </c>
      <c r="O1697">
        <f>M1697=N1697</f>
        <v/>
      </c>
      <c r="P1697">
        <f>AND(MONTH(F1697)=MONTH(S1697), YEAR(F1697)=YEAR(S1697))</f>
        <v/>
      </c>
      <c r="Q1697">
        <f>"L001-902303751"=U1697</f>
        <v/>
      </c>
      <c r="R1697">
        <f>G1697-W1697</f>
        <v/>
      </c>
      <c r="S1697" s="36" t="n">
        <v>45586</v>
      </c>
      <c r="T1697" t="n">
        <v>111705</v>
      </c>
      <c r="U1697" t="inlineStr">
        <is>
          <t>L001-107041723</t>
        </is>
      </c>
      <c r="V1697" t="inlineStr">
        <is>
          <t>ឌីប៊ី សេនឃើរ (ខេមបូឌា) លីមីធីត</t>
        </is>
      </c>
      <c r="W1697" t="n">
        <v>111705</v>
      </c>
      <c r="X1697" t="n">
        <v>0</v>
      </c>
    </row>
    <row r="1698">
      <c r="A1698" t="n">
        <v>1697</v>
      </c>
      <c r="B1698" t="inlineStr">
        <is>
          <t>OM Forwarding Fee, Terminal Handling, Carrier BL, Document Assembly, Handling Fee, VGM Admin Fee, Container Seal and Manifest Fee</t>
        </is>
      </c>
      <c r="C1698" t="inlineStr">
        <is>
          <t>អ៊ិចស្ពែឌីធ័រ ខេមបូឌា អិលធីឌី</t>
        </is>
      </c>
      <c r="D1698" t="inlineStr">
        <is>
          <t>L001-100045898</t>
        </is>
      </c>
      <c r="E1698" t="inlineStr">
        <is>
          <t>TI-0294145</t>
        </is>
      </c>
      <c r="F1698" t="inlineStr">
        <is>
          <t>24-10-2024</t>
        </is>
      </c>
      <c r="G1698" t="n">
        <v>191320</v>
      </c>
      <c r="I1698">
        <f>G1698</f>
        <v/>
      </c>
      <c r="K1698">
        <f>I1698-G1698</f>
        <v/>
      </c>
      <c r="M1698" t="inlineStr">
        <is>
          <t>TI0294145</t>
        </is>
      </c>
      <c r="N1698" t="inlineStr"/>
      <c r="O1698">
        <f>M1698=N1698</f>
        <v/>
      </c>
      <c r="P1698">
        <f>AND(MONTH(F1698)=MONTH(S1698), YEAR(F1698)=YEAR(S1698))</f>
        <v/>
      </c>
      <c r="Q1698">
        <f>"L001-902303751"=U1698</f>
        <v/>
      </c>
      <c r="R1698">
        <f>G1698-W1698</f>
        <v/>
      </c>
      <c r="S1698" s="36" t="n">
        <v>45586</v>
      </c>
      <c r="T1698" t="inlineStr"/>
      <c r="U1698" t="inlineStr">
        <is>
          <t>L001-107032791</t>
        </is>
      </c>
      <c r="V1698" t="inlineStr">
        <is>
          <t>នីបផន អិចប្រេស (ខេមបូឌា) ខូ អិលធីឌី</t>
        </is>
      </c>
      <c r="W1698" t="n">
        <v>0</v>
      </c>
      <c r="X1698" t="n">
        <v>0</v>
      </c>
    </row>
    <row r="1699">
      <c r="A1699" t="n">
        <v>1698</v>
      </c>
      <c r="B1699" t="inlineStr">
        <is>
          <t>CFS Handling, Carrier BL, Document Assembly, Terminal Handling, Handling Fee, VGM Processing Fee and Nanifest fee</t>
        </is>
      </c>
      <c r="C1699" t="inlineStr">
        <is>
          <t>អ៊ិចស្ពែឌីធ័រ ខេមបូឌា អិលធីឌី</t>
        </is>
      </c>
      <c r="D1699" t="inlineStr">
        <is>
          <t>L001-100045898</t>
        </is>
      </c>
      <c r="E1699" t="inlineStr">
        <is>
          <t>TI-0294144</t>
        </is>
      </c>
      <c r="F1699" t="inlineStr">
        <is>
          <t>24-10-2024</t>
        </is>
      </c>
      <c r="G1699" t="n">
        <v>83677</v>
      </c>
      <c r="I1699">
        <f>G1699</f>
        <v/>
      </c>
      <c r="K1699">
        <f>I1699-G1699</f>
        <v/>
      </c>
      <c r="M1699" t="inlineStr">
        <is>
          <t>TI0294144</t>
        </is>
      </c>
      <c r="N1699" t="inlineStr">
        <is>
          <t>8314800</t>
        </is>
      </c>
      <c r="O1699">
        <f>M1699=N1699</f>
        <v/>
      </c>
      <c r="P1699">
        <f>AND(MONTH(F1699)=MONTH(S1699), YEAR(F1699)=YEAR(S1699))</f>
        <v/>
      </c>
      <c r="Q1699">
        <f>"L001-902303751"=U1699</f>
        <v/>
      </c>
      <c r="R1699">
        <f>G1699-W1699</f>
        <v/>
      </c>
      <c r="S1699" s="36" t="n">
        <v>45572</v>
      </c>
      <c r="T1699" t="n">
        <v>83148</v>
      </c>
      <c r="U1699" t="inlineStr">
        <is>
          <t>L001-100045995</t>
        </is>
      </c>
      <c r="V1699" t="inlineStr">
        <is>
          <t>ឌីអេចអិល ឡូជីស្ទីក (ខេមបូឌា)</t>
        </is>
      </c>
      <c r="W1699" t="n">
        <v>83148</v>
      </c>
      <c r="X1699" t="n">
        <v>0</v>
      </c>
    </row>
    <row r="1700">
      <c r="A1700" t="n">
        <v>1699</v>
      </c>
      <c r="B1700" t="inlineStr">
        <is>
          <t>HAWB Freight, OM Forwarding Fee, H/C and AWB Fee</t>
        </is>
      </c>
      <c r="C1700" t="inlineStr">
        <is>
          <t>អ៊ិចស្ពែឌីធ័រ ខេមបូឌា អិលធីឌី</t>
        </is>
      </c>
      <c r="D1700" t="inlineStr">
        <is>
          <t>L001-100045898</t>
        </is>
      </c>
      <c r="E1700" t="inlineStr">
        <is>
          <t>TI-0294081</t>
        </is>
      </c>
      <c r="F1700" t="inlineStr">
        <is>
          <t>23-10-2024</t>
        </is>
      </c>
      <c r="G1700" t="n">
        <v>46713</v>
      </c>
      <c r="I1700">
        <f>G1700</f>
        <v/>
      </c>
      <c r="K1700">
        <f>I1700-G1700</f>
        <v/>
      </c>
      <c r="M1700" t="inlineStr">
        <is>
          <t>TI0294081</t>
        </is>
      </c>
      <c r="N1700" t="inlineStr"/>
      <c r="O1700">
        <f>M1700=N1700</f>
        <v/>
      </c>
      <c r="P1700">
        <f>AND(MONTH(F1700)=MONTH(S1700), YEAR(F1700)=YEAR(S1700))</f>
        <v/>
      </c>
      <c r="Q1700">
        <f>"L001-902303751"=U1700</f>
        <v/>
      </c>
      <c r="R1700">
        <f>G1700-W1700</f>
        <v/>
      </c>
      <c r="S1700" s="36" t="n">
        <v>45572</v>
      </c>
      <c r="T1700" t="inlineStr"/>
      <c r="U1700" t="inlineStr">
        <is>
          <t>L001-100045995</t>
        </is>
      </c>
      <c r="V1700" t="inlineStr">
        <is>
          <t>ឌីអេចអិល ឡូជីស្ទីក (ខេមបូឌា)</t>
        </is>
      </c>
      <c r="W1700" t="n">
        <v>0</v>
      </c>
      <c r="X1700" t="n">
        <v>0</v>
      </c>
    </row>
    <row r="1701">
      <c r="A1701" t="n">
        <v>1700</v>
      </c>
      <c r="B1701" t="inlineStr">
        <is>
          <t>Export Adminstration Fee and Custom Processing Fee</t>
        </is>
      </c>
      <c r="C1701" t="inlineStr">
        <is>
          <t>ជី លីង អិចប្រេស ឡូជីស្ទីក (ខេមបូឌា) លីមីធីត</t>
        </is>
      </c>
      <c r="D1701" t="inlineStr">
        <is>
          <t>L001-100044956</t>
        </is>
      </c>
      <c r="E1701" t="inlineStr">
        <is>
          <t>24159066</t>
        </is>
      </c>
      <c r="F1701" t="inlineStr">
        <is>
          <t>23-10-2024</t>
        </is>
      </c>
      <c r="G1701" t="n">
        <v>64992</v>
      </c>
      <c r="I1701">
        <f>G1701</f>
        <v/>
      </c>
      <c r="K1701">
        <f>I1701-G1701</f>
        <v/>
      </c>
      <c r="M1701" t="inlineStr">
        <is>
          <t>24159066</t>
        </is>
      </c>
      <c r="N1701" t="inlineStr"/>
      <c r="O1701">
        <f>M1701=N1701</f>
        <v/>
      </c>
      <c r="P1701">
        <f>AND(MONTH(F1701)=MONTH(S1701), YEAR(F1701)=YEAR(S1701))</f>
        <v/>
      </c>
      <c r="Q1701">
        <f>"L001-902303751"=U1701</f>
        <v/>
      </c>
      <c r="R1701">
        <f>G1701-W1701</f>
        <v/>
      </c>
      <c r="S1701" s="36" t="n">
        <v>45572</v>
      </c>
      <c r="T1701" t="inlineStr"/>
      <c r="U1701" t="inlineStr">
        <is>
          <t>K005-901805913</t>
        </is>
      </c>
      <c r="V1701" t="inlineStr">
        <is>
          <t>ស្តារ ខង់ខដ (ខេមបូឌា) ឯ.ក</t>
        </is>
      </c>
      <c r="W1701" t="n">
        <v>0</v>
      </c>
      <c r="X1701" t="n">
        <v>0</v>
      </c>
    </row>
    <row r="1702">
      <c r="A1702" t="n">
        <v>1701</v>
      </c>
      <c r="B1702" t="inlineStr">
        <is>
          <t>Fabric</t>
        </is>
      </c>
      <c r="C1702" t="inlineStr">
        <is>
          <t>សូស៊ីយេតេ កុងសេស្យូនែរ ដឺ ឡាអេរ៉ូព័រ</t>
        </is>
      </c>
      <c r="D1702" t="inlineStr">
        <is>
          <t>L001-100047300</t>
        </is>
      </c>
      <c r="E1702" t="inlineStr">
        <is>
          <t>2400085553</t>
        </is>
      </c>
      <c r="F1702" t="inlineStr">
        <is>
          <t>23-10-2024</t>
        </is>
      </c>
      <c r="G1702" t="n">
        <v>22585</v>
      </c>
      <c r="I1702">
        <f>G1702</f>
        <v/>
      </c>
      <c r="K1702">
        <f>I1702-G1702</f>
        <v/>
      </c>
      <c r="M1702" t="inlineStr">
        <is>
          <t>2400085553</t>
        </is>
      </c>
      <c r="N1702" t="inlineStr">
        <is>
          <t>8327100</t>
        </is>
      </c>
      <c r="O1702">
        <f>M1702=N1702</f>
        <v/>
      </c>
      <c r="P1702">
        <f>AND(MONTH(F1702)=MONTH(S1702), YEAR(F1702)=YEAR(S1702))</f>
        <v/>
      </c>
      <c r="Q1702">
        <f>"L001-902303751"=U1702</f>
        <v/>
      </c>
      <c r="R1702">
        <f>G1702-W1702</f>
        <v/>
      </c>
      <c r="S1702" s="36" t="n">
        <v>45579</v>
      </c>
      <c r="T1702" t="n">
        <v>83271</v>
      </c>
      <c r="U1702" t="inlineStr">
        <is>
          <t>L001-107032791</t>
        </is>
      </c>
      <c r="V1702" t="inlineStr">
        <is>
          <t>នីបផន អិចប្រេស (ខេមបូឌា) ខូ អិលធីឌី</t>
        </is>
      </c>
      <c r="W1702" t="n">
        <v>83271</v>
      </c>
      <c r="X1702" t="n">
        <v>0</v>
      </c>
    </row>
    <row r="1703">
      <c r="A1703" t="n">
        <v>1702</v>
      </c>
      <c r="B1703" t="inlineStr">
        <is>
          <t>Cargo Terminal</t>
        </is>
      </c>
      <c r="C1703" t="inlineStr">
        <is>
          <t>សូស៊ីយេតេ កុងសេស្យូនែរ ដឺ ឡាអេរ៉ូព័រ</t>
        </is>
      </c>
      <c r="D1703" t="inlineStr">
        <is>
          <t>L001-100047300</t>
        </is>
      </c>
      <c r="E1703" t="inlineStr">
        <is>
          <t>2400085552</t>
        </is>
      </c>
      <c r="F1703" t="inlineStr">
        <is>
          <t>23-10-2024</t>
        </is>
      </c>
      <c r="G1703" t="n">
        <v>1171</v>
      </c>
      <c r="I1703">
        <f>G1703</f>
        <v/>
      </c>
      <c r="K1703">
        <f>I1703-G1703</f>
        <v/>
      </c>
      <c r="M1703" t="inlineStr">
        <is>
          <t>2400085552</t>
        </is>
      </c>
      <c r="N1703" t="inlineStr">
        <is>
          <t>9259100</t>
        </is>
      </c>
      <c r="O1703">
        <f>M1703=N1703</f>
        <v/>
      </c>
      <c r="P1703">
        <f>AND(MONTH(F1703)=MONTH(S1703), YEAR(F1703)=YEAR(S1703))</f>
        <v/>
      </c>
      <c r="Q1703">
        <f>"L001-902303751"=U1703</f>
        <v/>
      </c>
      <c r="R1703">
        <f>G1703-W1703</f>
        <v/>
      </c>
      <c r="S1703" s="36" t="n">
        <v>45590</v>
      </c>
      <c r="T1703" t="n">
        <v>92591</v>
      </c>
      <c r="U1703" t="inlineStr">
        <is>
          <t>L001-103007369</t>
        </is>
      </c>
      <c r="V1703" t="inlineStr">
        <is>
          <t>អូរៀនថល ឡូជីស្ទីក &amp; ឌីស្ទ្រីប៊្យូសិន (ខេមបូឌា)</t>
        </is>
      </c>
      <c r="W1703" t="n">
        <v>92591</v>
      </c>
      <c r="X1703" t="n">
        <v>0</v>
      </c>
    </row>
    <row r="1704">
      <c r="A1704" t="n">
        <v>1703</v>
      </c>
      <c r="B1704" t="inlineStr">
        <is>
          <t>Cargo Terminal</t>
        </is>
      </c>
      <c r="C1704" t="inlineStr">
        <is>
          <t>សូស៊ីយេតេ កុងសេស្យូនែរ ដឺ ឡាអេរ៉ូព័រ</t>
        </is>
      </c>
      <c r="D1704" t="inlineStr">
        <is>
          <t>L001-100047300</t>
        </is>
      </c>
      <c r="E1704" t="inlineStr">
        <is>
          <t>2400085550</t>
        </is>
      </c>
      <c r="F1704" t="inlineStr">
        <is>
          <t>23-10-2024</t>
        </is>
      </c>
      <c r="G1704" t="n">
        <v>6758</v>
      </c>
      <c r="I1704">
        <f>G1704</f>
        <v/>
      </c>
      <c r="K1704">
        <f>I1704-G1704</f>
        <v/>
      </c>
      <c r="M1704" t="inlineStr">
        <is>
          <t>2400085550</t>
        </is>
      </c>
      <c r="N1704" t="inlineStr">
        <is>
          <t>127474800</t>
        </is>
      </c>
      <c r="O1704">
        <f>M1704=N1704</f>
        <v/>
      </c>
      <c r="P1704">
        <f>AND(MONTH(F1704)=MONTH(S1704), YEAR(F1704)=YEAR(S1704))</f>
        <v/>
      </c>
      <c r="Q1704">
        <f>"L001-902303751"=U1704</f>
        <v/>
      </c>
      <c r="R1704">
        <f>G1704-W1704</f>
        <v/>
      </c>
      <c r="S1704" s="36" t="n">
        <v>45590</v>
      </c>
      <c r="T1704" t="n">
        <v>1274748</v>
      </c>
      <c r="U1704" t="inlineStr">
        <is>
          <t>K004-105012505</t>
        </is>
      </c>
      <c r="V1704" t="inlineStr">
        <is>
          <t>អេស៊ាន ហ្វ្រេត (ខេមបូឌា)</t>
        </is>
      </c>
      <c r="W1704" t="n">
        <v>1274748</v>
      </c>
      <c r="X1704" t="n">
        <v>0</v>
      </c>
    </row>
    <row r="1705">
      <c r="A1705" t="n">
        <v>1704</v>
      </c>
      <c r="B1705" t="inlineStr">
        <is>
          <t>Charge from Warehouse/cy to trucks</t>
        </is>
      </c>
      <c r="C1705" t="inlineStr">
        <is>
          <t>កំពង់ផែស្វយ័តក្រុងព្រះសីហនុ</t>
        </is>
      </c>
      <c r="D1705" t="inlineStr">
        <is>
          <t>L001-100044638</t>
        </is>
      </c>
      <c r="E1705" t="inlineStr">
        <is>
          <t>219030</t>
        </is>
      </c>
      <c r="F1705" t="inlineStr">
        <is>
          <t>23-10-2024</t>
        </is>
      </c>
      <c r="G1705" t="n">
        <v>620</v>
      </c>
      <c r="I1705">
        <f>G1705</f>
        <v/>
      </c>
      <c r="K1705">
        <f>I1705-G1705</f>
        <v/>
      </c>
      <c r="M1705" t="inlineStr">
        <is>
          <t>219030</t>
        </is>
      </c>
      <c r="N1705" t="inlineStr"/>
      <c r="O1705">
        <f>M1705=N1705</f>
        <v/>
      </c>
      <c r="P1705">
        <f>AND(MONTH(F1705)=MONTH(S1705), YEAR(F1705)=YEAR(S1705))</f>
        <v/>
      </c>
      <c r="Q1705">
        <f>"L001-902303751"=U1705</f>
        <v/>
      </c>
      <c r="R1705">
        <f>G1705-W1705</f>
        <v/>
      </c>
      <c r="S1705" s="36" t="n">
        <v>45586</v>
      </c>
      <c r="T1705" t="inlineStr"/>
      <c r="U1705" t="inlineStr">
        <is>
          <t>K005-901805913</t>
        </is>
      </c>
      <c r="V1705" t="inlineStr">
        <is>
          <t>ស្តារ ខង់ខដ (ខេមបូឌា) ឯ.ក</t>
        </is>
      </c>
      <c r="W1705" t="n">
        <v>0</v>
      </c>
      <c r="X1705" t="n">
        <v>0</v>
      </c>
    </row>
    <row r="1706">
      <c r="A1706" t="n">
        <v>1705</v>
      </c>
      <c r="B1706" t="inlineStr">
        <is>
          <t>Customs Clearance Fee</t>
        </is>
      </c>
      <c r="C1706" t="inlineStr">
        <is>
          <t>ត្រាយអ៊ែងហ្គល ឡូជីស្ទីក (ខេមបូឌា) ឯ.ក</t>
        </is>
      </c>
      <c r="D1706" t="inlineStr">
        <is>
          <t>K010-902101743</t>
        </is>
      </c>
      <c r="E1706" t="inlineStr">
        <is>
          <t>TAG-24-00772</t>
        </is>
      </c>
      <c r="F1706" t="inlineStr">
        <is>
          <t>23-10-2024</t>
        </is>
      </c>
      <c r="G1706" t="n">
        <v>8124</v>
      </c>
      <c r="I1706">
        <f>G1706</f>
        <v/>
      </c>
      <c r="K1706">
        <f>I1706-G1706</f>
        <v/>
      </c>
      <c r="M1706" t="inlineStr">
        <is>
          <t>TAG2400772</t>
        </is>
      </c>
      <c r="N1706" t="inlineStr">
        <is>
          <t>17263500</t>
        </is>
      </c>
      <c r="O1706">
        <f>M1706=N1706</f>
        <v/>
      </c>
      <c r="P1706">
        <f>AND(MONTH(F1706)=MONTH(S1706), YEAR(F1706)=YEAR(S1706))</f>
        <v/>
      </c>
      <c r="Q1706">
        <f>"L001-902303751"=U1706</f>
        <v/>
      </c>
      <c r="R1706">
        <f>G1706-W1706</f>
        <v/>
      </c>
      <c r="S1706" s="36" t="n">
        <v>45579</v>
      </c>
      <c r="T1706" t="n">
        <v>172635</v>
      </c>
      <c r="U1706" t="inlineStr">
        <is>
          <t>L001-107032791</t>
        </is>
      </c>
      <c r="V1706" t="inlineStr">
        <is>
          <t>នីបផន អិចប្រេស (ខេមបូឌា) ខូ អិលធីឌី</t>
        </is>
      </c>
      <c r="W1706" t="n">
        <v>172635</v>
      </c>
      <c r="X1706" t="n">
        <v>0</v>
      </c>
    </row>
    <row r="1707">
      <c r="A1707" t="n">
        <v>1706</v>
      </c>
      <c r="B1707" t="inlineStr">
        <is>
          <t>Customs Clearance Fee</t>
        </is>
      </c>
      <c r="C1707" t="inlineStr">
        <is>
          <t>ត្រាយអ៊ែងហ្គល ឡូជីស្ទីក (ខេមបូឌា) ឯ.ក</t>
        </is>
      </c>
      <c r="D1707" t="inlineStr">
        <is>
          <t>K010-902101743</t>
        </is>
      </c>
      <c r="E1707" t="inlineStr">
        <is>
          <t>TAG-24-00758</t>
        </is>
      </c>
      <c r="F1707" t="inlineStr">
        <is>
          <t>23-10-2024</t>
        </is>
      </c>
      <c r="G1707" t="n">
        <v>8124</v>
      </c>
      <c r="I1707">
        <f>G1707</f>
        <v/>
      </c>
      <c r="K1707">
        <f>I1707-G1707</f>
        <v/>
      </c>
      <c r="M1707" t="inlineStr">
        <is>
          <t>TAG2400758</t>
        </is>
      </c>
      <c r="N1707" t="inlineStr"/>
      <c r="O1707">
        <f>M1707=N1707</f>
        <v/>
      </c>
      <c r="P1707">
        <f>AND(MONTH(F1707)=MONTH(S1707), YEAR(F1707)=YEAR(S1707))</f>
        <v/>
      </c>
      <c r="Q1707">
        <f>"L001-902303751"=U1707</f>
        <v/>
      </c>
      <c r="R1707">
        <f>G1707-W1707</f>
        <v/>
      </c>
      <c r="S1707" s="36" t="n">
        <v>45574</v>
      </c>
      <c r="T1707" t="inlineStr"/>
      <c r="U1707" t="inlineStr">
        <is>
          <t>L001-107032791</t>
        </is>
      </c>
      <c r="V1707" t="inlineStr">
        <is>
          <t>នីបផន អិចប្រេស (ខេមបូឌា) ខូ អិលធីឌី</t>
        </is>
      </c>
      <c r="W1707" t="n">
        <v>0</v>
      </c>
      <c r="X1707" t="n">
        <v>0</v>
      </c>
    </row>
    <row r="1708">
      <c r="A1708" t="n">
        <v>1707</v>
      </c>
      <c r="B1708" t="inlineStr">
        <is>
          <t>Customs Clearance Fee and Trucking Fee</t>
        </is>
      </c>
      <c r="C1708" t="inlineStr">
        <is>
          <t>ត្រាយអ៊ែងហ្គល ឡូជីស្ទីក (ខេមបូឌា) ឯ.ក</t>
        </is>
      </c>
      <c r="D1708" t="inlineStr">
        <is>
          <t>K010-902101743</t>
        </is>
      </c>
      <c r="E1708" t="inlineStr">
        <is>
          <t>TAG-24-00771</t>
        </is>
      </c>
      <c r="F1708" t="inlineStr">
        <is>
          <t>23-10-2024</t>
        </is>
      </c>
      <c r="G1708" t="n">
        <v>8124</v>
      </c>
      <c r="I1708">
        <f>G1708</f>
        <v/>
      </c>
      <c r="K1708">
        <f>I1708-G1708</f>
        <v/>
      </c>
      <c r="M1708" t="inlineStr">
        <is>
          <t>TAG2400771</t>
        </is>
      </c>
      <c r="N1708" t="inlineStr">
        <is>
          <t>8327100</t>
        </is>
      </c>
      <c r="O1708">
        <f>M1708=N1708</f>
        <v/>
      </c>
      <c r="P1708">
        <f>AND(MONTH(F1708)=MONTH(S1708), YEAR(F1708)=YEAR(S1708))</f>
        <v/>
      </c>
      <c r="Q1708">
        <f>"L001-902303751"=U1708</f>
        <v/>
      </c>
      <c r="R1708">
        <f>G1708-W1708</f>
        <v/>
      </c>
      <c r="S1708" s="36" t="n">
        <v>45586</v>
      </c>
      <c r="T1708" t="n">
        <v>83271</v>
      </c>
      <c r="U1708" t="inlineStr">
        <is>
          <t>L001-107032791</t>
        </is>
      </c>
      <c r="V1708" t="inlineStr">
        <is>
          <t>នីបផន អិចប្រេស (ខេមបូឌា) ខូ អិលធីឌី</t>
        </is>
      </c>
      <c r="W1708" t="n">
        <v>83271</v>
      </c>
      <c r="X1708" t="n">
        <v>0</v>
      </c>
    </row>
    <row r="1709">
      <c r="A1709" t="n">
        <v>1708</v>
      </c>
      <c r="B1709" t="inlineStr">
        <is>
          <t>Customs Clearance Fee</t>
        </is>
      </c>
      <c r="C1709" t="inlineStr">
        <is>
          <t>ត្រាយអ៊ែងហ្គល ឡូជីស្ទីក (ខេមបូឌា) ឯ.ក</t>
        </is>
      </c>
      <c r="D1709" t="inlineStr">
        <is>
          <t>K010-902101743</t>
        </is>
      </c>
      <c r="E1709" t="inlineStr">
        <is>
          <t>TAG-24-00770</t>
        </is>
      </c>
      <c r="F1709" t="inlineStr">
        <is>
          <t>23-10-2024</t>
        </is>
      </c>
      <c r="G1709" t="n">
        <v>8124</v>
      </c>
      <c r="I1709">
        <f>G1709</f>
        <v/>
      </c>
      <c r="K1709">
        <f>I1709-G1709</f>
        <v/>
      </c>
      <c r="M1709" t="inlineStr">
        <is>
          <t>TAG2400770</t>
        </is>
      </c>
      <c r="N1709" t="inlineStr">
        <is>
          <t>8327100</t>
        </is>
      </c>
      <c r="O1709">
        <f>M1709=N1709</f>
        <v/>
      </c>
      <c r="P1709">
        <f>AND(MONTH(F1709)=MONTH(S1709), YEAR(F1709)=YEAR(S1709))</f>
        <v/>
      </c>
      <c r="Q1709">
        <f>"L001-902303751"=U1709</f>
        <v/>
      </c>
      <c r="R1709">
        <f>G1709-W1709</f>
        <v/>
      </c>
      <c r="S1709" s="36" t="n">
        <v>45579</v>
      </c>
      <c r="T1709" t="n">
        <v>83271</v>
      </c>
      <c r="U1709" t="inlineStr">
        <is>
          <t>L001-100045995</t>
        </is>
      </c>
      <c r="V1709" t="inlineStr">
        <is>
          <t>ឌីអេចអិល ឡូជីស្ទីក (ខេមបូឌា)</t>
        </is>
      </c>
      <c r="W1709" t="n">
        <v>83271</v>
      </c>
      <c r="X1709" t="n">
        <v>0</v>
      </c>
    </row>
    <row r="1710">
      <c r="A1710" t="n">
        <v>1709</v>
      </c>
      <c r="B1710" t="inlineStr">
        <is>
          <t>Customs Clearance Fee</t>
        </is>
      </c>
      <c r="C1710" t="inlineStr">
        <is>
          <t>ត្រាយអ៊ែងហ្គល ឡូជីស្ទីក (ខេមបូឌា) ឯ.ក</t>
        </is>
      </c>
      <c r="D1710" t="inlineStr">
        <is>
          <t>K010-902101743</t>
        </is>
      </c>
      <c r="E1710" t="inlineStr">
        <is>
          <t>TAG-24-00769</t>
        </is>
      </c>
      <c r="F1710" t="inlineStr">
        <is>
          <t>23-10-2024</t>
        </is>
      </c>
      <c r="G1710" t="n">
        <v>8124</v>
      </c>
      <c r="I1710">
        <f>G1710</f>
        <v/>
      </c>
      <c r="K1710">
        <f>I1710-G1710</f>
        <v/>
      </c>
      <c r="M1710" t="inlineStr">
        <is>
          <t>TAG2400769</t>
        </is>
      </c>
      <c r="N1710" t="inlineStr">
        <is>
          <t>8570800</t>
        </is>
      </c>
      <c r="O1710">
        <f>M1710=N1710</f>
        <v/>
      </c>
      <c r="P1710">
        <f>AND(MONTH(F1710)=MONTH(S1710), YEAR(F1710)=YEAR(S1710))</f>
        <v/>
      </c>
      <c r="Q1710">
        <f>"L001-902303751"=U1710</f>
        <v/>
      </c>
      <c r="R1710">
        <f>G1710-W1710</f>
        <v/>
      </c>
      <c r="S1710" s="36" t="n">
        <v>45579</v>
      </c>
      <c r="T1710" t="n">
        <v>85708</v>
      </c>
      <c r="U1710" t="inlineStr">
        <is>
          <t>L001-100045340</t>
        </is>
      </c>
      <c r="V1710" t="inlineStr">
        <is>
          <t xml:space="preserve">ស៊ីវ៉ា អ៊ែរ អ៊ែន អូសៀន (ខេមបូឌា) ឯ.ក </t>
        </is>
      </c>
      <c r="W1710" t="n">
        <v>85708</v>
      </c>
      <c r="X1710" t="n">
        <v>0</v>
      </c>
    </row>
    <row r="1711">
      <c r="A1711" t="n">
        <v>1710</v>
      </c>
      <c r="B1711" t="inlineStr">
        <is>
          <t>Customs Clearance Fee</t>
        </is>
      </c>
      <c r="C1711" t="inlineStr">
        <is>
          <t>ត្រាយអ៊ែងហ្គល ឡូជីស្ទីក (ខេមបូឌា) ឯ.ក</t>
        </is>
      </c>
      <c r="D1711" t="inlineStr">
        <is>
          <t>K010-902101743</t>
        </is>
      </c>
      <c r="E1711" t="inlineStr">
        <is>
          <t>TAG-24-00768</t>
        </is>
      </c>
      <c r="F1711" t="inlineStr">
        <is>
          <t>23-10-2024</t>
        </is>
      </c>
      <c r="G1711" t="n">
        <v>8124</v>
      </c>
      <c r="I1711">
        <f>G1711</f>
        <v/>
      </c>
      <c r="K1711">
        <f>I1711-G1711</f>
        <v/>
      </c>
      <c r="M1711" t="inlineStr">
        <is>
          <t>TAG2400768</t>
        </is>
      </c>
      <c r="N1711" t="inlineStr">
        <is>
          <t>8333300</t>
        </is>
      </c>
      <c r="O1711">
        <f>M1711=N1711</f>
        <v/>
      </c>
      <c r="P1711">
        <f>AND(MONTH(F1711)=MONTH(S1711), YEAR(F1711)=YEAR(S1711))</f>
        <v/>
      </c>
      <c r="Q1711">
        <f>"L001-902303751"=U1711</f>
        <v/>
      </c>
      <c r="R1711">
        <f>G1711-W1711</f>
        <v/>
      </c>
      <c r="S1711" s="36" t="n">
        <v>45574</v>
      </c>
      <c r="T1711" t="n">
        <v>83333</v>
      </c>
      <c r="U1711" t="inlineStr">
        <is>
          <t>L001-107032791</t>
        </is>
      </c>
      <c r="V1711" t="inlineStr">
        <is>
          <t>នីបផន អិចប្រេស (ខេមបូឌា) ខូ អិលធីឌី</t>
        </is>
      </c>
      <c r="W1711" t="n">
        <v>83333</v>
      </c>
      <c r="X1711" t="n">
        <v>0</v>
      </c>
    </row>
    <row r="1712">
      <c r="A1712" t="n">
        <v>1711</v>
      </c>
      <c r="B1712" t="inlineStr">
        <is>
          <t>Customs Clearance Fee and Trucking Fee</t>
        </is>
      </c>
      <c r="C1712" t="inlineStr">
        <is>
          <t>ត្រាយអ៊ែងហ្គល ឡូជីស្ទីក (ខេមបូឌា) ឯ.ក</t>
        </is>
      </c>
      <c r="D1712" t="inlineStr">
        <is>
          <t>K010-902101743</t>
        </is>
      </c>
      <c r="E1712" t="inlineStr">
        <is>
          <t>TAG-24-00767</t>
        </is>
      </c>
      <c r="F1712" t="inlineStr">
        <is>
          <t>23-10-2024</t>
        </is>
      </c>
      <c r="G1712" t="n">
        <v>8124</v>
      </c>
      <c r="I1712">
        <f>G1712</f>
        <v/>
      </c>
      <c r="K1712">
        <f>I1712-G1712</f>
        <v/>
      </c>
      <c r="M1712" t="inlineStr">
        <is>
          <t>TAG2400767</t>
        </is>
      </c>
      <c r="N1712" t="inlineStr">
        <is>
          <t>17263500</t>
        </is>
      </c>
      <c r="O1712">
        <f>M1712=N1712</f>
        <v/>
      </c>
      <c r="P1712">
        <f>AND(MONTH(F1712)=MONTH(S1712), YEAR(F1712)=YEAR(S1712))</f>
        <v/>
      </c>
      <c r="Q1712">
        <f>"L001-902303751"=U1712</f>
        <v/>
      </c>
      <c r="R1712">
        <f>G1712-W1712</f>
        <v/>
      </c>
      <c r="S1712" s="36" t="n">
        <v>45579</v>
      </c>
      <c r="T1712" t="n">
        <v>172635</v>
      </c>
      <c r="U1712" t="inlineStr">
        <is>
          <t>L001-107032791</t>
        </is>
      </c>
      <c r="V1712" t="inlineStr">
        <is>
          <t>នីបផន អិចប្រេស (ខេមបូឌា) ខូ អិលធីឌី</t>
        </is>
      </c>
      <c r="W1712" t="n">
        <v>172635</v>
      </c>
      <c r="X1712" t="n">
        <v>0</v>
      </c>
    </row>
    <row r="1713">
      <c r="A1713" t="n">
        <v>1712</v>
      </c>
      <c r="B1713" t="inlineStr">
        <is>
          <t>Customs Clearance Fee</t>
        </is>
      </c>
      <c r="C1713" t="inlineStr">
        <is>
          <t>ត្រាយអ៊ែងហ្គល ឡូជីស្ទីក (ខេមបូឌា) ឯ.ក</t>
        </is>
      </c>
      <c r="D1713" t="inlineStr">
        <is>
          <t>K010-902101743</t>
        </is>
      </c>
      <c r="E1713" t="inlineStr">
        <is>
          <t>TAG-24-00766</t>
        </is>
      </c>
      <c r="F1713" t="inlineStr">
        <is>
          <t>23-10-2024</t>
        </is>
      </c>
      <c r="G1713" t="n">
        <v>8124</v>
      </c>
      <c r="I1713">
        <f>G1713</f>
        <v/>
      </c>
      <c r="K1713">
        <f>I1713-G1713</f>
        <v/>
      </c>
      <c r="M1713" t="inlineStr">
        <is>
          <t>TAG2400766</t>
        </is>
      </c>
      <c r="N1713" t="inlineStr"/>
      <c r="O1713">
        <f>M1713=N1713</f>
        <v/>
      </c>
      <c r="P1713">
        <f>AND(MONTH(F1713)=MONTH(S1713), YEAR(F1713)=YEAR(S1713))</f>
        <v/>
      </c>
      <c r="Q1713">
        <f>"L001-902303751"=U1713</f>
        <v/>
      </c>
      <c r="R1713">
        <f>G1713-W1713</f>
        <v/>
      </c>
      <c r="S1713" s="36" t="n">
        <v>45579</v>
      </c>
      <c r="T1713" t="inlineStr"/>
      <c r="U1713" t="inlineStr">
        <is>
          <t>L001-107041723</t>
        </is>
      </c>
      <c r="V1713" t="inlineStr">
        <is>
          <t>ឌីប៊ី សេនឃើរ (ខេមបូឌា) លីមីធីត</t>
        </is>
      </c>
      <c r="W1713" t="n">
        <v>0</v>
      </c>
      <c r="X1713" t="n">
        <v>0</v>
      </c>
    </row>
    <row r="1714">
      <c r="A1714" t="n">
        <v>1713</v>
      </c>
      <c r="B1714" t="inlineStr">
        <is>
          <t>Customs Clearance Fee</t>
        </is>
      </c>
      <c r="C1714" t="inlineStr">
        <is>
          <t>ត្រាយអ៊ែងហ្គល ឡូជីស្ទីក (ខេមបូឌា) ឯ.ក</t>
        </is>
      </c>
      <c r="D1714" t="inlineStr">
        <is>
          <t>K010-902101743</t>
        </is>
      </c>
      <c r="E1714" t="inlineStr">
        <is>
          <t>TAG-24-00761</t>
        </is>
      </c>
      <c r="F1714" t="inlineStr">
        <is>
          <t>23-10-2024</t>
        </is>
      </c>
      <c r="G1714" t="n">
        <v>8124</v>
      </c>
      <c r="I1714">
        <f>G1714</f>
        <v/>
      </c>
      <c r="K1714">
        <f>I1714-G1714</f>
        <v/>
      </c>
      <c r="M1714" t="inlineStr">
        <is>
          <t>TAG2400761</t>
        </is>
      </c>
      <c r="N1714" t="inlineStr"/>
      <c r="O1714">
        <f>M1714=N1714</f>
        <v/>
      </c>
      <c r="P1714">
        <f>AND(MONTH(F1714)=MONTH(S1714), YEAR(F1714)=YEAR(S1714))</f>
        <v/>
      </c>
      <c r="Q1714">
        <f>"L001-902303751"=U1714</f>
        <v/>
      </c>
      <c r="R1714">
        <f>G1714-W1714</f>
        <v/>
      </c>
      <c r="S1714" s="36" t="n">
        <v>45586</v>
      </c>
      <c r="T1714" t="inlineStr"/>
      <c r="U1714" t="inlineStr">
        <is>
          <t>L001-107041723</t>
        </is>
      </c>
      <c r="V1714" t="inlineStr">
        <is>
          <t>ឌីប៊ី សេនឃើរ (ខេមបូឌា) លីមីធីត</t>
        </is>
      </c>
      <c r="W1714" t="n">
        <v>0</v>
      </c>
      <c r="X1714" t="n">
        <v>0</v>
      </c>
    </row>
    <row r="1715">
      <c r="A1715" t="n">
        <v>1714</v>
      </c>
      <c r="B1715" t="inlineStr">
        <is>
          <t>Customs Clearance Fee</t>
        </is>
      </c>
      <c r="C1715" t="inlineStr">
        <is>
          <t>ត្រាយអ៊ែងហ្គល ឡូជីស្ទីក (ខេមបូឌា) ឯ.ក</t>
        </is>
      </c>
      <c r="D1715" t="inlineStr">
        <is>
          <t>K010-902101743</t>
        </is>
      </c>
      <c r="E1715" t="inlineStr">
        <is>
          <t>TAG-24-00760</t>
        </is>
      </c>
      <c r="F1715" t="inlineStr">
        <is>
          <t>23-10-2024</t>
        </is>
      </c>
      <c r="G1715" t="n">
        <v>8124</v>
      </c>
      <c r="I1715">
        <f>G1715</f>
        <v/>
      </c>
      <c r="K1715">
        <f>I1715-G1715</f>
        <v/>
      </c>
      <c r="M1715" t="inlineStr">
        <is>
          <t>TAG2400760</t>
        </is>
      </c>
      <c r="N1715" t="inlineStr"/>
      <c r="O1715">
        <f>M1715=N1715</f>
        <v/>
      </c>
      <c r="P1715">
        <f>AND(MONTH(F1715)=MONTH(S1715), YEAR(F1715)=YEAR(S1715))</f>
        <v/>
      </c>
      <c r="Q1715">
        <f>"L001-902303751"=U1715</f>
        <v/>
      </c>
      <c r="R1715">
        <f>G1715-W1715</f>
        <v/>
      </c>
      <c r="S1715" s="36" t="n">
        <v>45579</v>
      </c>
      <c r="T1715" t="inlineStr"/>
      <c r="U1715" t="inlineStr">
        <is>
          <t>L001-107032791</t>
        </is>
      </c>
      <c r="V1715" t="inlineStr">
        <is>
          <t>នីបផន អិចប្រេស (ខេមបូឌា) ខូ អិលធីឌី</t>
        </is>
      </c>
      <c r="W1715" t="n">
        <v>0</v>
      </c>
      <c r="X1715" t="n">
        <v>0</v>
      </c>
    </row>
    <row r="1716">
      <c r="A1716" t="n">
        <v>1715</v>
      </c>
      <c r="B1716" t="inlineStr">
        <is>
          <t>Customs Clearance Fee</t>
        </is>
      </c>
      <c r="C1716" t="inlineStr">
        <is>
          <t>ត្រាយអ៊ែងហ្គល ឡូជីស្ទីក (ខេមបូឌា) ឯ.ក</t>
        </is>
      </c>
      <c r="D1716" t="inlineStr">
        <is>
          <t>K010-902101743</t>
        </is>
      </c>
      <c r="E1716" t="inlineStr">
        <is>
          <t>TAG-24-00759</t>
        </is>
      </c>
      <c r="F1716" t="inlineStr">
        <is>
          <t>23-10-2024</t>
        </is>
      </c>
      <c r="G1716" t="n">
        <v>8124</v>
      </c>
      <c r="I1716">
        <f>G1716</f>
        <v/>
      </c>
      <c r="K1716">
        <f>I1716-G1716</f>
        <v/>
      </c>
      <c r="M1716" t="inlineStr">
        <is>
          <t>TAG2400759</t>
        </is>
      </c>
      <c r="N1716" t="inlineStr">
        <is>
          <t>11170500</t>
        </is>
      </c>
      <c r="O1716">
        <f>M1716=N1716</f>
        <v/>
      </c>
      <c r="P1716">
        <f>AND(MONTH(F1716)=MONTH(S1716), YEAR(F1716)=YEAR(S1716))</f>
        <v/>
      </c>
      <c r="Q1716">
        <f>"L001-902303751"=U1716</f>
        <v/>
      </c>
      <c r="R1716">
        <f>G1716-W1716</f>
        <v/>
      </c>
      <c r="S1716" s="36" t="n">
        <v>45579</v>
      </c>
      <c r="T1716" t="n">
        <v>111705</v>
      </c>
      <c r="U1716" t="inlineStr">
        <is>
          <t>L001-107032791</t>
        </is>
      </c>
      <c r="V1716" t="inlineStr">
        <is>
          <t>នីបផន អិចប្រេស (ខេមបូឌា) ខូ អិលធីឌី</t>
        </is>
      </c>
      <c r="W1716" t="n">
        <v>111705</v>
      </c>
      <c r="X1716" t="n">
        <v>0</v>
      </c>
    </row>
    <row r="1717">
      <c r="A1717" t="n">
        <v>1716</v>
      </c>
      <c r="B1717" t="inlineStr">
        <is>
          <t>Customs Clearance Fee</t>
        </is>
      </c>
      <c r="C1717" t="inlineStr">
        <is>
          <t>ត្រាយអ៊ែងហ្គល ឡូជីស្ទីក (ខេមបូឌា) ឯ.ក</t>
        </is>
      </c>
      <c r="D1717" t="inlineStr">
        <is>
          <t>K010-902101743</t>
        </is>
      </c>
      <c r="E1717" t="inlineStr">
        <is>
          <t>TAG-24-00757</t>
        </is>
      </c>
      <c r="F1717" t="inlineStr">
        <is>
          <t>23-10-2024</t>
        </is>
      </c>
      <c r="G1717" t="n">
        <v>8124</v>
      </c>
      <c r="I1717">
        <f>G1717</f>
        <v/>
      </c>
      <c r="K1717">
        <f>I1717-G1717</f>
        <v/>
      </c>
      <c r="M1717" t="inlineStr">
        <is>
          <t>TAG2400757</t>
        </is>
      </c>
      <c r="N1717" t="inlineStr"/>
      <c r="O1717">
        <f>M1717=N1717</f>
        <v/>
      </c>
      <c r="P1717">
        <f>AND(MONTH(F1717)=MONTH(S1717), YEAR(F1717)=YEAR(S1717))</f>
        <v/>
      </c>
      <c r="Q1717">
        <f>"L001-902303751"=U1717</f>
        <v/>
      </c>
      <c r="R1717">
        <f>G1717-W1717</f>
        <v/>
      </c>
      <c r="S1717" s="36" t="n">
        <v>45579</v>
      </c>
      <c r="T1717" t="inlineStr"/>
      <c r="U1717" t="inlineStr">
        <is>
          <t>K005-100150195</t>
        </is>
      </c>
      <c r="V1717" t="inlineStr">
        <is>
          <t>អេស អ វី ស៊ី ហ្វ្រេត សឺវីស (ខេមបូឌា) ខូ អិលធីឌី</t>
        </is>
      </c>
      <c r="W1717" t="n">
        <v>0</v>
      </c>
      <c r="X1717" t="n">
        <v>0</v>
      </c>
    </row>
    <row r="1718">
      <c r="A1718" t="n">
        <v>1717</v>
      </c>
      <c r="B1718" t="inlineStr">
        <is>
          <t>Gate Fee Charges-GC Truck-1-6 Tons</t>
        </is>
      </c>
      <c r="C1718" t="inlineStr">
        <is>
          <t>កំពង់ផែស្វយ័តភ្នំពេញ "ក.ស.ភ"</t>
        </is>
      </c>
      <c r="D1718" t="inlineStr">
        <is>
          <t>L001-100044999</t>
        </is>
      </c>
      <c r="E1718" t="inlineStr">
        <is>
          <t>INV20241079616</t>
        </is>
      </c>
      <c r="F1718" t="inlineStr">
        <is>
          <t>23-10-2024</t>
        </is>
      </c>
      <c r="G1718" t="n">
        <v>812</v>
      </c>
      <c r="I1718">
        <f>G1718</f>
        <v/>
      </c>
      <c r="K1718">
        <f>I1718-G1718</f>
        <v/>
      </c>
      <c r="M1718" t="inlineStr">
        <is>
          <t>INV20241079616</t>
        </is>
      </c>
      <c r="N1718" t="inlineStr"/>
      <c r="O1718">
        <f>M1718=N1718</f>
        <v/>
      </c>
      <c r="P1718">
        <f>AND(MONTH(F1718)=MONTH(S1718), YEAR(F1718)=YEAR(S1718))</f>
        <v/>
      </c>
      <c r="Q1718">
        <f>"L001-902303751"=U1718</f>
        <v/>
      </c>
      <c r="R1718">
        <f>G1718-W1718</f>
        <v/>
      </c>
      <c r="S1718" s="36" t="n">
        <v>45589</v>
      </c>
      <c r="T1718" t="inlineStr"/>
      <c r="U1718" t="inlineStr">
        <is>
          <t>L001-100045995</t>
        </is>
      </c>
      <c r="V1718" t="inlineStr">
        <is>
          <t>ឌីអេចអិល ឡូជីស្ទីក (ខេមបូឌា)</t>
        </is>
      </c>
      <c r="W1718" t="n">
        <v>0</v>
      </c>
      <c r="X1718" t="n">
        <v>0</v>
      </c>
    </row>
    <row r="1719">
      <c r="A1719" t="n">
        <v>1718</v>
      </c>
      <c r="B1719" t="inlineStr">
        <is>
          <t>Customs Clearance Fee</t>
        </is>
      </c>
      <c r="C1719" t="inlineStr">
        <is>
          <t>ត្រាយអ៊ែងហ្គល ឡូជីស្ទីក (ខេមបូឌា) ឯ.ក</t>
        </is>
      </c>
      <c r="D1719" t="inlineStr">
        <is>
          <t>K010-902101743</t>
        </is>
      </c>
      <c r="E1719" t="inlineStr">
        <is>
          <t>TAG-24-00756</t>
        </is>
      </c>
      <c r="F1719" t="inlineStr">
        <is>
          <t>23-10-2024</t>
        </is>
      </c>
      <c r="G1719" t="n">
        <v>8124</v>
      </c>
      <c r="I1719">
        <f>G1719</f>
        <v/>
      </c>
      <c r="K1719">
        <f>I1719-G1719</f>
        <v/>
      </c>
      <c r="M1719" t="inlineStr">
        <is>
          <t>TAG2400756</t>
        </is>
      </c>
      <c r="N1719" t="inlineStr"/>
      <c r="O1719">
        <f>M1719=N1719</f>
        <v/>
      </c>
      <c r="P1719">
        <f>AND(MONTH(F1719)=MONTH(S1719), YEAR(F1719)=YEAR(S1719))</f>
        <v/>
      </c>
      <c r="Q1719">
        <f>"L001-902303751"=U1719</f>
        <v/>
      </c>
      <c r="R1719">
        <f>G1719-W1719</f>
        <v/>
      </c>
      <c r="S1719" s="36" t="n">
        <v>45586</v>
      </c>
      <c r="T1719" t="inlineStr"/>
      <c r="U1719" t="inlineStr">
        <is>
          <t>L001-107032791</t>
        </is>
      </c>
      <c r="V1719" t="inlineStr">
        <is>
          <t>នីបផន អិចប្រេស (ខេមបូឌា) ខូ អិលធីឌី</t>
        </is>
      </c>
      <c r="W1719" t="n">
        <v>0</v>
      </c>
      <c r="X1719" t="n">
        <v>0</v>
      </c>
    </row>
    <row r="1720">
      <c r="A1720" t="n">
        <v>1719</v>
      </c>
      <c r="B1720" t="inlineStr">
        <is>
          <t>Send Docs</t>
        </is>
      </c>
      <c r="C1720" t="inlineStr">
        <is>
          <t>ឌី អេច អិល អិចប្រេស (ខេមបូឌា)</t>
        </is>
      </c>
      <c r="D1720" t="inlineStr">
        <is>
          <t>L001-100045197</t>
        </is>
      </c>
      <c r="E1720" t="inlineStr">
        <is>
          <t>PNHIR00249307</t>
        </is>
      </c>
      <c r="F1720" t="inlineStr">
        <is>
          <t>23-10-2024</t>
        </is>
      </c>
      <c r="G1720" t="n">
        <v>6093</v>
      </c>
      <c r="I1720">
        <f>G1720</f>
        <v/>
      </c>
      <c r="K1720">
        <f>I1720-G1720</f>
        <v/>
      </c>
      <c r="M1720" t="inlineStr">
        <is>
          <t>PNHIR00249307</t>
        </is>
      </c>
      <c r="N1720" t="inlineStr">
        <is>
          <t>378050300</t>
        </is>
      </c>
      <c r="O1720">
        <f>M1720=N1720</f>
        <v/>
      </c>
      <c r="P1720">
        <f>AND(MONTH(F1720)=MONTH(S1720), YEAR(F1720)=YEAR(S1720))</f>
        <v/>
      </c>
      <c r="Q1720">
        <f>"L001-902303751"=U1720</f>
        <v/>
      </c>
      <c r="R1720">
        <f>G1720-W1720</f>
        <v/>
      </c>
      <c r="S1720" s="36" t="n">
        <v>45586</v>
      </c>
      <c r="T1720" t="n">
        <v>3780503</v>
      </c>
      <c r="U1720" t="inlineStr">
        <is>
          <t>K004-105012505</t>
        </is>
      </c>
      <c r="V1720" t="inlineStr">
        <is>
          <t>អេស៊ាន ហ្វ្រេត (ខេមបូឌា)</t>
        </is>
      </c>
      <c r="W1720" t="n">
        <v>3780503</v>
      </c>
      <c r="X1720" t="n">
        <v>0</v>
      </c>
    </row>
    <row r="1721">
      <c r="A1721" t="n">
        <v>1720</v>
      </c>
      <c r="B1721" t="inlineStr">
        <is>
          <t>Steel Wire and Color Steel laminboard</t>
        </is>
      </c>
      <c r="C1721" t="inlineStr">
        <is>
          <t>ជាន សេនដា អ៊ិន ត្រេដ ឯ.ក</t>
        </is>
      </c>
      <c r="D1721" t="inlineStr">
        <is>
          <t>K010-902401901</t>
        </is>
      </c>
      <c r="E1721" t="inlineStr">
        <is>
          <t>JSD24-0002</t>
        </is>
      </c>
      <c r="F1721" t="inlineStr">
        <is>
          <t>23-10-2024</t>
        </is>
      </c>
      <c r="G1721" t="n">
        <v>8181701</v>
      </c>
      <c r="I1721">
        <f>G1721</f>
        <v/>
      </c>
      <c r="K1721">
        <f>I1721-G1721</f>
        <v/>
      </c>
      <c r="M1721" t="inlineStr">
        <is>
          <t>JSD240002</t>
        </is>
      </c>
      <c r="N1721" t="inlineStr">
        <is>
          <t>37979700</t>
        </is>
      </c>
      <c r="O1721">
        <f>M1721=N1721</f>
        <v/>
      </c>
      <c r="P1721">
        <f>AND(MONTH(F1721)=MONTH(S1721), YEAR(F1721)=YEAR(S1721))</f>
        <v/>
      </c>
      <c r="Q1721">
        <f>"L001-902303751"=U1721</f>
        <v/>
      </c>
      <c r="R1721">
        <f>G1721-W1721</f>
        <v/>
      </c>
      <c r="S1721" s="36" t="n">
        <v>45579</v>
      </c>
      <c r="T1721" t="n">
        <v>379797</v>
      </c>
      <c r="U1721" t="inlineStr">
        <is>
          <t>K005-100150195</t>
        </is>
      </c>
      <c r="V1721" t="inlineStr">
        <is>
          <t>អេស អ វី ស៊ី ហ្វ្រេត សឺវីស (ខេមបូឌា) ខូ អិលធីឌី</t>
        </is>
      </c>
      <c r="W1721" t="n">
        <v>379797</v>
      </c>
      <c r="X1721" t="n">
        <v>0</v>
      </c>
    </row>
    <row r="1722">
      <c r="A1722" t="n">
        <v>1721</v>
      </c>
      <c r="B1722" t="inlineStr">
        <is>
          <t>Service Fee</t>
        </is>
      </c>
      <c r="C1722" t="inlineStr">
        <is>
          <t>ប្យួរ៉ូ វេរីតាស (ខេមបូឌា) លីមីធីត</t>
        </is>
      </c>
      <c r="D1722" t="inlineStr">
        <is>
          <t>L001-107024462</t>
        </is>
      </c>
      <c r="E1722" t="inlineStr">
        <is>
          <t>59019188</t>
        </is>
      </c>
      <c r="F1722" t="inlineStr">
        <is>
          <t>21-11-2024</t>
        </is>
      </c>
      <c r="G1722" t="n">
        <v>229333</v>
      </c>
      <c r="I1722">
        <f>G1722</f>
        <v/>
      </c>
      <c r="K1722">
        <f>I1722-G1722</f>
        <v/>
      </c>
      <c r="M1722" t="inlineStr">
        <is>
          <t>59019188</t>
        </is>
      </c>
      <c r="N1722" t="inlineStr">
        <is>
          <t>5482400</t>
        </is>
      </c>
      <c r="O1722">
        <f>M1722=N1722</f>
        <v/>
      </c>
      <c r="P1722">
        <f>AND(MONTH(F1722)=MONTH(S1722), YEAR(F1722)=YEAR(S1722))</f>
        <v/>
      </c>
      <c r="Q1722">
        <f>"L001-902303751"=U1722</f>
        <v/>
      </c>
      <c r="R1722">
        <f>G1722-W1722</f>
        <v/>
      </c>
      <c r="S1722" s="36" t="n">
        <v>45591</v>
      </c>
      <c r="T1722" t="n">
        <v>54824</v>
      </c>
      <c r="U1722" t="inlineStr">
        <is>
          <t>L001-100045340</t>
        </is>
      </c>
      <c r="V1722" t="inlineStr">
        <is>
          <t xml:space="preserve">ស៊ីវ៉ា អ៊ែរ អ៊ែន អូសៀន (ខេមបូឌា) ឯ.ក </t>
        </is>
      </c>
      <c r="W1722" t="n">
        <v>54824</v>
      </c>
      <c r="X1722" t="n">
        <v>0</v>
      </c>
    </row>
    <row r="1723">
      <c r="A1723" t="n">
        <v>1722</v>
      </c>
      <c r="B1723" t="inlineStr">
        <is>
          <t>CFS Handling, Carrier BL, Document Assembly, Terminal Handling, Handling Fee and VGM Processing Fee</t>
        </is>
      </c>
      <c r="C1723" t="inlineStr">
        <is>
          <t>អ៊ិចស្ពែឌីធ័រ ខេមបូឌា អិលធីឌី</t>
        </is>
      </c>
      <c r="D1723" t="inlineStr">
        <is>
          <t>L001-100045898</t>
        </is>
      </c>
      <c r="E1723" t="inlineStr">
        <is>
          <t>TI-0297299</t>
        </is>
      </c>
      <c r="F1723" t="inlineStr">
        <is>
          <t>19-11-2024</t>
        </is>
      </c>
      <c r="G1723" t="n">
        <v>83203</v>
      </c>
      <c r="I1723">
        <f>G1723</f>
        <v/>
      </c>
      <c r="K1723">
        <f>I1723-G1723</f>
        <v/>
      </c>
      <c r="M1723" t="inlineStr">
        <is>
          <t>TI0297299</t>
        </is>
      </c>
      <c r="N1723" t="inlineStr">
        <is>
          <t>8568700</t>
        </is>
      </c>
      <c r="O1723">
        <f>M1723=N1723</f>
        <v/>
      </c>
      <c r="P1723">
        <f>AND(MONTH(F1723)=MONTH(S1723), YEAR(F1723)=YEAR(S1723))</f>
        <v/>
      </c>
      <c r="Q1723">
        <f>"L001-902303751"=U1723</f>
        <v/>
      </c>
      <c r="R1723">
        <f>G1723-W1723</f>
        <v/>
      </c>
      <c r="S1723" s="36" t="n">
        <v>45593</v>
      </c>
      <c r="T1723" t="n">
        <v>85687</v>
      </c>
      <c r="U1723" t="inlineStr">
        <is>
          <t>K005-901805913</t>
        </is>
      </c>
      <c r="V1723" t="inlineStr">
        <is>
          <t>ស្តារ ខង់ខដ (ខេមបូឌា) ឯ.ក</t>
        </is>
      </c>
      <c r="W1723" t="n">
        <v>85687</v>
      </c>
      <c r="X1723" t="n">
        <v>0</v>
      </c>
    </row>
    <row r="1724">
      <c r="A1724" t="n">
        <v>1723</v>
      </c>
      <c r="B1724" t="inlineStr">
        <is>
          <t>Documentation Origin, Handling Charges Origin, PLACI fee and HAWB Transmission Fee</t>
        </is>
      </c>
      <c r="C1724" t="inlineStr">
        <is>
          <t>ឌីប៊ី សេនឃើរ (ខេមបូឌា) លីមីធីត</t>
        </is>
      </c>
      <c r="D1724" t="inlineStr">
        <is>
          <t>L001-107041723</t>
        </is>
      </c>
      <c r="E1724" t="inlineStr">
        <is>
          <t>2400009086</t>
        </is>
      </c>
      <c r="F1724" t="inlineStr">
        <is>
          <t>13-11-2024</t>
        </is>
      </c>
      <c r="G1724" t="n">
        <v>49790</v>
      </c>
      <c r="I1724">
        <f>G1724</f>
        <v/>
      </c>
      <c r="K1724">
        <f>I1724-G1724</f>
        <v/>
      </c>
      <c r="M1724" t="inlineStr">
        <is>
          <t>2400009086</t>
        </is>
      </c>
      <c r="N1724" t="inlineStr">
        <is>
          <t>8327100</t>
        </is>
      </c>
      <c r="O1724">
        <f>M1724=N1724</f>
        <v/>
      </c>
      <c r="P1724">
        <f>AND(MONTH(F1724)=MONTH(S1724), YEAR(F1724)=YEAR(S1724))</f>
        <v/>
      </c>
      <c r="Q1724">
        <f>"L001-902303751"=U1724</f>
        <v/>
      </c>
      <c r="R1724">
        <f>G1724-W1724</f>
        <v/>
      </c>
      <c r="S1724" s="36" t="n">
        <v>45586</v>
      </c>
      <c r="T1724" t="n">
        <v>83271</v>
      </c>
      <c r="U1724" t="inlineStr">
        <is>
          <t>K002-901635875</t>
        </is>
      </c>
      <c r="V1724" t="inlineStr">
        <is>
          <t>ដាត គ្លូប៊ល ឡូជីស្ទីក (ខេមបូឌា)</t>
        </is>
      </c>
      <c r="W1724" t="n">
        <v>83271</v>
      </c>
      <c r="X1724" t="n">
        <v>0</v>
      </c>
    </row>
    <row r="1725">
      <c r="A1725" t="n">
        <v>1724</v>
      </c>
      <c r="B1725" t="inlineStr">
        <is>
          <t>Export Administration Fee, Port Formalily and Service Charge</t>
        </is>
      </c>
      <c r="C1725" t="inlineStr">
        <is>
          <t>ឆាយ ដា ឡូយីស្ទីក</t>
        </is>
      </c>
      <c r="D1725" t="inlineStr">
        <is>
          <t>L001-100063098</t>
        </is>
      </c>
      <c r="E1725" t="inlineStr">
        <is>
          <t>2411016757</t>
        </is>
      </c>
      <c r="F1725" t="inlineStr">
        <is>
          <t>11-11-2024</t>
        </is>
      </c>
      <c r="G1725" t="n">
        <v>76715</v>
      </c>
      <c r="I1725">
        <f>G1725</f>
        <v/>
      </c>
      <c r="K1725">
        <f>I1725-G1725</f>
        <v/>
      </c>
      <c r="M1725" t="inlineStr">
        <is>
          <t>2411016757</t>
        </is>
      </c>
      <c r="N1725" t="inlineStr">
        <is>
          <t>11170500</t>
        </is>
      </c>
      <c r="O1725">
        <f>M1725=N1725</f>
        <v/>
      </c>
      <c r="P1725">
        <f>AND(MONTH(F1725)=MONTH(S1725), YEAR(F1725)=YEAR(S1725))</f>
        <v/>
      </c>
      <c r="Q1725">
        <f>"L001-902303751"=U1725</f>
        <v/>
      </c>
      <c r="R1725">
        <f>G1725-W1725</f>
        <v/>
      </c>
      <c r="S1725" s="36" t="n">
        <v>45586</v>
      </c>
      <c r="T1725" t="n">
        <v>111705</v>
      </c>
      <c r="U1725" t="inlineStr">
        <is>
          <t>L001-107032791</t>
        </is>
      </c>
      <c r="V1725" t="inlineStr">
        <is>
          <t>នីបផន អិចប្រេស (ខេមបូឌា) ខូ អិលធីឌី</t>
        </is>
      </c>
      <c r="W1725" t="n">
        <v>111705</v>
      </c>
      <c r="X1725" t="n">
        <v>0</v>
      </c>
    </row>
    <row r="1726">
      <c r="A1726" t="n">
        <v>1725</v>
      </c>
      <c r="B1726" t="inlineStr">
        <is>
          <t>CFS Handling, Carrier BL, Document Assembly, Terminal Handling, Handling Fee, VGM Weighting and Fuel Surcharge</t>
        </is>
      </c>
      <c r="C1726" t="inlineStr">
        <is>
          <t>អ៊ិចស្ពែឌីធ័រ ខេមបូឌា អិលធីឌី</t>
        </is>
      </c>
      <c r="D1726" t="inlineStr">
        <is>
          <t>L001-100045898</t>
        </is>
      </c>
      <c r="E1726" t="inlineStr">
        <is>
          <t>TI-0297300</t>
        </is>
      </c>
      <c r="F1726" t="inlineStr">
        <is>
          <t>19-11-2024</t>
        </is>
      </c>
      <c r="G1726" t="n">
        <v>150254</v>
      </c>
      <c r="I1726">
        <f>G1726</f>
        <v/>
      </c>
      <c r="K1726">
        <f>I1726-G1726</f>
        <v/>
      </c>
      <c r="M1726" t="inlineStr">
        <is>
          <t>TI0297300</t>
        </is>
      </c>
      <c r="N1726" t="inlineStr">
        <is>
          <t>8327100</t>
        </is>
      </c>
      <c r="O1726">
        <f>M1726=N1726</f>
        <v/>
      </c>
      <c r="P1726">
        <f>AND(MONTH(F1726)=MONTH(S1726), YEAR(F1726)=YEAR(S1726))</f>
        <v/>
      </c>
      <c r="Q1726">
        <f>"L001-902303751"=U1726</f>
        <v/>
      </c>
      <c r="R1726">
        <f>G1726-W1726</f>
        <v/>
      </c>
      <c r="S1726" s="36" t="n">
        <v>45579</v>
      </c>
      <c r="T1726" t="n">
        <v>83271</v>
      </c>
      <c r="U1726" t="inlineStr">
        <is>
          <t>L001-107032791</t>
        </is>
      </c>
      <c r="V1726" t="inlineStr">
        <is>
          <t>នីបផន អិចប្រេស (ខេមបូឌា) ខូ អិលធីឌី</t>
        </is>
      </c>
      <c r="W1726" t="n">
        <v>83271</v>
      </c>
      <c r="X1726" t="n">
        <v>0</v>
      </c>
    </row>
    <row r="1727">
      <c r="A1727" t="n">
        <v>1726</v>
      </c>
      <c r="B1727" t="inlineStr">
        <is>
          <t>CFS Handling, Carrier BL, Document Assembly, Terminal Handling, Handling Fee and VGM Processing Fee</t>
        </is>
      </c>
      <c r="C1727" t="inlineStr">
        <is>
          <t>អ៊ិចស្ពែឌីធ័រ ខេមបូឌា អិលធីឌី</t>
        </is>
      </c>
      <c r="D1727" t="inlineStr">
        <is>
          <t>L001-100045898</t>
        </is>
      </c>
      <c r="E1727" t="inlineStr">
        <is>
          <t>TI-0297296</t>
        </is>
      </c>
      <c r="F1727" t="inlineStr">
        <is>
          <t>19-11-2024</t>
        </is>
      </c>
      <c r="G1727" t="n">
        <v>91281</v>
      </c>
      <c r="I1727">
        <f>G1727</f>
        <v/>
      </c>
      <c r="K1727">
        <f>I1727-G1727</f>
        <v/>
      </c>
      <c r="M1727" t="inlineStr">
        <is>
          <t>TI0297296</t>
        </is>
      </c>
      <c r="N1727" t="inlineStr"/>
      <c r="O1727">
        <f>M1727=N1727</f>
        <v/>
      </c>
      <c r="P1727">
        <f>AND(MONTH(F1727)=MONTH(S1727), YEAR(F1727)=YEAR(S1727))</f>
        <v/>
      </c>
      <c r="Q1727">
        <f>"L001-902303751"=U1727</f>
        <v/>
      </c>
      <c r="R1727">
        <f>G1727-W1727</f>
        <v/>
      </c>
      <c r="S1727" s="36" t="n">
        <v>45579</v>
      </c>
      <c r="T1727" t="inlineStr"/>
      <c r="U1727" t="inlineStr">
        <is>
          <t>L001-100045340</t>
        </is>
      </c>
      <c r="V1727" t="inlineStr">
        <is>
          <t xml:space="preserve">ស៊ីវ៉ា អ៊ែរ អ៊ែន អូសៀន (ខេមបូឌា) ឯ.ក </t>
        </is>
      </c>
      <c r="W1727" t="n">
        <v>0</v>
      </c>
      <c r="X1727" t="n">
        <v>0</v>
      </c>
    </row>
    <row r="1728">
      <c r="A1728" t="n">
        <v>1727</v>
      </c>
      <c r="B1728" t="inlineStr">
        <is>
          <t>CFS Handling, Carrier BL, Document Assembly, Terminal Handling, Handling Fee, VGM Weighting and Fuel Surcharge</t>
        </is>
      </c>
      <c r="C1728" t="inlineStr">
        <is>
          <t>អ៊ិចស្ពែឌីធ័រ ខេមបូឌា អិលធីឌី</t>
        </is>
      </c>
      <c r="D1728" t="inlineStr">
        <is>
          <t>L001-100045898</t>
        </is>
      </c>
      <c r="E1728" t="inlineStr">
        <is>
          <t>TI-0297297</t>
        </is>
      </c>
      <c r="F1728" t="inlineStr">
        <is>
          <t>19-11-2024</t>
        </is>
      </c>
      <c r="G1728" t="n">
        <v>102260</v>
      </c>
      <c r="I1728">
        <f>G1728</f>
        <v/>
      </c>
      <c r="K1728">
        <f>I1728-G1728</f>
        <v/>
      </c>
      <c r="M1728" t="inlineStr">
        <is>
          <t>TI0297297</t>
        </is>
      </c>
      <c r="N1728" t="inlineStr">
        <is>
          <t>190142200</t>
        </is>
      </c>
      <c r="O1728">
        <f>M1728=N1728</f>
        <v/>
      </c>
      <c r="P1728">
        <f>AND(MONTH(F1728)=MONTH(S1728), YEAR(F1728)=YEAR(S1728))</f>
        <v/>
      </c>
      <c r="Q1728">
        <f>"L001-902303751"=U1728</f>
        <v/>
      </c>
      <c r="R1728">
        <f>G1728-W1728</f>
        <v/>
      </c>
      <c r="S1728" s="36" t="n">
        <v>45583</v>
      </c>
      <c r="T1728" t="n">
        <v>1901422</v>
      </c>
      <c r="U1728" t="inlineStr">
        <is>
          <t>K004-105012505</t>
        </is>
      </c>
      <c r="V1728" t="inlineStr">
        <is>
          <t>អេស៊ាន ហ្វ្រេត (ខេមបូឌា)</t>
        </is>
      </c>
      <c r="W1728" t="n">
        <v>1901422</v>
      </c>
      <c r="X1728" t="n">
        <v>0</v>
      </c>
    </row>
    <row r="1729">
      <c r="A1729" t="n">
        <v>1728</v>
      </c>
      <c r="B1729" t="inlineStr">
        <is>
          <t>ORG. ADMINISTRATIVE HANDLING AND ORG. WAYBILL/BILL OF LADING</t>
        </is>
      </c>
      <c r="C1729" t="inlineStr">
        <is>
          <t>ឌីអេចអិល ឡូជីស្ទីក (ខេមបូឌា)</t>
        </is>
      </c>
      <c r="D1729" t="inlineStr">
        <is>
          <t>L001-100045995</t>
        </is>
      </c>
      <c r="E1729" t="inlineStr">
        <is>
          <t>INV2409387</t>
        </is>
      </c>
      <c r="F1729" t="inlineStr">
        <is>
          <t>02-11-2024</t>
        </is>
      </c>
      <c r="G1729" t="n">
        <v>36576</v>
      </c>
      <c r="I1729">
        <f>G1729</f>
        <v/>
      </c>
      <c r="K1729">
        <f>I1729-G1729</f>
        <v/>
      </c>
      <c r="M1729" t="inlineStr">
        <is>
          <t>INV2409387</t>
        </is>
      </c>
      <c r="N1729" t="inlineStr">
        <is>
          <t>357171700</t>
        </is>
      </c>
      <c r="O1729">
        <f>M1729=N1729</f>
        <v/>
      </c>
      <c r="P1729">
        <f>AND(MONTH(F1729)=MONTH(S1729), YEAR(F1729)=YEAR(S1729))</f>
        <v/>
      </c>
      <c r="Q1729">
        <f>"L001-902303751"=U1729</f>
        <v/>
      </c>
      <c r="R1729">
        <f>G1729-W1729</f>
        <v/>
      </c>
      <c r="S1729" s="36" t="n">
        <v>45583</v>
      </c>
      <c r="T1729" t="n">
        <v>3571717</v>
      </c>
      <c r="U1729" t="inlineStr">
        <is>
          <t>K004-105012505</t>
        </is>
      </c>
      <c r="V1729" t="inlineStr">
        <is>
          <t>អេស៊ាន ហ្វ្រេត (ខេមបូឌា)</t>
        </is>
      </c>
      <c r="W1729" t="n">
        <v>3571717</v>
      </c>
      <c r="X1729" t="n">
        <v>0</v>
      </c>
    </row>
    <row r="1730">
      <c r="A1730" t="n">
        <v>1729</v>
      </c>
      <c r="B1730" t="inlineStr">
        <is>
          <t>Send Doc</t>
        </is>
      </c>
      <c r="C1730" t="inlineStr">
        <is>
          <t>ឌី អេច អិល អិចប្រេស (ខេមបូឌា)</t>
        </is>
      </c>
      <c r="D1730" t="inlineStr">
        <is>
          <t>L001-100045197</t>
        </is>
      </c>
      <c r="E1730" t="inlineStr">
        <is>
          <t>PNHIR00252642</t>
        </is>
      </c>
      <c r="F1730" t="inlineStr">
        <is>
          <t>08-11-2024</t>
        </is>
      </c>
      <c r="G1730" t="n">
        <v>18279</v>
      </c>
      <c r="I1730">
        <f>G1730</f>
        <v/>
      </c>
      <c r="K1730">
        <f>I1730-G1730</f>
        <v/>
      </c>
      <c r="M1730" t="inlineStr">
        <is>
          <t>PNHIR00252642</t>
        </is>
      </c>
      <c r="N1730" t="inlineStr">
        <is>
          <t>8327100</t>
        </is>
      </c>
      <c r="O1730">
        <f>M1730=N1730</f>
        <v/>
      </c>
      <c r="P1730">
        <f>AND(MONTH(F1730)=MONTH(S1730), YEAR(F1730)=YEAR(S1730))</f>
        <v/>
      </c>
      <c r="Q1730">
        <f>"L001-902303751"=U1730</f>
        <v/>
      </c>
      <c r="R1730">
        <f>G1730-W1730</f>
        <v/>
      </c>
      <c r="S1730" s="36" t="n">
        <v>45579</v>
      </c>
      <c r="T1730" t="n">
        <v>83271</v>
      </c>
      <c r="U1730" t="inlineStr">
        <is>
          <t>L001-100011888</t>
        </is>
      </c>
      <c r="V1730" t="inlineStr">
        <is>
          <t>ត្រេន ស្តារ ហ្រេ្វត</t>
        </is>
      </c>
      <c r="W1730" t="n">
        <v>83271</v>
      </c>
      <c r="X1730" t="n">
        <v>0</v>
      </c>
    </row>
    <row r="1731">
      <c r="A1731" t="n">
        <v>1730</v>
      </c>
      <c r="B1731" t="inlineStr">
        <is>
          <t>Send Doc</t>
        </is>
      </c>
      <c r="C1731" t="inlineStr">
        <is>
          <t>ឌី អេច អិល អិចប្រេស (ខេមបូឌា)</t>
        </is>
      </c>
      <c r="D1731" t="inlineStr">
        <is>
          <t>L001-100045197</t>
        </is>
      </c>
      <c r="E1731" t="inlineStr">
        <is>
          <t>PNHIR00253406</t>
        </is>
      </c>
      <c r="F1731" t="inlineStr">
        <is>
          <t>12-11-2024</t>
        </is>
      </c>
      <c r="G1731" t="n">
        <v>18239</v>
      </c>
      <c r="I1731">
        <f>G1731</f>
        <v/>
      </c>
      <c r="K1731">
        <f>I1731-G1731</f>
        <v/>
      </c>
      <c r="M1731" t="inlineStr">
        <is>
          <t>PNHIR00253406</t>
        </is>
      </c>
      <c r="N1731" t="inlineStr">
        <is>
          <t>8327100</t>
        </is>
      </c>
      <c r="O1731">
        <f>M1731=N1731</f>
        <v/>
      </c>
      <c r="P1731">
        <f>AND(MONTH(F1731)=MONTH(S1731), YEAR(F1731)=YEAR(S1731))</f>
        <v/>
      </c>
      <c r="Q1731">
        <f>"L001-902303751"=U1731</f>
        <v/>
      </c>
      <c r="R1731">
        <f>G1731-W1731</f>
        <v/>
      </c>
      <c r="S1731" s="36" t="n">
        <v>45586</v>
      </c>
      <c r="T1731" t="n">
        <v>83271</v>
      </c>
      <c r="U1731" t="inlineStr">
        <is>
          <t>L001-107032791</t>
        </is>
      </c>
      <c r="V1731" t="inlineStr">
        <is>
          <t>នីបផន អិចប្រេស (ខេមបូឌា) ខូ អិលធីឌី</t>
        </is>
      </c>
      <c r="W1731" t="n">
        <v>83271</v>
      </c>
      <c r="X1731" t="n">
        <v>0</v>
      </c>
    </row>
    <row r="1732">
      <c r="A1732" t="n">
        <v>1731</v>
      </c>
      <c r="B1732" t="inlineStr">
        <is>
          <t>Send Doc</t>
        </is>
      </c>
      <c r="C1732" t="inlineStr">
        <is>
          <t>ឌី អេច អិល អិចប្រេស (ខេមបូឌា)</t>
        </is>
      </c>
      <c r="D1732" t="inlineStr">
        <is>
          <t>L001-100045197</t>
        </is>
      </c>
      <c r="E1732" t="inlineStr">
        <is>
          <t>PNHIR00253542</t>
        </is>
      </c>
      <c r="F1732" t="inlineStr">
        <is>
          <t>13-11-2024</t>
        </is>
      </c>
      <c r="G1732" t="n">
        <v>12144</v>
      </c>
      <c r="I1732">
        <f>G1732</f>
        <v/>
      </c>
      <c r="K1732">
        <f>I1732-G1732</f>
        <v/>
      </c>
      <c r="M1732" t="inlineStr">
        <is>
          <t>PNHIR00253542</t>
        </is>
      </c>
      <c r="N1732" t="inlineStr">
        <is>
          <t>20106900</t>
        </is>
      </c>
      <c r="O1732">
        <f>M1732=N1732</f>
        <v/>
      </c>
      <c r="P1732">
        <f>AND(MONTH(F1732)=MONTH(S1732), YEAR(F1732)=YEAR(S1732))</f>
        <v/>
      </c>
      <c r="Q1732">
        <f>"L001-902303751"=U1732</f>
        <v/>
      </c>
      <c r="R1732">
        <f>G1732-W1732</f>
        <v/>
      </c>
      <c r="S1732" s="36" t="n">
        <v>45586</v>
      </c>
      <c r="T1732" t="n">
        <v>201069</v>
      </c>
      <c r="U1732" t="inlineStr">
        <is>
          <t>L001-107032791</t>
        </is>
      </c>
      <c r="V1732" t="inlineStr">
        <is>
          <t>នីបផន អិចប្រេស (ខេមបូឌា) ខូ អិលធីឌី</t>
        </is>
      </c>
      <c r="W1732" t="n">
        <v>201069</v>
      </c>
      <c r="X1732" t="n">
        <v>0</v>
      </c>
    </row>
    <row r="1733">
      <c r="A1733" t="n">
        <v>1732</v>
      </c>
      <c r="B1733" t="inlineStr">
        <is>
          <t>Repair Machine</t>
        </is>
      </c>
      <c r="C1733" t="inlineStr">
        <is>
          <t>ស៊ីន ជី រួយ (ខេមបូឌា) សូវីង ម៉ាស៊ីន ឯ.ក</t>
        </is>
      </c>
      <c r="D1733" t="inlineStr">
        <is>
          <t>K010-901804499</t>
        </is>
      </c>
      <c r="E1733" t="inlineStr">
        <is>
          <t>24286</t>
        </is>
      </c>
      <c r="F1733" t="inlineStr">
        <is>
          <t>01-11-2024</t>
        </is>
      </c>
      <c r="G1733" t="n">
        <v>48768</v>
      </c>
      <c r="I1733">
        <f>G1733</f>
        <v/>
      </c>
      <c r="K1733">
        <f>I1733-G1733</f>
        <v/>
      </c>
      <c r="M1733" t="inlineStr">
        <is>
          <t>24286</t>
        </is>
      </c>
      <c r="N1733" t="inlineStr"/>
      <c r="O1733">
        <f>M1733=N1733</f>
        <v/>
      </c>
      <c r="P1733">
        <f>AND(MONTH(F1733)=MONTH(S1733), YEAR(F1733)=YEAR(S1733))</f>
        <v/>
      </c>
      <c r="Q1733">
        <f>"L001-902303751"=U1733</f>
        <v/>
      </c>
      <c r="R1733">
        <f>G1733-W1733</f>
        <v/>
      </c>
      <c r="S1733" s="36" t="n">
        <v>45579</v>
      </c>
      <c r="T1733" t="inlineStr"/>
      <c r="U1733" t="inlineStr">
        <is>
          <t>L001-107032791</t>
        </is>
      </c>
      <c r="V1733" t="inlineStr">
        <is>
          <t>នីបផន អិចប្រេស (ខេមបូឌា) ខូ អិលធីឌី</t>
        </is>
      </c>
      <c r="W1733" t="n">
        <v>0</v>
      </c>
      <c r="X1733" t="n">
        <v>0</v>
      </c>
    </row>
    <row r="1734">
      <c r="A1734" t="n">
        <v>1733</v>
      </c>
      <c r="B1734" t="inlineStr">
        <is>
          <t>PVC Template</t>
        </is>
      </c>
      <c r="C1734" t="inlineStr">
        <is>
          <t>ស៊ីន ជី រួយ (ខេមបូឌា) សូវីង ម៉ាស៊ីន ឯ.ក</t>
        </is>
      </c>
      <c r="D1734" t="inlineStr">
        <is>
          <t>K010-901804499</t>
        </is>
      </c>
      <c r="E1734" t="inlineStr">
        <is>
          <t>24283</t>
        </is>
      </c>
      <c r="F1734" t="inlineStr">
        <is>
          <t>01-11-2024</t>
        </is>
      </c>
      <c r="G1734" t="n">
        <v>1869440</v>
      </c>
      <c r="I1734">
        <f>G1734</f>
        <v/>
      </c>
      <c r="K1734">
        <f>I1734-G1734</f>
        <v/>
      </c>
      <c r="M1734" t="inlineStr">
        <is>
          <t>24283</t>
        </is>
      </c>
      <c r="N1734" t="inlineStr"/>
      <c r="O1734">
        <f>M1734=N1734</f>
        <v/>
      </c>
      <c r="P1734">
        <f>AND(MONTH(F1734)=MONTH(S1734), YEAR(F1734)=YEAR(S1734))</f>
        <v/>
      </c>
      <c r="Q1734">
        <f>"L001-902303751"=U1734</f>
        <v/>
      </c>
      <c r="R1734">
        <f>G1734-W1734</f>
        <v/>
      </c>
      <c r="S1734" s="36" t="n">
        <v>45579</v>
      </c>
      <c r="T1734" t="inlineStr"/>
      <c r="U1734" t="inlineStr">
        <is>
          <t>L001-107032791</t>
        </is>
      </c>
      <c r="V1734" t="inlineStr">
        <is>
          <t>នីបផន អិចប្រេស (ខេមបូឌា) ខូ អិលធីឌី</t>
        </is>
      </c>
      <c r="W1734" t="n">
        <v>0</v>
      </c>
      <c r="X1734" t="n">
        <v>0</v>
      </c>
    </row>
    <row r="1735">
      <c r="A1735" t="n">
        <v>1734</v>
      </c>
      <c r="B1735" t="inlineStr">
        <is>
          <t>50% Final payment for custom-made boiler stainless steel dust collector and chimney</t>
        </is>
      </c>
      <c r="C1735" t="inlineStr">
        <is>
          <t>វ៉ានលី ប៊យឡឺ អាយរ៉ុននីង អេឃ្វីបម៉ិន ឯ.ក</t>
        </is>
      </c>
      <c r="D1735" t="inlineStr">
        <is>
          <t>K010-902202437</t>
        </is>
      </c>
      <c r="E1735" t="inlineStr">
        <is>
          <t>W2024-0042</t>
        </is>
      </c>
      <c r="F1735" t="inlineStr">
        <is>
          <t>18-11-2024</t>
        </is>
      </c>
      <c r="G1735" t="n">
        <v>1040558</v>
      </c>
      <c r="I1735">
        <f>G1735</f>
        <v/>
      </c>
      <c r="K1735">
        <f>I1735-G1735</f>
        <v/>
      </c>
      <c r="M1735" t="inlineStr">
        <is>
          <t>W20240042</t>
        </is>
      </c>
      <c r="N1735" t="inlineStr"/>
      <c r="O1735">
        <f>M1735=N1735</f>
        <v/>
      </c>
      <c r="P1735">
        <f>AND(MONTH(F1735)=MONTH(S1735), YEAR(F1735)=YEAR(S1735))</f>
        <v/>
      </c>
      <c r="Q1735">
        <f>"L001-902303751"=U1735</f>
        <v/>
      </c>
      <c r="R1735">
        <f>G1735-W1735</f>
        <v/>
      </c>
      <c r="S1735" s="36" t="n">
        <v>45593</v>
      </c>
      <c r="T1735" t="inlineStr"/>
      <c r="U1735" t="inlineStr">
        <is>
          <t>L001-107032791</t>
        </is>
      </c>
      <c r="V1735" t="inlineStr">
        <is>
          <t>នីបផន អិចប្រេស (ខេមបូឌា) ខូ អិលធីឌី</t>
        </is>
      </c>
      <c r="W1735" t="n">
        <v>0</v>
      </c>
      <c r="X1735" t="n">
        <v>0</v>
      </c>
    </row>
    <row r="1736">
      <c r="A1736" t="n">
        <v>1735</v>
      </c>
      <c r="B1736" t="inlineStr">
        <is>
          <t>Monthly Charge of Photo Copier Rental from 06/10/2024-06/11/2024</t>
        </is>
      </c>
      <c r="C1736" t="inlineStr">
        <is>
          <t>វី.អាយ.អេស ខភៀ ឯ.ក</t>
        </is>
      </c>
      <c r="D1736" t="inlineStr">
        <is>
          <t>K007-901705195</t>
        </is>
      </c>
      <c r="E1736" t="inlineStr">
        <is>
          <t>RNT241126</t>
        </is>
      </c>
      <c r="F1736" t="inlineStr">
        <is>
          <t>06-11-2024</t>
        </is>
      </c>
      <c r="G1736" t="n">
        <v>28448</v>
      </c>
      <c r="I1736">
        <f>G1736</f>
        <v/>
      </c>
      <c r="K1736">
        <f>I1736-G1736</f>
        <v/>
      </c>
      <c r="M1736" t="inlineStr">
        <is>
          <t>RNT241126</t>
        </is>
      </c>
      <c r="N1736" t="inlineStr"/>
      <c r="O1736">
        <f>M1736=N1736</f>
        <v/>
      </c>
      <c r="P1736">
        <f>AND(MONTH(F1736)=MONTH(S1736), YEAR(F1736)=YEAR(S1736))</f>
        <v/>
      </c>
      <c r="Q1736">
        <f>"L001-902303751"=U1736</f>
        <v/>
      </c>
      <c r="R1736">
        <f>G1736-W1736</f>
        <v/>
      </c>
      <c r="S1736" s="36" t="n">
        <v>45586</v>
      </c>
      <c r="T1736" t="inlineStr"/>
      <c r="U1736" t="inlineStr">
        <is>
          <t>L001-100045340</t>
        </is>
      </c>
      <c r="V1736" t="inlineStr">
        <is>
          <t xml:space="preserve">ស៊ីវ៉ា អ៊ែរ អ៊ែន អូសៀន (ខេមបូឌា) ឯ.ក </t>
        </is>
      </c>
      <c r="W1736" t="n">
        <v>0</v>
      </c>
      <c r="X1736" t="n">
        <v>0</v>
      </c>
    </row>
    <row r="1737">
      <c r="A1737" t="n">
        <v>1736</v>
      </c>
      <c r="B1737" t="inlineStr">
        <is>
          <t>​Export Administration Fee and Custom Processing Fee</t>
        </is>
      </c>
      <c r="C1737" t="inlineStr">
        <is>
          <t>ជី លីង អិចប្រេស ឡូជីស្ទីក (ខេមបូឌា) លីមីធីត</t>
        </is>
      </c>
      <c r="D1737" t="inlineStr">
        <is>
          <t>L001-100044956</t>
        </is>
      </c>
      <c r="E1737" t="inlineStr">
        <is>
          <t>24159744</t>
        </is>
      </c>
      <c r="F1737" t="inlineStr">
        <is>
          <t>21-11-2024</t>
        </is>
      </c>
      <c r="G1737" t="n">
        <v>64544</v>
      </c>
      <c r="I1737">
        <f>G1737</f>
        <v/>
      </c>
      <c r="K1737">
        <f>I1737-G1737</f>
        <v/>
      </c>
      <c r="M1737" t="inlineStr">
        <is>
          <t>24159744</t>
        </is>
      </c>
      <c r="N1737" t="inlineStr"/>
      <c r="O1737">
        <f>M1737=N1737</f>
        <v/>
      </c>
      <c r="P1737">
        <f>AND(MONTH(F1737)=MONTH(S1737), YEAR(F1737)=YEAR(S1737))</f>
        <v/>
      </c>
      <c r="Q1737">
        <f>"L001-902303751"=U1737</f>
        <v/>
      </c>
      <c r="R1737">
        <f>G1737-W1737</f>
        <v/>
      </c>
      <c r="S1737" s="36" t="n">
        <v>45579</v>
      </c>
      <c r="T1737" t="inlineStr"/>
      <c r="U1737" t="inlineStr">
        <is>
          <t>L001-100045995</t>
        </is>
      </c>
      <c r="V1737" t="inlineStr">
        <is>
          <t>ឌីអេចអិល ឡូជីស្ទីក (ខេមបូឌា)</t>
        </is>
      </c>
      <c r="W1737" t="n">
        <v>0</v>
      </c>
      <c r="X1737" t="n">
        <v>0</v>
      </c>
    </row>
    <row r="1738">
      <c r="A1738" t="n">
        <v>1737</v>
      </c>
      <c r="B1738" t="inlineStr">
        <is>
          <t>Send Docs</t>
        </is>
      </c>
      <c r="C1738" t="inlineStr">
        <is>
          <t>ឌី អេច អិល អិចប្រេស (ខេមបូឌា)</t>
        </is>
      </c>
      <c r="D1738" t="inlineStr">
        <is>
          <t>L001-100045197</t>
        </is>
      </c>
      <c r="E1738" t="inlineStr">
        <is>
          <t>PNHR000511305</t>
        </is>
      </c>
      <c r="F1738" t="inlineStr">
        <is>
          <t>30-11-2024</t>
        </is>
      </c>
      <c r="G1738" t="n">
        <v>34182</v>
      </c>
      <c r="I1738">
        <f>G1738</f>
        <v/>
      </c>
      <c r="K1738">
        <f>I1738-G1738</f>
        <v/>
      </c>
      <c r="M1738" t="inlineStr">
        <is>
          <t>PNHR000511305</t>
        </is>
      </c>
      <c r="N1738" t="inlineStr">
        <is>
          <t>8333300</t>
        </is>
      </c>
      <c r="O1738">
        <f>M1738=N1738</f>
        <v/>
      </c>
      <c r="P1738">
        <f>AND(MONTH(F1738)=MONTH(S1738), YEAR(F1738)=YEAR(S1738))</f>
        <v/>
      </c>
      <c r="Q1738">
        <f>"L001-902303751"=U1738</f>
        <v/>
      </c>
      <c r="R1738">
        <f>G1738-W1738</f>
        <v/>
      </c>
      <c r="S1738" s="36" t="n">
        <v>45574</v>
      </c>
      <c r="T1738" t="n">
        <v>83333</v>
      </c>
      <c r="U1738" t="inlineStr">
        <is>
          <t>L001-107032791</t>
        </is>
      </c>
      <c r="V1738" t="inlineStr">
        <is>
          <t>នីបផន អិចប្រេស (ខេមបូឌា) ខូ អិលធីឌី</t>
        </is>
      </c>
      <c r="W1738" t="n">
        <v>83333</v>
      </c>
      <c r="X1738" t="n">
        <v>0</v>
      </c>
    </row>
    <row r="1739">
      <c r="A1739" t="n">
        <v>1738</v>
      </c>
      <c r="B1739" t="inlineStr">
        <is>
          <t>Send Docs</t>
        </is>
      </c>
      <c r="C1739" t="inlineStr">
        <is>
          <t>ឌី អេច អិល អិចប្រេស (ខេមបូឌា)</t>
        </is>
      </c>
      <c r="D1739" t="inlineStr">
        <is>
          <t>L001-100045197</t>
        </is>
      </c>
      <c r="E1739" t="inlineStr">
        <is>
          <t>PNHIR00257826</t>
        </is>
      </c>
      <c r="F1739" t="inlineStr">
        <is>
          <t>30-11-2024</t>
        </is>
      </c>
      <c r="G1739" t="n">
        <v>16112</v>
      </c>
      <c r="I1739">
        <f>G1739</f>
        <v/>
      </c>
      <c r="K1739">
        <f>I1739-G1739</f>
        <v/>
      </c>
      <c r="M1739" t="inlineStr">
        <is>
          <t>PNHIR00257826</t>
        </is>
      </c>
      <c r="N1739" t="inlineStr">
        <is>
          <t>11170500</t>
        </is>
      </c>
      <c r="O1739">
        <f>M1739=N1739</f>
        <v/>
      </c>
      <c r="P1739">
        <f>AND(MONTH(F1739)=MONTH(S1739), YEAR(F1739)=YEAR(S1739))</f>
        <v/>
      </c>
      <c r="Q1739">
        <f>"L001-902303751"=U1739</f>
        <v/>
      </c>
      <c r="R1739">
        <f>G1739-W1739</f>
        <v/>
      </c>
      <c r="S1739" s="36" t="n">
        <v>45579</v>
      </c>
      <c r="T1739" t="n">
        <v>111705</v>
      </c>
      <c r="U1739" t="inlineStr">
        <is>
          <t>L001-107041723</t>
        </is>
      </c>
      <c r="V1739" t="inlineStr">
        <is>
          <t>ឌីប៊ី សេនឃើរ (ខេមបូឌា) លីមីធីត</t>
        </is>
      </c>
      <c r="W1739" t="n">
        <v>111705</v>
      </c>
      <c r="X1739" t="n">
        <v>0</v>
      </c>
    </row>
    <row r="1740">
      <c r="A1740" t="n">
        <v>1739</v>
      </c>
      <c r="B1740" t="inlineStr">
        <is>
          <t>Send Docs</t>
        </is>
      </c>
      <c r="C1740" t="inlineStr">
        <is>
          <t>ឌី អេច អិល អិចប្រេស (ខេមបូឌា)</t>
        </is>
      </c>
      <c r="D1740" t="inlineStr">
        <is>
          <t>L001-100045197</t>
        </is>
      </c>
      <c r="E1740" t="inlineStr">
        <is>
          <t>PNHIR00257138</t>
        </is>
      </c>
      <c r="F1740" t="inlineStr">
        <is>
          <t>29-11-2024</t>
        </is>
      </c>
      <c r="G1740" t="n">
        <v>16112</v>
      </c>
      <c r="I1740">
        <f>G1740</f>
        <v/>
      </c>
      <c r="K1740">
        <f>I1740-G1740</f>
        <v/>
      </c>
      <c r="M1740" t="inlineStr">
        <is>
          <t>PNHIR00257138</t>
        </is>
      </c>
      <c r="N1740" t="inlineStr">
        <is>
          <t>8325100</t>
        </is>
      </c>
      <c r="O1740">
        <f>M1740=N1740</f>
        <v/>
      </c>
      <c r="P1740">
        <f>AND(MONTH(F1740)=MONTH(S1740), YEAR(F1740)=YEAR(S1740))</f>
        <v/>
      </c>
      <c r="Q1740">
        <f>"L001-902303751"=U1740</f>
        <v/>
      </c>
      <c r="R1740">
        <f>G1740-W1740</f>
        <v/>
      </c>
      <c r="S1740" s="36" t="n">
        <v>45593</v>
      </c>
      <c r="T1740" t="n">
        <v>83251</v>
      </c>
      <c r="U1740" t="inlineStr">
        <is>
          <t>L001-107032791</t>
        </is>
      </c>
      <c r="V1740" t="inlineStr">
        <is>
          <t>នីបផន អិចប្រេស (ខេមបូឌា) ខូ អិលធីឌី</t>
        </is>
      </c>
      <c r="W1740" t="n">
        <v>83251</v>
      </c>
      <c r="X1740" t="n">
        <v>0</v>
      </c>
    </row>
    <row r="1741">
      <c r="A1741" t="n">
        <v>1740</v>
      </c>
      <c r="B1741" t="inlineStr">
        <is>
          <t>Send Docs</t>
        </is>
      </c>
      <c r="C1741" t="inlineStr">
        <is>
          <t>ឌី អេច អិល អិចប្រេស (ខេមបូឌា)</t>
        </is>
      </c>
      <c r="D1741" t="inlineStr">
        <is>
          <t>L001-100045197</t>
        </is>
      </c>
      <c r="E1741" t="inlineStr">
        <is>
          <t>PNHR000510834</t>
        </is>
      </c>
      <c r="F1741" t="inlineStr">
        <is>
          <t>28-11-2024</t>
        </is>
      </c>
      <c r="G1741" t="n">
        <v>75571</v>
      </c>
      <c r="I1741">
        <f>G1741</f>
        <v/>
      </c>
      <c r="K1741">
        <f>I1741-G1741</f>
        <v/>
      </c>
      <c r="M1741" t="inlineStr">
        <is>
          <t>PNHR000510834</t>
        </is>
      </c>
      <c r="N1741" t="inlineStr"/>
      <c r="O1741">
        <f>M1741=N1741</f>
        <v/>
      </c>
      <c r="P1741">
        <f>AND(MONTH(F1741)=MONTH(S1741), YEAR(F1741)=YEAR(S1741))</f>
        <v/>
      </c>
      <c r="Q1741">
        <f>"L001-902303751"=U1741</f>
        <v/>
      </c>
      <c r="R1741">
        <f>G1741-W1741</f>
        <v/>
      </c>
      <c r="S1741" s="36" t="n">
        <v>45586</v>
      </c>
      <c r="T1741" t="inlineStr"/>
      <c r="U1741" t="inlineStr">
        <is>
          <t>L001-107032791</t>
        </is>
      </c>
      <c r="V1741" t="inlineStr">
        <is>
          <t>នីបផន អិចប្រេស (ខេមបូឌា) ខូ អិលធីឌី</t>
        </is>
      </c>
      <c r="W1741" t="n">
        <v>0</v>
      </c>
      <c r="X1741" t="n">
        <v>0</v>
      </c>
    </row>
    <row r="1742">
      <c r="A1742" t="n">
        <v>1741</v>
      </c>
      <c r="B1742" t="inlineStr">
        <is>
          <t>Send Docs</t>
        </is>
      </c>
      <c r="C1742" t="inlineStr">
        <is>
          <t>ឌី អេច អិល អិចប្រេស (ខេមបូឌា)</t>
        </is>
      </c>
      <c r="D1742" t="inlineStr">
        <is>
          <t>L001-100045197</t>
        </is>
      </c>
      <c r="E1742" t="inlineStr">
        <is>
          <t>PNHIR00256964</t>
        </is>
      </c>
      <c r="F1742" t="inlineStr">
        <is>
          <t>28-11-2024</t>
        </is>
      </c>
      <c r="G1742" t="n">
        <v>8060</v>
      </c>
      <c r="I1742">
        <f>G1742</f>
        <v/>
      </c>
      <c r="K1742">
        <f>I1742-G1742</f>
        <v/>
      </c>
      <c r="M1742" t="inlineStr">
        <is>
          <t>PNHIR00256964</t>
        </is>
      </c>
      <c r="N1742" t="inlineStr"/>
      <c r="O1742">
        <f>M1742=N1742</f>
        <v/>
      </c>
      <c r="P1742">
        <f>AND(MONTH(F1742)=MONTH(S1742), YEAR(F1742)=YEAR(S1742))</f>
        <v/>
      </c>
      <c r="Q1742">
        <f>"L001-902303751"=U1742</f>
        <v/>
      </c>
      <c r="R1742">
        <f>G1742-W1742</f>
        <v/>
      </c>
      <c r="S1742" s="36" t="n">
        <v>45586</v>
      </c>
      <c r="T1742" t="inlineStr"/>
      <c r="U1742" t="inlineStr">
        <is>
          <t>L001-100045995</t>
        </is>
      </c>
      <c r="V1742" t="inlineStr">
        <is>
          <t>ឌីអេចអិល ឡូជីស្ទីក (ខេមបូឌា)</t>
        </is>
      </c>
      <c r="W1742" t="n">
        <v>0</v>
      </c>
      <c r="X1742" t="n">
        <v>0</v>
      </c>
    </row>
    <row r="1743">
      <c r="A1743" t="n">
        <v>1742</v>
      </c>
      <c r="B1743" t="inlineStr">
        <is>
          <t>Send Docs</t>
        </is>
      </c>
      <c r="C1743" t="inlineStr">
        <is>
          <t>ឌី អេច អិល អិចប្រេស (ខេមបូឌា)</t>
        </is>
      </c>
      <c r="D1743" t="inlineStr">
        <is>
          <t>L001-100045197</t>
        </is>
      </c>
      <c r="E1743" t="inlineStr">
        <is>
          <t>PNHIR00256963</t>
        </is>
      </c>
      <c r="F1743" t="inlineStr">
        <is>
          <t>28-11-2024</t>
        </is>
      </c>
      <c r="G1743" t="n">
        <v>68671</v>
      </c>
      <c r="I1743">
        <f>G1743</f>
        <v/>
      </c>
      <c r="K1743">
        <f>I1743-G1743</f>
        <v/>
      </c>
      <c r="M1743" t="inlineStr">
        <is>
          <t>PNHIR00256963</t>
        </is>
      </c>
      <c r="N1743" t="inlineStr">
        <is>
          <t>11414200</t>
        </is>
      </c>
      <c r="O1743">
        <f>M1743=N1743</f>
        <v/>
      </c>
      <c r="P1743">
        <f>AND(MONTH(F1743)=MONTH(S1743), YEAR(F1743)=YEAR(S1743))</f>
        <v/>
      </c>
      <c r="Q1743">
        <f>"L001-902303751"=U1743</f>
        <v/>
      </c>
      <c r="R1743">
        <f>G1743-W1743</f>
        <v/>
      </c>
      <c r="S1743" s="36" t="n">
        <v>45586</v>
      </c>
      <c r="T1743" t="n">
        <v>114142</v>
      </c>
      <c r="U1743" t="inlineStr">
        <is>
          <t>K005-901805913</t>
        </is>
      </c>
      <c r="V1743" t="inlineStr">
        <is>
          <t>ស្តារ ខង់ខដ (ខេមបូឌា) ឯ.ក</t>
        </is>
      </c>
      <c r="W1743" t="n">
        <v>114142</v>
      </c>
      <c r="X1743" t="n">
        <v>0</v>
      </c>
    </row>
    <row r="1744">
      <c r="A1744" t="n">
        <v>1743</v>
      </c>
      <c r="B1744" t="inlineStr">
        <is>
          <t>Send Docs</t>
        </is>
      </c>
      <c r="C1744" t="inlineStr">
        <is>
          <t>ឌី អេច អិល អិចប្រេស (ខេមបូឌា)</t>
        </is>
      </c>
      <c r="D1744" t="inlineStr">
        <is>
          <t>L001-100045197</t>
        </is>
      </c>
      <c r="E1744" t="inlineStr">
        <is>
          <t>PNHIR00256409</t>
        </is>
      </c>
      <c r="F1744" t="inlineStr">
        <is>
          <t>27-11-2024</t>
        </is>
      </c>
      <c r="G1744" t="n">
        <v>8048</v>
      </c>
      <c r="I1744">
        <f>G1744</f>
        <v/>
      </c>
      <c r="K1744">
        <f>I1744-G1744</f>
        <v/>
      </c>
      <c r="M1744" t="inlineStr">
        <is>
          <t>PNHIR00256409</t>
        </is>
      </c>
      <c r="N1744" t="inlineStr">
        <is>
          <t>11414200</t>
        </is>
      </c>
      <c r="O1744">
        <f>M1744=N1744</f>
        <v/>
      </c>
      <c r="P1744">
        <f>AND(MONTH(F1744)=MONTH(S1744), YEAR(F1744)=YEAR(S1744))</f>
        <v/>
      </c>
      <c r="Q1744">
        <f>"L001-902303751"=U1744</f>
        <v/>
      </c>
      <c r="R1744">
        <f>G1744-W1744</f>
        <v/>
      </c>
      <c r="S1744" s="36" t="n">
        <v>45579</v>
      </c>
      <c r="T1744" t="n">
        <v>114142</v>
      </c>
      <c r="U1744" t="inlineStr">
        <is>
          <t>K005-901805913</t>
        </is>
      </c>
      <c r="V1744" t="inlineStr">
        <is>
          <t>ស្តារ ខង់ខដ (ខេមបូឌា) ឯ.ក</t>
        </is>
      </c>
      <c r="W1744" t="n">
        <v>114142</v>
      </c>
      <c r="X1744" t="n">
        <v>0</v>
      </c>
    </row>
    <row r="1745">
      <c r="A1745" t="n">
        <v>1744</v>
      </c>
      <c r="B1745" t="inlineStr">
        <is>
          <t>Send Docs</t>
        </is>
      </c>
      <c r="C1745" t="inlineStr">
        <is>
          <t>ឌី អេច អិល អិចប្រេស (ខេមបូឌា)</t>
        </is>
      </c>
      <c r="D1745" t="inlineStr">
        <is>
          <t>L001-100045197</t>
        </is>
      </c>
      <c r="E1745" t="inlineStr">
        <is>
          <t>PNHIR00255523</t>
        </is>
      </c>
      <c r="F1745" t="inlineStr">
        <is>
          <t>22-11-2024</t>
        </is>
      </c>
      <c r="G1745" t="n">
        <v>8052</v>
      </c>
      <c r="I1745">
        <f>G1745</f>
        <v/>
      </c>
      <c r="K1745">
        <f>I1745-G1745</f>
        <v/>
      </c>
      <c r="M1745" t="inlineStr">
        <is>
          <t>PNHIR00255523</t>
        </is>
      </c>
      <c r="N1745" t="inlineStr"/>
      <c r="O1745">
        <f>M1745=N1745</f>
        <v/>
      </c>
      <c r="P1745">
        <f>AND(MONTH(F1745)=MONTH(S1745), YEAR(F1745)=YEAR(S1745))</f>
        <v/>
      </c>
      <c r="Q1745">
        <f>"L001-902303751"=U1745</f>
        <v/>
      </c>
      <c r="R1745">
        <f>G1745-W1745</f>
        <v/>
      </c>
      <c r="S1745" s="36" t="n">
        <v>45236</v>
      </c>
      <c r="T1745" t="inlineStr"/>
      <c r="U1745" t="inlineStr">
        <is>
          <t>K005-901902888</t>
        </is>
      </c>
      <c r="V1745" t="inlineStr">
        <is>
          <t>អឹឡាយអិន ហ្វ័រវើឌីង (ខេមបូឌា) ឯ.ក</t>
        </is>
      </c>
      <c r="W1745" t="n">
        <v>0</v>
      </c>
      <c r="X1745" t="n">
        <v>0</v>
      </c>
    </row>
    <row r="1746">
      <c r="A1746" t="n">
        <v>1745</v>
      </c>
      <c r="B1746" t="inlineStr">
        <is>
          <t>Send Docs</t>
        </is>
      </c>
      <c r="C1746" t="inlineStr">
        <is>
          <t>ឌី អេច អិល អិចប្រេស (ខេមបូឌា)</t>
        </is>
      </c>
      <c r="D1746" t="inlineStr">
        <is>
          <t>L001-100045197</t>
        </is>
      </c>
      <c r="E1746" t="inlineStr">
        <is>
          <t>PNHR000510220</t>
        </is>
      </c>
      <c r="F1746" t="inlineStr">
        <is>
          <t>21-11-2024</t>
        </is>
      </c>
      <c r="G1746" t="n">
        <v>51865</v>
      </c>
      <c r="I1746">
        <f>G1746</f>
        <v/>
      </c>
      <c r="K1746">
        <f>I1746-G1746</f>
        <v/>
      </c>
      <c r="M1746" t="inlineStr">
        <is>
          <t>PNHR000510220</t>
        </is>
      </c>
      <c r="N1746" t="inlineStr">
        <is>
          <t>17845900</t>
        </is>
      </c>
      <c r="O1746">
        <f>M1746=N1746</f>
        <v/>
      </c>
      <c r="P1746">
        <f>AND(MONTH(F1746)=MONTH(S1746), YEAR(F1746)=YEAR(S1746))</f>
        <v/>
      </c>
      <c r="Q1746">
        <f>"L001-902303751"=U1746</f>
        <v/>
      </c>
      <c r="R1746">
        <f>G1746-W1746</f>
        <v/>
      </c>
      <c r="S1746" s="36" t="n">
        <v>45236</v>
      </c>
      <c r="T1746" t="n">
        <v>178459</v>
      </c>
      <c r="U1746" t="inlineStr">
        <is>
          <t>L001-100044956</t>
        </is>
      </c>
      <c r="V1746" t="inlineStr">
        <is>
          <t>ជី លីង អិចប្រេស ឡូជីស្ទីក (ខេមបូឌា) លីមីធីត</t>
        </is>
      </c>
      <c r="W1746" t="n">
        <v>178459</v>
      </c>
      <c r="X1746" t="n">
        <v>0</v>
      </c>
    </row>
    <row r="1747">
      <c r="A1747" t="n">
        <v>1746</v>
      </c>
      <c r="B1747" t="inlineStr">
        <is>
          <t>Send Docs</t>
        </is>
      </c>
      <c r="C1747" t="inlineStr">
        <is>
          <t>ឌី អេច អិល អិចប្រេស (ខេមបូឌា)</t>
        </is>
      </c>
      <c r="D1747" t="inlineStr">
        <is>
          <t>L001-100045197</t>
        </is>
      </c>
      <c r="E1747" t="inlineStr">
        <is>
          <t>PNHIR00254482</t>
        </is>
      </c>
      <c r="F1747" t="inlineStr">
        <is>
          <t>21-11-2024</t>
        </is>
      </c>
      <c r="G1747" t="n">
        <v>8068</v>
      </c>
      <c r="I1747">
        <f>G1747</f>
        <v/>
      </c>
      <c r="K1747">
        <f>I1747-G1747</f>
        <v/>
      </c>
      <c r="M1747" t="inlineStr">
        <is>
          <t>PNHIR00254482</t>
        </is>
      </c>
      <c r="N1747" t="inlineStr"/>
      <c r="O1747">
        <f>M1747=N1747</f>
        <v/>
      </c>
      <c r="P1747">
        <f>AND(MONTH(F1747)=MONTH(S1747), YEAR(F1747)=YEAR(S1747))</f>
        <v/>
      </c>
      <c r="Q1747">
        <f>"L001-902303751"=U1747</f>
        <v/>
      </c>
      <c r="R1747">
        <f>G1747-W1747</f>
        <v/>
      </c>
      <c r="S1747" s="36" t="n">
        <v>45244</v>
      </c>
      <c r="T1747" t="inlineStr"/>
      <c r="U1747" t="inlineStr">
        <is>
          <t>K002-901800477</t>
        </is>
      </c>
      <c r="V1747" t="inlineStr">
        <is>
          <t>អាយធីអាយ អ៊ិនធើណេសិនណល ត្រេនស័្ពរថេសិន (ខេមបូឌា) ឯ.ក</t>
        </is>
      </c>
      <c r="W1747" t="n">
        <v>0</v>
      </c>
      <c r="X1747" t="n">
        <v>0</v>
      </c>
    </row>
    <row r="1748">
      <c r="A1748" t="n">
        <v>1747</v>
      </c>
      <c r="B1748" t="inlineStr">
        <is>
          <t>Send Docs</t>
        </is>
      </c>
      <c r="C1748" t="inlineStr">
        <is>
          <t>ឌី អេច អិល អិចប្រេស (ខេមបូឌា)</t>
        </is>
      </c>
      <c r="D1748" t="inlineStr">
        <is>
          <t>L001-100045197</t>
        </is>
      </c>
      <c r="E1748" t="inlineStr">
        <is>
          <t>PNHIR00254481</t>
        </is>
      </c>
      <c r="F1748" t="inlineStr">
        <is>
          <t>21-11-2024</t>
        </is>
      </c>
      <c r="G1748" t="n">
        <v>65468</v>
      </c>
      <c r="I1748">
        <f>G1748</f>
        <v/>
      </c>
      <c r="K1748">
        <f>I1748-G1748</f>
        <v/>
      </c>
      <c r="M1748" t="inlineStr">
        <is>
          <t>PNHIR00254481</t>
        </is>
      </c>
      <c r="N1748" t="inlineStr">
        <is>
          <t>8230000</t>
        </is>
      </c>
      <c r="O1748">
        <f>M1748=N1748</f>
        <v/>
      </c>
      <c r="P1748">
        <f>AND(MONTH(F1748)=MONTH(S1748), YEAR(F1748)=YEAR(S1748))</f>
        <v/>
      </c>
      <c r="Q1748">
        <f>"L001-902303751"=U1748</f>
        <v/>
      </c>
      <c r="R1748">
        <f>G1748-W1748</f>
        <v/>
      </c>
      <c r="S1748" s="36" t="n">
        <v>45255</v>
      </c>
      <c r="T1748" t="n">
        <v>82300</v>
      </c>
      <c r="U1748" t="inlineStr">
        <is>
          <t>L001-100182259</t>
        </is>
      </c>
      <c r="V1748" t="inlineStr">
        <is>
          <t>សាខាក្រុមហ៊ុន ប៊ី ឡូជីស្ទីក ខបភើរេសិន (ខេមបូឌា)</t>
        </is>
      </c>
      <c r="W1748" t="n">
        <v>82300</v>
      </c>
      <c r="X1748" t="n">
        <v>0</v>
      </c>
    </row>
    <row r="1749">
      <c r="A1749" t="n">
        <v>1748</v>
      </c>
      <c r="B1749" t="inlineStr">
        <is>
          <t>Send Docs</t>
        </is>
      </c>
      <c r="C1749" t="inlineStr">
        <is>
          <t>ឌី អេច អិល អិចប្រេស (ខេមបូឌា)</t>
        </is>
      </c>
      <c r="D1749" t="inlineStr">
        <is>
          <t>L001-100045197</t>
        </is>
      </c>
      <c r="E1749" t="inlineStr">
        <is>
          <t>PNHIR00254480</t>
        </is>
      </c>
      <c r="F1749" t="inlineStr">
        <is>
          <t>21-11-2024</t>
        </is>
      </c>
      <c r="G1749" t="n">
        <v>17112</v>
      </c>
      <c r="I1749">
        <f>G1749</f>
        <v/>
      </c>
      <c r="K1749">
        <f>I1749-G1749</f>
        <v/>
      </c>
      <c r="M1749" t="inlineStr">
        <is>
          <t>PNHIR00254480</t>
        </is>
      </c>
      <c r="N1749" t="inlineStr"/>
      <c r="O1749">
        <f>M1749=N1749</f>
        <v/>
      </c>
      <c r="P1749">
        <f>AND(MONTH(F1749)=MONTH(S1749), YEAR(F1749)=YEAR(S1749))</f>
        <v/>
      </c>
      <c r="Q1749">
        <f>"L001-902303751"=U1749</f>
        <v/>
      </c>
      <c r="R1749">
        <f>G1749-W1749</f>
        <v/>
      </c>
      <c r="S1749" s="36" t="n">
        <v>45243</v>
      </c>
      <c r="T1749" t="inlineStr"/>
      <c r="U1749" t="inlineStr">
        <is>
          <t>L001-100074669</t>
        </is>
      </c>
      <c r="V1749" t="inlineStr">
        <is>
          <t>ខេអិលអិន ហ្វ្រេត (ខេមបូឌា) ឯ.ក</t>
        </is>
      </c>
      <c r="W1749" t="n">
        <v>0</v>
      </c>
      <c r="X1749" t="n">
        <v>0</v>
      </c>
    </row>
    <row r="1750">
      <c r="A1750" t="n">
        <v>1749</v>
      </c>
      <c r="B1750" t="inlineStr">
        <is>
          <t>Send Testing Sample</t>
        </is>
      </c>
      <c r="C1750" t="inlineStr">
        <is>
          <t>ឌី អេច អិល អិចប្រេស (ខេមបូឌា)</t>
        </is>
      </c>
      <c r="D1750" t="inlineStr">
        <is>
          <t>L001-100045197</t>
        </is>
      </c>
      <c r="E1750" t="inlineStr">
        <is>
          <t>PNHIR00254327</t>
        </is>
      </c>
      <c r="F1750" t="inlineStr">
        <is>
          <t>18-11-2024</t>
        </is>
      </c>
      <c r="G1750" t="n">
        <v>38317</v>
      </c>
      <c r="I1750">
        <f>G1750</f>
        <v/>
      </c>
      <c r="K1750">
        <f>I1750-G1750</f>
        <v/>
      </c>
      <c r="M1750" t="inlineStr">
        <is>
          <t>PNHIR00254327</t>
        </is>
      </c>
      <c r="N1750" t="inlineStr">
        <is>
          <t>8262000</t>
        </is>
      </c>
      <c r="O1750">
        <f>M1750=N1750</f>
        <v/>
      </c>
      <c r="P1750">
        <f>AND(MONTH(F1750)=MONTH(S1750), YEAR(F1750)=YEAR(S1750))</f>
        <v/>
      </c>
      <c r="Q1750">
        <f>"L001-902303751"=U1750</f>
        <v/>
      </c>
      <c r="R1750">
        <f>G1750-W1750</f>
        <v/>
      </c>
      <c r="S1750" s="36" t="n">
        <v>45236</v>
      </c>
      <c r="T1750" t="n">
        <v>82620</v>
      </c>
      <c r="U1750" t="inlineStr">
        <is>
          <t>K005-901902888</t>
        </is>
      </c>
      <c r="V1750" t="inlineStr">
        <is>
          <t>អឹឡាយអិន ហ្វ័រវើឌីង (ខេមបូឌា) ឯ.ក</t>
        </is>
      </c>
      <c r="W1750" t="n">
        <v>82620</v>
      </c>
      <c r="X1750" t="n">
        <v>0</v>
      </c>
    </row>
    <row r="1751">
      <c r="A1751" t="n">
        <v>1750</v>
      </c>
      <c r="B1751" t="inlineStr">
        <is>
          <t>Send Docs</t>
        </is>
      </c>
      <c r="C1751" t="inlineStr">
        <is>
          <t>ឌី អេច អិល អិចប្រេស (ខេមបូឌា)</t>
        </is>
      </c>
      <c r="D1751" t="inlineStr">
        <is>
          <t>L001-100045197</t>
        </is>
      </c>
      <c r="E1751" t="inlineStr">
        <is>
          <t>PNHR000509649</t>
        </is>
      </c>
      <c r="F1751" t="inlineStr">
        <is>
          <t>14-11-2024</t>
        </is>
      </c>
      <c r="G1751" t="n">
        <v>108130</v>
      </c>
      <c r="I1751">
        <f>G1751</f>
        <v/>
      </c>
      <c r="K1751">
        <f>I1751-G1751</f>
        <v/>
      </c>
      <c r="M1751" t="inlineStr">
        <is>
          <t>PNHR000509649</t>
        </is>
      </c>
      <c r="N1751" t="inlineStr"/>
      <c r="O1751">
        <f>M1751=N1751</f>
        <v/>
      </c>
      <c r="P1751">
        <f>AND(MONTH(F1751)=MONTH(S1751), YEAR(F1751)=YEAR(S1751))</f>
        <v/>
      </c>
      <c r="Q1751">
        <f>"L001-902303751"=U1751</f>
        <v/>
      </c>
      <c r="R1751">
        <f>G1751-W1751</f>
        <v/>
      </c>
      <c r="S1751" s="36" t="n">
        <v>45236</v>
      </c>
      <c r="T1751" t="inlineStr"/>
      <c r="U1751" t="inlineStr">
        <is>
          <t>L001-107032791</t>
        </is>
      </c>
      <c r="V1751" t="inlineStr">
        <is>
          <t>នីបផន អិចប្រេស (ខេមបូឌា) ខូ អិលធីឌី</t>
        </is>
      </c>
      <c r="W1751" t="n">
        <v>0</v>
      </c>
      <c r="X1751" t="n">
        <v>0</v>
      </c>
    </row>
    <row r="1752">
      <c r="A1752" t="n">
        <v>1751</v>
      </c>
      <c r="B1752" t="inlineStr">
        <is>
          <t>Send Sample</t>
        </is>
      </c>
      <c r="C1752" t="inlineStr">
        <is>
          <t>ឌី អេច អិល អិចប្រេស (ខេមបូឌា)</t>
        </is>
      </c>
      <c r="D1752" t="inlineStr">
        <is>
          <t>L001-100045197</t>
        </is>
      </c>
      <c r="E1752" t="inlineStr">
        <is>
          <t>PNHIR00253965</t>
        </is>
      </c>
      <c r="F1752" t="inlineStr">
        <is>
          <t>14-11-2024</t>
        </is>
      </c>
      <c r="G1752" t="n">
        <v>111223</v>
      </c>
      <c r="I1752">
        <f>G1752</f>
        <v/>
      </c>
      <c r="K1752">
        <f>I1752-G1752</f>
        <v/>
      </c>
      <c r="M1752" t="inlineStr">
        <is>
          <t>PNHIR00253965</t>
        </is>
      </c>
      <c r="N1752" t="inlineStr"/>
      <c r="O1752">
        <f>M1752=N1752</f>
        <v/>
      </c>
      <c r="P1752">
        <f>AND(MONTH(F1752)=MONTH(S1752), YEAR(F1752)=YEAR(S1752))</f>
        <v/>
      </c>
      <c r="Q1752">
        <f>"L001-902303751"=U1752</f>
        <v/>
      </c>
      <c r="R1752">
        <f>G1752-W1752</f>
        <v/>
      </c>
      <c r="S1752" s="36" t="n">
        <v>45236</v>
      </c>
      <c r="T1752" t="inlineStr"/>
      <c r="U1752" t="inlineStr">
        <is>
          <t>L001-107041723</t>
        </is>
      </c>
      <c r="V1752" t="inlineStr">
        <is>
          <t>ឌីប៊ី សេនឃើរ (ខេមបូឌា) លីមីធីត</t>
        </is>
      </c>
      <c r="W1752" t="n">
        <v>0</v>
      </c>
      <c r="X1752" t="n">
        <v>0</v>
      </c>
    </row>
    <row r="1753">
      <c r="A1753" t="n">
        <v>1752</v>
      </c>
      <c r="B1753" t="inlineStr">
        <is>
          <t>Send Docs</t>
        </is>
      </c>
      <c r="C1753" t="inlineStr">
        <is>
          <t>ឌី អេច អិល អិចប្រេស (ខេមបូឌា)</t>
        </is>
      </c>
      <c r="D1753" t="inlineStr">
        <is>
          <t>L001-100045197</t>
        </is>
      </c>
      <c r="E1753" t="inlineStr">
        <is>
          <t>PNHR000508948</t>
        </is>
      </c>
      <c r="F1753" t="inlineStr">
        <is>
          <t>07-11-2024</t>
        </is>
      </c>
      <c r="G1753" t="n">
        <v>38529</v>
      </c>
      <c r="I1753">
        <f>G1753</f>
        <v/>
      </c>
      <c r="K1753">
        <f>I1753-G1753</f>
        <v/>
      </c>
      <c r="M1753" t="inlineStr">
        <is>
          <t>PNHR000508948</t>
        </is>
      </c>
      <c r="N1753" t="inlineStr"/>
      <c r="O1753">
        <f>M1753=N1753</f>
        <v/>
      </c>
      <c r="P1753">
        <f>AND(MONTH(F1753)=MONTH(S1753), YEAR(F1753)=YEAR(S1753))</f>
        <v/>
      </c>
      <c r="Q1753">
        <f>"L001-902303751"=U1753</f>
        <v/>
      </c>
      <c r="R1753">
        <f>G1753-W1753</f>
        <v/>
      </c>
      <c r="S1753" s="36" t="n">
        <v>45255</v>
      </c>
      <c r="T1753" t="inlineStr"/>
      <c r="U1753" t="inlineStr">
        <is>
          <t>L001-100182259</t>
        </is>
      </c>
      <c r="V1753" t="inlineStr">
        <is>
          <t>សាខាក្រុមហ៊ុន ប៊ី ឡូជីស្ទីក ខបភើរេសិន (ខេមបូឌា)</t>
        </is>
      </c>
      <c r="W1753" t="n">
        <v>0</v>
      </c>
      <c r="X1753" t="n">
        <v>0</v>
      </c>
    </row>
    <row r="1754">
      <c r="A1754" t="n">
        <v>1753</v>
      </c>
      <c r="B1754" t="inlineStr">
        <is>
          <t>Send Sample</t>
        </is>
      </c>
      <c r="C1754" t="inlineStr">
        <is>
          <t>ឌី អេច អិល អិចប្រេស (ខេមបូឌា)</t>
        </is>
      </c>
      <c r="D1754" t="inlineStr">
        <is>
          <t>L001-100045197</t>
        </is>
      </c>
      <c r="E1754" t="inlineStr">
        <is>
          <t>PNHIR00251701</t>
        </is>
      </c>
      <c r="F1754" t="inlineStr">
        <is>
          <t>07-11-2024</t>
        </is>
      </c>
      <c r="G1754" t="n">
        <v>2568</v>
      </c>
      <c r="I1754">
        <f>G1754</f>
        <v/>
      </c>
      <c r="K1754">
        <f>I1754-G1754</f>
        <v/>
      </c>
      <c r="M1754" t="inlineStr">
        <is>
          <t>PNHIR00251701</t>
        </is>
      </c>
      <c r="N1754" t="inlineStr"/>
      <c r="O1754">
        <f>M1754=N1754</f>
        <v/>
      </c>
      <c r="P1754">
        <f>AND(MONTH(F1754)=MONTH(S1754), YEAR(F1754)=YEAR(S1754))</f>
        <v/>
      </c>
      <c r="Q1754">
        <f>"L001-902303751"=U1754</f>
        <v/>
      </c>
      <c r="R1754">
        <f>G1754-W1754</f>
        <v/>
      </c>
      <c r="S1754" s="36" t="n">
        <v>45250</v>
      </c>
      <c r="T1754" t="inlineStr"/>
      <c r="U1754" t="inlineStr">
        <is>
          <t>L001-107032791</t>
        </is>
      </c>
      <c r="V1754" t="inlineStr">
        <is>
          <t>នីបផន អិចប្រេស (ខេមបូឌា) ខូ អិលធីឌី</t>
        </is>
      </c>
      <c r="W1754" t="n">
        <v>0</v>
      </c>
      <c r="X1754" t="n">
        <v>0</v>
      </c>
    </row>
    <row r="1755">
      <c r="A1755" t="n">
        <v>1754</v>
      </c>
      <c r="B1755" t="inlineStr">
        <is>
          <t>Handling Charge, Documentation Fee, Manifest Filling and Air Freight</t>
        </is>
      </c>
      <c r="C1755" t="inlineStr">
        <is>
          <t>នីបផន អិចប្រេស (ខេមបូឌា) ខូ អិលធីឌី</t>
        </is>
      </c>
      <c r="D1755" t="inlineStr">
        <is>
          <t>L001-107032791</t>
        </is>
      </c>
      <c r="E1755" t="inlineStr">
        <is>
          <t>A8T-15570</t>
        </is>
      </c>
      <c r="F1755" t="inlineStr">
        <is>
          <t>22-11-2024</t>
        </is>
      </c>
      <c r="G1755" t="n">
        <v>46299</v>
      </c>
      <c r="I1755">
        <f>G1755</f>
        <v/>
      </c>
      <c r="K1755">
        <f>I1755-G1755</f>
        <v/>
      </c>
      <c r="M1755" t="inlineStr">
        <is>
          <t>A8T15570</t>
        </is>
      </c>
      <c r="N1755" t="inlineStr">
        <is>
          <t>8240000</t>
        </is>
      </c>
      <c r="O1755">
        <f>M1755=N1755</f>
        <v/>
      </c>
      <c r="P1755">
        <f>AND(MONTH(F1755)=MONTH(S1755), YEAR(F1755)=YEAR(S1755))</f>
        <v/>
      </c>
      <c r="Q1755">
        <f>"L001-902303751"=U1755</f>
        <v/>
      </c>
      <c r="R1755">
        <f>G1755-W1755</f>
        <v/>
      </c>
      <c r="S1755" s="36" t="n">
        <v>45250</v>
      </c>
      <c r="T1755" t="n">
        <v>82400</v>
      </c>
      <c r="U1755" t="inlineStr">
        <is>
          <t>L001-107041723</t>
        </is>
      </c>
      <c r="V1755" t="inlineStr">
        <is>
          <t>ឌីប៊ី សេនឃើរ (ខេមបូឌា) លីមីធីត</t>
        </is>
      </c>
      <c r="W1755" t="n">
        <v>82400</v>
      </c>
      <c r="X1755" t="n">
        <v>0</v>
      </c>
    </row>
    <row r="1756">
      <c r="A1756" t="n">
        <v>1755</v>
      </c>
      <c r="B1756" t="inlineStr">
        <is>
          <t>Handling Charge, Documentation Fee, Manifest Filling and Air Freight</t>
        </is>
      </c>
      <c r="C1756" t="inlineStr">
        <is>
          <t>នីបផន អិចប្រេស (ខេមបូឌា) ខូ អិលធីឌី</t>
        </is>
      </c>
      <c r="D1756" t="inlineStr">
        <is>
          <t>L001-107032791</t>
        </is>
      </c>
      <c r="E1756" t="inlineStr">
        <is>
          <t>A8T-15536</t>
        </is>
      </c>
      <c r="F1756" t="inlineStr">
        <is>
          <t>15-11-2024</t>
        </is>
      </c>
      <c r="G1756" t="n">
        <v>46552</v>
      </c>
      <c r="I1756">
        <f>G1756</f>
        <v/>
      </c>
      <c r="K1756">
        <f>I1756-G1756</f>
        <v/>
      </c>
      <c r="M1756" t="inlineStr">
        <is>
          <t>A8T15536</t>
        </is>
      </c>
      <c r="N1756" t="inlineStr"/>
      <c r="O1756">
        <f>M1756=N1756</f>
        <v/>
      </c>
      <c r="P1756">
        <f>AND(MONTH(F1756)=MONTH(S1756), YEAR(F1756)=YEAR(S1756))</f>
        <v/>
      </c>
      <c r="Q1756">
        <f>"L001-902303751"=U1756</f>
        <v/>
      </c>
      <c r="R1756">
        <f>G1756-W1756</f>
        <v/>
      </c>
      <c r="S1756" s="36" t="n">
        <v>45253</v>
      </c>
      <c r="T1756" t="inlineStr"/>
      <c r="U1756" t="inlineStr">
        <is>
          <t>L001-100045995</t>
        </is>
      </c>
      <c r="V1756" t="inlineStr">
        <is>
          <t>ឌីអេចអិល ឡូជីស្ទីក (ខេមបូឌា)</t>
        </is>
      </c>
      <c r="W1756" t="n">
        <v>0</v>
      </c>
      <c r="X1756" t="n">
        <v>0</v>
      </c>
    </row>
    <row r="1757">
      <c r="A1757" t="n">
        <v>1756</v>
      </c>
      <c r="B1757" t="inlineStr">
        <is>
          <t>Handling Charge, Documentation Fee, Manifest Filling and Air Freight</t>
        </is>
      </c>
      <c r="C1757" t="inlineStr">
        <is>
          <t>នីបផន អិចប្រេស (ខេមបូឌា) ខូ អិលធីឌី</t>
        </is>
      </c>
      <c r="D1757" t="inlineStr">
        <is>
          <t>L001-107032791</t>
        </is>
      </c>
      <c r="E1757" t="inlineStr">
        <is>
          <t>A8T-15537</t>
        </is>
      </c>
      <c r="F1757" t="inlineStr">
        <is>
          <t>16-11-2024</t>
        </is>
      </c>
      <c r="G1757" t="n">
        <v>46552</v>
      </c>
      <c r="I1757">
        <f>G1757</f>
        <v/>
      </c>
      <c r="K1757">
        <f>I1757-G1757</f>
        <v/>
      </c>
      <c r="M1757" t="inlineStr">
        <is>
          <t>A8T15537</t>
        </is>
      </c>
      <c r="N1757" t="inlineStr">
        <is>
          <t>8266000</t>
        </is>
      </c>
      <c r="O1757">
        <f>M1757=N1757</f>
        <v/>
      </c>
      <c r="P1757">
        <f>AND(MONTH(F1757)=MONTH(S1757), YEAR(F1757)=YEAR(S1757))</f>
        <v/>
      </c>
      <c r="Q1757">
        <f>"L001-902303751"=U1757</f>
        <v/>
      </c>
      <c r="R1757">
        <f>G1757-W1757</f>
        <v/>
      </c>
      <c r="S1757" s="36" t="n">
        <v>45231</v>
      </c>
      <c r="T1757" t="n">
        <v>82660</v>
      </c>
      <c r="U1757" t="inlineStr">
        <is>
          <t>L001-100063098</t>
        </is>
      </c>
      <c r="V1757" t="inlineStr">
        <is>
          <t>ឆាយ ដា ឡូយីស្ទីក</t>
        </is>
      </c>
      <c r="W1757" t="n">
        <v>82660</v>
      </c>
      <c r="X1757" t="n">
        <v>0</v>
      </c>
    </row>
    <row r="1758">
      <c r="A1758" t="n">
        <v>1757</v>
      </c>
      <c r="B1758" t="inlineStr">
        <is>
          <t>Documentation Origin, Handling Charges Origin, Airfreight, PLACI Fee and HAWB Transmission Fee</t>
        </is>
      </c>
      <c r="C1758" t="inlineStr">
        <is>
          <t>ឌីប៊ី សេនឃើរ (ខេមបូឌា) លីមីធីត</t>
        </is>
      </c>
      <c r="D1758" t="inlineStr">
        <is>
          <t>L001-107041723</t>
        </is>
      </c>
      <c r="E1758" t="inlineStr">
        <is>
          <t>2400009088</t>
        </is>
      </c>
      <c r="F1758" t="inlineStr">
        <is>
          <t>13-11-2024</t>
        </is>
      </c>
      <c r="G1758" t="n">
        <v>49790</v>
      </c>
      <c r="I1758">
        <f>G1758</f>
        <v/>
      </c>
      <c r="K1758">
        <f>I1758-G1758</f>
        <v/>
      </c>
      <c r="M1758" t="inlineStr">
        <is>
          <t>2400009088</t>
        </is>
      </c>
      <c r="N1758" t="inlineStr">
        <is>
          <t>8266000</t>
        </is>
      </c>
      <c r="O1758">
        <f>M1758=N1758</f>
        <v/>
      </c>
      <c r="P1758">
        <f>AND(MONTH(F1758)=MONTH(S1758), YEAR(F1758)=YEAR(S1758))</f>
        <v/>
      </c>
      <c r="Q1758">
        <f>"L001-902303751"=U1758</f>
        <v/>
      </c>
      <c r="R1758">
        <f>G1758-W1758</f>
        <v/>
      </c>
      <c r="S1758" s="36" t="n">
        <v>45231</v>
      </c>
      <c r="T1758" t="n">
        <v>82660</v>
      </c>
      <c r="U1758" t="inlineStr">
        <is>
          <t>K002-901800477</t>
        </is>
      </c>
      <c r="V1758" t="inlineStr">
        <is>
          <t>អាយធីអាយ អ៊ិនធើណេសិនណល ត្រេនស័្ពរថេសិន (ខេមបូឌា) ឯ.ក</t>
        </is>
      </c>
      <c r="W1758" t="n">
        <v>82660</v>
      </c>
      <c r="X1758" t="n">
        <v>0</v>
      </c>
    </row>
    <row r="1759">
      <c r="A1759" t="n">
        <v>1758</v>
      </c>
      <c r="B1759" t="inlineStr">
        <is>
          <t>CFS Handling, Carrier BL, Document Assembly, Terminal Handling, VGM Processing Fee and Mainfest Fee</t>
        </is>
      </c>
      <c r="C1759" t="inlineStr">
        <is>
          <t>អ៊ិចស្ពែឌីធ័រ ខេមបូឌា អិលធីឌី</t>
        </is>
      </c>
      <c r="D1759" t="inlineStr">
        <is>
          <t>L001-100045898</t>
        </is>
      </c>
      <c r="E1759" t="inlineStr">
        <is>
          <t>TI-0295947</t>
        </is>
      </c>
      <c r="F1759" t="inlineStr">
        <is>
          <t>06-11-2024</t>
        </is>
      </c>
      <c r="G1759" t="n">
        <v>98268</v>
      </c>
      <c r="I1759">
        <f>G1759</f>
        <v/>
      </c>
      <c r="K1759">
        <f>I1759-G1759</f>
        <v/>
      </c>
      <c r="M1759" t="inlineStr">
        <is>
          <t>TI0295947</t>
        </is>
      </c>
      <c r="N1759" t="inlineStr"/>
      <c r="O1759">
        <f>M1759=N1759</f>
        <v/>
      </c>
      <c r="P1759">
        <f>AND(MONTH(F1759)=MONTH(S1759), YEAR(F1759)=YEAR(S1759))</f>
        <v/>
      </c>
      <c r="Q1759">
        <f>"L001-902303751"=U1759</f>
        <v/>
      </c>
      <c r="R1759">
        <f>G1759-W1759</f>
        <v/>
      </c>
      <c r="S1759" s="36" t="n">
        <v>45231</v>
      </c>
      <c r="T1759" t="inlineStr"/>
      <c r="U1759" t="inlineStr">
        <is>
          <t>K002-901800477</t>
        </is>
      </c>
      <c r="V1759" t="inlineStr">
        <is>
          <t>អាយធីអាយ អ៊ិនធើណេសិនណល ត្រេនស័្ពរថេសិន (ខេមបូឌា) ឯ.ក</t>
        </is>
      </c>
      <c r="W1759" t="n">
        <v>0</v>
      </c>
      <c r="X1759" t="n">
        <v>0</v>
      </c>
    </row>
    <row r="1760">
      <c r="A1760" t="n">
        <v>1759</v>
      </c>
      <c r="B1760" t="inlineStr">
        <is>
          <t>Handling Charge, Documentation Fee, Manifest Filling and Air Freight</t>
        </is>
      </c>
      <c r="C1760" t="inlineStr">
        <is>
          <t>នីបផន អិចប្រេស (ខេមបូឌា) ខូ អិលធីឌី</t>
        </is>
      </c>
      <c r="D1760" t="inlineStr">
        <is>
          <t>L001-107032791</t>
        </is>
      </c>
      <c r="E1760" t="inlineStr">
        <is>
          <t>A8T-15569</t>
        </is>
      </c>
      <c r="F1760" t="inlineStr">
        <is>
          <t>22-11-2024</t>
        </is>
      </c>
      <c r="G1760" t="n">
        <v>46299</v>
      </c>
      <c r="I1760">
        <f>G1760</f>
        <v/>
      </c>
      <c r="K1760">
        <f>I1760-G1760</f>
        <v/>
      </c>
      <c r="M1760" t="inlineStr">
        <is>
          <t>A8T15569</t>
        </is>
      </c>
      <c r="N1760" t="inlineStr"/>
      <c r="O1760">
        <f>M1760=N1760</f>
        <v/>
      </c>
      <c r="P1760">
        <f>AND(MONTH(F1760)=MONTH(S1760), YEAR(F1760)=YEAR(S1760))</f>
        <v/>
      </c>
      <c r="Q1760">
        <f>"L001-902303751"=U1760</f>
        <v/>
      </c>
      <c r="R1760">
        <f>G1760-W1760</f>
        <v/>
      </c>
      <c r="S1760" s="36" t="n">
        <v>45236</v>
      </c>
      <c r="T1760" t="inlineStr"/>
      <c r="U1760" t="inlineStr">
        <is>
          <t>L001-100074669</t>
        </is>
      </c>
      <c r="V1760" t="inlineStr">
        <is>
          <t>ខេអិលអិន ហ្វ្រេត (ខេមបូឌា) ឯ.ក</t>
        </is>
      </c>
      <c r="W1760" t="n">
        <v>0</v>
      </c>
      <c r="X1760" t="n">
        <v>0</v>
      </c>
    </row>
    <row r="1761">
      <c r="A1761" t="n">
        <v>1760</v>
      </c>
      <c r="B1761" t="inlineStr">
        <is>
          <t>Export Administration Fee and Custom Processing Fee</t>
        </is>
      </c>
      <c r="C1761" t="inlineStr">
        <is>
          <t>ជី លីង អិចប្រេស ឡូជីស្ទីក (ខេមបូឌា) លីមីធីត</t>
        </is>
      </c>
      <c r="D1761" t="inlineStr">
        <is>
          <t>L001-100044956</t>
        </is>
      </c>
      <c r="E1761" t="inlineStr">
        <is>
          <t>24159910</t>
        </is>
      </c>
      <c r="F1761" t="inlineStr">
        <is>
          <t>26-11-2024</t>
        </is>
      </c>
      <c r="G1761" t="n">
        <v>64224</v>
      </c>
      <c r="I1761">
        <f>G1761</f>
        <v/>
      </c>
      <c r="K1761">
        <f>I1761-G1761</f>
        <v/>
      </c>
      <c r="M1761" t="inlineStr">
        <is>
          <t>24159910</t>
        </is>
      </c>
      <c r="N1761" t="inlineStr"/>
      <c r="O1761">
        <f>M1761=N1761</f>
        <v/>
      </c>
      <c r="P1761">
        <f>AND(MONTH(F1761)=MONTH(S1761), YEAR(F1761)=YEAR(S1761))</f>
        <v/>
      </c>
      <c r="Q1761">
        <f>"L001-902303751"=U1761</f>
        <v/>
      </c>
      <c r="R1761">
        <f>G1761-W1761</f>
        <v/>
      </c>
      <c r="S1761" s="36" t="n">
        <v>45236</v>
      </c>
      <c r="T1761" t="inlineStr"/>
      <c r="U1761" t="inlineStr">
        <is>
          <t>L001-107032791</t>
        </is>
      </c>
      <c r="V1761" t="inlineStr">
        <is>
          <t>នីបផន អិចប្រេស (ខេមបូឌា) ខូ អិលធីឌី</t>
        </is>
      </c>
      <c r="W1761" t="n">
        <v>0</v>
      </c>
      <c r="X1761" t="n">
        <v>0</v>
      </c>
    </row>
    <row r="1762">
      <c r="A1762" t="n">
        <v>1761</v>
      </c>
      <c r="B1762" t="inlineStr">
        <is>
          <t>CFS Charges, THC Charges, Bill of loading Fee, Manifest Fee and FCR Fee</t>
        </is>
      </c>
      <c r="C1762" t="inlineStr">
        <is>
          <t>អ៊ិចស្ពែឌីធ័រ ខេមបូឌា អិលធីឌី</t>
        </is>
      </c>
      <c r="D1762" t="inlineStr">
        <is>
          <t>L001-100045898</t>
        </is>
      </c>
      <c r="E1762" t="inlineStr">
        <is>
          <t>TI-0298366</t>
        </is>
      </c>
      <c r="F1762" t="inlineStr">
        <is>
          <t>27-11-2024</t>
        </is>
      </c>
      <c r="G1762" t="n">
        <v>55934</v>
      </c>
      <c r="I1762">
        <f>G1762</f>
        <v/>
      </c>
      <c r="K1762">
        <f>I1762-G1762</f>
        <v/>
      </c>
      <c r="M1762" t="inlineStr">
        <is>
          <t>TI0298366</t>
        </is>
      </c>
      <c r="N1762" t="inlineStr"/>
      <c r="O1762">
        <f>M1762=N1762</f>
        <v/>
      </c>
      <c r="P1762">
        <f>AND(MONTH(F1762)=MONTH(S1762), YEAR(F1762)=YEAR(S1762))</f>
        <v/>
      </c>
      <c r="Q1762">
        <f>"L001-902303751"=U1762</f>
        <v/>
      </c>
      <c r="R1762">
        <f>G1762-W1762</f>
        <v/>
      </c>
      <c r="S1762" s="36" t="n">
        <v>45250</v>
      </c>
      <c r="T1762" t="inlineStr"/>
      <c r="U1762" t="inlineStr">
        <is>
          <t>K003-901635943</t>
        </is>
      </c>
      <c r="V1762" t="inlineStr">
        <is>
          <t>អ៊ីឃ្យូឡាញ វើលវ៉ាយដ៍ ឡូជីស្ទីក</t>
        </is>
      </c>
      <c r="W1762" t="n">
        <v>0</v>
      </c>
      <c r="X1762" t="n">
        <v>0</v>
      </c>
    </row>
    <row r="1763">
      <c r="A1763" t="n">
        <v>1762</v>
      </c>
      <c r="B1763" t="inlineStr">
        <is>
          <t>Send sample</t>
        </is>
      </c>
      <c r="C1763" t="inlineStr">
        <is>
          <t>ឌី អេច អិល អិចប្រេស (ខេមបូឌា)</t>
        </is>
      </c>
      <c r="D1763" t="inlineStr">
        <is>
          <t>L001-100045197</t>
        </is>
      </c>
      <c r="E1763" t="inlineStr">
        <is>
          <t>PNHIR00251662</t>
        </is>
      </c>
      <c r="F1763" t="inlineStr">
        <is>
          <t>04-11-2024</t>
        </is>
      </c>
      <c r="G1763" t="n">
        <v>32520</v>
      </c>
      <c r="I1763">
        <f>G1763</f>
        <v/>
      </c>
      <c r="K1763">
        <f>I1763-G1763</f>
        <v/>
      </c>
      <c r="M1763" t="inlineStr">
        <is>
          <t>PNHIR00251662</t>
        </is>
      </c>
      <c r="N1763" t="inlineStr"/>
      <c r="O1763">
        <f>M1763=N1763</f>
        <v/>
      </c>
      <c r="P1763">
        <f>AND(MONTH(F1763)=MONTH(S1763), YEAR(F1763)=YEAR(S1763))</f>
        <v/>
      </c>
      <c r="Q1763">
        <f>"L001-902303751"=U1763</f>
        <v/>
      </c>
      <c r="R1763">
        <f>G1763-W1763</f>
        <v/>
      </c>
      <c r="S1763" s="36" t="n">
        <v>45255</v>
      </c>
      <c r="T1763" t="inlineStr"/>
      <c r="U1763" t="inlineStr">
        <is>
          <t>K003-901635943</t>
        </is>
      </c>
      <c r="V1763" t="inlineStr">
        <is>
          <t>អ៊ីឃ្យូឡាញ វើលវ៉ាយដ៍ ឡូជីស្ទីក</t>
        </is>
      </c>
      <c r="W1763" t="n">
        <v>0</v>
      </c>
      <c r="X1763" t="n">
        <v>0</v>
      </c>
    </row>
    <row r="1764">
      <c r="A1764" t="n">
        <v>1763</v>
      </c>
      <c r="B1764" t="inlineStr">
        <is>
          <t>CFS Charge, C/C Handling Fee, Documentation Fee, Handling /Agency Fee, THC, Trucking Charge, Customs Processing Fee, Overtime Documents, Way Bill Fee, Fuel Surcharge and Overtime Cargo</t>
        </is>
      </c>
      <c r="C1764" t="inlineStr">
        <is>
          <t>នីបផន អិចប្រេស (ខេមបូឌា) ខូ អិលធីឌី</t>
        </is>
      </c>
      <c r="D1764" t="inlineStr">
        <is>
          <t>L001-107032791</t>
        </is>
      </c>
      <c r="E1764" t="inlineStr">
        <is>
          <t>O8T-D7640</t>
        </is>
      </c>
      <c r="F1764" t="inlineStr">
        <is>
          <t>03-11-2024</t>
        </is>
      </c>
      <c r="G1764" t="n">
        <v>277693</v>
      </c>
      <c r="I1764">
        <f>G1764</f>
        <v/>
      </c>
      <c r="K1764">
        <f>I1764-G1764</f>
        <v/>
      </c>
      <c r="M1764" t="inlineStr">
        <is>
          <t>O8TD7640</t>
        </is>
      </c>
      <c r="N1764" t="inlineStr"/>
      <c r="O1764">
        <f>M1764=N1764</f>
        <v/>
      </c>
      <c r="P1764">
        <f>AND(MONTH(F1764)=MONTH(S1764), YEAR(F1764)=YEAR(S1764))</f>
        <v/>
      </c>
      <c r="Q1764">
        <f>"L001-902303751"=U1764</f>
        <v/>
      </c>
      <c r="R1764">
        <f>G1764-W1764</f>
        <v/>
      </c>
      <c r="S1764" s="36" t="n">
        <v>45250</v>
      </c>
      <c r="T1764" t="inlineStr"/>
      <c r="U1764" t="inlineStr">
        <is>
          <t>K005-901805913</t>
        </is>
      </c>
      <c r="V1764" t="inlineStr">
        <is>
          <t>ស្តារ ខង់ខដ (ខេមបូឌា) ឯ.ក</t>
        </is>
      </c>
      <c r="W1764" t="n">
        <v>0</v>
      </c>
      <c r="X1764" t="n">
        <v>0</v>
      </c>
    </row>
    <row r="1765">
      <c r="A1765" t="n">
        <v>1764</v>
      </c>
      <c r="B1765" t="inlineStr">
        <is>
          <t>CFS Charge, C/C Handling Fee, Documentation Fee, Handling /Agency Fee, THC, Trucking Charge, Customs Processing Fee, Overtime Documents, Way Bill Fee, Fuel Surcharge and Overtime Cargo</t>
        </is>
      </c>
      <c r="C1765" t="inlineStr">
        <is>
          <t>នីបផន អិចប្រេស (ខេមបូឌា) ខូ អិលធីឌី</t>
        </is>
      </c>
      <c r="D1765" t="inlineStr">
        <is>
          <t>L001-107032791</t>
        </is>
      </c>
      <c r="E1765" t="inlineStr">
        <is>
          <t>O8T-D7647</t>
        </is>
      </c>
      <c r="F1765" t="inlineStr">
        <is>
          <t>10-11-2024</t>
        </is>
      </c>
      <c r="G1765" t="n">
        <v>288605</v>
      </c>
      <c r="I1765">
        <f>G1765</f>
        <v/>
      </c>
      <c r="K1765">
        <f>I1765-G1765</f>
        <v/>
      </c>
      <c r="M1765" t="inlineStr">
        <is>
          <t>O8TD7647</t>
        </is>
      </c>
      <c r="N1765" t="inlineStr"/>
      <c r="O1765">
        <f>M1765=N1765</f>
        <v/>
      </c>
      <c r="P1765">
        <f>AND(MONTH(F1765)=MONTH(S1765), YEAR(F1765)=YEAR(S1765))</f>
        <v/>
      </c>
      <c r="Q1765">
        <f>"L001-902303751"=U1765</f>
        <v/>
      </c>
      <c r="R1765">
        <f>G1765-W1765</f>
        <v/>
      </c>
      <c r="S1765" s="36" t="n">
        <v>45243</v>
      </c>
      <c r="T1765" t="inlineStr"/>
      <c r="U1765" t="inlineStr">
        <is>
          <t>L001-107032791</t>
        </is>
      </c>
      <c r="V1765" t="inlineStr">
        <is>
          <t>នីបផន អិចប្រេស (ខេមបូឌា) ខូ អិលធីឌី</t>
        </is>
      </c>
      <c r="W1765" t="n">
        <v>0</v>
      </c>
      <c r="X1765" t="n">
        <v>0</v>
      </c>
    </row>
    <row r="1766">
      <c r="A1766" t="n">
        <v>1765</v>
      </c>
      <c r="B1766" t="inlineStr">
        <is>
          <t>Export Adminstration Fee, Custom Processing Fee and Overtime Charges</t>
        </is>
      </c>
      <c r="C1766" t="inlineStr">
        <is>
          <t>ជី លីង អិចប្រេស ឡូជីស្ទីក (ខេមបូឌា) លីមីធីត</t>
        </is>
      </c>
      <c r="D1766" t="inlineStr">
        <is>
          <t>L001-100044956</t>
        </is>
      </c>
      <c r="E1766" t="inlineStr">
        <is>
          <t>24159578</t>
        </is>
      </c>
      <c r="F1766" t="inlineStr">
        <is>
          <t>13-11-2024</t>
        </is>
      </c>
      <c r="G1766" t="n">
        <v>190256</v>
      </c>
      <c r="I1766">
        <f>G1766</f>
        <v/>
      </c>
      <c r="K1766">
        <f>I1766-G1766</f>
        <v/>
      </c>
      <c r="M1766" t="inlineStr">
        <is>
          <t>24159578</t>
        </is>
      </c>
      <c r="N1766" t="inlineStr"/>
      <c r="O1766">
        <f>M1766=N1766</f>
        <v/>
      </c>
      <c r="P1766">
        <f>AND(MONTH(F1766)=MONTH(S1766), YEAR(F1766)=YEAR(S1766))</f>
        <v/>
      </c>
      <c r="Q1766">
        <f>"L001-902303751"=U1766</f>
        <v/>
      </c>
      <c r="R1766">
        <f>G1766-W1766</f>
        <v/>
      </c>
      <c r="S1766" s="36" t="n">
        <v>45233</v>
      </c>
      <c r="T1766" t="inlineStr"/>
      <c r="U1766" t="inlineStr">
        <is>
          <t>K003-901635943</t>
        </is>
      </c>
      <c r="V1766" t="inlineStr">
        <is>
          <t>អ៊ីឃ្យូឡាញ វើលវ៉ាយដ៍ ឡូជីស្ទីក</t>
        </is>
      </c>
      <c r="W1766" t="n">
        <v>0</v>
      </c>
      <c r="X1766" t="n">
        <v>0</v>
      </c>
    </row>
    <row r="1767">
      <c r="A1767" t="n">
        <v>1766</v>
      </c>
      <c r="B1767" t="inlineStr">
        <is>
          <t>Om Forwarding Fee, Terminal Handing, Carrier BL, Document Assembly, Handling Fee, VGM Admin Fee, Container Seal and Manifest Fee</t>
        </is>
      </c>
      <c r="C1767" t="inlineStr">
        <is>
          <t>អ៊ិចស្ពែឌីធ័រ ខេមបូឌា អិលធីឌី</t>
        </is>
      </c>
      <c r="D1767" t="inlineStr">
        <is>
          <t>L001-100045898</t>
        </is>
      </c>
      <c r="E1767" t="inlineStr">
        <is>
          <t>TI-0296312</t>
        </is>
      </c>
      <c r="F1767" t="inlineStr">
        <is>
          <t>12-11-2024</t>
        </is>
      </c>
      <c r="G1767" t="n">
        <v>207108</v>
      </c>
      <c r="I1767">
        <f>G1767</f>
        <v/>
      </c>
      <c r="K1767">
        <f>I1767-G1767</f>
        <v/>
      </c>
      <c r="M1767" t="inlineStr">
        <is>
          <t>TI0296312</t>
        </is>
      </c>
      <c r="N1767" t="inlineStr"/>
      <c r="O1767">
        <f>M1767=N1767</f>
        <v/>
      </c>
      <c r="P1767">
        <f>AND(MONTH(F1767)=MONTH(S1767), YEAR(F1767)=YEAR(S1767))</f>
        <v/>
      </c>
      <c r="Q1767">
        <f>"L001-902303751"=U1767</f>
        <v/>
      </c>
      <c r="R1767">
        <f>G1767-W1767</f>
        <v/>
      </c>
      <c r="S1767" s="36" t="n">
        <v>45233</v>
      </c>
      <c r="T1767" t="inlineStr"/>
      <c r="U1767" t="inlineStr">
        <is>
          <t>L001-902000739</t>
        </is>
      </c>
      <c r="V1767" t="inlineStr">
        <is>
          <t>អាន រ៉ុង ហ្ស៊ី យី ឯ.ក</t>
        </is>
      </c>
      <c r="W1767" t="n">
        <v>0</v>
      </c>
      <c r="X1767" t="n">
        <v>0</v>
      </c>
    </row>
    <row r="1768">
      <c r="A1768" t="n">
        <v>1767</v>
      </c>
      <c r="B1768" t="inlineStr">
        <is>
          <t>CFS Handling, Carrier BL, Document Assembly,Terminal Handling, Handling Fee, VGM Processing Fee and Manifest Fee</t>
        </is>
      </c>
      <c r="C1768" t="inlineStr">
        <is>
          <t>អ៊ិចស្ពែឌីធ័រ ខេមបូឌា អិលធីឌី</t>
        </is>
      </c>
      <c r="D1768" t="inlineStr">
        <is>
          <t>L001-100045898</t>
        </is>
      </c>
      <c r="E1768" t="inlineStr">
        <is>
          <t>TI-0296313</t>
        </is>
      </c>
      <c r="F1768" t="inlineStr">
        <is>
          <t>12-11-2024</t>
        </is>
      </c>
      <c r="G1768" t="n">
        <v>123373</v>
      </c>
      <c r="I1768">
        <f>G1768</f>
        <v/>
      </c>
      <c r="K1768">
        <f>I1768-G1768</f>
        <v/>
      </c>
      <c r="M1768" t="inlineStr">
        <is>
          <t>TI0296313</t>
        </is>
      </c>
      <c r="N1768" t="inlineStr"/>
      <c r="O1768">
        <f>M1768=N1768</f>
        <v/>
      </c>
      <c r="P1768">
        <f>AND(MONTH(F1768)=MONTH(S1768), YEAR(F1768)=YEAR(S1768))</f>
        <v/>
      </c>
      <c r="Q1768">
        <f>"L001-902303751"=U1768</f>
        <v/>
      </c>
      <c r="R1768">
        <f>G1768-W1768</f>
        <v/>
      </c>
      <c r="S1768" s="36" t="n">
        <v>45244</v>
      </c>
      <c r="T1768" t="inlineStr"/>
      <c r="U1768" t="inlineStr">
        <is>
          <t>L001-103007369</t>
        </is>
      </c>
      <c r="V1768" t="inlineStr">
        <is>
          <t>អូរៀនថល ឡូជីស្ទីក &amp; ឌីស្ទ្រីប៊្យូសិន (ខេមបូឌា)</t>
        </is>
      </c>
      <c r="W1768" t="n">
        <v>0</v>
      </c>
      <c r="X1768" t="n">
        <v>0</v>
      </c>
    </row>
    <row r="1769">
      <c r="A1769" t="n">
        <v>1768</v>
      </c>
      <c r="B1769" t="inlineStr">
        <is>
          <t>Send Doc</t>
        </is>
      </c>
      <c r="C1769" t="inlineStr">
        <is>
          <t>ឌី អេច អិល អិចប្រេស (ខេមបូឌា)</t>
        </is>
      </c>
      <c r="D1769" t="inlineStr">
        <is>
          <t>L001-100045197</t>
        </is>
      </c>
      <c r="E1769" t="inlineStr">
        <is>
          <t>PNHIR00253140</t>
        </is>
      </c>
      <c r="F1769" t="inlineStr">
        <is>
          <t>11-11-2024</t>
        </is>
      </c>
      <c r="G1769" t="n">
        <v>24354</v>
      </c>
      <c r="I1769">
        <f>G1769</f>
        <v/>
      </c>
      <c r="K1769">
        <f>I1769-G1769</f>
        <v/>
      </c>
      <c r="M1769" t="inlineStr">
        <is>
          <t>PNHIR00253140</t>
        </is>
      </c>
      <c r="N1769" t="inlineStr"/>
      <c r="O1769">
        <f>M1769=N1769</f>
        <v/>
      </c>
      <c r="P1769">
        <f>AND(MONTH(F1769)=MONTH(S1769), YEAR(F1769)=YEAR(S1769))</f>
        <v/>
      </c>
      <c r="Q1769">
        <f>"L001-902303751"=U1769</f>
        <v/>
      </c>
      <c r="R1769">
        <f>G1769-W1769</f>
        <v/>
      </c>
      <c r="S1769" s="36" t="n">
        <v>45244</v>
      </c>
      <c r="T1769" t="inlineStr"/>
      <c r="U1769" t="inlineStr">
        <is>
          <t>K002-901800477</t>
        </is>
      </c>
      <c r="V1769" t="inlineStr">
        <is>
          <t>អាយធីអាយ អ៊ិនធើណេសិនណល ត្រេនស័្ពរថេសិន (ខេមបូឌា) ឯ.ក</t>
        </is>
      </c>
      <c r="W1769" t="n">
        <v>0</v>
      </c>
      <c r="X1769" t="n">
        <v>0</v>
      </c>
    </row>
    <row r="1770">
      <c r="A1770" t="n">
        <v>1769</v>
      </c>
      <c r="B1770" t="inlineStr">
        <is>
          <t>Send Doc</t>
        </is>
      </c>
      <c r="C1770" t="inlineStr">
        <is>
          <t>ឌី អេច អិល អិចប្រេស (ខេមបូឌា)</t>
        </is>
      </c>
      <c r="D1770" t="inlineStr">
        <is>
          <t>L001-100045197</t>
        </is>
      </c>
      <c r="E1770" t="inlineStr">
        <is>
          <t>PNHIR00254310</t>
        </is>
      </c>
      <c r="F1770" t="inlineStr">
        <is>
          <t>15-11-2024</t>
        </is>
      </c>
      <c r="G1770" t="n">
        <v>16192</v>
      </c>
      <c r="I1770">
        <f>G1770</f>
        <v/>
      </c>
      <c r="K1770">
        <f>I1770-G1770</f>
        <v/>
      </c>
      <c r="M1770" t="inlineStr">
        <is>
          <t>PNHIR00254310</t>
        </is>
      </c>
      <c r="N1770" t="inlineStr"/>
      <c r="O1770">
        <f>M1770=N1770</f>
        <v/>
      </c>
      <c r="P1770">
        <f>AND(MONTH(F1770)=MONTH(S1770), YEAR(F1770)=YEAR(S1770))</f>
        <v/>
      </c>
      <c r="Q1770">
        <f>"L001-902303751"=U1770</f>
        <v/>
      </c>
      <c r="R1770">
        <f>G1770-W1770</f>
        <v/>
      </c>
      <c r="S1770" s="36" t="n">
        <v>45244</v>
      </c>
      <c r="T1770" t="inlineStr"/>
      <c r="U1770" t="inlineStr">
        <is>
          <t>L001-100011888</t>
        </is>
      </c>
      <c r="V1770" t="inlineStr">
        <is>
          <t>ត្រេន ស្តារ ហ្រេ្វត</t>
        </is>
      </c>
      <c r="W1770" t="n">
        <v>0</v>
      </c>
      <c r="X1770" t="n">
        <v>0</v>
      </c>
    </row>
    <row r="1771">
      <c r="A1771" t="n">
        <v>1770</v>
      </c>
      <c r="B1771" t="inlineStr">
        <is>
          <t>Send Materials</t>
        </is>
      </c>
      <c r="C1771" t="inlineStr">
        <is>
          <t>ឌី អេច អិល អិចប្រេស (ខេមបូឌា)</t>
        </is>
      </c>
      <c r="D1771" t="inlineStr">
        <is>
          <t>L001-100045197</t>
        </is>
      </c>
      <c r="E1771" t="inlineStr">
        <is>
          <t>PNHIR00253966</t>
        </is>
      </c>
      <c r="F1771" t="inlineStr">
        <is>
          <t>14-11-2024</t>
        </is>
      </c>
      <c r="G1771" t="n">
        <v>8096</v>
      </c>
      <c r="I1771">
        <f>G1771</f>
        <v/>
      </c>
      <c r="K1771">
        <f>I1771-G1771</f>
        <v/>
      </c>
      <c r="M1771" t="inlineStr">
        <is>
          <t>PNHIR00253966</t>
        </is>
      </c>
      <c r="N1771" t="inlineStr">
        <is>
          <t>11097000</t>
        </is>
      </c>
      <c r="O1771">
        <f>M1771=N1771</f>
        <v/>
      </c>
      <c r="P1771">
        <f>AND(MONTH(F1771)=MONTH(S1771), YEAR(F1771)=YEAR(S1771))</f>
        <v/>
      </c>
      <c r="Q1771">
        <f>"L001-902303751"=U1771</f>
        <v/>
      </c>
      <c r="R1771">
        <f>G1771-W1771</f>
        <v/>
      </c>
      <c r="S1771" s="36" t="n">
        <v>45244</v>
      </c>
      <c r="T1771" t="n">
        <v>110970</v>
      </c>
      <c r="U1771" t="inlineStr">
        <is>
          <t>K002-901800477</t>
        </is>
      </c>
      <c r="V1771" t="inlineStr">
        <is>
          <t>អាយធីអាយ អ៊ិនធើណេសិនណល ត្រេនស័្ពរថេសិន (ខេមបូឌា) ឯ.ក</t>
        </is>
      </c>
      <c r="W1771" t="n">
        <v>110970</v>
      </c>
      <c r="X1771" t="n">
        <v>0</v>
      </c>
    </row>
    <row r="1772">
      <c r="A1772" t="n">
        <v>1771</v>
      </c>
      <c r="B1772" t="inlineStr">
        <is>
          <t>THC Charge, CFS Fee, Scanner Fee, CIC Fee, D/O Fee, Doc Fee, Agency Fee, Handling Fee and Ocean Freight</t>
        </is>
      </c>
      <c r="C1772" t="inlineStr">
        <is>
          <t>ហ្វ្រេត ខនសិប (ខេមបូឌា)</t>
        </is>
      </c>
      <c r="D1772" t="inlineStr">
        <is>
          <t>K009-901502482</t>
        </is>
      </c>
      <c r="E1772" t="inlineStr">
        <is>
          <t>241144</t>
        </is>
      </c>
      <c r="F1772" t="inlineStr">
        <is>
          <t>11-11-2024</t>
        </is>
      </c>
      <c r="G1772" t="n">
        <v>83210</v>
      </c>
      <c r="I1772">
        <f>G1772</f>
        <v/>
      </c>
      <c r="K1772">
        <f>I1772-G1772</f>
        <v/>
      </c>
      <c r="M1772" t="inlineStr">
        <is>
          <t>241144</t>
        </is>
      </c>
      <c r="N1772" t="inlineStr"/>
      <c r="O1772">
        <f>M1772=N1772</f>
        <v/>
      </c>
      <c r="P1772">
        <f>AND(MONTH(F1772)=MONTH(S1772), YEAR(F1772)=YEAR(S1772))</f>
        <v/>
      </c>
      <c r="Q1772">
        <f>"L001-902303751"=U1772</f>
        <v/>
      </c>
      <c r="R1772">
        <f>G1772-W1772</f>
        <v/>
      </c>
      <c r="S1772" s="36" t="n">
        <v>45244</v>
      </c>
      <c r="T1772" t="inlineStr"/>
      <c r="U1772" t="inlineStr">
        <is>
          <t>K002-901800477</t>
        </is>
      </c>
      <c r="V1772" t="inlineStr">
        <is>
          <t>អាយធីអាយ អ៊ិនធើណេសិនណល ត្រេនស័្ពរថេសិន (ខេមបូឌា) ឯ.ក</t>
        </is>
      </c>
      <c r="W1772" t="n">
        <v>0</v>
      </c>
      <c r="X1772" t="n">
        <v>0</v>
      </c>
    </row>
    <row r="1773">
      <c r="A1773" t="n">
        <v>1772</v>
      </c>
      <c r="B1773" t="inlineStr">
        <is>
          <t>OM Forwarding Fee, Terminal Handling, Carrier BL, Document Assembly, Handling Fee, VGM Admin Fee, Container Seal, Telex Release and Manifest Fee</t>
        </is>
      </c>
      <c r="C1773" t="inlineStr">
        <is>
          <t>អ៊ិចស្ពែឌីធ័រ ខេមបូឌា អិលធីឌី</t>
        </is>
      </c>
      <c r="D1773" t="inlineStr">
        <is>
          <t>L001-100045898</t>
        </is>
      </c>
      <c r="E1773" t="inlineStr">
        <is>
          <t>TI-0298436</t>
        </is>
      </c>
      <c r="F1773" t="inlineStr">
        <is>
          <t>27-11-2024</t>
        </is>
      </c>
      <c r="G1773" t="n">
        <v>201602</v>
      </c>
      <c r="I1773">
        <f>G1773</f>
        <v/>
      </c>
      <c r="K1773">
        <f>I1773-G1773</f>
        <v/>
      </c>
      <c r="M1773" t="inlineStr">
        <is>
          <t>TI0298436</t>
        </is>
      </c>
      <c r="N1773" t="inlineStr"/>
      <c r="O1773">
        <f>M1773=N1773</f>
        <v/>
      </c>
      <c r="P1773">
        <f>AND(MONTH(F1773)=MONTH(S1773), YEAR(F1773)=YEAR(S1773))</f>
        <v/>
      </c>
      <c r="Q1773">
        <f>"L001-902303751"=U1773</f>
        <v/>
      </c>
      <c r="R1773">
        <f>G1773-W1773</f>
        <v/>
      </c>
      <c r="S1773" s="36" t="n">
        <v>45259</v>
      </c>
      <c r="T1773" t="inlineStr"/>
      <c r="U1773" t="inlineStr">
        <is>
          <t>K003-901635943</t>
        </is>
      </c>
      <c r="V1773" t="inlineStr">
        <is>
          <t>អ៊ីឃ្យូឡាញ វើលវ៉ាយដ៍ ឡូជីស្ទីក</t>
        </is>
      </c>
      <c r="W1773" t="n">
        <v>0</v>
      </c>
      <c r="X1773" t="n">
        <v>0</v>
      </c>
    </row>
    <row r="1774">
      <c r="A1774" t="n">
        <v>1773</v>
      </c>
      <c r="B1774" t="inlineStr">
        <is>
          <t>THC Charge, CFS Fee, Scanner Fee, CIC Fee, D/O Fee, Doc Fee, Agency Fee, Handling Fee and Ocean Freight</t>
        </is>
      </c>
      <c r="C1774" t="inlineStr">
        <is>
          <t>ហ្វ្រេត ខនសិប (ខេមបូឌា)</t>
        </is>
      </c>
      <c r="D1774" t="inlineStr">
        <is>
          <t>K009-901502482</t>
        </is>
      </c>
      <c r="E1774" t="inlineStr">
        <is>
          <t>241126</t>
        </is>
      </c>
      <c r="F1774" t="inlineStr">
        <is>
          <t>04-11-2024</t>
        </is>
      </c>
      <c r="G1774" t="n">
        <v>107723</v>
      </c>
      <c r="I1774">
        <f>G1774</f>
        <v/>
      </c>
      <c r="K1774">
        <f>I1774-G1774</f>
        <v/>
      </c>
      <c r="M1774" t="inlineStr">
        <is>
          <t>241126</t>
        </is>
      </c>
      <c r="N1774" t="inlineStr">
        <is>
          <t>11124000</t>
        </is>
      </c>
      <c r="O1774">
        <f>M1774=N1774</f>
        <v/>
      </c>
      <c r="P1774">
        <f>AND(MONTH(F1774)=MONTH(S1774), YEAR(F1774)=YEAR(S1774))</f>
        <v/>
      </c>
      <c r="Q1774">
        <f>"L001-902303751"=U1774</f>
        <v/>
      </c>
      <c r="R1774">
        <f>G1774-W1774</f>
        <v/>
      </c>
      <c r="S1774" s="36" t="n">
        <v>45250</v>
      </c>
      <c r="T1774" t="n">
        <v>111240</v>
      </c>
      <c r="U1774" t="inlineStr">
        <is>
          <t>L001-107032791</t>
        </is>
      </c>
      <c r="V1774" t="inlineStr">
        <is>
          <t>នីបផន អិចប្រេស (ខេមបូឌា) ខូ អិលធីឌី</t>
        </is>
      </c>
      <c r="W1774" t="n">
        <v>111240</v>
      </c>
      <c r="X1774" t="n">
        <v>0</v>
      </c>
    </row>
    <row r="1775">
      <c r="A1775" t="n">
        <v>1774</v>
      </c>
      <c r="B1775" t="inlineStr">
        <is>
          <t>THC Charge, CFS Fee, Scanner Fee, CIC Fee, D/O Fee, Doc Fee, Agency Fee, Handling Fee and Ocean Freight</t>
        </is>
      </c>
      <c r="C1775" t="inlineStr">
        <is>
          <t>ហ្វ្រេត ខនសិប (ខេមបូឌា)</t>
        </is>
      </c>
      <c r="D1775" t="inlineStr">
        <is>
          <t>K009-901502482</t>
        </is>
      </c>
      <c r="E1775" t="inlineStr">
        <is>
          <t>241127</t>
        </is>
      </c>
      <c r="F1775" t="inlineStr">
        <is>
          <t>04-11-2024</t>
        </is>
      </c>
      <c r="G1775" t="n">
        <v>109511</v>
      </c>
      <c r="I1775">
        <f>G1775</f>
        <v/>
      </c>
      <c r="K1775">
        <f>I1775-G1775</f>
        <v/>
      </c>
      <c r="M1775" t="inlineStr">
        <is>
          <t>241127</t>
        </is>
      </c>
      <c r="N1775" t="inlineStr">
        <is>
          <t>22956100</t>
        </is>
      </c>
      <c r="O1775">
        <f>M1775=N1775</f>
        <v/>
      </c>
      <c r="P1775">
        <f>AND(MONTH(F1775)=MONTH(S1775), YEAR(F1775)=YEAR(S1775))</f>
        <v/>
      </c>
      <c r="Q1775">
        <f>"L001-902303751"=U1775</f>
        <v/>
      </c>
      <c r="R1775">
        <f>G1775-W1775</f>
        <v/>
      </c>
      <c r="S1775" s="36" t="n">
        <v>45253</v>
      </c>
      <c r="T1775" t="n">
        <v>229561</v>
      </c>
      <c r="U1775" t="inlineStr">
        <is>
          <t>L001-103007369</t>
        </is>
      </c>
      <c r="V1775" t="inlineStr">
        <is>
          <t>អូរៀនថល ឡូជីស្ទីក &amp; ឌីស្ទ្រីប៊្យូសិន (ខេមបូឌា)</t>
        </is>
      </c>
      <c r="W1775" t="n">
        <v>229561</v>
      </c>
      <c r="X1775" t="n">
        <v>0</v>
      </c>
    </row>
    <row r="1776">
      <c r="A1776" t="n">
        <v>1775</v>
      </c>
      <c r="B1776" t="inlineStr">
        <is>
          <t>Handling Charge, Documentation Fee, Manifest Filling and Air Freight</t>
        </is>
      </c>
      <c r="C1776" t="inlineStr">
        <is>
          <t>នីបផន អិចប្រេស (ខេមបូឌា) ខូ អិលធីឌី</t>
        </is>
      </c>
      <c r="D1776" t="inlineStr">
        <is>
          <t>L001-107032791</t>
        </is>
      </c>
      <c r="E1776" t="inlineStr">
        <is>
          <t>A8T-15651</t>
        </is>
      </c>
      <c r="F1776" t="inlineStr">
        <is>
          <t>28-11-2024</t>
        </is>
      </c>
      <c r="G1776" t="n">
        <v>46345</v>
      </c>
      <c r="I1776">
        <f>G1776</f>
        <v/>
      </c>
      <c r="K1776">
        <f>I1776-G1776</f>
        <v/>
      </c>
      <c r="M1776" t="inlineStr">
        <is>
          <t>A8T15651</t>
        </is>
      </c>
      <c r="N1776" t="inlineStr"/>
      <c r="O1776">
        <f>M1776=N1776</f>
        <v/>
      </c>
      <c r="P1776">
        <f>AND(MONTH(F1776)=MONTH(S1776), YEAR(F1776)=YEAR(S1776))</f>
        <v/>
      </c>
      <c r="Q1776">
        <f>"L001-902303751"=U1776</f>
        <v/>
      </c>
      <c r="R1776">
        <f>G1776-W1776</f>
        <v/>
      </c>
      <c r="S1776" s="36" t="n">
        <v>45253</v>
      </c>
      <c r="T1776" t="inlineStr"/>
      <c r="U1776" t="inlineStr">
        <is>
          <t>L001-103007369</t>
        </is>
      </c>
      <c r="V1776" t="inlineStr">
        <is>
          <t>អូរៀនថល ឡូជីស្ទីក &amp; ឌីស្ទ្រីប៊្យូសិន (ខេមបូឌា)</t>
        </is>
      </c>
      <c r="W1776" t="n">
        <v>0</v>
      </c>
      <c r="X1776" t="n">
        <v>0</v>
      </c>
    </row>
    <row r="1777">
      <c r="A1777" t="n">
        <v>1776</v>
      </c>
      <c r="B1777" t="inlineStr">
        <is>
          <t>Handling Charge, Documentation Fee, Manifest Filling and Air Freight</t>
        </is>
      </c>
      <c r="C1777" t="inlineStr">
        <is>
          <t>នីបផន អិចប្រេស (ខេមបូឌា) ខូ អិលធីឌី</t>
        </is>
      </c>
      <c r="D1777" t="inlineStr">
        <is>
          <t>L001-107032791</t>
        </is>
      </c>
      <c r="E1777" t="inlineStr">
        <is>
          <t>A8T-15650</t>
        </is>
      </c>
      <c r="F1777" t="inlineStr">
        <is>
          <t>28-11-2024</t>
        </is>
      </c>
      <c r="G1777" t="n">
        <v>46345</v>
      </c>
      <c r="I1777">
        <f>G1777</f>
        <v/>
      </c>
      <c r="K1777">
        <f>I1777-G1777</f>
        <v/>
      </c>
      <c r="M1777" t="inlineStr">
        <is>
          <t>A8T15650</t>
        </is>
      </c>
      <c r="N1777" t="inlineStr"/>
      <c r="O1777">
        <f>M1777=N1777</f>
        <v/>
      </c>
      <c r="P1777">
        <f>AND(MONTH(F1777)=MONTH(S1777), YEAR(F1777)=YEAR(S1777))</f>
        <v/>
      </c>
      <c r="Q1777">
        <f>"L001-902303751"=U1777</f>
        <v/>
      </c>
      <c r="R1777">
        <f>G1777-W1777</f>
        <v/>
      </c>
      <c r="S1777" s="36" t="n">
        <v>45244</v>
      </c>
      <c r="T1777" t="inlineStr"/>
      <c r="U1777" t="inlineStr">
        <is>
          <t>L001-100045898</t>
        </is>
      </c>
      <c r="V1777" t="inlineStr">
        <is>
          <t>អ៊ិចស្ពែឌីធ័រ ខេមបូឌា អិលធីឌី</t>
        </is>
      </c>
      <c r="W1777" t="n">
        <v>0</v>
      </c>
      <c r="X1777" t="n">
        <v>0</v>
      </c>
    </row>
    <row r="1778">
      <c r="A1778" t="n">
        <v>1777</v>
      </c>
      <c r="B1778" t="inlineStr">
        <is>
          <t>CFS Handling, Carrier BL, Document Assembly, Terminal Handling, Handling Fee, VGM Processing Fee, Fuel Surcharge, Telex Release and Manifest Fee</t>
        </is>
      </c>
      <c r="C1778" t="inlineStr">
        <is>
          <t>អ៊ិចស្ពែឌីធ័រ ខេមបូឌា អិលធីឌី</t>
        </is>
      </c>
      <c r="D1778" t="inlineStr">
        <is>
          <t>L001-100045898</t>
        </is>
      </c>
      <c r="E1778" t="inlineStr">
        <is>
          <t>TI-0298459</t>
        </is>
      </c>
      <c r="F1778" t="inlineStr">
        <is>
          <t>27-11-2024</t>
        </is>
      </c>
      <c r="G1778" t="n">
        <v>171463</v>
      </c>
      <c r="I1778">
        <f>G1778</f>
        <v/>
      </c>
      <c r="K1778">
        <f>I1778-G1778</f>
        <v/>
      </c>
      <c r="M1778" t="inlineStr">
        <is>
          <t>TI0298459</t>
        </is>
      </c>
      <c r="N1778" t="inlineStr"/>
      <c r="O1778">
        <f>M1778=N1778</f>
        <v/>
      </c>
      <c r="P1778">
        <f>AND(MONTH(F1778)=MONTH(S1778), YEAR(F1778)=YEAR(S1778))</f>
        <v/>
      </c>
      <c r="Q1778">
        <f>"L001-902303751"=U1778</f>
        <v/>
      </c>
      <c r="R1778">
        <f>G1778-W1778</f>
        <v/>
      </c>
      <c r="S1778" s="36" t="n">
        <v>45231</v>
      </c>
      <c r="T1778" t="inlineStr"/>
      <c r="U1778" t="inlineStr">
        <is>
          <t>L001-100063098</t>
        </is>
      </c>
      <c r="V1778" t="inlineStr">
        <is>
          <t>ឆាយ ដា ឡូយីស្ទីក</t>
        </is>
      </c>
      <c r="W1778" t="n">
        <v>0</v>
      </c>
      <c r="X1778" t="n">
        <v>0</v>
      </c>
    </row>
    <row r="1779">
      <c r="A1779" t="n">
        <v>1778</v>
      </c>
      <c r="B1779" t="inlineStr">
        <is>
          <t>CFS Handling, Carrier BL, Document Assembly, Terminal Handling, VGM Processing Fee and Manifest Fee</t>
        </is>
      </c>
      <c r="C1779" t="inlineStr">
        <is>
          <t>អ៊ិចស្ពែឌីធ័រ ខេមបូឌា អិលធីឌី</t>
        </is>
      </c>
      <c r="D1779" t="inlineStr">
        <is>
          <t>L001-100045898</t>
        </is>
      </c>
      <c r="E1779" t="inlineStr">
        <is>
          <t>TI-0298431</t>
        </is>
      </c>
      <c r="F1779" t="inlineStr">
        <is>
          <t>27-11-2024</t>
        </is>
      </c>
      <c r="G1779" t="n">
        <v>90942</v>
      </c>
      <c r="I1779">
        <f>G1779</f>
        <v/>
      </c>
      <c r="K1779">
        <f>I1779-G1779</f>
        <v/>
      </c>
      <c r="M1779" t="inlineStr">
        <is>
          <t>TI0298431</t>
        </is>
      </c>
      <c r="N1779" t="inlineStr"/>
      <c r="O1779">
        <f>M1779=N1779</f>
        <v/>
      </c>
      <c r="P1779">
        <f>AND(MONTH(F1779)=MONTH(S1779), YEAR(F1779)=YEAR(S1779))</f>
        <v/>
      </c>
      <c r="Q1779">
        <f>"L001-902303751"=U1779</f>
        <v/>
      </c>
      <c r="R1779">
        <f>G1779-W1779</f>
        <v/>
      </c>
      <c r="S1779" s="36" t="n">
        <v>45231</v>
      </c>
      <c r="T1779" t="inlineStr"/>
      <c r="U1779" t="inlineStr">
        <is>
          <t>L001-100063098</t>
        </is>
      </c>
      <c r="V1779" t="inlineStr">
        <is>
          <t>ឆាយ ដា ឡូយីស្ទីក</t>
        </is>
      </c>
      <c r="W1779" t="n">
        <v>0</v>
      </c>
      <c r="X1779" t="n">
        <v>0</v>
      </c>
    </row>
    <row r="1780">
      <c r="A1780" t="n">
        <v>1779</v>
      </c>
      <c r="B1780" t="inlineStr">
        <is>
          <t>CFS Handling, Carrier BL, Document Assembly, Terminal Handling, VGM Processing Fee and Manifest Fee</t>
        </is>
      </c>
      <c r="C1780" t="inlineStr">
        <is>
          <t>អ៊ិចស្ពែឌីធ័រ ខេមបូឌា អិលធីឌី</t>
        </is>
      </c>
      <c r="D1780" t="inlineStr">
        <is>
          <t>L001-100045898</t>
        </is>
      </c>
      <c r="E1780" t="inlineStr">
        <is>
          <t>TI-0298432</t>
        </is>
      </c>
      <c r="F1780" t="inlineStr">
        <is>
          <t>27-11-2024</t>
        </is>
      </c>
      <c r="G1780" t="n">
        <v>82894</v>
      </c>
      <c r="I1780">
        <f>G1780</f>
        <v/>
      </c>
      <c r="K1780">
        <f>I1780-G1780</f>
        <v/>
      </c>
      <c r="M1780" t="inlineStr">
        <is>
          <t>TI0298432</t>
        </is>
      </c>
      <c r="N1780" t="inlineStr"/>
      <c r="O1780">
        <f>M1780=N1780</f>
        <v/>
      </c>
      <c r="P1780">
        <f>AND(MONTH(F1780)=MONTH(S1780), YEAR(F1780)=YEAR(S1780))</f>
        <v/>
      </c>
      <c r="Q1780">
        <f>"L001-902303751"=U1780</f>
        <v/>
      </c>
      <c r="R1780">
        <f>G1780-W1780</f>
        <v/>
      </c>
      <c r="S1780" s="36" t="n">
        <v>45244</v>
      </c>
      <c r="T1780" t="inlineStr"/>
      <c r="U1780" t="inlineStr">
        <is>
          <t>L001-107032791</t>
        </is>
      </c>
      <c r="V1780" t="inlineStr">
        <is>
          <t>នីបផន អិចប្រេស (ខេមបូឌា) ខូ អិលធីឌី</t>
        </is>
      </c>
      <c r="W1780" t="n">
        <v>0</v>
      </c>
      <c r="X1780" t="n">
        <v>0</v>
      </c>
    </row>
    <row r="1781">
      <c r="A1781" t="n">
        <v>1780</v>
      </c>
      <c r="B1781" t="inlineStr">
        <is>
          <t>Monthly Charge of Photo Copier Rental from 06/10/2024-06/11/2024</t>
        </is>
      </c>
      <c r="C1781" t="inlineStr">
        <is>
          <t>វី.អាយ.អេស ខភៀ ឯ.ក</t>
        </is>
      </c>
      <c r="D1781" t="inlineStr">
        <is>
          <t>K007-901705195</t>
        </is>
      </c>
      <c r="E1781" t="inlineStr">
        <is>
          <t>RNT241125</t>
        </is>
      </c>
      <c r="F1781" t="inlineStr">
        <is>
          <t>06-11-2024</t>
        </is>
      </c>
      <c r="G1781" t="n">
        <v>56896</v>
      </c>
      <c r="I1781">
        <f>G1781</f>
        <v/>
      </c>
      <c r="K1781">
        <f>I1781-G1781</f>
        <v/>
      </c>
      <c r="M1781" t="inlineStr">
        <is>
          <t>RNT241125</t>
        </is>
      </c>
      <c r="N1781" t="inlineStr">
        <is>
          <t>92475000</t>
        </is>
      </c>
      <c r="O1781">
        <f>M1781=N1781</f>
        <v/>
      </c>
      <c r="P1781">
        <f>AND(MONTH(F1781)=MONTH(S1781), YEAR(F1781)=YEAR(S1781))</f>
        <v/>
      </c>
      <c r="Q1781">
        <f>"L001-902303751"=U1781</f>
        <v/>
      </c>
      <c r="R1781">
        <f>G1781-W1781</f>
        <v/>
      </c>
      <c r="S1781" s="36" t="n">
        <v>45244</v>
      </c>
      <c r="T1781" t="n">
        <v>924750</v>
      </c>
      <c r="U1781" t="inlineStr">
        <is>
          <t>K002-901800477</t>
        </is>
      </c>
      <c r="V1781" t="inlineStr">
        <is>
          <t>អាយធីអាយ អ៊ិនធើណេសិនណល ត្រេនស័្ពរថេសិន (ខេមបូឌា) ឯ.ក</t>
        </is>
      </c>
      <c r="W1781" t="n">
        <v>924750</v>
      </c>
      <c r="X1781" t="n">
        <v>0</v>
      </c>
    </row>
    <row r="1782">
      <c r="A1782" t="n">
        <v>1781</v>
      </c>
      <c r="B1782" t="inlineStr">
        <is>
          <t>Monthly Charge of Photo Copier Rental from 06/10/2024-06/11/2024</t>
        </is>
      </c>
      <c r="C1782" t="inlineStr">
        <is>
          <t>វី.អាយ.អេស ខភៀ ឯ.ក</t>
        </is>
      </c>
      <c r="D1782" t="inlineStr">
        <is>
          <t>K007-901705195</t>
        </is>
      </c>
      <c r="E1782" t="inlineStr">
        <is>
          <t>RNT241124</t>
        </is>
      </c>
      <c r="F1782" t="inlineStr">
        <is>
          <t>06-11-2024</t>
        </is>
      </c>
      <c r="G1782" t="n">
        <v>28448</v>
      </c>
      <c r="I1782">
        <f>G1782</f>
        <v/>
      </c>
      <c r="K1782">
        <f>I1782-G1782</f>
        <v/>
      </c>
      <c r="M1782" t="inlineStr">
        <is>
          <t>RNT241124</t>
        </is>
      </c>
      <c r="N1782" t="inlineStr">
        <is>
          <t>10287500</t>
        </is>
      </c>
      <c r="O1782">
        <f>M1782=N1782</f>
        <v/>
      </c>
      <c r="P1782">
        <f>AND(MONTH(F1782)=MONTH(S1782), YEAR(F1782)=YEAR(S1782))</f>
        <v/>
      </c>
      <c r="Q1782">
        <f>"L001-902303751"=U1782</f>
        <v/>
      </c>
      <c r="R1782">
        <f>G1782-W1782</f>
        <v/>
      </c>
      <c r="S1782" s="36" t="n">
        <v>45255</v>
      </c>
      <c r="T1782" t="n">
        <v>102875</v>
      </c>
      <c r="U1782" t="inlineStr">
        <is>
          <t>K003-901635943</t>
        </is>
      </c>
      <c r="V1782" t="inlineStr">
        <is>
          <t>អ៊ីឃ្យូឡាញ វើលវ៉ាយដ៍ ឡូជីស្ទីក</t>
        </is>
      </c>
      <c r="W1782" t="n">
        <v>102875</v>
      </c>
      <c r="X1782" t="n">
        <v>0</v>
      </c>
    </row>
    <row r="1783">
      <c r="A1783" t="n">
        <v>1782</v>
      </c>
      <c r="B1783" t="inlineStr">
        <is>
          <t>Monthly Charge of Photo Copier Rental from 06/10/2024-06/11/2024</t>
        </is>
      </c>
      <c r="C1783" t="inlineStr">
        <is>
          <t>វី.អាយ.អេស ខភៀ ឯ.ក</t>
        </is>
      </c>
      <c r="D1783" t="inlineStr">
        <is>
          <t>K007-901705195</t>
        </is>
      </c>
      <c r="E1783" t="inlineStr">
        <is>
          <t>RNT241123</t>
        </is>
      </c>
      <c r="F1783" t="inlineStr">
        <is>
          <t>06-11-2024</t>
        </is>
      </c>
      <c r="G1783" t="n">
        <v>26416</v>
      </c>
      <c r="I1783">
        <f>G1783</f>
        <v/>
      </c>
      <c r="K1783">
        <f>I1783-G1783</f>
        <v/>
      </c>
      <c r="M1783" t="inlineStr">
        <is>
          <t>RNT241123</t>
        </is>
      </c>
      <c r="N1783" t="inlineStr">
        <is>
          <t>11110500</t>
        </is>
      </c>
      <c r="O1783">
        <f>M1783=N1783</f>
        <v/>
      </c>
      <c r="P1783">
        <f>AND(MONTH(F1783)=MONTH(S1783), YEAR(F1783)=YEAR(S1783))</f>
        <v/>
      </c>
      <c r="Q1783">
        <f>"L001-902303751"=U1783</f>
        <v/>
      </c>
      <c r="R1783">
        <f>G1783-W1783</f>
        <v/>
      </c>
      <c r="S1783" s="36" t="n">
        <v>45259</v>
      </c>
      <c r="T1783" t="n">
        <v>111105</v>
      </c>
      <c r="U1783" t="inlineStr">
        <is>
          <t>L001-107000385</t>
        </is>
      </c>
      <c r="V1783" t="inlineStr">
        <is>
          <t>អិចស្ពោលាំងកា ហ្រ្វេត (ខេមបូឌា) លីមីធីត</t>
        </is>
      </c>
      <c r="W1783" t="n">
        <v>111105</v>
      </c>
      <c r="X1783" t="n">
        <v>0</v>
      </c>
    </row>
    <row r="1784">
      <c r="A1784" t="n">
        <v>1783</v>
      </c>
      <c r="B1784" t="inlineStr">
        <is>
          <t>THC Fee, LCL Fee, Scanner Fee, Document Fee, Agency Fee, DO Fee and CIC</t>
        </is>
      </c>
      <c r="C1784" t="inlineStr">
        <is>
          <t>ខ្វនធើម ឡូជីស្ទីក (ខេមបូឌា) ឯ.ក</t>
        </is>
      </c>
      <c r="D1784" t="inlineStr">
        <is>
          <t>K002-901900921</t>
        </is>
      </c>
      <c r="E1784" t="inlineStr">
        <is>
          <t>QT241639</t>
        </is>
      </c>
      <c r="F1784" t="inlineStr">
        <is>
          <t>13-11-2024</t>
        </is>
      </c>
      <c r="G1784" t="n">
        <v>135648</v>
      </c>
      <c r="I1784">
        <f>G1784</f>
        <v/>
      </c>
      <c r="K1784">
        <f>I1784-G1784</f>
        <v/>
      </c>
      <c r="M1784" t="inlineStr">
        <is>
          <t>QT241639</t>
        </is>
      </c>
      <c r="N1784" t="inlineStr">
        <is>
          <t>11357400</t>
        </is>
      </c>
      <c r="O1784">
        <f>M1784=N1784</f>
        <v/>
      </c>
      <c r="P1784">
        <f>AND(MONTH(F1784)=MONTH(S1784), YEAR(F1784)=YEAR(S1784))</f>
        <v/>
      </c>
      <c r="Q1784">
        <f>"L001-902303751"=U1784</f>
        <v/>
      </c>
      <c r="R1784">
        <f>G1784-W1784</f>
        <v/>
      </c>
      <c r="S1784" s="36" t="n">
        <v>45259</v>
      </c>
      <c r="T1784" t="n">
        <v>113574</v>
      </c>
      <c r="U1784" t="inlineStr">
        <is>
          <t>K003-901635943</t>
        </is>
      </c>
      <c r="V1784" t="inlineStr">
        <is>
          <t>អ៊ីឃ្យូឡាញ វើលវ៉ាយដ៍ ឡូជីស្ទីក</t>
        </is>
      </c>
      <c r="W1784" t="n">
        <v>113574</v>
      </c>
      <c r="X1784" t="n">
        <v>0</v>
      </c>
    </row>
    <row r="1785">
      <c r="A1785" t="n">
        <v>1784</v>
      </c>
      <c r="B1785" t="inlineStr">
        <is>
          <t>Customs Clearance Fee and Trucking Fee</t>
        </is>
      </c>
      <c r="C1785" t="inlineStr">
        <is>
          <t>ត្រាយអ៊ែងហ្គល ឡូជីស្ទីក (ខេមបូឌា) ឯ.ក</t>
        </is>
      </c>
      <c r="D1785" t="inlineStr">
        <is>
          <t>K010-902101743</t>
        </is>
      </c>
      <c r="E1785" t="inlineStr">
        <is>
          <t>TAG-24-00883</t>
        </is>
      </c>
      <c r="F1785" t="inlineStr">
        <is>
          <t>28-11-2024</t>
        </is>
      </c>
      <c r="G1785" t="n">
        <v>46103</v>
      </c>
      <c r="I1785">
        <f>G1785</f>
        <v/>
      </c>
      <c r="K1785">
        <f>I1785-G1785</f>
        <v/>
      </c>
      <c r="M1785" t="inlineStr">
        <is>
          <t>TAG2400883</t>
        </is>
      </c>
      <c r="N1785" t="inlineStr">
        <is>
          <t>8228000</t>
        </is>
      </c>
      <c r="O1785">
        <f>M1785=N1785</f>
        <v/>
      </c>
      <c r="P1785">
        <f>AND(MONTH(F1785)=MONTH(S1785), YEAR(F1785)=YEAR(S1785))</f>
        <v/>
      </c>
      <c r="Q1785">
        <f>"L001-902303751"=U1785</f>
        <v/>
      </c>
      <c r="R1785">
        <f>G1785-W1785</f>
        <v/>
      </c>
      <c r="S1785" s="36" t="n">
        <v>45253</v>
      </c>
      <c r="T1785" t="n">
        <v>82280</v>
      </c>
      <c r="U1785" t="inlineStr">
        <is>
          <t>L001-100045995</t>
        </is>
      </c>
      <c r="V1785" t="inlineStr">
        <is>
          <t>ឌីអេចអិល ឡូជីស្ទីក (ខេមបូឌា)</t>
        </is>
      </c>
      <c r="W1785" t="n">
        <v>82280</v>
      </c>
      <c r="X1785" t="n">
        <v>0</v>
      </c>
    </row>
    <row r="1786">
      <c r="A1786" t="n">
        <v>1785</v>
      </c>
      <c r="B1786" t="inlineStr">
        <is>
          <t>Terminal Handling Charge, EMF, 3 Party Trucking, Container Imbalance Charge, D/O Fee, Document Fee and Handling Charge</t>
        </is>
      </c>
      <c r="C1786" t="inlineStr">
        <is>
          <t>ខេអិលអិន ហ្វ្រេត (ខេមបូឌា) ឯ.ក</t>
        </is>
      </c>
      <c r="D1786" t="inlineStr">
        <is>
          <t>L001-100074669</t>
        </is>
      </c>
      <c r="E1786" t="inlineStr">
        <is>
          <t>IVO18306</t>
        </is>
      </c>
      <c r="F1786" t="inlineStr">
        <is>
          <t>21-11-2024</t>
        </is>
      </c>
      <c r="G1786" t="n">
        <v>122740</v>
      </c>
      <c r="I1786">
        <f>G1786</f>
        <v/>
      </c>
      <c r="K1786">
        <f>I1786-G1786</f>
        <v/>
      </c>
      <c r="M1786" t="inlineStr">
        <is>
          <t>IVO18306</t>
        </is>
      </c>
      <c r="N1786" t="inlineStr"/>
      <c r="O1786">
        <f>M1786=N1786</f>
        <v/>
      </c>
      <c r="P1786">
        <f>AND(MONTH(F1786)=MONTH(S1786), YEAR(F1786)=YEAR(S1786))</f>
        <v/>
      </c>
      <c r="Q1786">
        <f>"L001-902303751"=U1786</f>
        <v/>
      </c>
      <c r="R1786">
        <f>G1786-W1786</f>
        <v/>
      </c>
      <c r="S1786" s="36" t="n">
        <v>45244</v>
      </c>
      <c r="T1786" t="inlineStr"/>
      <c r="U1786" t="inlineStr">
        <is>
          <t>L001-902000739</t>
        </is>
      </c>
      <c r="V1786" t="inlineStr">
        <is>
          <t>អាន រ៉ុង ហ្ស៊ី យី ឯ.ក</t>
        </is>
      </c>
      <c r="W1786" t="n">
        <v>0</v>
      </c>
      <c r="X1786" t="n">
        <v>0</v>
      </c>
    </row>
    <row r="1787">
      <c r="A1787" t="n">
        <v>1786</v>
      </c>
      <c r="B1787" t="inlineStr">
        <is>
          <t>Customs Clearance Fee and Trucking Fee</t>
        </is>
      </c>
      <c r="C1787" t="inlineStr">
        <is>
          <t>ត្រាយអ៊ែងហ្គល ឡូជីស្ទីក (ខេមបូឌា) ឯ.ក</t>
        </is>
      </c>
      <c r="D1787" t="inlineStr">
        <is>
          <t>K010-902101743</t>
        </is>
      </c>
      <c r="E1787" t="inlineStr">
        <is>
          <t>TAG-24-00859</t>
        </is>
      </c>
      <c r="F1787" t="inlineStr">
        <is>
          <t>18-11-2024</t>
        </is>
      </c>
      <c r="G1787" t="n">
        <v>109107</v>
      </c>
      <c r="I1787">
        <f>G1787</f>
        <v/>
      </c>
      <c r="K1787">
        <f>I1787-G1787</f>
        <v/>
      </c>
      <c r="M1787" t="inlineStr">
        <is>
          <t>TAG2400859</t>
        </is>
      </c>
      <c r="N1787" t="inlineStr">
        <is>
          <t>38436900</t>
        </is>
      </c>
      <c r="O1787">
        <f>M1787=N1787</f>
        <v/>
      </c>
      <c r="P1787">
        <f>AND(MONTH(F1787)=MONTH(S1787), YEAR(F1787)=YEAR(S1787))</f>
        <v/>
      </c>
      <c r="Q1787">
        <f>"L001-902303751"=U1787</f>
        <v/>
      </c>
      <c r="R1787">
        <f>G1787-W1787</f>
        <v/>
      </c>
      <c r="S1787" s="36" t="n">
        <v>45231</v>
      </c>
      <c r="T1787" t="n">
        <v>384369</v>
      </c>
      <c r="U1787" t="inlineStr">
        <is>
          <t>L001-103007369</t>
        </is>
      </c>
      <c r="V1787" t="inlineStr">
        <is>
          <t>អូរៀនថល ឡូជីស្ទីក &amp; ឌីស្ទ្រីប៊្យូសិន (ខេមបូឌា)</t>
        </is>
      </c>
      <c r="W1787" t="n">
        <v>384369</v>
      </c>
      <c r="X1787" t="n">
        <v>0</v>
      </c>
    </row>
    <row r="1788">
      <c r="A1788" t="n">
        <v>1787</v>
      </c>
      <c r="B1788" t="inlineStr">
        <is>
          <t>Document Handover Fee and Handling Charge</t>
        </is>
      </c>
      <c r="C1788" t="inlineStr">
        <is>
          <t>យូសេន ឡូជីស្ទីក (ខេមបូឌា) ខូ អិលធីឌី</t>
        </is>
      </c>
      <c r="D1788" t="inlineStr">
        <is>
          <t>L001-104015799</t>
        </is>
      </c>
      <c r="E1788" t="inlineStr">
        <is>
          <t>PNHTI0072296</t>
        </is>
      </c>
      <c r="F1788" t="inlineStr">
        <is>
          <t>10-11-2024</t>
        </is>
      </c>
      <c r="G1788" t="n">
        <v>32496</v>
      </c>
      <c r="I1788">
        <f>G1788</f>
        <v/>
      </c>
      <c r="K1788">
        <f>I1788-G1788</f>
        <v/>
      </c>
      <c r="M1788" t="inlineStr">
        <is>
          <t>PNHTI0072296</t>
        </is>
      </c>
      <c r="N1788" t="inlineStr">
        <is>
          <t>38436900</t>
        </is>
      </c>
      <c r="O1788">
        <f>M1788=N1788</f>
        <v/>
      </c>
      <c r="P1788">
        <f>AND(MONTH(F1788)=MONTH(S1788), YEAR(F1788)=YEAR(S1788))</f>
        <v/>
      </c>
      <c r="Q1788">
        <f>"L001-902303751"=U1788</f>
        <v/>
      </c>
      <c r="R1788">
        <f>G1788-W1788</f>
        <v/>
      </c>
      <c r="S1788" s="36" t="n">
        <v>45231</v>
      </c>
      <c r="T1788" t="n">
        <v>384369</v>
      </c>
      <c r="U1788" t="inlineStr">
        <is>
          <t>L001-901500191</t>
        </is>
      </c>
      <c r="V1788" t="inlineStr">
        <is>
          <t>អ.អិន.វ៉ាយ ត្រេនស្ព័ត</t>
        </is>
      </c>
      <c r="W1788" t="n">
        <v>384369</v>
      </c>
      <c r="X1788" t="n">
        <v>0</v>
      </c>
    </row>
    <row r="1789">
      <c r="A1789" t="n">
        <v>1788</v>
      </c>
      <c r="B1789" t="inlineStr">
        <is>
          <t>Cargo Terminal</t>
        </is>
      </c>
      <c r="C1789" t="inlineStr">
        <is>
          <t>សូស៊ីយេតេ កុងសេស្យូនែរ ដឺ ឡាអេរ៉ូព័រ</t>
        </is>
      </c>
      <c r="D1789" t="inlineStr">
        <is>
          <t>L001-100047300</t>
        </is>
      </c>
      <c r="E1789" t="inlineStr">
        <is>
          <t>2400091987</t>
        </is>
      </c>
      <c r="F1789" t="inlineStr">
        <is>
          <t>12-11-2024</t>
        </is>
      </c>
      <c r="G1789" t="n">
        <v>5221</v>
      </c>
      <c r="I1789">
        <f>G1789</f>
        <v/>
      </c>
      <c r="K1789">
        <f>I1789-G1789</f>
        <v/>
      </c>
      <c r="M1789" t="inlineStr">
        <is>
          <t>2400091987</t>
        </is>
      </c>
      <c r="N1789" t="inlineStr">
        <is>
          <t>20251700</t>
        </is>
      </c>
      <c r="O1789">
        <f>M1789=N1789</f>
        <v/>
      </c>
      <c r="P1789">
        <f>AND(MONTH(F1789)=MONTH(S1789), YEAR(F1789)=YEAR(S1789))</f>
        <v/>
      </c>
      <c r="Q1789">
        <f>"L001-902303751"=U1789</f>
        <v/>
      </c>
      <c r="R1789">
        <f>G1789-W1789</f>
        <v/>
      </c>
      <c r="S1789" s="36" t="n">
        <v>45231</v>
      </c>
      <c r="T1789" t="n">
        <v>202517</v>
      </c>
      <c r="U1789" t="inlineStr">
        <is>
          <t>L001-100044956</t>
        </is>
      </c>
      <c r="V1789" t="inlineStr">
        <is>
          <t>ជី លីង អិចប្រេស ឡូជីស្ទីក (ខេមបូឌា) លីមីធីត</t>
        </is>
      </c>
      <c r="W1789" t="n">
        <v>202517</v>
      </c>
      <c r="X1789" t="n">
        <v>0</v>
      </c>
    </row>
    <row r="1790">
      <c r="A1790" t="n">
        <v>1789</v>
      </c>
      <c r="B1790" t="inlineStr">
        <is>
          <t>Customs Clearance Fee and Trucking Fee</t>
        </is>
      </c>
      <c r="C1790" t="inlineStr">
        <is>
          <t>ត្រាយអ៊ែងហ្គល ឡូជីស្ទីក (ខេមបូឌា) ឯ.ក</t>
        </is>
      </c>
      <c r="D1790" t="inlineStr">
        <is>
          <t>K010-902101743</t>
        </is>
      </c>
      <c r="E1790" t="inlineStr">
        <is>
          <t>TAG-24-00882</t>
        </is>
      </c>
      <c r="F1790" t="inlineStr">
        <is>
          <t>28-11-2024</t>
        </is>
      </c>
      <c r="G1790" t="n">
        <v>28210</v>
      </c>
      <c r="I1790">
        <f>G1790</f>
        <v/>
      </c>
      <c r="K1790">
        <f>I1790-G1790</f>
        <v/>
      </c>
      <c r="M1790" t="inlineStr">
        <is>
          <t>TAG2400882</t>
        </is>
      </c>
      <c r="N1790" t="inlineStr">
        <is>
          <t>8266000</t>
        </is>
      </c>
      <c r="O1790">
        <f>M1790=N1790</f>
        <v/>
      </c>
      <c r="P1790">
        <f>AND(MONTH(F1790)=MONTH(S1790), YEAR(F1790)=YEAR(S1790))</f>
        <v/>
      </c>
      <c r="Q1790">
        <f>"L001-902303751"=U1790</f>
        <v/>
      </c>
      <c r="R1790">
        <f>G1790-W1790</f>
        <v/>
      </c>
      <c r="S1790" s="36" t="n">
        <v>45231</v>
      </c>
      <c r="T1790" t="n">
        <v>82660</v>
      </c>
      <c r="U1790" t="inlineStr">
        <is>
          <t>K002-901800477</t>
        </is>
      </c>
      <c r="V1790" t="inlineStr">
        <is>
          <t>អាយធីអាយ អ៊ិនធើណេសិនណល ត្រេនស័្ពរថេសិន (ខេមបូឌា) ឯ.ក</t>
        </is>
      </c>
      <c r="W1790" t="n">
        <v>82660</v>
      </c>
      <c r="X1790" t="n">
        <v>0</v>
      </c>
    </row>
    <row r="1791">
      <c r="A1791" t="n">
        <v>1790</v>
      </c>
      <c r="B1791" t="inlineStr">
        <is>
          <t>Demurrage and Storage</t>
        </is>
      </c>
      <c r="C1791" t="inlineStr">
        <is>
          <t>ហ្វ្រេតាស (ខេមបូឌា) ឯ.ក</t>
        </is>
      </c>
      <c r="D1791" t="inlineStr">
        <is>
          <t>K007-901638107</t>
        </is>
      </c>
      <c r="E1791" t="inlineStr">
        <is>
          <t>Y24-148</t>
        </is>
      </c>
      <c r="F1791" t="inlineStr">
        <is>
          <t>18-11-2024</t>
        </is>
      </c>
      <c r="G1791" t="n">
        <v>44047</v>
      </c>
      <c r="I1791">
        <f>G1791</f>
        <v/>
      </c>
      <c r="K1791">
        <f>I1791-G1791</f>
        <v/>
      </c>
      <c r="M1791" t="inlineStr">
        <is>
          <t>Y24148</t>
        </is>
      </c>
      <c r="N1791" t="inlineStr">
        <is>
          <t>8262000</t>
        </is>
      </c>
      <c r="O1791">
        <f>M1791=N1791</f>
        <v/>
      </c>
      <c r="P1791">
        <f>AND(MONTH(F1791)=MONTH(S1791), YEAR(F1791)=YEAR(S1791))</f>
        <v/>
      </c>
      <c r="Q1791">
        <f>"L001-902303751"=U1791</f>
        <v/>
      </c>
      <c r="R1791">
        <f>G1791-W1791</f>
        <v/>
      </c>
      <c r="S1791" s="36" t="n">
        <v>45233</v>
      </c>
      <c r="T1791" t="n">
        <v>82620</v>
      </c>
      <c r="U1791" t="inlineStr">
        <is>
          <t>L001-107032791</t>
        </is>
      </c>
      <c r="V1791" t="inlineStr">
        <is>
          <t>នីបផន អិចប្រេស (ខេមបូឌា) ខូ អិលធីឌី</t>
        </is>
      </c>
      <c r="W1791" t="n">
        <v>82620</v>
      </c>
      <c r="X1791" t="n">
        <v>0</v>
      </c>
    </row>
    <row r="1792">
      <c r="A1792" t="n">
        <v>1791</v>
      </c>
      <c r="B1792" t="inlineStr">
        <is>
          <t>THC, CFS, Scan Fee, CIC-Imbalance, Agency Fee, Document Fee, D.O Fee, LSS, Handling Fee, Importer Security Filing, Fuel Surcharge and Inbound Manifest Filing</t>
        </is>
      </c>
      <c r="C1792" t="inlineStr">
        <is>
          <t>ហ្វ្រេតាស (ខេមបូឌា) ឯ.ក</t>
        </is>
      </c>
      <c r="D1792" t="inlineStr">
        <is>
          <t>K007-901638107</t>
        </is>
      </c>
      <c r="E1792" t="inlineStr">
        <is>
          <t>Y24-147</t>
        </is>
      </c>
      <c r="F1792" t="inlineStr">
        <is>
          <t>11-11-2024</t>
        </is>
      </c>
      <c r="G1792" t="n">
        <v>210057</v>
      </c>
      <c r="I1792">
        <f>G1792</f>
        <v/>
      </c>
      <c r="K1792">
        <f>I1792-G1792</f>
        <v/>
      </c>
      <c r="M1792" t="inlineStr">
        <is>
          <t>Y24147</t>
        </is>
      </c>
      <c r="N1792" t="inlineStr">
        <is>
          <t>11159100</t>
        </is>
      </c>
      <c r="O1792">
        <f>M1792=N1792</f>
        <v/>
      </c>
      <c r="P1792">
        <f>AND(MONTH(F1792)=MONTH(S1792), YEAR(F1792)=YEAR(S1792))</f>
        <v/>
      </c>
      <c r="Q1792">
        <f>"L001-902303751"=U1792</f>
        <v/>
      </c>
      <c r="R1792">
        <f>G1792-W1792</f>
        <v/>
      </c>
      <c r="S1792" s="36" t="n">
        <v>45231</v>
      </c>
      <c r="T1792" t="n">
        <v>111591</v>
      </c>
      <c r="U1792" t="inlineStr">
        <is>
          <t>K002-901800477</t>
        </is>
      </c>
      <c r="V1792" t="inlineStr">
        <is>
          <t>អាយធីអាយ អ៊ិនធើណេសិនណល ត្រេនស័្ពរថេសិន (ខេមបូឌា) ឯ.ក</t>
        </is>
      </c>
      <c r="W1792" t="n">
        <v>111591</v>
      </c>
      <c r="X1792" t="n">
        <v>0</v>
      </c>
    </row>
    <row r="1793">
      <c r="A1793" t="n">
        <v>1792</v>
      </c>
      <c r="B1793" t="inlineStr">
        <is>
          <t>Customs Clearance Fee and Trucking Fee</t>
        </is>
      </c>
      <c r="C1793" t="inlineStr">
        <is>
          <t>ត្រាយអ៊ែងហ្គល ឡូជីស្ទីក (ខេមបូឌា) ឯ.ក</t>
        </is>
      </c>
      <c r="D1793" t="inlineStr">
        <is>
          <t>K010-902101743</t>
        </is>
      </c>
      <c r="E1793" t="inlineStr">
        <is>
          <t>TAG-24-00885</t>
        </is>
      </c>
      <c r="F1793" t="inlineStr">
        <is>
          <t>28-11-2024</t>
        </is>
      </c>
      <c r="G1793" t="n">
        <v>34497</v>
      </c>
      <c r="I1793">
        <f>G1793</f>
        <v/>
      </c>
      <c r="K1793">
        <f>I1793-G1793</f>
        <v/>
      </c>
      <c r="M1793" t="inlineStr">
        <is>
          <t>TAG2400885</t>
        </is>
      </c>
      <c r="N1793" t="inlineStr">
        <is>
          <t>11159100</t>
        </is>
      </c>
      <c r="O1793">
        <f>M1793=N1793</f>
        <v/>
      </c>
      <c r="P1793">
        <f>AND(MONTH(F1793)=MONTH(S1793), YEAR(F1793)=YEAR(S1793))</f>
        <v/>
      </c>
      <c r="Q1793">
        <f>"L001-902303751"=U1793</f>
        <v/>
      </c>
      <c r="R1793">
        <f>G1793-W1793</f>
        <v/>
      </c>
      <c r="S1793" s="36" t="n">
        <v>45231</v>
      </c>
      <c r="T1793" t="n">
        <v>111591</v>
      </c>
      <c r="U1793" t="inlineStr">
        <is>
          <t>K005-901501155</t>
        </is>
      </c>
      <c r="V1793" t="inlineStr">
        <is>
          <t>ផេនដា គ្លូប៊ល ឡូជីស្ទីក (ខេមបូឌា)</t>
        </is>
      </c>
      <c r="W1793" t="n">
        <v>111591</v>
      </c>
      <c r="X1793" t="n">
        <v>0</v>
      </c>
    </row>
    <row r="1794">
      <c r="A1794" t="n">
        <v>1793</v>
      </c>
      <c r="B1794" t="inlineStr">
        <is>
          <t>DOC Fee and Agency Fee</t>
        </is>
      </c>
      <c r="C1794" t="inlineStr">
        <is>
          <t>អ៊ែតវ៉ានស៍ គ្លរី ឡូជីស្ទីក (ខេមបូឌា) (អេ ជី អិល)</t>
        </is>
      </c>
      <c r="D1794" t="inlineStr">
        <is>
          <t>K005-100059945</t>
        </is>
      </c>
      <c r="E1794" t="inlineStr">
        <is>
          <t>AGL2401732</t>
        </is>
      </c>
      <c r="F1794" t="inlineStr">
        <is>
          <t>07-11-2024</t>
        </is>
      </c>
      <c r="G1794" t="n">
        <v>44693</v>
      </c>
      <c r="I1794">
        <f>G1794</f>
        <v/>
      </c>
      <c r="K1794">
        <f>I1794-G1794</f>
        <v/>
      </c>
      <c r="M1794" t="inlineStr">
        <is>
          <t>AGL2401732</t>
        </is>
      </c>
      <c r="N1794" t="inlineStr">
        <is>
          <t>8262000</t>
        </is>
      </c>
      <c r="O1794">
        <f>M1794=N1794</f>
        <v/>
      </c>
      <c r="P1794">
        <f>AND(MONTH(F1794)=MONTH(S1794), YEAR(F1794)=YEAR(S1794))</f>
        <v/>
      </c>
      <c r="Q1794">
        <f>"L001-902303751"=U1794</f>
        <v/>
      </c>
      <c r="R1794">
        <f>G1794-W1794</f>
        <v/>
      </c>
      <c r="S1794" s="36" t="n">
        <v>45236</v>
      </c>
      <c r="T1794" t="n">
        <v>82620</v>
      </c>
      <c r="U1794" t="inlineStr">
        <is>
          <t>L001-107032791</t>
        </is>
      </c>
      <c r="V1794" t="inlineStr">
        <is>
          <t>នីបផន អិចប្រេស (ខេមបូឌា) ខូ អិលធីឌី</t>
        </is>
      </c>
      <c r="W1794" t="n">
        <v>82620</v>
      </c>
      <c r="X1794" t="n">
        <v>0</v>
      </c>
    </row>
    <row r="1795">
      <c r="A1795" t="n">
        <v>1794</v>
      </c>
      <c r="B1795" t="inlineStr">
        <is>
          <t>Cargo Terminal</t>
        </is>
      </c>
      <c r="C1795" t="inlineStr">
        <is>
          <t>សូស៊ីយេតេ កុងសេស្យូនែរ ដឺ ឡាអេរ៉ូព័រ</t>
        </is>
      </c>
      <c r="D1795" t="inlineStr">
        <is>
          <t>L001-100047300</t>
        </is>
      </c>
      <c r="E1795" t="inlineStr">
        <is>
          <t>2400090645</t>
        </is>
      </c>
      <c r="F1795" t="inlineStr">
        <is>
          <t>08-11-2024</t>
        </is>
      </c>
      <c r="G1795" t="n">
        <v>4158</v>
      </c>
      <c r="I1795">
        <f>G1795</f>
        <v/>
      </c>
      <c r="K1795">
        <f>I1795-G1795</f>
        <v/>
      </c>
      <c r="M1795" t="inlineStr">
        <is>
          <t>2400090645</t>
        </is>
      </c>
      <c r="N1795" t="inlineStr">
        <is>
          <t>30073700</t>
        </is>
      </c>
      <c r="O1795">
        <f>M1795=N1795</f>
        <v/>
      </c>
      <c r="P1795">
        <f>AND(MONTH(F1795)=MONTH(S1795), YEAR(F1795)=YEAR(S1795))</f>
        <v/>
      </c>
      <c r="Q1795">
        <f>"L001-902303751"=U1795</f>
        <v/>
      </c>
      <c r="R1795">
        <f>G1795-W1795</f>
        <v/>
      </c>
      <c r="S1795" s="36" t="n">
        <v>45236</v>
      </c>
      <c r="T1795" t="n">
        <v>300737</v>
      </c>
      <c r="U1795" t="inlineStr">
        <is>
          <t>L001-100074669</t>
        </is>
      </c>
      <c r="V1795" t="inlineStr">
        <is>
          <t>ខេអិលអិន ហ្វ្រេត (ខេមបូឌា) ឯ.ក</t>
        </is>
      </c>
      <c r="W1795" t="n">
        <v>300737</v>
      </c>
      <c r="X1795" t="n">
        <v>0</v>
      </c>
    </row>
    <row r="1796">
      <c r="A1796" t="n">
        <v>1795</v>
      </c>
      <c r="B1796" t="inlineStr">
        <is>
          <t>Customs Clearance Fee and Trucking Fee</t>
        </is>
      </c>
      <c r="C1796" t="inlineStr">
        <is>
          <t>ត្រាយអ៊ែងហ្គល ឡូជីស្ទីក (ខេមបូឌា) ឯ.ក</t>
        </is>
      </c>
      <c r="D1796" t="inlineStr">
        <is>
          <t>K010-902101743</t>
        </is>
      </c>
      <c r="E1796" t="inlineStr">
        <is>
          <t>TAG-24-00848</t>
        </is>
      </c>
      <c r="F1796" t="inlineStr">
        <is>
          <t>18-11-2024</t>
        </is>
      </c>
      <c r="G1796" t="n">
        <v>28287</v>
      </c>
      <c r="I1796">
        <f>G1796</f>
        <v/>
      </c>
      <c r="K1796">
        <f>I1796-G1796</f>
        <v/>
      </c>
      <c r="M1796" t="inlineStr">
        <is>
          <t>TAG2400848</t>
        </is>
      </c>
      <c r="N1796" t="inlineStr"/>
      <c r="O1796">
        <f>M1796=N1796</f>
        <v/>
      </c>
      <c r="P1796">
        <f>AND(MONTH(F1796)=MONTH(S1796), YEAR(F1796)=YEAR(S1796))</f>
        <v/>
      </c>
      <c r="Q1796">
        <f>"L001-902303751"=U1796</f>
        <v/>
      </c>
      <c r="R1796">
        <f>G1796-W1796</f>
        <v/>
      </c>
      <c r="S1796" s="36" t="n">
        <v>45244</v>
      </c>
      <c r="T1796" t="inlineStr"/>
      <c r="U1796" t="inlineStr">
        <is>
          <t>K002-901800477</t>
        </is>
      </c>
      <c r="V1796" t="inlineStr">
        <is>
          <t>អាយធីអាយ អ៊ិនធើណេសិនណល ត្រេនស័្ពរថេសិន (ខេមបូឌា) ឯ.ក</t>
        </is>
      </c>
      <c r="W1796" t="n">
        <v>0</v>
      </c>
      <c r="X1796" t="n">
        <v>0</v>
      </c>
    </row>
    <row r="1797">
      <c r="A1797" t="n">
        <v>1796</v>
      </c>
      <c r="B1797" t="inlineStr">
        <is>
          <t>Cargo Terminal</t>
        </is>
      </c>
      <c r="C1797" t="inlineStr">
        <is>
          <t>សូស៊ីយេតេ កុងសេស្យូនែរ ដឺ ឡាអេរ៉ូព័រ</t>
        </is>
      </c>
      <c r="D1797" t="inlineStr">
        <is>
          <t>L001-100047300</t>
        </is>
      </c>
      <c r="E1797" t="inlineStr">
        <is>
          <t>2400090584</t>
        </is>
      </c>
      <c r="F1797" t="inlineStr">
        <is>
          <t>08-11-2024</t>
        </is>
      </c>
      <c r="G1797" t="n">
        <v>3623</v>
      </c>
      <c r="I1797">
        <f>G1797</f>
        <v/>
      </c>
      <c r="K1797">
        <f>I1797-G1797</f>
        <v/>
      </c>
      <c r="M1797" t="inlineStr">
        <is>
          <t>2400090584</t>
        </is>
      </c>
      <c r="N1797" t="inlineStr"/>
      <c r="O1797">
        <f>M1797=N1797</f>
        <v/>
      </c>
      <c r="P1797">
        <f>AND(MONTH(F1797)=MONTH(S1797), YEAR(F1797)=YEAR(S1797))</f>
        <v/>
      </c>
      <c r="Q1797">
        <f>"L001-902303751"=U1797</f>
        <v/>
      </c>
      <c r="R1797">
        <f>G1797-W1797</f>
        <v/>
      </c>
      <c r="S1797" s="36" t="n">
        <v>45259</v>
      </c>
      <c r="T1797" t="inlineStr"/>
      <c r="U1797" t="inlineStr">
        <is>
          <t>L001-100074669</t>
        </is>
      </c>
      <c r="V1797" t="inlineStr">
        <is>
          <t>ខេអិលអិន ហ្វ្រេត (ខេមបូឌា) ឯ.ក</t>
        </is>
      </c>
      <c r="W1797" t="n">
        <v>0</v>
      </c>
      <c r="X1797" t="n">
        <v>0</v>
      </c>
    </row>
    <row r="1798">
      <c r="A1798" t="n">
        <v>1797</v>
      </c>
      <c r="B1798" t="inlineStr">
        <is>
          <t>Customs Clearance Fee and Trucking Fee</t>
        </is>
      </c>
      <c r="C1798" t="inlineStr">
        <is>
          <t>ត្រាយអ៊ែងហ្គល ឡូជីស្ទីក (ខេមបូឌា) ឯ.ក</t>
        </is>
      </c>
      <c r="D1798" t="inlineStr">
        <is>
          <t>K010-902101743</t>
        </is>
      </c>
      <c r="E1798" t="inlineStr">
        <is>
          <t>TAG-24-00849</t>
        </is>
      </c>
      <c r="F1798" t="inlineStr">
        <is>
          <t>18-11-2024</t>
        </is>
      </c>
      <c r="G1798" t="n">
        <v>28287</v>
      </c>
      <c r="I1798">
        <f>G1798</f>
        <v/>
      </c>
      <c r="K1798">
        <f>I1798-G1798</f>
        <v/>
      </c>
      <c r="M1798" t="inlineStr">
        <is>
          <t>TAG2400849</t>
        </is>
      </c>
      <c r="N1798" t="inlineStr">
        <is>
          <t>20682400</t>
        </is>
      </c>
      <c r="O1798">
        <f>M1798=N1798</f>
        <v/>
      </c>
      <c r="P1798">
        <f>AND(MONTH(F1798)=MONTH(S1798), YEAR(F1798)=YEAR(S1798))</f>
        <v/>
      </c>
      <c r="Q1798">
        <f>"L001-902303751"=U1798</f>
        <v/>
      </c>
      <c r="R1798">
        <f>G1798-W1798</f>
        <v/>
      </c>
      <c r="S1798" s="36" t="n">
        <v>45250</v>
      </c>
      <c r="T1798" t="n">
        <v>206824</v>
      </c>
      <c r="U1798" t="inlineStr">
        <is>
          <t>L001-100074669</t>
        </is>
      </c>
      <c r="V1798" t="inlineStr">
        <is>
          <t>ខេអិលអិន ហ្វ្រេត (ខេមបូឌា) ឯ.ក</t>
        </is>
      </c>
      <c r="W1798" t="n">
        <v>206824</v>
      </c>
      <c r="X1798" t="n">
        <v>0</v>
      </c>
    </row>
    <row r="1799">
      <c r="A1799" t="n">
        <v>1798</v>
      </c>
      <c r="B1799" t="inlineStr">
        <is>
          <t>Terminal Handling Charge, Container Freight Station, Scanning Fee, Delivery order Fee, Document Fee, Agency Fee, Co-Loader Fee and Container Imbalance Charge</t>
        </is>
      </c>
      <c r="C1799" t="inlineStr">
        <is>
          <t>ផេនដា គ្លូប៊ល ឡូជីស្ទីក (ខេមបូឌា)</t>
        </is>
      </c>
      <c r="D1799" t="inlineStr">
        <is>
          <t>K005-901501155</t>
        </is>
      </c>
      <c r="E1799" t="inlineStr">
        <is>
          <t>PD240461</t>
        </is>
      </c>
      <c r="F1799" t="inlineStr">
        <is>
          <t>18-11-2024</t>
        </is>
      </c>
      <c r="G1799" t="n">
        <v>88498</v>
      </c>
      <c r="I1799">
        <f>G1799</f>
        <v/>
      </c>
      <c r="K1799">
        <f>I1799-G1799</f>
        <v/>
      </c>
      <c r="M1799" t="inlineStr">
        <is>
          <t>PD240461</t>
        </is>
      </c>
      <c r="N1799" t="inlineStr">
        <is>
          <t>20139000</t>
        </is>
      </c>
      <c r="O1799">
        <f>M1799=N1799</f>
        <v/>
      </c>
      <c r="P1799">
        <f>AND(MONTH(F1799)=MONTH(S1799), YEAR(F1799)=YEAR(S1799))</f>
        <v/>
      </c>
      <c r="Q1799">
        <f>"L001-902303751"=U1799</f>
        <v/>
      </c>
      <c r="R1799">
        <f>G1799-W1799</f>
        <v/>
      </c>
      <c r="S1799" s="36" t="n">
        <v>45244</v>
      </c>
      <c r="T1799" t="n">
        <v>201390</v>
      </c>
      <c r="U1799" t="inlineStr">
        <is>
          <t>K002-901800477</t>
        </is>
      </c>
      <c r="V1799" t="inlineStr">
        <is>
          <t>អាយធីអាយ អ៊ិនធើណេសិនណល ត្រេនស័្ពរថេសិន (ខេមបូឌា) ឯ.ក</t>
        </is>
      </c>
      <c r="W1799" t="n">
        <v>201390</v>
      </c>
      <c r="X1799" t="n">
        <v>0</v>
      </c>
    </row>
    <row r="1800">
      <c r="A1800" t="n">
        <v>1799</v>
      </c>
      <c r="B1800" t="inlineStr">
        <is>
          <t>Charge from Warehouse/cy to trucks and Storage Charges</t>
        </is>
      </c>
      <c r="C1800" t="inlineStr">
        <is>
          <t>កំពង់ផែស្វយ័តក្រុងព្រះសីហនុ</t>
        </is>
      </c>
      <c r="D1800" t="inlineStr">
        <is>
          <t>L001-100044638</t>
        </is>
      </c>
      <c r="E1800" t="inlineStr">
        <is>
          <t>242641</t>
        </is>
      </c>
      <c r="F1800" t="inlineStr">
        <is>
          <t>22-11-2024</t>
        </is>
      </c>
      <c r="G1800" t="n">
        <v>736</v>
      </c>
      <c r="I1800">
        <f>G1800</f>
        <v/>
      </c>
      <c r="K1800">
        <f>I1800-G1800</f>
        <v/>
      </c>
      <c r="M1800" t="inlineStr">
        <is>
          <t>242641</t>
        </is>
      </c>
      <c r="N1800" t="inlineStr">
        <is>
          <t>11159100</t>
        </is>
      </c>
      <c r="O1800">
        <f>M1800=N1800</f>
        <v/>
      </c>
      <c r="P1800">
        <f>AND(MONTH(F1800)=MONTH(S1800), YEAR(F1800)=YEAR(S1800))</f>
        <v/>
      </c>
      <c r="Q1800">
        <f>"L001-902303751"=U1800</f>
        <v/>
      </c>
      <c r="R1800">
        <f>G1800-W1800</f>
        <v/>
      </c>
      <c r="S1800" s="36" t="n">
        <v>45231</v>
      </c>
      <c r="T1800" t="n">
        <v>111591</v>
      </c>
      <c r="U1800" t="inlineStr">
        <is>
          <t>L001-902000739</t>
        </is>
      </c>
      <c r="V1800" t="inlineStr">
        <is>
          <t>អាន រ៉ុង ហ្ស៊ី យី ឯ.ក</t>
        </is>
      </c>
      <c r="W1800" t="n">
        <v>111591</v>
      </c>
      <c r="X1800" t="n">
        <v>0</v>
      </c>
    </row>
    <row r="1801">
      <c r="A1801" t="n">
        <v>1800</v>
      </c>
      <c r="B1801" t="inlineStr">
        <is>
          <t>Customs Clearance Fee and Trucking Fee</t>
        </is>
      </c>
      <c r="C1801" t="inlineStr">
        <is>
          <t>ត្រាយអ៊ែងហ្គល ឡូជីស្ទីក (ខេមបូឌា) ឯ.ក</t>
        </is>
      </c>
      <c r="D1801" t="inlineStr">
        <is>
          <t>K010-902101743</t>
        </is>
      </c>
      <c r="E1801" t="inlineStr">
        <is>
          <t>TAG-24-00890</t>
        </is>
      </c>
      <c r="F1801" t="inlineStr">
        <is>
          <t>28-11-2024</t>
        </is>
      </c>
      <c r="G1801" t="n">
        <v>32240</v>
      </c>
      <c r="I1801">
        <f>G1801</f>
        <v/>
      </c>
      <c r="K1801">
        <f>I1801-G1801</f>
        <v/>
      </c>
      <c r="M1801" t="inlineStr">
        <is>
          <t>TAG2400890</t>
        </is>
      </c>
      <c r="N1801" t="inlineStr"/>
      <c r="O1801">
        <f>M1801=N1801</f>
        <v/>
      </c>
      <c r="P1801">
        <f>AND(MONTH(F1801)=MONTH(S1801), YEAR(F1801)=YEAR(S1801))</f>
        <v/>
      </c>
      <c r="Q1801">
        <f>"L001-902303751"=U1801</f>
        <v/>
      </c>
      <c r="R1801">
        <f>G1801-W1801</f>
        <v/>
      </c>
      <c r="S1801" s="36" t="n">
        <v>45231</v>
      </c>
      <c r="T1801" t="inlineStr"/>
      <c r="U1801" t="inlineStr">
        <is>
          <t>K002-901800477</t>
        </is>
      </c>
      <c r="V1801" t="inlineStr">
        <is>
          <t>អាយធីអាយ អ៊ិនធើណេសិនណល ត្រេនស័្ពរថេសិន (ខេមបូឌា) ឯ.ក</t>
        </is>
      </c>
      <c r="W1801" t="n">
        <v>0</v>
      </c>
      <c r="X1801" t="n">
        <v>0</v>
      </c>
    </row>
    <row r="1802">
      <c r="A1802" t="n">
        <v>1801</v>
      </c>
      <c r="B1802" t="inlineStr">
        <is>
          <t>Doc Fee and Handling Fee</t>
        </is>
      </c>
      <c r="C1802" t="inlineStr">
        <is>
          <t>អិមអាយ ឡូជីកស៍ (ខេមបូឌា)</t>
        </is>
      </c>
      <c r="D1802" t="inlineStr">
        <is>
          <t>K009-107021862</t>
        </is>
      </c>
      <c r="E1802" t="inlineStr">
        <is>
          <t>MII202411-002</t>
        </is>
      </c>
      <c r="F1802" t="inlineStr">
        <is>
          <t>04-11-2024</t>
        </is>
      </c>
      <c r="G1802" t="n">
        <v>24390</v>
      </c>
      <c r="I1802">
        <f>G1802</f>
        <v/>
      </c>
      <c r="K1802">
        <f>I1802-G1802</f>
        <v/>
      </c>
      <c r="M1802" t="inlineStr">
        <is>
          <t>MII202411002</t>
        </is>
      </c>
      <c r="N1802" t="inlineStr"/>
      <c r="O1802">
        <f>M1802=N1802</f>
        <v/>
      </c>
      <c r="P1802">
        <f>AND(MONTH(F1802)=MONTH(S1802), YEAR(F1802)=YEAR(S1802))</f>
        <v/>
      </c>
      <c r="Q1802">
        <f>"L001-902303751"=U1802</f>
        <v/>
      </c>
      <c r="R1802">
        <f>G1802-W1802</f>
        <v/>
      </c>
      <c r="S1802" s="36" t="n">
        <v>45231</v>
      </c>
      <c r="T1802" t="inlineStr"/>
      <c r="U1802" t="inlineStr">
        <is>
          <t>K002-901800477</t>
        </is>
      </c>
      <c r="V1802" t="inlineStr">
        <is>
          <t>អាយធីអាយ អ៊ិនធើណេសិនណល ត្រេនស័្ពរថេសិន (ខេមបូឌា) ឯ.ក</t>
        </is>
      </c>
      <c r="W1802" t="n">
        <v>0</v>
      </c>
      <c r="X1802" t="n">
        <v>0</v>
      </c>
    </row>
    <row r="1803">
      <c r="A1803" t="n">
        <v>1802</v>
      </c>
      <c r="B1803" t="inlineStr">
        <is>
          <t>Cargo Terminal</t>
        </is>
      </c>
      <c r="C1803" t="inlineStr">
        <is>
          <t>សូស៊ីយេតេ កុងសេស្យូនែរ ដឺ ឡាអេរ៉ូព័រ</t>
        </is>
      </c>
      <c r="D1803" t="inlineStr">
        <is>
          <t>L001-100047300</t>
        </is>
      </c>
      <c r="E1803" t="inlineStr">
        <is>
          <t>2400089511</t>
        </is>
      </c>
      <c r="F1803" t="inlineStr">
        <is>
          <t>05-11-2024</t>
        </is>
      </c>
      <c r="G1803" t="n">
        <v>2698</v>
      </c>
      <c r="I1803">
        <f>G1803</f>
        <v/>
      </c>
      <c r="K1803">
        <f>I1803-G1803</f>
        <v/>
      </c>
      <c r="M1803" t="inlineStr">
        <is>
          <t>2400089511</t>
        </is>
      </c>
      <c r="N1803" t="inlineStr">
        <is>
          <t>11153700</t>
        </is>
      </c>
      <c r="O1803">
        <f>M1803=N1803</f>
        <v/>
      </c>
      <c r="P1803">
        <f>AND(MONTH(F1803)=MONTH(S1803), YEAR(F1803)=YEAR(S1803))</f>
        <v/>
      </c>
      <c r="Q1803">
        <f>"L001-902303751"=U1803</f>
        <v/>
      </c>
      <c r="R1803">
        <f>G1803-W1803</f>
        <v/>
      </c>
      <c r="S1803" s="36" t="n">
        <v>45233</v>
      </c>
      <c r="T1803" t="n">
        <v>111537</v>
      </c>
      <c r="U1803" t="inlineStr">
        <is>
          <t>L001-902000739</t>
        </is>
      </c>
      <c r="V1803" t="inlineStr">
        <is>
          <t>អាន រ៉ុង ហ្ស៊ី យី ឯ.ក</t>
        </is>
      </c>
      <c r="W1803" t="n">
        <v>111537</v>
      </c>
      <c r="X1803" t="n">
        <v>0</v>
      </c>
    </row>
    <row r="1804">
      <c r="A1804" t="n">
        <v>1803</v>
      </c>
      <c r="B1804" t="inlineStr">
        <is>
          <t>Gate Fee Charges-GC Truck-1-6 Tons</t>
        </is>
      </c>
      <c r="C1804" t="inlineStr">
        <is>
          <t>កំពង់ផែស្វយ័តភ្នំពេញ "ក.ស.ភ"</t>
        </is>
      </c>
      <c r="D1804" t="inlineStr">
        <is>
          <t>L001-100044999</t>
        </is>
      </c>
      <c r="E1804" t="inlineStr">
        <is>
          <t>INV20241185094</t>
        </is>
      </c>
      <c r="F1804" t="inlineStr">
        <is>
          <t>13-11-2024</t>
        </is>
      </c>
      <c r="G1804" t="n">
        <v>810</v>
      </c>
      <c r="I1804">
        <f>G1804</f>
        <v/>
      </c>
      <c r="K1804">
        <f>I1804-G1804</f>
        <v/>
      </c>
      <c r="M1804" t="inlineStr">
        <is>
          <t>INV20241185094</t>
        </is>
      </c>
      <c r="N1804" t="inlineStr"/>
      <c r="O1804">
        <f>M1804=N1804</f>
        <v/>
      </c>
      <c r="P1804">
        <f>AND(MONTH(F1804)=MONTH(S1804), YEAR(F1804)=YEAR(S1804))</f>
        <v/>
      </c>
      <c r="Q1804">
        <f>"L001-902303751"=U1804</f>
        <v/>
      </c>
      <c r="R1804">
        <f>G1804-W1804</f>
        <v/>
      </c>
      <c r="S1804" s="36" t="n">
        <v>45244</v>
      </c>
      <c r="T1804" t="inlineStr"/>
      <c r="U1804" t="inlineStr">
        <is>
          <t>L001-100044956</t>
        </is>
      </c>
      <c r="V1804" t="inlineStr">
        <is>
          <t>ជី លីង អិចប្រេស ឡូជីស្ទីក (ខេមបូឌា) លីមីធីត</t>
        </is>
      </c>
      <c r="W1804" t="n">
        <v>0</v>
      </c>
      <c r="X1804" t="n">
        <v>0</v>
      </c>
    </row>
    <row r="1805">
      <c r="A1805" t="n">
        <v>1804</v>
      </c>
      <c r="B1805" t="inlineStr">
        <is>
          <t>Demurrage and Storage</t>
        </is>
      </c>
      <c r="C1805" t="inlineStr">
        <is>
          <t>ខ្វនធើម ឡូជីស្ទីក (ខេមបូឌា) ឯ.ក</t>
        </is>
      </c>
      <c r="D1805" t="inlineStr">
        <is>
          <t>K002-901900921</t>
        </is>
      </c>
      <c r="E1805" t="inlineStr">
        <is>
          <t>QT241646</t>
        </is>
      </c>
      <c r="F1805" t="inlineStr">
        <is>
          <t>18-11-2024</t>
        </is>
      </c>
      <c r="G1805" t="n">
        <v>32328</v>
      </c>
      <c r="I1805">
        <f>G1805</f>
        <v/>
      </c>
      <c r="K1805">
        <f>I1805-G1805</f>
        <v/>
      </c>
      <c r="M1805" t="inlineStr">
        <is>
          <t>QT241646</t>
        </is>
      </c>
      <c r="N1805" t="inlineStr">
        <is>
          <t>8220000</t>
        </is>
      </c>
      <c r="O1805">
        <f>M1805=N1805</f>
        <v/>
      </c>
      <c r="P1805">
        <f>AND(MONTH(F1805)=MONTH(S1805), YEAR(F1805)=YEAR(S1805))</f>
        <v/>
      </c>
      <c r="Q1805">
        <f>"L001-902303751"=U1805</f>
        <v/>
      </c>
      <c r="R1805">
        <f>G1805-W1805</f>
        <v/>
      </c>
      <c r="S1805" s="36" t="n">
        <v>45244</v>
      </c>
      <c r="T1805" t="n">
        <v>82200</v>
      </c>
      <c r="U1805" t="inlineStr">
        <is>
          <t>L001-103007369</t>
        </is>
      </c>
      <c r="V1805" t="inlineStr">
        <is>
          <t>អូរៀនថល ឡូជីស្ទីក &amp; ឌីស្ទ្រីប៊្យូសិន (ខេមបូឌា)</t>
        </is>
      </c>
      <c r="W1805" t="n">
        <v>82200</v>
      </c>
      <c r="X1805" t="n">
        <v>0</v>
      </c>
    </row>
    <row r="1806">
      <c r="A1806" t="n">
        <v>1805</v>
      </c>
      <c r="B1806" t="inlineStr">
        <is>
          <t>Documentation Fee and Handling Charges</t>
        </is>
      </c>
      <c r="C1806" t="inlineStr">
        <is>
          <t>អេជីអិកស៍ ឡូជីស្ទីក (ខេមបូឌា) ខូ អិលធីឌី</t>
        </is>
      </c>
      <c r="D1806" t="inlineStr">
        <is>
          <t>K002-901504703</t>
        </is>
      </c>
      <c r="E1806" t="inlineStr">
        <is>
          <t>TINV-24-0455</t>
        </is>
      </c>
      <c r="F1806" t="inlineStr">
        <is>
          <t>27-11-2024</t>
        </is>
      </c>
      <c r="G1806" t="n">
        <v>38228</v>
      </c>
      <c r="I1806">
        <f>G1806</f>
        <v/>
      </c>
      <c r="K1806">
        <f>I1806-G1806</f>
        <v/>
      </c>
      <c r="M1806" t="inlineStr">
        <is>
          <t>TINV240455</t>
        </is>
      </c>
      <c r="N1806" t="inlineStr">
        <is>
          <t>29957200</t>
        </is>
      </c>
      <c r="O1806">
        <f>M1806=N1806</f>
        <v/>
      </c>
      <c r="P1806">
        <f>AND(MONTH(F1806)=MONTH(S1806), YEAR(F1806)=YEAR(S1806))</f>
        <v/>
      </c>
      <c r="Q1806">
        <f>"L001-902303751"=U1806</f>
        <v/>
      </c>
      <c r="R1806">
        <f>G1806-W1806</f>
        <v/>
      </c>
      <c r="S1806" s="36" t="n">
        <v>45259</v>
      </c>
      <c r="T1806" t="n">
        <v>299572</v>
      </c>
      <c r="U1806" t="inlineStr">
        <is>
          <t>L001-100074669</t>
        </is>
      </c>
      <c r="V1806" t="inlineStr">
        <is>
          <t>ខេអិលអិន ហ្វ្រេត (ខេមបូឌា) ឯ.ក</t>
        </is>
      </c>
      <c r="W1806" t="n">
        <v>299572</v>
      </c>
      <c r="X1806" t="n">
        <v>0</v>
      </c>
    </row>
    <row r="1807">
      <c r="A1807" t="n">
        <v>1806</v>
      </c>
      <c r="B1807" t="inlineStr">
        <is>
          <t>Customs Clearance Fee and Trucking Fee</t>
        </is>
      </c>
      <c r="C1807" t="inlineStr">
        <is>
          <t>ត្រាយអ៊ែងហ្គល ឡូជីស្ទីក (ខេមបូឌា) ឯ.ក</t>
        </is>
      </c>
      <c r="D1807" t="inlineStr">
        <is>
          <t>K010-902101743</t>
        </is>
      </c>
      <c r="E1807" t="inlineStr">
        <is>
          <t>TAG-24-00886</t>
        </is>
      </c>
      <c r="F1807" t="inlineStr">
        <is>
          <t>28-11-2024</t>
        </is>
      </c>
      <c r="G1807" t="n">
        <v>28210</v>
      </c>
      <c r="I1807">
        <f>G1807</f>
        <v/>
      </c>
      <c r="K1807">
        <f>I1807-G1807</f>
        <v/>
      </c>
      <c r="M1807" t="inlineStr">
        <is>
          <t>TAG2400886</t>
        </is>
      </c>
      <c r="N1807" t="inlineStr"/>
      <c r="O1807">
        <f>M1807=N1807</f>
        <v/>
      </c>
      <c r="P1807">
        <f>AND(MONTH(F1807)=MONTH(S1807), YEAR(F1807)=YEAR(S1807))</f>
        <v/>
      </c>
      <c r="Q1807">
        <f>"L001-902303751"=U1807</f>
        <v/>
      </c>
      <c r="R1807">
        <f>G1807-W1807</f>
        <v/>
      </c>
      <c r="S1807" s="36" t="n">
        <v>45250</v>
      </c>
      <c r="T1807" t="inlineStr"/>
      <c r="U1807" t="inlineStr">
        <is>
          <t>L001-100074669</t>
        </is>
      </c>
      <c r="V1807" t="inlineStr">
        <is>
          <t>ខេអិលអិន ហ្វ្រេត (ខេមបូឌា) ឯ.ក</t>
        </is>
      </c>
      <c r="W1807" t="n">
        <v>0</v>
      </c>
      <c r="X1807" t="n">
        <v>0</v>
      </c>
    </row>
    <row r="1808">
      <c r="A1808" t="n">
        <v>1807</v>
      </c>
      <c r="B1808" t="inlineStr">
        <is>
          <t>Customs Clearance Fee and Trucking Fee</t>
        </is>
      </c>
      <c r="C1808" t="inlineStr">
        <is>
          <t>ត្រាយអ៊ែងហ្គល ឡូជីស្ទីក (ខេមបូឌា) ឯ.ក</t>
        </is>
      </c>
      <c r="D1808" t="inlineStr">
        <is>
          <t>K010-902101743</t>
        </is>
      </c>
      <c r="E1808" t="inlineStr">
        <is>
          <t>TAG-24-00904</t>
        </is>
      </c>
      <c r="F1808" t="inlineStr">
        <is>
          <t>29-11-2024</t>
        </is>
      </c>
      <c r="G1808" t="n">
        <v>28196</v>
      </c>
      <c r="I1808">
        <f>G1808</f>
        <v/>
      </c>
      <c r="K1808">
        <f>I1808-G1808</f>
        <v/>
      </c>
      <c r="M1808" t="inlineStr">
        <is>
          <t>TAG2400904</t>
        </is>
      </c>
      <c r="N1808" t="inlineStr"/>
      <c r="O1808">
        <f>M1808=N1808</f>
        <v/>
      </c>
      <c r="P1808">
        <f>AND(MONTH(F1808)=MONTH(S1808), YEAR(F1808)=YEAR(S1808))</f>
        <v/>
      </c>
      <c r="Q1808">
        <f>"L001-902303751"=U1808</f>
        <v/>
      </c>
      <c r="R1808">
        <f>G1808-W1808</f>
        <v/>
      </c>
      <c r="S1808" s="36" t="n">
        <v>45231</v>
      </c>
      <c r="T1808" t="inlineStr"/>
      <c r="U1808" t="inlineStr">
        <is>
          <t>L001-902000739</t>
        </is>
      </c>
      <c r="V1808" t="inlineStr">
        <is>
          <t>អាន រ៉ុង ហ្ស៊ី យី ឯ.ក</t>
        </is>
      </c>
      <c r="W1808" t="n">
        <v>0</v>
      </c>
      <c r="X1808" t="n">
        <v>0</v>
      </c>
    </row>
    <row r="1809">
      <c r="A1809" t="n">
        <v>1808</v>
      </c>
      <c r="B1809" t="inlineStr">
        <is>
          <t>THC, DOC Fee and Container Imbalance</t>
        </is>
      </c>
      <c r="C1809" t="inlineStr">
        <is>
          <t>សាខាក្រុមហ៊ុន ជីម៉ាឌីប ស៊ីបភីង ខមភេនី លីមីធីត</t>
        </is>
      </c>
      <c r="D1809" t="inlineStr">
        <is>
          <t>L001-901704777</t>
        </is>
      </c>
      <c r="E1809" t="inlineStr">
        <is>
          <t>24-04372</t>
        </is>
      </c>
      <c r="F1809" t="inlineStr">
        <is>
          <t>25-11-2024</t>
        </is>
      </c>
      <c r="G1809" t="n">
        <v>94329</v>
      </c>
      <c r="I1809">
        <f>G1809</f>
        <v/>
      </c>
      <c r="K1809">
        <f>I1809-G1809</f>
        <v/>
      </c>
      <c r="M1809" t="inlineStr">
        <is>
          <t>2404372</t>
        </is>
      </c>
      <c r="N1809" t="inlineStr">
        <is>
          <t>129362900</t>
        </is>
      </c>
      <c r="O1809">
        <f>M1809=N1809</f>
        <v/>
      </c>
      <c r="P1809">
        <f>AND(MONTH(F1809)=MONTH(S1809), YEAR(F1809)=YEAR(S1809))</f>
        <v/>
      </c>
      <c r="Q1809">
        <f>"L001-902303751"=U1809</f>
        <v/>
      </c>
      <c r="R1809">
        <f>G1809-W1809</f>
        <v/>
      </c>
      <c r="S1809" s="36" t="n">
        <v>45231</v>
      </c>
      <c r="T1809" t="n">
        <v>1293629</v>
      </c>
      <c r="U1809" t="inlineStr">
        <is>
          <t>K002-901800477</t>
        </is>
      </c>
      <c r="V1809" t="inlineStr">
        <is>
          <t>អាយធីអាយ អ៊ិនធើណេសិនណល ត្រេនស័្ពរថេសិន (ខេមបូឌា) ឯ.ក</t>
        </is>
      </c>
      <c r="W1809" t="n">
        <v>1293629</v>
      </c>
      <c r="X1809" t="n">
        <v>0</v>
      </c>
    </row>
    <row r="1810">
      <c r="A1810" t="n">
        <v>1809</v>
      </c>
      <c r="B1810" t="inlineStr">
        <is>
          <t>Lift-On Charge and Gate Fee Charge 20" Full</t>
        </is>
      </c>
      <c r="C1810" t="inlineStr">
        <is>
          <t>កំពង់ផែស្វយ័តភ្នំពេញ "ក.ស.ភ"</t>
        </is>
      </c>
      <c r="D1810" t="inlineStr">
        <is>
          <t>L001-100044999</t>
        </is>
      </c>
      <c r="E1810" t="inlineStr">
        <is>
          <t>INV20241188575</t>
        </is>
      </c>
      <c r="F1810" t="inlineStr">
        <is>
          <t>27-11-2024</t>
        </is>
      </c>
      <c r="G1810" t="n">
        <v>18510</v>
      </c>
      <c r="I1810">
        <f>G1810</f>
        <v/>
      </c>
      <c r="K1810">
        <f>I1810-G1810</f>
        <v/>
      </c>
      <c r="M1810" t="inlineStr">
        <is>
          <t>INV20241188575</t>
        </is>
      </c>
      <c r="N1810" t="inlineStr">
        <is>
          <t>8220000</t>
        </is>
      </c>
      <c r="O1810">
        <f>M1810=N1810</f>
        <v/>
      </c>
      <c r="P1810">
        <f>AND(MONTH(F1810)=MONTH(S1810), YEAR(F1810)=YEAR(S1810))</f>
        <v/>
      </c>
      <c r="Q1810">
        <f>"L001-902303751"=U1810</f>
        <v/>
      </c>
      <c r="R1810">
        <f>G1810-W1810</f>
        <v/>
      </c>
      <c r="S1810" s="36" t="n">
        <v>45244</v>
      </c>
      <c r="T1810" t="n">
        <v>82200</v>
      </c>
      <c r="U1810" t="inlineStr">
        <is>
          <t>K002-901800477</t>
        </is>
      </c>
      <c r="V1810" t="inlineStr">
        <is>
          <t>អាយធីអាយ អ៊ិនធើណេសិនណល ត្រេនស័្ពរថេសិន (ខេមបូឌា) ឯ.ក</t>
        </is>
      </c>
      <c r="W1810" t="n">
        <v>82200</v>
      </c>
      <c r="X1810" t="n">
        <v>0</v>
      </c>
    </row>
    <row r="1811">
      <c r="A1811" t="n">
        <v>1810</v>
      </c>
      <c r="B1811" t="inlineStr">
        <is>
          <t>Customs Clearance Fee and Trucking Fee</t>
        </is>
      </c>
      <c r="C1811" t="inlineStr">
        <is>
          <t>ត្រាយអ៊ែងហ្គល ឡូជីស្ទីក (ខេមបូឌា) ឯ.ក</t>
        </is>
      </c>
      <c r="D1811" t="inlineStr">
        <is>
          <t>K010-902101743</t>
        </is>
      </c>
      <c r="E1811" t="inlineStr">
        <is>
          <t>TAG-24-00896</t>
        </is>
      </c>
      <c r="F1811" t="inlineStr">
        <is>
          <t>29-11-2024</t>
        </is>
      </c>
      <c r="G1811" t="n">
        <v>64448</v>
      </c>
      <c r="I1811">
        <f>G1811</f>
        <v/>
      </c>
      <c r="K1811">
        <f>I1811-G1811</f>
        <v/>
      </c>
      <c r="M1811" t="inlineStr">
        <is>
          <t>TAG2400896</t>
        </is>
      </c>
      <c r="N1811" t="inlineStr">
        <is>
          <t>41511000</t>
        </is>
      </c>
      <c r="O1811">
        <f>M1811=N1811</f>
        <v/>
      </c>
      <c r="P1811">
        <f>AND(MONTH(F1811)=MONTH(S1811), YEAR(F1811)=YEAR(S1811))</f>
        <v/>
      </c>
      <c r="Q1811">
        <f>"L001-902303751"=U1811</f>
        <v/>
      </c>
      <c r="R1811">
        <f>G1811-W1811</f>
        <v/>
      </c>
      <c r="S1811" s="36" t="n">
        <v>45244</v>
      </c>
      <c r="T1811" t="n">
        <v>415110</v>
      </c>
      <c r="U1811" t="inlineStr">
        <is>
          <t>L001-100044956</t>
        </is>
      </c>
      <c r="V1811" t="inlineStr">
        <is>
          <t>ជី លីង អិចប្រេស ឡូជីស្ទីក (ខេមបូឌា) លីមីធីត</t>
        </is>
      </c>
      <c r="W1811" t="n">
        <v>415110</v>
      </c>
      <c r="X1811" t="n">
        <v>0</v>
      </c>
    </row>
    <row r="1812">
      <c r="A1812" t="n">
        <v>1811</v>
      </c>
      <c r="B1812" t="inlineStr">
        <is>
          <t>Terminal Handling Charge, EMF, 3 Party Trucking, Container Imbalance Charge, D/O Fee, Document Fee and Handling Charge</t>
        </is>
      </c>
      <c r="C1812" t="inlineStr">
        <is>
          <t>ខេអិលអិន ហ្វ្រេត (ខេមបូឌា) ឯ.ក</t>
        </is>
      </c>
      <c r="D1812" t="inlineStr">
        <is>
          <t>L001-100074669</t>
        </is>
      </c>
      <c r="E1812" t="inlineStr">
        <is>
          <t>IVO18391</t>
        </is>
      </c>
      <c r="F1812" t="inlineStr">
        <is>
          <t>25-11-2024</t>
        </is>
      </c>
      <c r="G1812" t="n">
        <v>123485</v>
      </c>
      <c r="I1812">
        <f>G1812</f>
        <v/>
      </c>
      <c r="K1812">
        <f>I1812-G1812</f>
        <v/>
      </c>
      <c r="M1812" t="inlineStr">
        <is>
          <t>IVO18391</t>
        </is>
      </c>
      <c r="N1812" t="inlineStr"/>
      <c r="O1812">
        <f>M1812=N1812</f>
        <v/>
      </c>
      <c r="P1812">
        <f>AND(MONTH(F1812)=MONTH(S1812), YEAR(F1812)=YEAR(S1812))</f>
        <v/>
      </c>
      <c r="Q1812">
        <f>"L001-902303751"=U1812</f>
        <v/>
      </c>
      <c r="R1812">
        <f>G1812-W1812</f>
        <v/>
      </c>
      <c r="S1812" s="36" t="n">
        <v>45259</v>
      </c>
      <c r="T1812" t="inlineStr"/>
      <c r="U1812" t="inlineStr">
        <is>
          <t>K005-100059945</t>
        </is>
      </c>
      <c r="V1812" t="inlineStr">
        <is>
          <t>អ៊ែតវ៉ានស៍ គ្លរី ឡូជីស្ទីក (ខេមបូឌា) (អេ ជី អិល)</t>
        </is>
      </c>
      <c r="W1812" t="n">
        <v>0</v>
      </c>
      <c r="X1812" t="n">
        <v>0</v>
      </c>
    </row>
    <row r="1813">
      <c r="A1813" t="n">
        <v>1812</v>
      </c>
      <c r="B1813" t="inlineStr">
        <is>
          <t>Customs Clearance Fee and Trucking Fee</t>
        </is>
      </c>
      <c r="C1813" t="inlineStr">
        <is>
          <t>ត្រាយអ៊ែងហ្គល ឡូជីស្ទីក (ខេមបូឌា) ឯ.ក</t>
        </is>
      </c>
      <c r="D1813" t="inlineStr">
        <is>
          <t>K010-902101743</t>
        </is>
      </c>
      <c r="E1813" t="inlineStr">
        <is>
          <t>TAG-24-00894</t>
        </is>
      </c>
      <c r="F1813" t="inlineStr">
        <is>
          <t>28-11-2024</t>
        </is>
      </c>
      <c r="G1813" t="n">
        <v>108810</v>
      </c>
      <c r="I1813">
        <f>G1813</f>
        <v/>
      </c>
      <c r="K1813">
        <f>I1813-G1813</f>
        <v/>
      </c>
      <c r="M1813" t="inlineStr">
        <is>
          <t>TAG2400894</t>
        </is>
      </c>
      <c r="N1813" t="inlineStr"/>
      <c r="O1813">
        <f>M1813=N1813</f>
        <v/>
      </c>
      <c r="P1813">
        <f>AND(MONTH(F1813)=MONTH(S1813), YEAR(F1813)=YEAR(S1813))</f>
        <v/>
      </c>
      <c r="Q1813">
        <f>"L001-902303751"=U1813</f>
        <v/>
      </c>
      <c r="R1813">
        <f>G1813-W1813</f>
        <v/>
      </c>
      <c r="S1813" s="36" t="n">
        <v>45250</v>
      </c>
      <c r="T1813" t="inlineStr"/>
      <c r="U1813" t="inlineStr">
        <is>
          <t>L001-107041723</t>
        </is>
      </c>
      <c r="V1813" t="inlineStr">
        <is>
          <t>ឌីប៊ី សេនឃើរ (ខេមបូឌា) លីមីធីត</t>
        </is>
      </c>
      <c r="W1813" t="n">
        <v>0</v>
      </c>
      <c r="X1813" t="n">
        <v>0</v>
      </c>
    </row>
    <row r="1814">
      <c r="A1814" t="n">
        <v>1813</v>
      </c>
      <c r="B1814" t="inlineStr">
        <is>
          <t>THC Fee, LCL Fee, Scanner Fee, Document Fee, Agency Fee, DO Fee and CIC</t>
        </is>
      </c>
      <c r="C1814" t="inlineStr">
        <is>
          <t>ខ្វនធើម ឡូជីស្ទីក (ខេមបូឌា) ឯ.ក</t>
        </is>
      </c>
      <c r="D1814" t="inlineStr">
        <is>
          <t>K002-901900921</t>
        </is>
      </c>
      <c r="E1814" t="inlineStr">
        <is>
          <t>QT241689</t>
        </is>
      </c>
      <c r="F1814" t="inlineStr">
        <is>
          <t>21-11-2024</t>
        </is>
      </c>
      <c r="G1814" t="n">
        <v>76969</v>
      </c>
      <c r="I1814">
        <f>G1814</f>
        <v/>
      </c>
      <c r="K1814">
        <f>I1814-G1814</f>
        <v/>
      </c>
      <c r="M1814" t="inlineStr">
        <is>
          <t>QT241689</t>
        </is>
      </c>
      <c r="N1814" t="inlineStr"/>
      <c r="O1814">
        <f>M1814=N1814</f>
        <v/>
      </c>
      <c r="P1814">
        <f>AND(MONTH(F1814)=MONTH(S1814), YEAR(F1814)=YEAR(S1814))</f>
        <v/>
      </c>
      <c r="Q1814">
        <f>"L001-902303751"=U1814</f>
        <v/>
      </c>
      <c r="R1814">
        <f>G1814-W1814</f>
        <v/>
      </c>
      <c r="S1814" s="36" t="n">
        <v>45250</v>
      </c>
      <c r="T1814" t="inlineStr"/>
      <c r="U1814" t="inlineStr">
        <is>
          <t>K005-100059945</t>
        </is>
      </c>
      <c r="V1814" t="inlineStr">
        <is>
          <t>អ៊ែតវ៉ានស៍ គ្លរី ឡូជីស្ទីក (ខេមបូឌា) (អេ ជី អិល)</t>
        </is>
      </c>
      <c r="W1814" t="n">
        <v>0</v>
      </c>
      <c r="X1814" t="n">
        <v>0</v>
      </c>
    </row>
    <row r="1815">
      <c r="A1815" t="n">
        <v>1814</v>
      </c>
      <c r="B1815" t="inlineStr">
        <is>
          <t>Customs Clearance Fee and Trucking Fee</t>
        </is>
      </c>
      <c r="C1815" t="inlineStr">
        <is>
          <t>ត្រាយអ៊ែងហ្គល ឡូជីស្ទីក (ខេមបូឌា) ឯ.ក</t>
        </is>
      </c>
      <c r="D1815" t="inlineStr">
        <is>
          <t>K010-902101743</t>
        </is>
      </c>
      <c r="E1815" t="inlineStr">
        <is>
          <t>TAG-24-00888</t>
        </is>
      </c>
      <c r="F1815" t="inlineStr">
        <is>
          <t>28-11-2024</t>
        </is>
      </c>
      <c r="G1815" t="n">
        <v>28210</v>
      </c>
      <c r="I1815">
        <f>G1815</f>
        <v/>
      </c>
      <c r="K1815">
        <f>I1815-G1815</f>
        <v/>
      </c>
      <c r="M1815" t="inlineStr">
        <is>
          <t>TAG2400888</t>
        </is>
      </c>
      <c r="N1815" t="inlineStr">
        <is>
          <t>11159100</t>
        </is>
      </c>
      <c r="O1815">
        <f>M1815=N1815</f>
        <v/>
      </c>
      <c r="P1815">
        <f>AND(MONTH(F1815)=MONTH(S1815), YEAR(F1815)=YEAR(S1815))</f>
        <v/>
      </c>
      <c r="Q1815">
        <f>"L001-902303751"=U1815</f>
        <v/>
      </c>
      <c r="R1815">
        <f>G1815-W1815</f>
        <v/>
      </c>
      <c r="S1815" s="36" t="n">
        <v>45231</v>
      </c>
      <c r="T1815" t="n">
        <v>111591</v>
      </c>
      <c r="U1815" t="inlineStr">
        <is>
          <t>L001-100063098</t>
        </is>
      </c>
      <c r="V1815" t="inlineStr">
        <is>
          <t>ឆាយ ដា ឡូយីស្ទីក</t>
        </is>
      </c>
      <c r="W1815" t="n">
        <v>111591</v>
      </c>
      <c r="X1815" t="n">
        <v>0</v>
      </c>
    </row>
    <row r="1816">
      <c r="A1816" t="n">
        <v>1815</v>
      </c>
      <c r="B1816" t="inlineStr">
        <is>
          <t>Customs Clearance Fee</t>
        </is>
      </c>
      <c r="C1816" t="inlineStr">
        <is>
          <t>ត្រាយអ៊ែងហ្គល ឡូជីស្ទីក (ខេមបូឌា) ឯ.ក</t>
        </is>
      </c>
      <c r="D1816" t="inlineStr">
        <is>
          <t>K010-902101743</t>
        </is>
      </c>
      <c r="E1816" t="inlineStr">
        <is>
          <t>TAG-24-00866</t>
        </is>
      </c>
      <c r="F1816" t="inlineStr">
        <is>
          <t>22-11-2024</t>
        </is>
      </c>
      <c r="G1816" t="n">
        <v>8052</v>
      </c>
      <c r="I1816">
        <f>G1816</f>
        <v/>
      </c>
      <c r="K1816">
        <f>I1816-G1816</f>
        <v/>
      </c>
      <c r="M1816" t="inlineStr">
        <is>
          <t>TAG2400866</t>
        </is>
      </c>
      <c r="N1816" t="inlineStr">
        <is>
          <t>11159100</t>
        </is>
      </c>
      <c r="O1816">
        <f>M1816=N1816</f>
        <v/>
      </c>
      <c r="P1816">
        <f>AND(MONTH(F1816)=MONTH(S1816), YEAR(F1816)=YEAR(S1816))</f>
        <v/>
      </c>
      <c r="Q1816">
        <f>"L001-902303751"=U1816</f>
        <v/>
      </c>
      <c r="R1816">
        <f>G1816-W1816</f>
        <v/>
      </c>
      <c r="S1816" s="36" t="n">
        <v>45231</v>
      </c>
      <c r="T1816" t="n">
        <v>111591</v>
      </c>
      <c r="U1816" t="inlineStr">
        <is>
          <t>K002-901800477</t>
        </is>
      </c>
      <c r="V1816" t="inlineStr">
        <is>
          <t>អាយធីអាយ អ៊ិនធើណេសិនណល ត្រេនស័្ពរថេសិន (ខេមបូឌា) ឯ.ក</t>
        </is>
      </c>
      <c r="W1816" t="n">
        <v>111591</v>
      </c>
      <c r="X1816" t="n">
        <v>0</v>
      </c>
    </row>
    <row r="1817">
      <c r="A1817" t="n">
        <v>1816</v>
      </c>
      <c r="B1817" t="inlineStr">
        <is>
          <t>Customs Clearance Fee</t>
        </is>
      </c>
      <c r="C1817" t="inlineStr">
        <is>
          <t>ត្រាយអ៊ែងហ្គល ឡូជីស្ទីក (ខេមបូឌា) ឯ.ក</t>
        </is>
      </c>
      <c r="D1817" t="inlineStr">
        <is>
          <t>K010-902101743</t>
        </is>
      </c>
      <c r="E1817" t="inlineStr">
        <is>
          <t>TAG-24-00864</t>
        </is>
      </c>
      <c r="F1817" t="inlineStr">
        <is>
          <t>22-11-2024</t>
        </is>
      </c>
      <c r="G1817" t="n">
        <v>8052</v>
      </c>
      <c r="I1817">
        <f>G1817</f>
        <v/>
      </c>
      <c r="K1817">
        <f>I1817-G1817</f>
        <v/>
      </c>
      <c r="M1817" t="inlineStr">
        <is>
          <t>TAG2400864</t>
        </is>
      </c>
      <c r="N1817" t="inlineStr">
        <is>
          <t>8262000</t>
        </is>
      </c>
      <c r="O1817">
        <f>M1817=N1817</f>
        <v/>
      </c>
      <c r="P1817">
        <f>AND(MONTH(F1817)=MONTH(S1817), YEAR(F1817)=YEAR(S1817))</f>
        <v/>
      </c>
      <c r="Q1817">
        <f>"L001-902303751"=U1817</f>
        <v/>
      </c>
      <c r="R1817">
        <f>G1817-W1817</f>
        <v/>
      </c>
      <c r="S1817" s="36" t="n">
        <v>45236</v>
      </c>
      <c r="T1817" t="n">
        <v>82620</v>
      </c>
      <c r="U1817" t="inlineStr">
        <is>
          <t>K005-100059945</t>
        </is>
      </c>
      <c r="V1817" t="inlineStr">
        <is>
          <t>អ៊ែតវ៉ានស៍ គ្លរី ឡូជីស្ទីក (ខេមបូឌា) (អេ ជី អិល)</t>
        </is>
      </c>
      <c r="W1817" t="n">
        <v>82620</v>
      </c>
      <c r="X1817" t="n">
        <v>0</v>
      </c>
    </row>
    <row r="1818">
      <c r="A1818" t="n">
        <v>1817</v>
      </c>
      <c r="B1818" t="inlineStr">
        <is>
          <t>THC, DOC, Admin Fee, EMG, CIC, Import manifest and Lo/Lo</t>
        </is>
      </c>
      <c r="C1818" t="inlineStr">
        <is>
          <t>ហ្វ្រេតាស (ខេមបូឌា) ឯ.ក</t>
        </is>
      </c>
      <c r="D1818" t="inlineStr">
        <is>
          <t>K007-901638107</t>
        </is>
      </c>
      <c r="E1818" t="inlineStr">
        <is>
          <t>Y24-151</t>
        </is>
      </c>
      <c r="F1818" t="inlineStr">
        <is>
          <t>18-11-2024</t>
        </is>
      </c>
      <c r="G1818" t="n">
        <v>189927</v>
      </c>
      <c r="I1818">
        <f>G1818</f>
        <v/>
      </c>
      <c r="K1818">
        <f>I1818-G1818</f>
        <v/>
      </c>
      <c r="M1818" t="inlineStr">
        <is>
          <t>Y24151</t>
        </is>
      </c>
      <c r="N1818" t="inlineStr"/>
      <c r="O1818">
        <f>M1818=N1818</f>
        <v/>
      </c>
      <c r="P1818">
        <f>AND(MONTH(F1818)=MONTH(S1818), YEAR(F1818)=YEAR(S1818))</f>
        <v/>
      </c>
      <c r="Q1818">
        <f>"L001-902303751"=U1818</f>
        <v/>
      </c>
      <c r="R1818">
        <f>G1818-W1818</f>
        <v/>
      </c>
      <c r="S1818" s="36" t="n">
        <v>45236</v>
      </c>
      <c r="T1818" t="inlineStr"/>
      <c r="U1818" t="inlineStr">
        <is>
          <t>K003-901635943</t>
        </is>
      </c>
      <c r="V1818" t="inlineStr">
        <is>
          <t>អ៊ីឃ្យូឡាញ វើលវ៉ាយដ៍ ឡូជីស្ទីក</t>
        </is>
      </c>
      <c r="W1818" t="n">
        <v>0</v>
      </c>
      <c r="X1818" t="n">
        <v>0</v>
      </c>
    </row>
    <row r="1819">
      <c r="A1819" t="n">
        <v>1818</v>
      </c>
      <c r="B1819" t="inlineStr">
        <is>
          <t>Lift-On Charge and Gate Fee Charge 20" Full</t>
        </is>
      </c>
      <c r="C1819" t="inlineStr">
        <is>
          <t>កំពង់ផែស្វយ័តភ្នំពេញ "ក.ស.ភ"</t>
        </is>
      </c>
      <c r="D1819" t="inlineStr">
        <is>
          <t>L001-100044999</t>
        </is>
      </c>
      <c r="E1819" t="inlineStr">
        <is>
          <t>INV20241186725</t>
        </is>
      </c>
      <c r="F1819" t="inlineStr">
        <is>
          <t>21-11-2024</t>
        </is>
      </c>
      <c r="G1819" t="n">
        <v>18556</v>
      </c>
      <c r="I1819">
        <f>G1819</f>
        <v/>
      </c>
      <c r="K1819">
        <f>I1819-G1819</f>
        <v/>
      </c>
      <c r="M1819" t="inlineStr">
        <is>
          <t>INV20241186725</t>
        </is>
      </c>
      <c r="N1819" t="inlineStr">
        <is>
          <t>8240000</t>
        </is>
      </c>
      <c r="O1819">
        <f>M1819=N1819</f>
        <v/>
      </c>
      <c r="P1819">
        <f>AND(MONTH(F1819)=MONTH(S1819), YEAR(F1819)=YEAR(S1819))</f>
        <v/>
      </c>
      <c r="Q1819">
        <f>"L001-902303751"=U1819</f>
        <v/>
      </c>
      <c r="R1819">
        <f>G1819-W1819</f>
        <v/>
      </c>
      <c r="S1819" s="36" t="n">
        <v>45250</v>
      </c>
      <c r="T1819" t="n">
        <v>82400</v>
      </c>
      <c r="U1819" t="inlineStr">
        <is>
          <t>K003-901635943</t>
        </is>
      </c>
      <c r="V1819" t="inlineStr">
        <is>
          <t>អ៊ីឃ្យូឡាញ វើលវ៉ាយដ៍ ឡូជីស្ទីក</t>
        </is>
      </c>
      <c r="W1819" t="n">
        <v>82400</v>
      </c>
      <c r="X1819" t="n">
        <v>0</v>
      </c>
    </row>
    <row r="1820">
      <c r="A1820" t="n">
        <v>1819</v>
      </c>
      <c r="B1820" t="inlineStr">
        <is>
          <t>Customs Clearance Fee and Trucking Fee</t>
        </is>
      </c>
      <c r="C1820" t="inlineStr">
        <is>
          <t>ត្រាយអ៊ែងហ្គល ឡូជីស្ទីក (ខេមបូឌា) ឯ.ក</t>
        </is>
      </c>
      <c r="D1820" t="inlineStr">
        <is>
          <t>K010-902101743</t>
        </is>
      </c>
      <c r="E1820" t="inlineStr">
        <is>
          <t>TAG-24-00889</t>
        </is>
      </c>
      <c r="F1820" t="inlineStr">
        <is>
          <t>28-11-2024</t>
        </is>
      </c>
      <c r="G1820" t="n">
        <v>64480</v>
      </c>
      <c r="I1820">
        <f>G1820</f>
        <v/>
      </c>
      <c r="K1820">
        <f>I1820-G1820</f>
        <v/>
      </c>
      <c r="M1820" t="inlineStr">
        <is>
          <t>TAG2400889</t>
        </is>
      </c>
      <c r="N1820" t="inlineStr">
        <is>
          <t>11097000</t>
        </is>
      </c>
      <c r="O1820">
        <f>M1820=N1820</f>
        <v/>
      </c>
      <c r="P1820">
        <f>AND(MONTH(F1820)=MONTH(S1820), YEAR(F1820)=YEAR(S1820))</f>
        <v/>
      </c>
      <c r="Q1820">
        <f>"L001-902303751"=U1820</f>
        <v/>
      </c>
      <c r="R1820">
        <f>G1820-W1820</f>
        <v/>
      </c>
      <c r="S1820" s="36" t="n">
        <v>45244</v>
      </c>
      <c r="T1820" t="n">
        <v>110970</v>
      </c>
      <c r="U1820" t="inlineStr">
        <is>
          <t>K002-901800477</t>
        </is>
      </c>
      <c r="V1820" t="inlineStr">
        <is>
          <t>អាយធីអាយ អ៊ិនធើណេសិនណល ត្រេនស័្ពរថេសិន (ខេមបូឌា) ឯ.ក</t>
        </is>
      </c>
      <c r="W1820" t="n">
        <v>110970</v>
      </c>
      <c r="X1820" t="n">
        <v>0</v>
      </c>
    </row>
    <row r="1821">
      <c r="A1821" t="n">
        <v>1820</v>
      </c>
      <c r="B1821" t="inlineStr">
        <is>
          <t>Customs Clearance Fee</t>
        </is>
      </c>
      <c r="C1821" t="inlineStr">
        <is>
          <t>ត្រាយអ៊ែងហ្គល ឡូជីស្ទីក (ខេមបូឌា) ឯ.ក</t>
        </is>
      </c>
      <c r="D1821" t="inlineStr">
        <is>
          <t>K010-902101743</t>
        </is>
      </c>
      <c r="E1821" t="inlineStr">
        <is>
          <t>TAG-24-00843</t>
        </is>
      </c>
      <c r="F1821" t="inlineStr">
        <is>
          <t>18-11-2024</t>
        </is>
      </c>
      <c r="G1821" t="n">
        <v>8082</v>
      </c>
      <c r="I1821">
        <f>G1821</f>
        <v/>
      </c>
      <c r="K1821">
        <f>I1821-G1821</f>
        <v/>
      </c>
      <c r="M1821" t="inlineStr">
        <is>
          <t>TAG2400843</t>
        </is>
      </c>
      <c r="N1821" t="inlineStr"/>
      <c r="O1821">
        <f>M1821=N1821</f>
        <v/>
      </c>
      <c r="P1821">
        <f>AND(MONTH(F1821)=MONTH(S1821), YEAR(F1821)=YEAR(S1821))</f>
        <v/>
      </c>
      <c r="Q1821">
        <f>"L001-902303751"=U1821</f>
        <v/>
      </c>
      <c r="R1821">
        <f>G1821-W1821</f>
        <v/>
      </c>
      <c r="S1821" s="36" t="n">
        <v>45244</v>
      </c>
      <c r="T1821" t="inlineStr"/>
      <c r="U1821" t="inlineStr">
        <is>
          <t>K002-901800477</t>
        </is>
      </c>
      <c r="V1821" t="inlineStr">
        <is>
          <t>អាយធីអាយ អ៊ិនធើណេសិនណល ត្រេនស័្ពរថេសិន (ខេមបូឌា) ឯ.ក</t>
        </is>
      </c>
      <c r="W1821" t="n">
        <v>0</v>
      </c>
      <c r="X1821" t="n">
        <v>0</v>
      </c>
    </row>
    <row r="1822">
      <c r="A1822" t="n">
        <v>1821</v>
      </c>
      <c r="B1822" t="inlineStr">
        <is>
          <t>THC, DOC Fee and Container Imbalance</t>
        </is>
      </c>
      <c r="C1822" t="inlineStr">
        <is>
          <t>សាខាក្រុមហ៊ុន ជីម៉ាឌីប ស៊ីបភីង ខមភេនី លីមីធីត</t>
        </is>
      </c>
      <c r="D1822" t="inlineStr">
        <is>
          <t>L001-901704777</t>
        </is>
      </c>
      <c r="E1822" t="inlineStr">
        <is>
          <t>24-04119</t>
        </is>
      </c>
      <c r="F1822" t="inlineStr">
        <is>
          <t>11-11-2024</t>
        </is>
      </c>
      <c r="G1822" t="n">
        <v>95387</v>
      </c>
      <c r="I1822">
        <f>G1822</f>
        <v/>
      </c>
      <c r="K1822">
        <f>I1822-G1822</f>
        <v/>
      </c>
      <c r="M1822" t="inlineStr">
        <is>
          <t>2404119</t>
        </is>
      </c>
      <c r="N1822" t="inlineStr">
        <is>
          <t>8220000</t>
        </is>
      </c>
      <c r="O1822">
        <f>M1822=N1822</f>
        <v/>
      </c>
      <c r="P1822">
        <f>AND(MONTH(F1822)=MONTH(S1822), YEAR(F1822)=YEAR(S1822))</f>
        <v/>
      </c>
      <c r="Q1822">
        <f>"L001-902303751"=U1822</f>
        <v/>
      </c>
      <c r="R1822">
        <f>G1822-W1822</f>
        <v/>
      </c>
      <c r="S1822" s="36" t="n">
        <v>45244</v>
      </c>
      <c r="T1822" t="n">
        <v>82200</v>
      </c>
      <c r="U1822" t="inlineStr">
        <is>
          <t>L001-103007369</t>
        </is>
      </c>
      <c r="V1822" t="inlineStr">
        <is>
          <t>អូរៀនថល ឡូជីស្ទីក &amp; ឌីស្ទ្រីប៊្យូសិន (ខេមបូឌា)</t>
        </is>
      </c>
      <c r="W1822" t="n">
        <v>82200</v>
      </c>
      <c r="X1822" t="n">
        <v>0</v>
      </c>
    </row>
    <row r="1823">
      <c r="A1823" t="n">
        <v>1822</v>
      </c>
      <c r="B1823" t="inlineStr">
        <is>
          <t>Gate Fee Charges-GC Truck-1-6 Tons</t>
        </is>
      </c>
      <c r="C1823" t="inlineStr">
        <is>
          <t>កំពង់ផែស្វយ័តភ្នំពេញ "ក.ស.ភ"</t>
        </is>
      </c>
      <c r="D1823" t="inlineStr">
        <is>
          <t>L001-100044999</t>
        </is>
      </c>
      <c r="E1823" t="inlineStr">
        <is>
          <t>INV20241185929</t>
        </is>
      </c>
      <c r="F1823" t="inlineStr">
        <is>
          <t>18-11-2024</t>
        </is>
      </c>
      <c r="G1823" t="n">
        <v>1212</v>
      </c>
      <c r="I1823">
        <f>G1823</f>
        <v/>
      </c>
      <c r="K1823">
        <f>I1823-G1823</f>
        <v/>
      </c>
      <c r="M1823" t="inlineStr">
        <is>
          <t>INV20241185929</t>
        </is>
      </c>
      <c r="N1823" t="inlineStr"/>
      <c r="O1823">
        <f>M1823=N1823</f>
        <v/>
      </c>
      <c r="P1823">
        <f>AND(MONTH(F1823)=MONTH(S1823), YEAR(F1823)=YEAR(S1823))</f>
        <v/>
      </c>
      <c r="Q1823">
        <f>"L001-902303751"=U1823</f>
        <v/>
      </c>
      <c r="R1823">
        <f>G1823-W1823</f>
        <v/>
      </c>
      <c r="S1823" s="36" t="n">
        <v>45244</v>
      </c>
      <c r="T1823" t="inlineStr"/>
      <c r="U1823" t="inlineStr">
        <is>
          <t>L001-103007369</t>
        </is>
      </c>
      <c r="V1823" t="inlineStr">
        <is>
          <t>អូរៀនថល ឡូជីស្ទីក &amp; ឌីស្ទ្រីប៊្យូសិន (ខេមបូឌា)</t>
        </is>
      </c>
      <c r="W1823" t="n">
        <v>0</v>
      </c>
      <c r="X1823" t="n">
        <v>0</v>
      </c>
    </row>
    <row r="1824">
      <c r="A1824" t="n">
        <v>1823</v>
      </c>
      <c r="B1824" t="inlineStr">
        <is>
          <t>Lift-On Charge and Gate Fee Charge 20" Full</t>
        </is>
      </c>
      <c r="C1824" t="inlineStr">
        <is>
          <t>កំពង់ផែស្វយ័តភ្នំពេញ "ក.ស.ភ"</t>
        </is>
      </c>
      <c r="D1824" t="inlineStr">
        <is>
          <t>L001-100044999</t>
        </is>
      </c>
      <c r="E1824" t="inlineStr">
        <is>
          <t>INV20241185198</t>
        </is>
      </c>
      <c r="F1824" t="inlineStr">
        <is>
          <t>13-11-2024</t>
        </is>
      </c>
      <c r="G1824" t="n">
        <v>18621</v>
      </c>
      <c r="I1824">
        <f>G1824</f>
        <v/>
      </c>
      <c r="K1824">
        <f>I1824-G1824</f>
        <v/>
      </c>
      <c r="M1824" t="inlineStr">
        <is>
          <t>INV20241185198</t>
        </is>
      </c>
      <c r="N1824" t="inlineStr">
        <is>
          <t>11124000</t>
        </is>
      </c>
      <c r="O1824">
        <f>M1824=N1824</f>
        <v/>
      </c>
      <c r="P1824">
        <f>AND(MONTH(F1824)=MONTH(S1824), YEAR(F1824)=YEAR(S1824))</f>
        <v/>
      </c>
      <c r="Q1824">
        <f>"L001-902303751"=U1824</f>
        <v/>
      </c>
      <c r="R1824">
        <f>G1824-W1824</f>
        <v/>
      </c>
      <c r="S1824" s="36" t="n">
        <v>45250</v>
      </c>
      <c r="T1824" t="n">
        <v>111240</v>
      </c>
      <c r="U1824" t="inlineStr">
        <is>
          <t>K005-100059945</t>
        </is>
      </c>
      <c r="V1824" t="inlineStr">
        <is>
          <t>អ៊ែតវ៉ានស៍ គ្លរី ឡូជីស្ទីក (ខេមបូឌា) (អេ ជី អិល)</t>
        </is>
      </c>
      <c r="W1824" t="n">
        <v>111240</v>
      </c>
      <c r="X1824" t="n">
        <v>0</v>
      </c>
    </row>
    <row r="1825">
      <c r="A1825" t="n">
        <v>1824</v>
      </c>
      <c r="B1825" t="inlineStr">
        <is>
          <t>Customs Clearance Fee and Trucking Fee</t>
        </is>
      </c>
      <c r="C1825" t="inlineStr">
        <is>
          <t>ត្រាយអ៊ែងហ្គល ឡូជីស្ទីក (ខេមបូឌា) ឯ.ក</t>
        </is>
      </c>
      <c r="D1825" t="inlineStr">
        <is>
          <t>K010-902101743</t>
        </is>
      </c>
      <c r="E1825" t="inlineStr">
        <is>
          <t>TAG-24-00884</t>
        </is>
      </c>
      <c r="F1825" t="inlineStr">
        <is>
          <t>28-11-2024</t>
        </is>
      </c>
      <c r="G1825" t="n">
        <v>64480</v>
      </c>
      <c r="I1825">
        <f>G1825</f>
        <v/>
      </c>
      <c r="K1825">
        <f>I1825-G1825</f>
        <v/>
      </c>
      <c r="M1825" t="inlineStr">
        <is>
          <t>TAG2400884</t>
        </is>
      </c>
      <c r="N1825" t="inlineStr"/>
      <c r="O1825">
        <f>M1825=N1825</f>
        <v/>
      </c>
      <c r="P1825">
        <f>AND(MONTH(F1825)=MONTH(S1825), YEAR(F1825)=YEAR(S1825))</f>
        <v/>
      </c>
      <c r="Q1825">
        <f>"L001-902303751"=U1825</f>
        <v/>
      </c>
      <c r="R1825">
        <f>G1825-W1825</f>
        <v/>
      </c>
      <c r="S1825" s="36" t="n">
        <v>45244</v>
      </c>
      <c r="T1825" t="inlineStr"/>
      <c r="U1825" t="inlineStr">
        <is>
          <t>K002-901800477</t>
        </is>
      </c>
      <c r="V1825" t="inlineStr">
        <is>
          <t>អាយធីអាយ អ៊ិនធើណេសិនណល ត្រេនស័្ពរថេសិន (ខេមបូឌា) ឯ.ក</t>
        </is>
      </c>
      <c r="W1825" t="n">
        <v>0</v>
      </c>
      <c r="X1825" t="n">
        <v>0</v>
      </c>
    </row>
    <row r="1826">
      <c r="A1826" t="n">
        <v>1825</v>
      </c>
      <c r="B1826" t="inlineStr">
        <is>
          <t>Storage Charge</t>
        </is>
      </c>
      <c r="C1826" t="inlineStr">
        <is>
          <t>ហ្វ្រេត ខនសិប (ខេមបូឌា)</t>
        </is>
      </c>
      <c r="D1826" t="inlineStr">
        <is>
          <t>K009-901502482</t>
        </is>
      </c>
      <c r="E1826" t="inlineStr">
        <is>
          <t>241172</t>
        </is>
      </c>
      <c r="F1826" t="inlineStr">
        <is>
          <t>19-11-2024</t>
        </is>
      </c>
      <c r="G1826" t="n">
        <v>32312</v>
      </c>
      <c r="I1826">
        <f>G1826</f>
        <v/>
      </c>
      <c r="K1826">
        <f>I1826-G1826</f>
        <v/>
      </c>
      <c r="M1826" t="inlineStr">
        <is>
          <t>241172</t>
        </is>
      </c>
      <c r="N1826" t="inlineStr"/>
      <c r="O1826">
        <f>M1826=N1826</f>
        <v/>
      </c>
      <c r="P1826">
        <f>AND(MONTH(F1826)=MONTH(S1826), YEAR(F1826)=YEAR(S1826))</f>
        <v/>
      </c>
      <c r="Q1826">
        <f>"L001-902303751"=U1826</f>
        <v/>
      </c>
      <c r="R1826">
        <f>G1826-W1826</f>
        <v/>
      </c>
      <c r="S1826" s="36" t="n">
        <v>45231</v>
      </c>
      <c r="T1826" t="inlineStr"/>
      <c r="U1826" t="inlineStr">
        <is>
          <t>L001-901500191</t>
        </is>
      </c>
      <c r="V1826" t="inlineStr">
        <is>
          <t>អ.អិន.វ៉ាយ ត្រេនស្ព័ត</t>
        </is>
      </c>
      <c r="W1826" t="n">
        <v>0</v>
      </c>
      <c r="X1826" t="n">
        <v>0</v>
      </c>
    </row>
    <row r="1827">
      <c r="A1827" t="n">
        <v>1826</v>
      </c>
      <c r="B1827" t="inlineStr">
        <is>
          <t>Customs Clearance Fee and Trucking Fee</t>
        </is>
      </c>
      <c r="C1827" t="inlineStr">
        <is>
          <t>ត្រាយអ៊ែងហ្គល ឡូជីស្ទីក (ខេមបូឌា) ឯ.ក</t>
        </is>
      </c>
      <c r="D1827" t="inlineStr">
        <is>
          <t>K010-902101743</t>
        </is>
      </c>
      <c r="E1827" t="inlineStr">
        <is>
          <t>TAG-24-00840</t>
        </is>
      </c>
      <c r="F1827" t="inlineStr">
        <is>
          <t>12-11-2024</t>
        </is>
      </c>
      <c r="G1827" t="n">
        <v>28371</v>
      </c>
      <c r="I1827">
        <f>G1827</f>
        <v/>
      </c>
      <c r="K1827">
        <f>I1827-G1827</f>
        <v/>
      </c>
      <c r="M1827" t="inlineStr">
        <is>
          <t>TAG2400840</t>
        </is>
      </c>
      <c r="N1827" t="inlineStr">
        <is>
          <t>38850200</t>
        </is>
      </c>
      <c r="O1827">
        <f>M1827=N1827</f>
        <v/>
      </c>
      <c r="P1827">
        <f>AND(MONTH(F1827)=MONTH(S1827), YEAR(F1827)=YEAR(S1827))</f>
        <v/>
      </c>
      <c r="Q1827">
        <f>"L001-902303751"=U1827</f>
        <v/>
      </c>
      <c r="R1827">
        <f>G1827-W1827</f>
        <v/>
      </c>
      <c r="S1827" s="36" t="n">
        <v>45231</v>
      </c>
      <c r="T1827" t="n">
        <v>388502</v>
      </c>
      <c r="U1827" t="inlineStr">
        <is>
          <t>L001-100011888</t>
        </is>
      </c>
      <c r="V1827" t="inlineStr">
        <is>
          <t>ត្រេន ស្តារ ហ្រេ្វត</t>
        </is>
      </c>
      <c r="W1827" t="n">
        <v>388502</v>
      </c>
      <c r="X1827" t="n">
        <v>0</v>
      </c>
    </row>
    <row r="1828">
      <c r="A1828" t="n">
        <v>1827</v>
      </c>
      <c r="B1828" t="inlineStr">
        <is>
          <t>THC Fee, DOC Fee, CFS Fee, Scanner Fee, D/O Fee, Agency Fee and LSS Charge</t>
        </is>
      </c>
      <c r="C1828" t="inlineStr">
        <is>
          <t>ខាហ្គោផត (ខេមបូឌា)</t>
        </is>
      </c>
      <c r="D1828" t="inlineStr">
        <is>
          <t>K005-100099521</t>
        </is>
      </c>
      <c r="E1828" t="inlineStr">
        <is>
          <t>24-2683</t>
        </is>
      </c>
      <c r="F1828" t="inlineStr">
        <is>
          <t>05-11-2024</t>
        </is>
      </c>
      <c r="G1828" t="n">
        <v>50813</v>
      </c>
      <c r="I1828">
        <f>G1828</f>
        <v/>
      </c>
      <c r="K1828">
        <f>I1828-G1828</f>
        <v/>
      </c>
      <c r="M1828" t="inlineStr">
        <is>
          <t>242683</t>
        </is>
      </c>
      <c r="N1828" t="inlineStr"/>
      <c r="O1828">
        <f>M1828=N1828</f>
        <v/>
      </c>
      <c r="P1828">
        <f>AND(MONTH(F1828)=MONTH(S1828), YEAR(F1828)=YEAR(S1828))</f>
        <v/>
      </c>
      <c r="Q1828">
        <f>"L001-902303751"=U1828</f>
        <v/>
      </c>
      <c r="R1828">
        <f>G1828-W1828</f>
        <v/>
      </c>
      <c r="S1828" s="36" t="n">
        <v>45231</v>
      </c>
      <c r="T1828" t="inlineStr"/>
      <c r="U1828" t="inlineStr">
        <is>
          <t>K002-901800477</t>
        </is>
      </c>
      <c r="V1828" t="inlineStr">
        <is>
          <t>អាយធីអាយ អ៊ិនធើណេសិនណល ត្រេនស័្ពរថេសិន (ខេមបូឌា) ឯ.ក</t>
        </is>
      </c>
      <c r="W1828" t="n">
        <v>0</v>
      </c>
      <c r="X1828" t="n">
        <v>0</v>
      </c>
    </row>
    <row r="1829">
      <c r="A1829" t="n">
        <v>1828</v>
      </c>
      <c r="B1829" t="inlineStr">
        <is>
          <t>Charge from warehouse/cy to trucks</t>
        </is>
      </c>
      <c r="C1829" t="inlineStr">
        <is>
          <t>កំពង់ផែស្វយ័តក្រុងព្រះសីហនុ</t>
        </is>
      </c>
      <c r="D1829" t="inlineStr">
        <is>
          <t>L001-100044638</t>
        </is>
      </c>
      <c r="E1829" t="inlineStr">
        <is>
          <t>239566</t>
        </is>
      </c>
      <c r="F1829" t="inlineStr">
        <is>
          <t>20-11-2024</t>
        </is>
      </c>
      <c r="G1829" t="n">
        <v>617</v>
      </c>
      <c r="I1829">
        <f>G1829</f>
        <v/>
      </c>
      <c r="K1829">
        <f>I1829-G1829</f>
        <v/>
      </c>
      <c r="M1829" t="inlineStr">
        <is>
          <t>239566</t>
        </is>
      </c>
      <c r="N1829" t="inlineStr"/>
      <c r="O1829">
        <f>M1829=N1829</f>
        <v/>
      </c>
      <c r="P1829">
        <f>AND(MONTH(F1829)=MONTH(S1829), YEAR(F1829)=YEAR(S1829))</f>
        <v/>
      </c>
      <c r="Q1829">
        <f>"L001-902303751"=U1829</f>
        <v/>
      </c>
      <c r="R1829">
        <f>G1829-W1829</f>
        <v/>
      </c>
      <c r="S1829" s="36" t="n">
        <v>45231</v>
      </c>
      <c r="T1829" t="inlineStr"/>
      <c r="U1829" t="inlineStr">
        <is>
          <t>K005-901501155</t>
        </is>
      </c>
      <c r="V1829" t="inlineStr">
        <is>
          <t>ផេនដា គ្លូប៊ល ឡូជីស្ទីក (ខេមបូឌា)</t>
        </is>
      </c>
      <c r="W1829" t="n">
        <v>0</v>
      </c>
      <c r="X1829" t="n">
        <v>0</v>
      </c>
    </row>
    <row r="1830">
      <c r="A1830" t="n">
        <v>1829</v>
      </c>
      <c r="B1830" t="inlineStr">
        <is>
          <t>Customs Clearance Fee and Trucking Fee</t>
        </is>
      </c>
      <c r="C1830" t="inlineStr">
        <is>
          <t>ត្រាយអ៊ែងហ្គល ឡូជីស្ទីក (ខេមបូឌា) ឯ.ក</t>
        </is>
      </c>
      <c r="D1830" t="inlineStr">
        <is>
          <t>K010-902101743</t>
        </is>
      </c>
      <c r="E1830" t="inlineStr">
        <is>
          <t>TAG-24-00891</t>
        </is>
      </c>
      <c r="F1830" t="inlineStr">
        <is>
          <t>28-11-2024</t>
        </is>
      </c>
      <c r="G1830" t="n">
        <v>32240</v>
      </c>
      <c r="I1830">
        <f>G1830</f>
        <v/>
      </c>
      <c r="K1830">
        <f>I1830-G1830</f>
        <v/>
      </c>
      <c r="M1830" t="inlineStr">
        <is>
          <t>TAG2400891</t>
        </is>
      </c>
      <c r="N1830" t="inlineStr"/>
      <c r="O1830">
        <f>M1830=N1830</f>
        <v/>
      </c>
      <c r="P1830">
        <f>AND(MONTH(F1830)=MONTH(S1830), YEAR(F1830)=YEAR(S1830))</f>
        <v/>
      </c>
      <c r="Q1830">
        <f>"L001-902303751"=U1830</f>
        <v/>
      </c>
      <c r="R1830">
        <f>G1830-W1830</f>
        <v/>
      </c>
      <c r="S1830" s="36" t="n">
        <v>45234</v>
      </c>
      <c r="T1830" t="inlineStr"/>
      <c r="U1830" t="inlineStr">
        <is>
          <t>L001-100074669</t>
        </is>
      </c>
      <c r="V1830" t="inlineStr">
        <is>
          <t>ខេអិលអិន ហ្វ្រេត (ខេមបូឌា) ឯ.ក</t>
        </is>
      </c>
      <c r="W1830" t="n">
        <v>0</v>
      </c>
      <c r="X1830" t="n">
        <v>0</v>
      </c>
    </row>
    <row r="1831">
      <c r="A1831" t="n">
        <v>1830</v>
      </c>
      <c r="B1831" t="inlineStr">
        <is>
          <t>Rental Machine</t>
        </is>
      </c>
      <c r="C1831" t="inlineStr">
        <is>
          <t>ក្លាក ហ៊ូ ឯ.ក</t>
        </is>
      </c>
      <c r="D1831" t="inlineStr">
        <is>
          <t>K007-901639199</t>
        </is>
      </c>
      <c r="E1831" t="inlineStr">
        <is>
          <t>IN2636</t>
        </is>
      </c>
      <c r="F1831" t="inlineStr">
        <is>
          <t>25-11-2024</t>
        </is>
      </c>
      <c r="G1831" t="n">
        <v>226120</v>
      </c>
      <c r="I1831">
        <f>G1831</f>
        <v/>
      </c>
      <c r="K1831">
        <f>I1831-G1831</f>
        <v/>
      </c>
      <c r="M1831" t="inlineStr">
        <is>
          <t>IN2636</t>
        </is>
      </c>
      <c r="N1831" t="inlineStr">
        <is>
          <t>11153700</t>
        </is>
      </c>
      <c r="O1831">
        <f>M1831=N1831</f>
        <v/>
      </c>
      <c r="P1831">
        <f>AND(MONTH(F1831)=MONTH(S1831), YEAR(F1831)=YEAR(S1831))</f>
        <v/>
      </c>
      <c r="Q1831">
        <f>"L001-902303751"=U1831</f>
        <v/>
      </c>
      <c r="R1831">
        <f>G1831-W1831</f>
        <v/>
      </c>
      <c r="S1831" s="36" t="n">
        <v>45236</v>
      </c>
      <c r="T1831" t="n">
        <v>111537</v>
      </c>
      <c r="U1831" t="inlineStr">
        <is>
          <t>L001-107041723</t>
        </is>
      </c>
      <c r="V1831" t="inlineStr">
        <is>
          <t>ឌីប៊ី សេនឃើរ (ខេមបូឌា) លីមីធីត</t>
        </is>
      </c>
      <c r="W1831" t="n">
        <v>111537</v>
      </c>
      <c r="X1831" t="n">
        <v>0</v>
      </c>
    </row>
    <row r="1832">
      <c r="A1832" t="n">
        <v>1831</v>
      </c>
      <c r="B1832" t="inlineStr">
        <is>
          <t>Rental Machine</t>
        </is>
      </c>
      <c r="C1832" t="inlineStr">
        <is>
          <t>ក្លាក ហ៊ូ ឯ.ក</t>
        </is>
      </c>
      <c r="D1832" t="inlineStr">
        <is>
          <t>K007-901639199</t>
        </is>
      </c>
      <c r="E1832" t="inlineStr">
        <is>
          <t>IN2637</t>
        </is>
      </c>
      <c r="F1832" t="inlineStr">
        <is>
          <t>25-11-2024</t>
        </is>
      </c>
      <c r="G1832" t="n">
        <v>254218</v>
      </c>
      <c r="I1832">
        <f>G1832</f>
        <v/>
      </c>
      <c r="K1832">
        <f>I1832-G1832</f>
        <v/>
      </c>
      <c r="M1832" t="inlineStr">
        <is>
          <t>IN2637</t>
        </is>
      </c>
      <c r="N1832" t="inlineStr">
        <is>
          <t>29957200</t>
        </is>
      </c>
      <c r="O1832">
        <f>M1832=N1832</f>
        <v/>
      </c>
      <c r="P1832">
        <f>AND(MONTH(F1832)=MONTH(S1832), YEAR(F1832)=YEAR(S1832))</f>
        <v/>
      </c>
      <c r="Q1832">
        <f>"L001-902303751"=U1832</f>
        <v/>
      </c>
      <c r="R1832">
        <f>G1832-W1832</f>
        <v/>
      </c>
      <c r="S1832" s="36" t="n">
        <v>45259</v>
      </c>
      <c r="T1832" t="n">
        <v>299572</v>
      </c>
      <c r="U1832" t="inlineStr">
        <is>
          <t>L001-100044956</t>
        </is>
      </c>
      <c r="V1832" t="inlineStr">
        <is>
          <t>ជី លីង អិចប្រេស ឡូជីស្ទីក (ខេមបូឌា) លីមីធីត</t>
        </is>
      </c>
      <c r="W1832" t="n">
        <v>299572</v>
      </c>
      <c r="X1832" t="n">
        <v>0</v>
      </c>
    </row>
    <row r="1833">
      <c r="A1833" t="n">
        <v>1832</v>
      </c>
      <c r="B1833" t="inlineStr">
        <is>
          <t>Rental Machine</t>
        </is>
      </c>
      <c r="C1833" t="inlineStr">
        <is>
          <t>ក្លាក ហ៊ូ ឯ.ក</t>
        </is>
      </c>
      <c r="D1833" t="inlineStr">
        <is>
          <t>K007-901639199</t>
        </is>
      </c>
      <c r="E1833" t="inlineStr">
        <is>
          <t>IN2638</t>
        </is>
      </c>
      <c r="F1833" t="inlineStr">
        <is>
          <t>25-11-2024</t>
        </is>
      </c>
      <c r="G1833" t="n">
        <v>128448</v>
      </c>
      <c r="I1833">
        <f>G1833</f>
        <v/>
      </c>
      <c r="K1833">
        <f>I1833-G1833</f>
        <v/>
      </c>
      <c r="M1833" t="inlineStr">
        <is>
          <t>IN2638</t>
        </is>
      </c>
      <c r="N1833" t="inlineStr"/>
      <c r="O1833">
        <f>M1833=N1833</f>
        <v/>
      </c>
      <c r="P1833">
        <f>AND(MONTH(F1833)=MONTH(S1833), YEAR(F1833)=YEAR(S1833))</f>
        <v/>
      </c>
      <c r="Q1833">
        <f>"L001-902303751"=U1833</f>
        <v/>
      </c>
      <c r="R1833">
        <f>G1833-W1833</f>
        <v/>
      </c>
      <c r="S1833" s="36" t="n">
        <v>45259</v>
      </c>
      <c r="T1833" t="inlineStr"/>
      <c r="U1833" t="inlineStr">
        <is>
          <t>L001-107032791</t>
        </is>
      </c>
      <c r="V1833" t="inlineStr">
        <is>
          <t>នីបផន អិចប្រេស (ខេមបូឌា) ខូ អិលធីឌី</t>
        </is>
      </c>
      <c r="W1833" t="n">
        <v>0</v>
      </c>
      <c r="X1833" t="n">
        <v>0</v>
      </c>
    </row>
    <row r="1834">
      <c r="A1834" t="n">
        <v>1833</v>
      </c>
      <c r="B1834" t="inlineStr">
        <is>
          <t>Rental Machine</t>
        </is>
      </c>
      <c r="C1834" t="inlineStr">
        <is>
          <t>ក្លាក ហ៊ូ ឯ.ក</t>
        </is>
      </c>
      <c r="D1834" t="inlineStr">
        <is>
          <t>K007-901639199</t>
        </is>
      </c>
      <c r="E1834" t="inlineStr">
        <is>
          <t>IN2639</t>
        </is>
      </c>
      <c r="F1834" t="inlineStr">
        <is>
          <t>25-11-2024</t>
        </is>
      </c>
      <c r="G1834" t="n">
        <v>206721</v>
      </c>
      <c r="I1834">
        <f>G1834</f>
        <v/>
      </c>
      <c r="K1834">
        <f>I1834-G1834</f>
        <v/>
      </c>
      <c r="M1834" t="inlineStr">
        <is>
          <t>IN2639</t>
        </is>
      </c>
      <c r="N1834" t="inlineStr"/>
      <c r="O1834">
        <f>M1834=N1834</f>
        <v/>
      </c>
      <c r="P1834">
        <f>AND(MONTH(F1834)=MONTH(S1834), YEAR(F1834)=YEAR(S1834))</f>
        <v/>
      </c>
      <c r="Q1834">
        <f>"L001-902303751"=U1834</f>
        <v/>
      </c>
      <c r="R1834">
        <f>G1834-W1834</f>
        <v/>
      </c>
      <c r="S1834" s="36" t="n">
        <v>45250</v>
      </c>
      <c r="T1834" t="inlineStr"/>
      <c r="U1834" t="inlineStr">
        <is>
          <t>K003-901635943</t>
        </is>
      </c>
      <c r="V1834" t="inlineStr">
        <is>
          <t>អ៊ីឃ្យូឡាញ វើលវ៉ាយដ៍ ឡូជីស្ទីក</t>
        </is>
      </c>
      <c r="W1834" t="n">
        <v>0</v>
      </c>
      <c r="X1834" t="n">
        <v>0</v>
      </c>
    </row>
    <row r="1835">
      <c r="A1835" t="n">
        <v>1834</v>
      </c>
      <c r="B1835" t="inlineStr">
        <is>
          <t>Rental Machine</t>
        </is>
      </c>
      <c r="C1835" t="inlineStr">
        <is>
          <t>ក្លាក ហ៊ូ ឯ.ក</t>
        </is>
      </c>
      <c r="D1835" t="inlineStr">
        <is>
          <t>K007-901639199</t>
        </is>
      </c>
      <c r="E1835" t="inlineStr">
        <is>
          <t>IN2640</t>
        </is>
      </c>
      <c r="F1835" t="inlineStr">
        <is>
          <t>25-11-2024</t>
        </is>
      </c>
      <c r="G1835" t="n">
        <v>72252</v>
      </c>
      <c r="I1835">
        <f>G1835</f>
        <v/>
      </c>
      <c r="K1835">
        <f>I1835-G1835</f>
        <v/>
      </c>
      <c r="M1835" t="inlineStr">
        <is>
          <t>IN2640</t>
        </is>
      </c>
      <c r="N1835" t="inlineStr"/>
      <c r="O1835">
        <f>M1835=N1835</f>
        <v/>
      </c>
      <c r="P1835">
        <f>AND(MONTH(F1835)=MONTH(S1835), YEAR(F1835)=YEAR(S1835))</f>
        <v/>
      </c>
      <c r="Q1835">
        <f>"L001-902303751"=U1835</f>
        <v/>
      </c>
      <c r="R1835">
        <f>G1835-W1835</f>
        <v/>
      </c>
      <c r="S1835" s="36" t="n">
        <v>45253</v>
      </c>
      <c r="T1835" t="inlineStr"/>
      <c r="U1835" t="inlineStr">
        <is>
          <t>L001-100045995</t>
        </is>
      </c>
      <c r="V1835" t="inlineStr">
        <is>
          <t>ឌីអេចអិល ឡូជីស្ទីក (ខេមបូឌា)</t>
        </is>
      </c>
      <c r="W1835" t="n">
        <v>0</v>
      </c>
      <c r="X1835" t="n">
        <v>0</v>
      </c>
    </row>
    <row r="1836">
      <c r="A1836" t="n">
        <v>1835</v>
      </c>
      <c r="B1836" t="inlineStr">
        <is>
          <t>Documentation Origin, Handling Charges Origin, Terminal Handling Charges Origin, Seal Surcharge, VGM Processing Fee and Data Transmission Fee</t>
        </is>
      </c>
      <c r="C1836" t="inlineStr">
        <is>
          <t>ឌីប៊ី សេនឃើរ (ខេមបូឌា) លីមីធីត</t>
        </is>
      </c>
      <c r="D1836" t="inlineStr">
        <is>
          <t>L001-107041723</t>
        </is>
      </c>
      <c r="E1836" t="inlineStr">
        <is>
          <t>2400009453</t>
        </is>
      </c>
      <c r="F1836" t="inlineStr">
        <is>
          <t>29-11-2024</t>
        </is>
      </c>
      <c r="G1836" t="n">
        <v>171190</v>
      </c>
      <c r="I1836">
        <f>G1836</f>
        <v/>
      </c>
      <c r="K1836">
        <f>I1836-G1836</f>
        <v/>
      </c>
      <c r="M1836" t="inlineStr">
        <is>
          <t>2400009453</t>
        </is>
      </c>
      <c r="N1836" t="inlineStr">
        <is>
          <t>38223000</t>
        </is>
      </c>
      <c r="O1836">
        <f>M1836=N1836</f>
        <v/>
      </c>
      <c r="P1836">
        <f>AND(MONTH(F1836)=MONTH(S1836), YEAR(F1836)=YEAR(S1836))</f>
        <v/>
      </c>
      <c r="Q1836">
        <f>"L001-902303751"=U1836</f>
        <v/>
      </c>
      <c r="R1836">
        <f>G1836-W1836</f>
        <v/>
      </c>
      <c r="S1836" s="36" t="n">
        <v>45244</v>
      </c>
      <c r="T1836" t="n">
        <v>382230</v>
      </c>
      <c r="U1836" t="inlineStr">
        <is>
          <t>L001-902000739</t>
        </is>
      </c>
      <c r="V1836" t="inlineStr">
        <is>
          <t>អាន រ៉ុង ហ្ស៊ី យី ឯ.ក</t>
        </is>
      </c>
      <c r="W1836" t="n">
        <v>382230</v>
      </c>
      <c r="X1836" t="n">
        <v>0</v>
      </c>
    </row>
    <row r="1837">
      <c r="A1837" t="n">
        <v>1836</v>
      </c>
      <c r="B1837" t="inlineStr">
        <is>
          <t>OM CFS Charges, Carrier BL Fee, OM Document Assembly, Terminal Handling CHR, OTH Carrier Term CHG, VGM Fee, MISC Charge and Manifest Fee</t>
        </is>
      </c>
      <c r="C1837" t="inlineStr">
        <is>
          <t>អ៊ិចស្ពែឌីធ័រ ខេមបូឌា អិលធីឌី</t>
        </is>
      </c>
      <c r="D1837" t="inlineStr">
        <is>
          <t>L001-100045898</t>
        </is>
      </c>
      <c r="E1837" t="inlineStr">
        <is>
          <t>TI-0298497</t>
        </is>
      </c>
      <c r="F1837" t="inlineStr">
        <is>
          <t>27-11-2024</t>
        </is>
      </c>
      <c r="G1837" t="n">
        <v>116067</v>
      </c>
      <c r="I1837">
        <f>G1837</f>
        <v/>
      </c>
      <c r="K1837">
        <f>I1837-G1837</f>
        <v/>
      </c>
      <c r="M1837" t="inlineStr">
        <is>
          <t>TI0298497</t>
        </is>
      </c>
      <c r="N1837" t="inlineStr"/>
      <c r="O1837">
        <f>M1837=N1837</f>
        <v/>
      </c>
      <c r="P1837">
        <f>AND(MONTH(F1837)=MONTH(S1837), YEAR(F1837)=YEAR(S1837))</f>
        <v/>
      </c>
      <c r="Q1837">
        <f>"L001-902303751"=U1837</f>
        <v/>
      </c>
      <c r="R1837">
        <f>G1837-W1837</f>
        <v/>
      </c>
      <c r="S1837" s="36" t="n">
        <v>45231</v>
      </c>
      <c r="T1837" t="inlineStr"/>
      <c r="U1837" t="inlineStr">
        <is>
          <t>K005-901501155</t>
        </is>
      </c>
      <c r="V1837" t="inlineStr">
        <is>
          <t>ផេនដា គ្លូប៊ល ឡូជីស្ទីក (ខេមបូឌា)</t>
        </is>
      </c>
      <c r="W1837" t="n">
        <v>0</v>
      </c>
      <c r="X1837" t="n">
        <v>0</v>
      </c>
    </row>
    <row r="1838">
      <c r="A1838" t="n">
        <v>1837</v>
      </c>
      <c r="B1838" t="inlineStr">
        <is>
          <t>Documentation Origin, Hanlding Charges Origin, PLACI Fee and HAWB Transmission Fee</t>
        </is>
      </c>
      <c r="C1838" t="inlineStr">
        <is>
          <t>ឌីប៊ី សេនឃើរ (ខេមបូឌា) លីមីធីត</t>
        </is>
      </c>
      <c r="D1838" t="inlineStr">
        <is>
          <t>L001-107041723</t>
        </is>
      </c>
      <c r="E1838" t="inlineStr">
        <is>
          <t>2400009361</t>
        </is>
      </c>
      <c r="F1838" t="inlineStr">
        <is>
          <t>27-11-2024</t>
        </is>
      </c>
      <c r="G1838" t="n">
        <v>49495</v>
      </c>
      <c r="I1838">
        <f>G1838</f>
        <v/>
      </c>
      <c r="K1838">
        <f>I1838-G1838</f>
        <v/>
      </c>
      <c r="M1838" t="inlineStr">
        <is>
          <t>2400009361</t>
        </is>
      </c>
      <c r="N1838" t="inlineStr">
        <is>
          <t>17262000</t>
        </is>
      </c>
      <c r="O1838">
        <f>M1838=N1838</f>
        <v/>
      </c>
      <c r="P1838">
        <f>AND(MONTH(F1838)=MONTH(S1838), YEAR(F1838)=YEAR(S1838))</f>
        <v/>
      </c>
      <c r="Q1838">
        <f>"L001-902303751"=U1838</f>
        <v/>
      </c>
      <c r="R1838">
        <f>G1838-W1838</f>
        <v/>
      </c>
      <c r="S1838" s="36" t="n">
        <v>45244</v>
      </c>
      <c r="T1838" t="n">
        <v>172620</v>
      </c>
      <c r="U1838" t="inlineStr">
        <is>
          <t>L001-107032791</t>
        </is>
      </c>
      <c r="V1838" t="inlineStr">
        <is>
          <t>នីបផន អិចប្រេស (ខេមបូឌា) ខូ អិលធីឌី</t>
        </is>
      </c>
      <c r="W1838" t="n">
        <v>172620</v>
      </c>
      <c r="X1838" t="n">
        <v>0</v>
      </c>
    </row>
    <row r="1839">
      <c r="A1839" t="n">
        <v>1838</v>
      </c>
      <c r="B1839" t="inlineStr">
        <is>
          <t>Export Administration Fee, Port Formalily and Service Charge</t>
        </is>
      </c>
      <c r="C1839" t="inlineStr">
        <is>
          <t>ឆាយ ដា ឡូយីស្ទីក</t>
        </is>
      </c>
      <c r="D1839" t="inlineStr">
        <is>
          <t>L001-100063098</t>
        </is>
      </c>
      <c r="E1839" t="inlineStr">
        <is>
          <t>2411017498</t>
        </is>
      </c>
      <c r="F1839" t="inlineStr">
        <is>
          <t>27-11-2024</t>
        </is>
      </c>
      <c r="G1839" t="n">
        <v>76054</v>
      </c>
      <c r="I1839">
        <f>G1839</f>
        <v/>
      </c>
      <c r="K1839">
        <f>I1839-G1839</f>
        <v/>
      </c>
      <c r="M1839" t="inlineStr">
        <is>
          <t>2411017498</t>
        </is>
      </c>
      <c r="N1839" t="inlineStr">
        <is>
          <t>11371200</t>
        </is>
      </c>
      <c r="O1839">
        <f>M1839=N1839</f>
        <v/>
      </c>
      <c r="P1839">
        <f>AND(MONTH(F1839)=MONTH(S1839), YEAR(F1839)=YEAR(S1839))</f>
        <v/>
      </c>
      <c r="Q1839">
        <f>"L001-902303751"=U1839</f>
        <v/>
      </c>
      <c r="R1839">
        <f>G1839-W1839</f>
        <v/>
      </c>
      <c r="S1839" s="36" t="n">
        <v>45250</v>
      </c>
      <c r="T1839" t="n">
        <v>113712</v>
      </c>
      <c r="U1839" t="inlineStr">
        <is>
          <t>K003-901635943</t>
        </is>
      </c>
      <c r="V1839" t="inlineStr">
        <is>
          <t>អ៊ីឃ្យូឡាញ វើលវ៉ាយដ៍ ឡូជីស្ទីក</t>
        </is>
      </c>
      <c r="W1839" t="n">
        <v>113712</v>
      </c>
      <c r="X1839" t="n">
        <v>0</v>
      </c>
    </row>
    <row r="1840">
      <c r="A1840" t="n">
        <v>1839</v>
      </c>
      <c r="B1840" t="inlineStr">
        <is>
          <t>Export Administration Fee, Port Formalily and Service Charge</t>
        </is>
      </c>
      <c r="C1840" t="inlineStr">
        <is>
          <t>ឆាយ ដា ឡូយីស្ទីក</t>
        </is>
      </c>
      <c r="D1840" t="inlineStr">
        <is>
          <t>L001-100063098</t>
        </is>
      </c>
      <c r="E1840" t="inlineStr">
        <is>
          <t>2411017503</t>
        </is>
      </c>
      <c r="F1840" t="inlineStr">
        <is>
          <t>27-11-2024</t>
        </is>
      </c>
      <c r="G1840" t="n">
        <v>76054</v>
      </c>
      <c r="I1840">
        <f>G1840</f>
        <v/>
      </c>
      <c r="K1840">
        <f>I1840-G1840</f>
        <v/>
      </c>
      <c r="M1840" t="inlineStr">
        <is>
          <t>2411017503</t>
        </is>
      </c>
      <c r="N1840" t="inlineStr">
        <is>
          <t>8487200</t>
        </is>
      </c>
      <c r="O1840">
        <f>M1840=N1840</f>
        <v/>
      </c>
      <c r="P1840">
        <f>AND(MONTH(F1840)=MONTH(S1840), YEAR(F1840)=YEAR(S1840))</f>
        <v/>
      </c>
      <c r="Q1840">
        <f>"L001-902303751"=U1840</f>
        <v/>
      </c>
      <c r="R1840">
        <f>G1840-W1840</f>
        <v/>
      </c>
      <c r="S1840" s="36" t="n">
        <v>45250</v>
      </c>
      <c r="T1840" t="n">
        <v>84872</v>
      </c>
      <c r="U1840" t="inlineStr">
        <is>
          <t>K005-901805913</t>
        </is>
      </c>
      <c r="V1840" t="inlineStr">
        <is>
          <t>ស្តារ ខង់ខដ (ខេមបូឌា) ឯ.ក</t>
        </is>
      </c>
      <c r="W1840" t="n">
        <v>84872</v>
      </c>
      <c r="X1840" t="n">
        <v>0</v>
      </c>
    </row>
    <row r="1841">
      <c r="A1841" t="n">
        <v>1840</v>
      </c>
      <c r="B1841" t="inlineStr">
        <is>
          <t>Export Administration Fee, Port Formalily and Service Charge</t>
        </is>
      </c>
      <c r="C1841" t="inlineStr">
        <is>
          <t>ឆាយ ដា ឡូយីស្ទីក</t>
        </is>
      </c>
      <c r="D1841" t="inlineStr">
        <is>
          <t>L001-100063098</t>
        </is>
      </c>
      <c r="E1841" t="inlineStr">
        <is>
          <t>2411017502</t>
        </is>
      </c>
      <c r="F1841" t="inlineStr">
        <is>
          <t>27-11-2024</t>
        </is>
      </c>
      <c r="G1841" t="n">
        <v>76054</v>
      </c>
      <c r="I1841">
        <f>G1841</f>
        <v/>
      </c>
      <c r="K1841">
        <f>I1841-G1841</f>
        <v/>
      </c>
      <c r="M1841" t="inlineStr">
        <is>
          <t>2411017502</t>
        </is>
      </c>
      <c r="N1841" t="inlineStr">
        <is>
          <t>11118600</t>
        </is>
      </c>
      <c r="O1841">
        <f>M1841=N1841</f>
        <v/>
      </c>
      <c r="P1841">
        <f>AND(MONTH(F1841)=MONTH(S1841), YEAR(F1841)=YEAR(S1841))</f>
        <v/>
      </c>
      <c r="Q1841">
        <f>"L001-902303751"=U1841</f>
        <v/>
      </c>
      <c r="R1841">
        <f>G1841-W1841</f>
        <v/>
      </c>
      <c r="S1841" s="36" t="n">
        <v>45243</v>
      </c>
      <c r="T1841" t="n">
        <v>111186</v>
      </c>
      <c r="U1841" t="inlineStr">
        <is>
          <t>L001-107032791</t>
        </is>
      </c>
      <c r="V1841" t="inlineStr">
        <is>
          <t>នីបផន អិចប្រេស (ខេមបូឌា) ខូ អិលធីឌី</t>
        </is>
      </c>
      <c r="W1841" t="n">
        <v>111186</v>
      </c>
      <c r="X1841" t="n">
        <v>0</v>
      </c>
    </row>
    <row r="1842">
      <c r="A1842" t="n">
        <v>1841</v>
      </c>
      <c r="B1842" t="inlineStr">
        <is>
          <t>Customs Clearance of LCL Shipment, THC Charge of LCL, CFS Charge of LCL, Trucking Fee of LCL, CARGO Handling Fee and Bill Fee or Document Fee</t>
        </is>
      </c>
      <c r="C1842" t="inlineStr">
        <is>
          <t>អេវើរស្តារ ស៊ីលែនឌែរ</t>
        </is>
      </c>
      <c r="D1842" t="inlineStr">
        <is>
          <t>K002-100160492</t>
        </is>
      </c>
      <c r="E1842" t="inlineStr">
        <is>
          <t>TI-2024-053</t>
        </is>
      </c>
      <c r="F1842" t="inlineStr">
        <is>
          <t>26-11-2024</t>
        </is>
      </c>
      <c r="G1842" t="n">
        <v>111653</v>
      </c>
      <c r="I1842">
        <f>G1842</f>
        <v/>
      </c>
      <c r="K1842">
        <f>I1842-G1842</f>
        <v/>
      </c>
      <c r="M1842" t="inlineStr">
        <is>
          <t>TI2024053</t>
        </is>
      </c>
      <c r="N1842" t="inlineStr">
        <is>
          <t>11097000</t>
        </is>
      </c>
      <c r="O1842">
        <f>M1842=N1842</f>
        <v/>
      </c>
      <c r="P1842">
        <f>AND(MONTH(F1842)=MONTH(S1842), YEAR(F1842)=YEAR(S1842))</f>
        <v/>
      </c>
      <c r="Q1842">
        <f>"L001-902303751"=U1842</f>
        <v/>
      </c>
      <c r="R1842">
        <f>G1842-W1842</f>
        <v/>
      </c>
      <c r="S1842" s="36" t="n">
        <v>45244</v>
      </c>
      <c r="T1842" t="n">
        <v>110970</v>
      </c>
      <c r="U1842" t="inlineStr">
        <is>
          <t>L001-100045898</t>
        </is>
      </c>
      <c r="V1842" t="inlineStr">
        <is>
          <t>អ៊ិចស្ពែឌីធ័រ ខេមបូឌា អិលធីឌី</t>
        </is>
      </c>
      <c r="W1842" t="n">
        <v>110970</v>
      </c>
      <c r="X1842" t="n">
        <v>0</v>
      </c>
    </row>
    <row r="1843">
      <c r="A1843" t="n">
        <v>1842</v>
      </c>
      <c r="B1843" t="inlineStr">
        <is>
          <t>Export Customs Clearance</t>
        </is>
      </c>
      <c r="C1843" t="inlineStr">
        <is>
          <t>អ៊ីឃ្យូឡាញ វើលវ៉ាយដ៍ ឡូជីស្ទីក</t>
        </is>
      </c>
      <c r="D1843" t="inlineStr">
        <is>
          <t>K003-901635943</t>
        </is>
      </c>
      <c r="E1843" t="inlineStr">
        <is>
          <t>PPTI24/005694</t>
        </is>
      </c>
      <c r="F1843" t="inlineStr">
        <is>
          <t>26-11-2024</t>
        </is>
      </c>
      <c r="G1843" t="n">
        <v>64224</v>
      </c>
      <c r="I1843">
        <f>G1843</f>
        <v/>
      </c>
      <c r="K1843">
        <f>I1843-G1843</f>
        <v/>
      </c>
      <c r="M1843" t="inlineStr">
        <is>
          <t>PPTI24005694</t>
        </is>
      </c>
      <c r="N1843" t="inlineStr">
        <is>
          <t>10327500</t>
        </is>
      </c>
      <c r="O1843">
        <f>M1843=N1843</f>
        <v/>
      </c>
      <c r="P1843">
        <f>AND(MONTH(F1843)=MONTH(S1843), YEAR(F1843)=YEAR(S1843))</f>
        <v/>
      </c>
      <c r="Q1843">
        <f>"L001-902303751"=U1843</f>
        <v/>
      </c>
      <c r="R1843">
        <f>G1843-W1843</f>
        <v/>
      </c>
      <c r="S1843" s="36" t="n">
        <v>45233</v>
      </c>
      <c r="T1843" t="n">
        <v>103275</v>
      </c>
      <c r="U1843" t="inlineStr">
        <is>
          <t>K003-901635943</t>
        </is>
      </c>
      <c r="V1843" t="inlineStr">
        <is>
          <t>អ៊ីឃ្យូឡាញ វើលវ៉ាយដ៍ ឡូជីស្ទីក</t>
        </is>
      </c>
      <c r="W1843" t="n">
        <v>103275</v>
      </c>
      <c r="X1843" t="n">
        <v>0</v>
      </c>
    </row>
    <row r="1844">
      <c r="A1844" t="n">
        <v>1843</v>
      </c>
      <c r="B1844" t="inlineStr">
        <is>
          <t>Monthly Security for November 2024</t>
        </is>
      </c>
      <c r="C1844" t="inlineStr">
        <is>
          <t>អិល.ប៊ី.អិល.អេច ស៊ីឃ្យូរឹធី ឯ.ក</t>
        </is>
      </c>
      <c r="D1844" t="inlineStr">
        <is>
          <t>K010-902202247</t>
        </is>
      </c>
      <c r="E1844" t="inlineStr">
        <is>
          <t>L.B.L.H00025</t>
        </is>
      </c>
      <c r="F1844" t="inlineStr">
        <is>
          <t>25-11-2024</t>
        </is>
      </c>
      <c r="G1844" t="n">
        <v>802400</v>
      </c>
      <c r="I1844">
        <f>G1844</f>
        <v/>
      </c>
      <c r="K1844">
        <f>I1844-G1844</f>
        <v/>
      </c>
      <c r="M1844" t="inlineStr">
        <is>
          <t>LBLH00025</t>
        </is>
      </c>
      <c r="N1844" t="inlineStr">
        <is>
          <t>11153700</t>
        </is>
      </c>
      <c r="O1844">
        <f>M1844=N1844</f>
        <v/>
      </c>
      <c r="P1844">
        <f>AND(MONTH(F1844)=MONTH(S1844), YEAR(F1844)=YEAR(S1844))</f>
        <v/>
      </c>
      <c r="Q1844">
        <f>"L001-902303751"=U1844</f>
        <v/>
      </c>
      <c r="R1844">
        <f>G1844-W1844</f>
        <v/>
      </c>
      <c r="S1844" s="36" t="n">
        <v>45236</v>
      </c>
      <c r="T1844" t="n">
        <v>111537</v>
      </c>
      <c r="U1844" t="inlineStr">
        <is>
          <t>L001-107032791</t>
        </is>
      </c>
      <c r="V1844" t="inlineStr">
        <is>
          <t>នីបផន អិចប្រេស (ខេមបូឌា) ខូ អិលធីឌី</t>
        </is>
      </c>
      <c r="W1844" t="n">
        <v>111537</v>
      </c>
      <c r="X1844" t="n">
        <v>0</v>
      </c>
    </row>
    <row r="1845">
      <c r="A1845" t="n">
        <v>1844</v>
      </c>
      <c r="B1845" t="inlineStr">
        <is>
          <t>Sodium Metabisulfite</t>
        </is>
      </c>
      <c r="C1845" t="inlineStr">
        <is>
          <t>គី ស៊ីង អ៊ីមផត អិចផត ឯ.ក</t>
        </is>
      </c>
      <c r="D1845" t="inlineStr">
        <is>
          <t>B108-901805414</t>
        </is>
      </c>
      <c r="E1845" t="inlineStr">
        <is>
          <t>QX0383</t>
        </is>
      </c>
      <c r="F1845" t="inlineStr">
        <is>
          <t>22-11-2024</t>
        </is>
      </c>
      <c r="G1845" t="n">
        <v>257664</v>
      </c>
      <c r="I1845">
        <f>G1845</f>
        <v/>
      </c>
      <c r="K1845">
        <f>I1845-G1845</f>
        <v/>
      </c>
      <c r="M1845" t="inlineStr">
        <is>
          <t>QX0383</t>
        </is>
      </c>
      <c r="N1845" t="inlineStr">
        <is>
          <t>74391000</t>
        </is>
      </c>
      <c r="O1845">
        <f>M1845=N1845</f>
        <v/>
      </c>
      <c r="P1845">
        <f>AND(MONTH(F1845)=MONTH(S1845), YEAR(F1845)=YEAR(S1845))</f>
        <v/>
      </c>
      <c r="Q1845">
        <f>"L001-902303751"=U1845</f>
        <v/>
      </c>
      <c r="R1845">
        <f>G1845-W1845</f>
        <v/>
      </c>
      <c r="S1845" s="36" t="n">
        <v>45244</v>
      </c>
      <c r="T1845" t="n">
        <v>743910</v>
      </c>
      <c r="U1845" t="inlineStr">
        <is>
          <t>K002-901800477</t>
        </is>
      </c>
      <c r="V1845" t="inlineStr">
        <is>
          <t>អាយធីអាយ អ៊ិនធើណេសិនណល ត្រេនស័្ពរថេសិន (ខេមបូឌា) ឯ.ក</t>
        </is>
      </c>
      <c r="W1845" t="n">
        <v>743910</v>
      </c>
      <c r="X1845" t="n">
        <v>0</v>
      </c>
    </row>
    <row r="1846">
      <c r="A1846" t="n">
        <v>1845</v>
      </c>
      <c r="B1846" t="inlineStr">
        <is>
          <t>Monthly Tax Service for October 2024</t>
        </is>
      </c>
      <c r="C1846" t="inlineStr">
        <is>
          <t>ខេឌី ខនសាល់ធេន ឯ.ក</t>
        </is>
      </c>
      <c r="D1846" t="inlineStr">
        <is>
          <t>K005-901704277</t>
        </is>
      </c>
      <c r="E1846" t="inlineStr">
        <is>
          <t>20240001422</t>
        </is>
      </c>
      <c r="F1846" t="inlineStr">
        <is>
          <t>22-11-2024</t>
        </is>
      </c>
      <c r="G1846" t="n">
        <v>100650</v>
      </c>
      <c r="I1846">
        <f>G1846</f>
        <v/>
      </c>
      <c r="K1846">
        <f>I1846-G1846</f>
        <v/>
      </c>
      <c r="M1846" t="inlineStr">
        <is>
          <t>20240001422</t>
        </is>
      </c>
      <c r="N1846" t="inlineStr">
        <is>
          <t>20139000</t>
        </is>
      </c>
      <c r="O1846">
        <f>M1846=N1846</f>
        <v/>
      </c>
      <c r="P1846">
        <f>AND(MONTH(F1846)=MONTH(S1846), YEAR(F1846)=YEAR(S1846))</f>
        <v/>
      </c>
      <c r="Q1846">
        <f>"L001-902303751"=U1846</f>
        <v/>
      </c>
      <c r="R1846">
        <f>G1846-W1846</f>
        <v/>
      </c>
      <c r="S1846" s="36" t="n">
        <v>45244</v>
      </c>
      <c r="T1846" t="n">
        <v>201390</v>
      </c>
      <c r="U1846" t="inlineStr">
        <is>
          <t>K002-901800477</t>
        </is>
      </c>
      <c r="V1846" t="inlineStr">
        <is>
          <t>អាយធីអាយ អ៊ិនធើណេសិនណល ត្រេនស័្ពរថេសិន (ខេមបូឌា) ឯ.ក</t>
        </is>
      </c>
      <c r="W1846" t="n">
        <v>201390</v>
      </c>
      <c r="X1846" t="n">
        <v>0</v>
      </c>
    </row>
    <row r="1847">
      <c r="A1847" t="n">
        <v>1846</v>
      </c>
      <c r="B1847" t="inlineStr">
        <is>
          <t>Documentation Origin, Handling Charges Origin, PLACI Fee and HAWB Transmission Fee</t>
        </is>
      </c>
      <c r="C1847" t="inlineStr">
        <is>
          <t>ឌីប៊ី សេនឃើរ (ខេមបូឌា) លីមីធីត</t>
        </is>
      </c>
      <c r="D1847" t="inlineStr">
        <is>
          <t>L001-107041723</t>
        </is>
      </c>
      <c r="E1847" t="inlineStr">
        <is>
          <t>2400009017</t>
        </is>
      </c>
      <c r="F1847" t="inlineStr">
        <is>
          <t>12-11-2024</t>
        </is>
      </c>
      <c r="G1847" t="n">
        <v>49852</v>
      </c>
      <c r="I1847">
        <f>G1847</f>
        <v/>
      </c>
      <c r="K1847">
        <f>I1847-G1847</f>
        <v/>
      </c>
      <c r="M1847" t="inlineStr">
        <is>
          <t>2400009017</t>
        </is>
      </c>
      <c r="N1847" t="inlineStr"/>
      <c r="O1847">
        <f>M1847=N1847</f>
        <v/>
      </c>
      <c r="P1847">
        <f>AND(MONTH(F1847)=MONTH(S1847), YEAR(F1847)=YEAR(S1847))</f>
        <v/>
      </c>
      <c r="Q1847">
        <f>"L001-902303751"=U1847</f>
        <v/>
      </c>
      <c r="R1847">
        <f>G1847-W1847</f>
        <v/>
      </c>
      <c r="S1847" s="36" t="n">
        <v>45244</v>
      </c>
      <c r="T1847" t="inlineStr"/>
      <c r="U1847" t="inlineStr">
        <is>
          <t>K002-901800477</t>
        </is>
      </c>
      <c r="V1847" t="inlineStr">
        <is>
          <t>អាយធីអាយ អ៊ិនធើណេសិនណល ត្រេនស័្ពរថេសិន (ខេមបូឌា) ឯ.ក</t>
        </is>
      </c>
      <c r="W1847" t="n">
        <v>0</v>
      </c>
      <c r="X1847" t="n">
        <v>0</v>
      </c>
    </row>
    <row r="1848">
      <c r="A1848" t="n">
        <v>1847</v>
      </c>
      <c r="B1848" t="inlineStr">
        <is>
          <t>Documentation Origin, Handling Charges Origin, PLACI Fee and HAWB Transmission Fee</t>
        </is>
      </c>
      <c r="C1848" t="inlineStr">
        <is>
          <t>ឌីប៊ី សេនឃើរ (ខេមបូឌា) លីមីធីត</t>
        </is>
      </c>
      <c r="D1848" t="inlineStr">
        <is>
          <t>L001-107041723</t>
        </is>
      </c>
      <c r="E1848" t="inlineStr">
        <is>
          <t>2400009246</t>
        </is>
      </c>
      <c r="F1848" t="inlineStr">
        <is>
          <t>21-11-2024</t>
        </is>
      </c>
      <c r="G1848" t="n">
        <v>49618</v>
      </c>
      <c r="I1848">
        <f>G1848</f>
        <v/>
      </c>
      <c r="K1848">
        <f>I1848-G1848</f>
        <v/>
      </c>
      <c r="M1848" t="inlineStr">
        <is>
          <t>2400009246</t>
        </is>
      </c>
      <c r="N1848" t="inlineStr">
        <is>
          <t>11110500</t>
        </is>
      </c>
      <c r="O1848">
        <f>M1848=N1848</f>
        <v/>
      </c>
      <c r="P1848">
        <f>AND(MONTH(F1848)=MONTH(S1848), YEAR(F1848)=YEAR(S1848))</f>
        <v/>
      </c>
      <c r="Q1848">
        <f>"L001-902303751"=U1848</f>
        <v/>
      </c>
      <c r="R1848">
        <f>G1848-W1848</f>
        <v/>
      </c>
      <c r="S1848" s="36" t="n">
        <v>45259</v>
      </c>
      <c r="T1848" t="n">
        <v>111105</v>
      </c>
      <c r="U1848" t="inlineStr">
        <is>
          <t>L001-107032791</t>
        </is>
      </c>
      <c r="V1848" t="inlineStr">
        <is>
          <t>នីបផន អិចប្រេស (ខេមបូឌា) ខូ អិលធីឌី</t>
        </is>
      </c>
      <c r="W1848" t="n">
        <v>111105</v>
      </c>
      <c r="X1848" t="n">
        <v>0</v>
      </c>
    </row>
    <row r="1849">
      <c r="A1849" t="n">
        <v>1848</v>
      </c>
      <c r="B1849" t="inlineStr">
        <is>
          <t>Documentation Origin, Handling Charges Origin, PLACI Fee and HAWB Transmission Fee</t>
        </is>
      </c>
      <c r="C1849" t="inlineStr">
        <is>
          <t>ឌីប៊ី សេនឃើរ (ខេមបូឌា) លីមីធីត</t>
        </is>
      </c>
      <c r="D1849" t="inlineStr">
        <is>
          <t>L001-107041723</t>
        </is>
      </c>
      <c r="E1849" t="inlineStr">
        <is>
          <t>2400009223</t>
        </is>
      </c>
      <c r="F1849" t="inlineStr">
        <is>
          <t>20-11-2024</t>
        </is>
      </c>
      <c r="G1849" t="n">
        <v>49667</v>
      </c>
      <c r="I1849">
        <f>G1849</f>
        <v/>
      </c>
      <c r="K1849">
        <f>I1849-G1849</f>
        <v/>
      </c>
      <c r="M1849" t="inlineStr">
        <is>
          <t>2400009223</t>
        </is>
      </c>
      <c r="N1849" t="inlineStr"/>
      <c r="O1849">
        <f>M1849=N1849</f>
        <v/>
      </c>
      <c r="P1849">
        <f>AND(MONTH(F1849)=MONTH(S1849), YEAR(F1849)=YEAR(S1849))</f>
        <v/>
      </c>
      <c r="Q1849">
        <f>"L001-902303751"=U1849</f>
        <v/>
      </c>
      <c r="R1849">
        <f>G1849-W1849</f>
        <v/>
      </c>
      <c r="S1849" s="36" t="n">
        <v>45243</v>
      </c>
      <c r="T1849" t="inlineStr"/>
      <c r="U1849" t="inlineStr">
        <is>
          <t>K003-901635943</t>
        </is>
      </c>
      <c r="V1849" t="inlineStr">
        <is>
          <t>អ៊ីឃ្យូឡាញ វើលវ៉ាយដ៍ ឡូជីស្ទីក</t>
        </is>
      </c>
      <c r="W1849" t="n">
        <v>0</v>
      </c>
      <c r="X1849" t="n">
        <v>0</v>
      </c>
    </row>
    <row r="1850">
      <c r="A1850" t="n">
        <v>1849</v>
      </c>
      <c r="B1850" t="inlineStr">
        <is>
          <t>Rental Machine</t>
        </is>
      </c>
      <c r="C1850" t="inlineStr">
        <is>
          <t>ក្លាក ហ៊ូ ឯ.ក</t>
        </is>
      </c>
      <c r="D1850" t="inlineStr">
        <is>
          <t>K007-901639199</t>
        </is>
      </c>
      <c r="E1850" t="inlineStr">
        <is>
          <t>IN2635</t>
        </is>
      </c>
      <c r="F1850" t="inlineStr">
        <is>
          <t>25-11-2024</t>
        </is>
      </c>
      <c r="G1850" t="n">
        <v>82958</v>
      </c>
      <c r="I1850">
        <f>G1850</f>
        <v/>
      </c>
      <c r="K1850">
        <f>I1850-G1850</f>
        <v/>
      </c>
      <c r="M1850" t="inlineStr">
        <is>
          <t>IN2635</t>
        </is>
      </c>
      <c r="N1850" t="inlineStr"/>
      <c r="O1850">
        <f>M1850=N1850</f>
        <v/>
      </c>
      <c r="P1850">
        <f>AND(MONTH(F1850)=MONTH(S1850), YEAR(F1850)=YEAR(S1850))</f>
        <v/>
      </c>
      <c r="Q1850">
        <f>"L001-902303751"=U1850</f>
        <v/>
      </c>
      <c r="R1850">
        <f>G1850-W1850</f>
        <v/>
      </c>
      <c r="S1850" s="36" t="n">
        <v>45243</v>
      </c>
      <c r="T1850" t="inlineStr"/>
      <c r="U1850" t="inlineStr">
        <is>
          <t>L001-100045995</t>
        </is>
      </c>
      <c r="V1850" t="inlineStr">
        <is>
          <t>ឌីអេចអិល ឡូជីស្ទីក (ខេមបូឌា)</t>
        </is>
      </c>
      <c r="W1850" t="n">
        <v>0</v>
      </c>
      <c r="X1850" t="n">
        <v>0</v>
      </c>
    </row>
    <row r="1851">
      <c r="A1851" t="n">
        <v>1850</v>
      </c>
      <c r="B1851" t="inlineStr">
        <is>
          <t>Rental Machine</t>
        </is>
      </c>
      <c r="C1851" t="inlineStr">
        <is>
          <t>ក្លាក ហ៊ូ ឯ.ក</t>
        </is>
      </c>
      <c r="D1851" t="inlineStr">
        <is>
          <t>K007-901639199</t>
        </is>
      </c>
      <c r="E1851" t="inlineStr">
        <is>
          <t>IN2634</t>
        </is>
      </c>
      <c r="F1851" t="inlineStr">
        <is>
          <t>25-11-2024</t>
        </is>
      </c>
      <c r="G1851" t="n">
        <v>156816</v>
      </c>
      <c r="I1851">
        <f>G1851</f>
        <v/>
      </c>
      <c r="K1851">
        <f>I1851-G1851</f>
        <v/>
      </c>
      <c r="M1851" t="inlineStr">
        <is>
          <t>IN2634</t>
        </is>
      </c>
      <c r="N1851" t="inlineStr"/>
      <c r="O1851">
        <f>M1851=N1851</f>
        <v/>
      </c>
      <c r="P1851">
        <f>AND(MONTH(F1851)=MONTH(S1851), YEAR(F1851)=YEAR(S1851))</f>
        <v/>
      </c>
      <c r="Q1851">
        <f>"L001-902303751"=U1851</f>
        <v/>
      </c>
      <c r="R1851">
        <f>G1851-W1851</f>
        <v/>
      </c>
      <c r="S1851" s="36" t="n">
        <v>45231</v>
      </c>
      <c r="T1851" t="inlineStr"/>
      <c r="U1851" t="inlineStr">
        <is>
          <t>L001-100044956</t>
        </is>
      </c>
      <c r="V1851" t="inlineStr">
        <is>
          <t>ជី លីង អិចប្រេស ឡូជីស្ទីក (ខេមបូឌា) លីមីធីត</t>
        </is>
      </c>
      <c r="W1851" t="n">
        <v>0</v>
      </c>
      <c r="X1851" t="n">
        <v>0</v>
      </c>
    </row>
    <row r="1852">
      <c r="A1852" t="n">
        <v>1851</v>
      </c>
      <c r="B1852" t="inlineStr">
        <is>
          <t>Rental Machine</t>
        </is>
      </c>
      <c r="C1852" t="inlineStr">
        <is>
          <t>ក្លាក ហ៊ូ ឯ.ក</t>
        </is>
      </c>
      <c r="D1852" t="inlineStr">
        <is>
          <t>K007-901639199</t>
        </is>
      </c>
      <c r="E1852" t="inlineStr">
        <is>
          <t>IN2633</t>
        </is>
      </c>
      <c r="F1852" t="inlineStr">
        <is>
          <t>25-11-2024</t>
        </is>
      </c>
      <c r="G1852" t="n">
        <v>16056</v>
      </c>
      <c r="I1852">
        <f>G1852</f>
        <v/>
      </c>
      <c r="K1852">
        <f>I1852-G1852</f>
        <v/>
      </c>
      <c r="M1852" t="inlineStr">
        <is>
          <t>IN2633</t>
        </is>
      </c>
      <c r="N1852" t="inlineStr"/>
      <c r="O1852">
        <f>M1852=N1852</f>
        <v/>
      </c>
      <c r="P1852">
        <f>AND(MONTH(F1852)=MONTH(S1852), YEAR(F1852)=YEAR(S1852))</f>
        <v/>
      </c>
      <c r="Q1852">
        <f>"L001-902303751"=U1852</f>
        <v/>
      </c>
      <c r="R1852">
        <f>G1852-W1852</f>
        <v/>
      </c>
      <c r="S1852" s="36" t="n">
        <v>45231</v>
      </c>
      <c r="T1852" t="inlineStr"/>
      <c r="U1852" t="inlineStr">
        <is>
          <t>K002-901800477</t>
        </is>
      </c>
      <c r="V1852" t="inlineStr">
        <is>
          <t>អាយធីអាយ អ៊ិនធើណេសិនណល ត្រេនស័្ពរថេសិន (ខេមបូឌា) ឯ.ក</t>
        </is>
      </c>
      <c r="W1852" t="n">
        <v>0</v>
      </c>
      <c r="X1852" t="n">
        <v>0</v>
      </c>
    </row>
    <row r="1853">
      <c r="A1853" t="n">
        <v>1852</v>
      </c>
      <c r="B1853" t="inlineStr">
        <is>
          <t>Documentation Fee and Handling Charges</t>
        </is>
      </c>
      <c r="C1853" t="inlineStr">
        <is>
          <t>អេជីអិកស៍ ឡូជីស្ទីក (ខេមបូឌា) ខូ អិលធីឌី</t>
        </is>
      </c>
      <c r="D1853" t="inlineStr">
        <is>
          <t>K002-901504703</t>
        </is>
      </c>
      <c r="E1853" t="inlineStr">
        <is>
          <t>TINV-24-0425</t>
        </is>
      </c>
      <c r="F1853" t="inlineStr">
        <is>
          <t>01-11-2024</t>
        </is>
      </c>
      <c r="G1853" t="n">
        <v>38599</v>
      </c>
      <c r="I1853">
        <f>G1853</f>
        <v/>
      </c>
      <c r="K1853">
        <f>I1853-G1853</f>
        <v/>
      </c>
      <c r="M1853" t="inlineStr">
        <is>
          <t>TINV240425</t>
        </is>
      </c>
      <c r="N1853" t="inlineStr">
        <is>
          <t>11153700</t>
        </is>
      </c>
      <c r="O1853">
        <f>M1853=N1853</f>
        <v/>
      </c>
      <c r="P1853">
        <f>AND(MONTH(F1853)=MONTH(S1853), YEAR(F1853)=YEAR(S1853))</f>
        <v/>
      </c>
      <c r="Q1853">
        <f>"L001-902303751"=U1853</f>
        <v/>
      </c>
      <c r="R1853">
        <f>G1853-W1853</f>
        <v/>
      </c>
      <c r="S1853" s="36" t="n">
        <v>45234</v>
      </c>
      <c r="T1853" t="n">
        <v>111537</v>
      </c>
      <c r="U1853" t="inlineStr">
        <is>
          <t>L001-100074669</t>
        </is>
      </c>
      <c r="V1853" t="inlineStr">
        <is>
          <t>ខេអិលអិន ហ្វ្រេត (ខេមបូឌា) ឯ.ក</t>
        </is>
      </c>
      <c r="W1853" t="n">
        <v>111537</v>
      </c>
      <c r="X1853" t="n">
        <v>0</v>
      </c>
    </row>
    <row r="1854">
      <c r="A1854" t="n">
        <v>1853</v>
      </c>
      <c r="B1854" t="inlineStr">
        <is>
          <t>Gate Fee Charges-GC Truck-1-6 Tons</t>
        </is>
      </c>
      <c r="C1854" t="inlineStr">
        <is>
          <t>កំពង់ផែស្វយ័តភ្នំពេញ "ក.ស.ភ"</t>
        </is>
      </c>
      <c r="D1854" t="inlineStr">
        <is>
          <t>L001-100044999</t>
        </is>
      </c>
      <c r="E1854" t="inlineStr">
        <is>
          <t>INV20241183299</t>
        </is>
      </c>
      <c r="F1854" t="inlineStr">
        <is>
          <t>07-11-2024</t>
        </is>
      </c>
      <c r="G1854" t="n">
        <v>813</v>
      </c>
      <c r="I1854">
        <f>G1854</f>
        <v/>
      </c>
      <c r="K1854">
        <f>I1854-G1854</f>
        <v/>
      </c>
      <c r="M1854" t="inlineStr">
        <is>
          <t>INV20241183299</t>
        </is>
      </c>
      <c r="N1854" t="inlineStr">
        <is>
          <t>8509900</t>
        </is>
      </c>
      <c r="O1854">
        <f>M1854=N1854</f>
        <v/>
      </c>
      <c r="P1854">
        <f>AND(MONTH(F1854)=MONTH(S1854), YEAR(F1854)=YEAR(S1854))</f>
        <v/>
      </c>
      <c r="Q1854">
        <f>"L001-902303751"=U1854</f>
        <v/>
      </c>
      <c r="R1854">
        <f>G1854-W1854</f>
        <v/>
      </c>
      <c r="S1854" s="36" t="n">
        <v>45236</v>
      </c>
      <c r="T1854" t="n">
        <v>85099</v>
      </c>
      <c r="U1854" t="inlineStr">
        <is>
          <t>K003-901635943</t>
        </is>
      </c>
      <c r="V1854" t="inlineStr">
        <is>
          <t>អ៊ីឃ្យូឡាញ វើលវ៉ាយដ៍ ឡូជីស្ទីក</t>
        </is>
      </c>
      <c r="W1854" t="n">
        <v>85099</v>
      </c>
      <c r="X1854" t="n">
        <v>0</v>
      </c>
    </row>
    <row r="1855">
      <c r="A1855" t="n">
        <v>1854</v>
      </c>
      <c r="B1855" t="inlineStr">
        <is>
          <t>Customs Clearance Fee and Trucking Fee</t>
        </is>
      </c>
      <c r="C1855" t="inlineStr">
        <is>
          <t>ត្រាយអ៊ែងហ្គល ឡូជីស្ទីក (ខេមបូឌា) ឯ.ក</t>
        </is>
      </c>
      <c r="D1855" t="inlineStr">
        <is>
          <t>K010-902101743</t>
        </is>
      </c>
      <c r="E1855" t="inlineStr">
        <is>
          <t>TAG-24-00838</t>
        </is>
      </c>
      <c r="F1855" t="inlineStr">
        <is>
          <t>12-11-2024</t>
        </is>
      </c>
      <c r="G1855" t="n">
        <v>28371</v>
      </c>
      <c r="I1855">
        <f>G1855</f>
        <v/>
      </c>
      <c r="K1855">
        <f>I1855-G1855</f>
        <v/>
      </c>
      <c r="M1855" t="inlineStr">
        <is>
          <t>TAG2400838</t>
        </is>
      </c>
      <c r="N1855" t="inlineStr">
        <is>
          <t>11153700</t>
        </is>
      </c>
      <c r="O1855">
        <f>M1855=N1855</f>
        <v/>
      </c>
      <c r="P1855">
        <f>AND(MONTH(F1855)=MONTH(S1855), YEAR(F1855)=YEAR(S1855))</f>
        <v/>
      </c>
      <c r="Q1855">
        <f>"L001-902303751"=U1855</f>
        <v/>
      </c>
      <c r="R1855">
        <f>G1855-W1855</f>
        <v/>
      </c>
      <c r="S1855" s="36" t="n">
        <v>45236</v>
      </c>
      <c r="T1855" t="n">
        <v>111537</v>
      </c>
      <c r="U1855" t="inlineStr">
        <is>
          <t>L001-107041723</t>
        </is>
      </c>
      <c r="V1855" t="inlineStr">
        <is>
          <t>ឌីប៊ី សេនឃើរ (ខេមបូឌា) លីមីធីត</t>
        </is>
      </c>
      <c r="W1855" t="n">
        <v>111537</v>
      </c>
      <c r="X1855" t="n">
        <v>0</v>
      </c>
    </row>
    <row r="1856">
      <c r="A1856" t="n">
        <v>1855</v>
      </c>
      <c r="B1856" t="inlineStr">
        <is>
          <t>Doc Fee and Handling Fee</t>
        </is>
      </c>
      <c r="C1856" t="inlineStr">
        <is>
          <t>អិមអាយ ឡូជីកស៍ (ខេមបូឌា)</t>
        </is>
      </c>
      <c r="D1856" t="inlineStr">
        <is>
          <t>K009-107021862</t>
        </is>
      </c>
      <c r="E1856" t="inlineStr">
        <is>
          <t>MII202411-001</t>
        </is>
      </c>
      <c r="F1856" t="inlineStr">
        <is>
          <t>04-11-2024</t>
        </is>
      </c>
      <c r="G1856" t="n">
        <v>24390</v>
      </c>
      <c r="I1856">
        <f>G1856</f>
        <v/>
      </c>
      <c r="K1856">
        <f>I1856-G1856</f>
        <v/>
      </c>
      <c r="M1856" t="inlineStr">
        <is>
          <t>MII202411001</t>
        </is>
      </c>
      <c r="N1856" t="inlineStr">
        <is>
          <t>17262000</t>
        </is>
      </c>
      <c r="O1856">
        <f>M1856=N1856</f>
        <v/>
      </c>
      <c r="P1856">
        <f>AND(MONTH(F1856)=MONTH(S1856), YEAR(F1856)=YEAR(S1856))</f>
        <v/>
      </c>
      <c r="Q1856">
        <f>"L001-902303751"=U1856</f>
        <v/>
      </c>
      <c r="R1856">
        <f>G1856-W1856</f>
        <v/>
      </c>
      <c r="S1856" s="36" t="n">
        <v>45244</v>
      </c>
      <c r="T1856" t="n">
        <v>172620</v>
      </c>
      <c r="U1856" t="inlineStr">
        <is>
          <t>K002-901800477</t>
        </is>
      </c>
      <c r="V1856" t="inlineStr">
        <is>
          <t>អាយធីអាយ អ៊ិនធើណេសិនណល ត្រេនស័្ពរថេសិន (ខេមបូឌា) ឯ.ក</t>
        </is>
      </c>
      <c r="W1856" t="n">
        <v>172620</v>
      </c>
      <c r="X1856" t="n">
        <v>0</v>
      </c>
    </row>
    <row r="1857">
      <c r="A1857" t="n">
        <v>1856</v>
      </c>
      <c r="B1857" t="inlineStr">
        <is>
          <t>Cargo Terminal</t>
        </is>
      </c>
      <c r="C1857" t="inlineStr">
        <is>
          <t>សូស៊ីយេតេ កុងសេស្យូនែរ ដឺ ឡាអេរ៉ូព័រ</t>
        </is>
      </c>
      <c r="D1857" t="inlineStr">
        <is>
          <t>L001-100047300</t>
        </is>
      </c>
      <c r="E1857" t="inlineStr">
        <is>
          <t>2400089510</t>
        </is>
      </c>
      <c r="F1857" t="inlineStr">
        <is>
          <t>05-11-2024</t>
        </is>
      </c>
      <c r="G1857" t="n">
        <v>2506</v>
      </c>
      <c r="I1857">
        <f>G1857</f>
        <v/>
      </c>
      <c r="K1857">
        <f>I1857-G1857</f>
        <v/>
      </c>
      <c r="M1857" t="inlineStr">
        <is>
          <t>2400089510</t>
        </is>
      </c>
      <c r="N1857" t="inlineStr"/>
      <c r="O1857">
        <f>M1857=N1857</f>
        <v/>
      </c>
      <c r="P1857">
        <f>AND(MONTH(F1857)=MONTH(S1857), YEAR(F1857)=YEAR(S1857))</f>
        <v/>
      </c>
      <c r="Q1857">
        <f>"L001-902303751"=U1857</f>
        <v/>
      </c>
      <c r="R1857">
        <f>G1857-W1857</f>
        <v/>
      </c>
      <c r="S1857" s="36" t="n">
        <v>45231</v>
      </c>
      <c r="T1857" t="inlineStr"/>
      <c r="U1857" t="inlineStr">
        <is>
          <t>L001-103007369</t>
        </is>
      </c>
      <c r="V1857" t="inlineStr">
        <is>
          <t>អូរៀនថល ឡូជីស្ទីក &amp; ឌីស្ទ្រីប៊្យូសិន (ខេមបូឌា)</t>
        </is>
      </c>
      <c r="W1857" t="n">
        <v>0</v>
      </c>
      <c r="X1857" t="n">
        <v>0</v>
      </c>
    </row>
    <row r="1858">
      <c r="A1858" t="n">
        <v>1857</v>
      </c>
      <c r="B1858" t="inlineStr">
        <is>
          <t>Customs Clearance Fee and Trucking Fee</t>
        </is>
      </c>
      <c r="C1858" t="inlineStr">
        <is>
          <t>ត្រាយអ៊ែងហ្គល ឡូជីស្ទីក (ខេមបូឌា) ឯ.ក</t>
        </is>
      </c>
      <c r="D1858" t="inlineStr">
        <is>
          <t>K010-902101743</t>
        </is>
      </c>
      <c r="E1858" t="inlineStr">
        <is>
          <t>TAG-24-00841</t>
        </is>
      </c>
      <c r="F1858" t="inlineStr">
        <is>
          <t>12-11-2024</t>
        </is>
      </c>
      <c r="G1858" t="n">
        <v>28371</v>
      </c>
      <c r="I1858">
        <f>G1858</f>
        <v/>
      </c>
      <c r="K1858">
        <f>I1858-G1858</f>
        <v/>
      </c>
      <c r="M1858" t="inlineStr">
        <is>
          <t>TAG2400841</t>
        </is>
      </c>
      <c r="N1858" t="inlineStr">
        <is>
          <t>8266000</t>
        </is>
      </c>
      <c r="O1858">
        <f>M1858=N1858</f>
        <v/>
      </c>
      <c r="P1858">
        <f>AND(MONTH(F1858)=MONTH(S1858), YEAR(F1858)=YEAR(S1858))</f>
        <v/>
      </c>
      <c r="Q1858">
        <f>"L001-902303751"=U1858</f>
        <v/>
      </c>
      <c r="R1858">
        <f>G1858-W1858</f>
        <v/>
      </c>
      <c r="S1858" s="36" t="n">
        <v>45231</v>
      </c>
      <c r="T1858" t="n">
        <v>82660</v>
      </c>
      <c r="U1858" t="inlineStr">
        <is>
          <t>K005-901501155</t>
        </is>
      </c>
      <c r="V1858" t="inlineStr">
        <is>
          <t>ផេនដា គ្លូប៊ល ឡូជីស្ទីក (ខេមបូឌា)</t>
        </is>
      </c>
      <c r="W1858" t="n">
        <v>82660</v>
      </c>
      <c r="X1858" t="n">
        <v>0</v>
      </c>
    </row>
    <row r="1859">
      <c r="A1859" t="n">
        <v>1858</v>
      </c>
      <c r="B1859" t="inlineStr">
        <is>
          <t>THC Fee, LCL Fee, Scanner Fee, Document Fee, Agency Fee, DO Fee and CIC</t>
        </is>
      </c>
      <c r="C1859" t="inlineStr">
        <is>
          <t>ខ្វនធើម ឡូជីស្ទីក (ខេមបូឌា) ឯ.ក</t>
        </is>
      </c>
      <c r="D1859" t="inlineStr">
        <is>
          <t>K002-901900921</t>
        </is>
      </c>
      <c r="E1859" t="inlineStr">
        <is>
          <t>QT241593</t>
        </is>
      </c>
      <c r="F1859" t="inlineStr">
        <is>
          <t>05-11-2024</t>
        </is>
      </c>
      <c r="G1859" t="n">
        <v>58536</v>
      </c>
      <c r="I1859">
        <f>G1859</f>
        <v/>
      </c>
      <c r="K1859">
        <f>I1859-G1859</f>
        <v/>
      </c>
      <c r="M1859" t="inlineStr">
        <is>
          <t>QT241593</t>
        </is>
      </c>
      <c r="N1859" t="inlineStr"/>
      <c r="O1859">
        <f>M1859=N1859</f>
        <v/>
      </c>
      <c r="P1859">
        <f>AND(MONTH(F1859)=MONTH(S1859), YEAR(F1859)=YEAR(S1859))</f>
        <v/>
      </c>
      <c r="Q1859">
        <f>"L001-902303751"=U1859</f>
        <v/>
      </c>
      <c r="R1859">
        <f>G1859-W1859</f>
        <v/>
      </c>
      <c r="S1859" s="36" t="n">
        <v>45233</v>
      </c>
      <c r="T1859" t="inlineStr"/>
      <c r="U1859" t="inlineStr">
        <is>
          <t>L001-107032791</t>
        </is>
      </c>
      <c r="V1859" t="inlineStr">
        <is>
          <t>នីបផន អិចប្រេស (ខេមបូឌា) ខូ អិលធីឌី</t>
        </is>
      </c>
      <c r="W1859" t="n">
        <v>0</v>
      </c>
      <c r="X1859" t="n">
        <v>0</v>
      </c>
    </row>
    <row r="1860">
      <c r="A1860" t="n">
        <v>1859</v>
      </c>
      <c r="B1860" t="inlineStr">
        <is>
          <t>Customs Clearance Fee and Trucking Fee</t>
        </is>
      </c>
      <c r="C1860" t="inlineStr">
        <is>
          <t>ត្រាយអ៊ែងហ្គល ឡូជីស្ទីក (ខេមបូឌា) ឯ.ក</t>
        </is>
      </c>
      <c r="D1860" t="inlineStr">
        <is>
          <t>K010-902101743</t>
        </is>
      </c>
      <c r="E1860" t="inlineStr">
        <is>
          <t>TAG-24-00839</t>
        </is>
      </c>
      <c r="F1860" t="inlineStr">
        <is>
          <t>12-11-2024</t>
        </is>
      </c>
      <c r="G1860" t="n">
        <v>28371</v>
      </c>
      <c r="I1860">
        <f>G1860</f>
        <v/>
      </c>
      <c r="K1860">
        <f>I1860-G1860</f>
        <v/>
      </c>
      <c r="M1860" t="inlineStr">
        <is>
          <t>TAG2400839</t>
        </is>
      </c>
      <c r="N1860" t="inlineStr"/>
      <c r="O1860">
        <f>M1860=N1860</f>
        <v/>
      </c>
      <c r="P1860">
        <f>AND(MONTH(F1860)=MONTH(S1860), YEAR(F1860)=YEAR(S1860))</f>
        <v/>
      </c>
      <c r="Q1860">
        <f>"L001-902303751"=U1860</f>
        <v/>
      </c>
      <c r="R1860">
        <f>G1860-W1860</f>
        <v/>
      </c>
      <c r="S1860" s="36" t="n">
        <v>45236</v>
      </c>
      <c r="T1860" t="inlineStr"/>
      <c r="U1860" t="inlineStr">
        <is>
          <t>K005-100059945</t>
        </is>
      </c>
      <c r="V1860" t="inlineStr">
        <is>
          <t>អ៊ែតវ៉ានស៍ គ្លរី ឡូជីស្ទីក (ខេមបូឌា) (អេ ជី អិល)</t>
        </is>
      </c>
      <c r="W1860" t="n">
        <v>0</v>
      </c>
      <c r="X1860" t="n">
        <v>0</v>
      </c>
    </row>
    <row r="1861">
      <c r="A1861" t="n">
        <v>1860</v>
      </c>
      <c r="B1861" t="inlineStr">
        <is>
          <t>Customs Clearance Fee</t>
        </is>
      </c>
      <c r="C1861" t="inlineStr">
        <is>
          <t>ត្រាយអ៊ែងហ្គល ឡូជីស្ទីក (ខេមបូឌា) ឯ.ក</t>
        </is>
      </c>
      <c r="D1861" t="inlineStr">
        <is>
          <t>K010-902101743</t>
        </is>
      </c>
      <c r="E1861" t="inlineStr">
        <is>
          <t>TAG-24-00846</t>
        </is>
      </c>
      <c r="F1861" t="inlineStr">
        <is>
          <t>18-11-2024</t>
        </is>
      </c>
      <c r="G1861" t="n">
        <v>8082</v>
      </c>
      <c r="I1861">
        <f>G1861</f>
        <v/>
      </c>
      <c r="K1861">
        <f>I1861-G1861</f>
        <v/>
      </c>
      <c r="M1861" t="inlineStr">
        <is>
          <t>TAG2400846</t>
        </is>
      </c>
      <c r="N1861" t="inlineStr"/>
      <c r="O1861">
        <f>M1861=N1861</f>
        <v/>
      </c>
      <c r="P1861">
        <f>AND(MONTH(F1861)=MONTH(S1861), YEAR(F1861)=YEAR(S1861))</f>
        <v/>
      </c>
      <c r="Q1861">
        <f>"L001-902303751"=U1861</f>
        <v/>
      </c>
      <c r="R1861">
        <f>G1861-W1861</f>
        <v/>
      </c>
      <c r="S1861" s="36" t="n">
        <v>45236</v>
      </c>
      <c r="T1861" t="inlineStr"/>
      <c r="U1861" t="inlineStr">
        <is>
          <t>L001-107041723</t>
        </is>
      </c>
      <c r="V1861" t="inlineStr">
        <is>
          <t>ឌីប៊ី សេនឃើរ (ខេមបូឌា) លីមីធីត</t>
        </is>
      </c>
      <c r="W1861" t="n">
        <v>0</v>
      </c>
      <c r="X1861" t="n">
        <v>0</v>
      </c>
    </row>
    <row r="1862">
      <c r="A1862" t="n">
        <v>1861</v>
      </c>
      <c r="B1862" t="inlineStr">
        <is>
          <t>Cargo Terminal</t>
        </is>
      </c>
      <c r="C1862" t="inlineStr">
        <is>
          <t>សូស៊ីយេតេ កុងសេស្យូនែរ ដឺ ឡាអេរ៉ូព័រ</t>
        </is>
      </c>
      <c r="D1862" t="inlineStr">
        <is>
          <t>L001-100047300</t>
        </is>
      </c>
      <c r="E1862" t="inlineStr">
        <is>
          <t>2400088737</t>
        </is>
      </c>
      <c r="F1862" t="inlineStr">
        <is>
          <t>02-11-2024</t>
        </is>
      </c>
      <c r="G1862" t="n">
        <v>6924</v>
      </c>
      <c r="I1862">
        <f>G1862</f>
        <v/>
      </c>
      <c r="K1862">
        <f>I1862-G1862</f>
        <v/>
      </c>
      <c r="M1862" t="inlineStr">
        <is>
          <t>2400088737</t>
        </is>
      </c>
      <c r="N1862" t="inlineStr">
        <is>
          <t>20139000</t>
        </is>
      </c>
      <c r="O1862">
        <f>M1862=N1862</f>
        <v/>
      </c>
      <c r="P1862">
        <f>AND(MONTH(F1862)=MONTH(S1862), YEAR(F1862)=YEAR(S1862))</f>
        <v/>
      </c>
      <c r="Q1862">
        <f>"L001-902303751"=U1862</f>
        <v/>
      </c>
      <c r="R1862">
        <f>G1862-W1862</f>
        <v/>
      </c>
      <c r="S1862" s="36" t="n">
        <v>45244</v>
      </c>
      <c r="T1862" t="n">
        <v>201390</v>
      </c>
      <c r="U1862" t="inlineStr">
        <is>
          <t>L001-103007369</t>
        </is>
      </c>
      <c r="V1862" t="inlineStr">
        <is>
          <t>អូរៀនថល ឡូជីស្ទីក &amp; ឌីស្ទ្រីប៊្យូសិន (ខេមបូឌា)</t>
        </is>
      </c>
      <c r="W1862" t="n">
        <v>201390</v>
      </c>
      <c r="X1862" t="n">
        <v>0</v>
      </c>
    </row>
    <row r="1863">
      <c r="A1863" t="n">
        <v>1862</v>
      </c>
      <c r="B1863" t="inlineStr">
        <is>
          <t>Rental Machine</t>
        </is>
      </c>
      <c r="C1863" t="inlineStr">
        <is>
          <t>ក្លាក ហ៊ូ ឯ.ក</t>
        </is>
      </c>
      <c r="D1863" t="inlineStr">
        <is>
          <t>K007-901639199</t>
        </is>
      </c>
      <c r="E1863" t="inlineStr">
        <is>
          <t>IN2632</t>
        </is>
      </c>
      <c r="F1863" t="inlineStr">
        <is>
          <t>25-11-2024</t>
        </is>
      </c>
      <c r="G1863" t="n">
        <v>69844</v>
      </c>
      <c r="I1863">
        <f>G1863</f>
        <v/>
      </c>
      <c r="K1863">
        <f>I1863-G1863</f>
        <v/>
      </c>
      <c r="M1863" t="inlineStr">
        <is>
          <t>IN2632</t>
        </is>
      </c>
      <c r="N1863" t="inlineStr"/>
      <c r="O1863">
        <f>M1863=N1863</f>
        <v/>
      </c>
      <c r="P1863">
        <f>AND(MONTH(F1863)=MONTH(S1863), YEAR(F1863)=YEAR(S1863))</f>
        <v/>
      </c>
      <c r="Q1863">
        <f>"L001-902303751"=U1863</f>
        <v/>
      </c>
      <c r="R1863">
        <f>G1863-W1863</f>
        <v/>
      </c>
      <c r="S1863" s="36" t="n">
        <v>45244</v>
      </c>
      <c r="T1863" t="inlineStr"/>
      <c r="U1863" t="inlineStr">
        <is>
          <t>L001-103007369</t>
        </is>
      </c>
      <c r="V1863" t="inlineStr">
        <is>
          <t>អូរៀនថល ឡូជីស្ទីក &amp; ឌីស្ទ្រីប៊្យូសិន (ខេមបូឌា)</t>
        </is>
      </c>
      <c r="W1863" t="n">
        <v>0</v>
      </c>
      <c r="X1863" t="n">
        <v>0</v>
      </c>
    </row>
    <row r="1864">
      <c r="A1864" t="n">
        <v>1863</v>
      </c>
      <c r="B1864" t="inlineStr">
        <is>
          <t>Customs Clearance Fee and Trucking Fee</t>
        </is>
      </c>
      <c r="C1864" t="inlineStr">
        <is>
          <t>ត្រាយអ៊ែងហ្គល ឡូជីស្ទីក (ខេមបូឌា) ឯ.ក</t>
        </is>
      </c>
      <c r="D1864" t="inlineStr">
        <is>
          <t>K010-902101743</t>
        </is>
      </c>
      <c r="E1864" t="inlineStr">
        <is>
          <t>TAG-24-00842</t>
        </is>
      </c>
      <c r="F1864" t="inlineStr">
        <is>
          <t>12-11-2024</t>
        </is>
      </c>
      <c r="G1864" t="n">
        <v>28371</v>
      </c>
      <c r="I1864">
        <f>G1864</f>
        <v/>
      </c>
      <c r="K1864">
        <f>I1864-G1864</f>
        <v/>
      </c>
      <c r="M1864" t="inlineStr">
        <is>
          <t>TAG2400842</t>
        </is>
      </c>
      <c r="N1864" t="inlineStr">
        <is>
          <t>35346000</t>
        </is>
      </c>
      <c r="O1864">
        <f>M1864=N1864</f>
        <v/>
      </c>
      <c r="P1864">
        <f>AND(MONTH(F1864)=MONTH(S1864), YEAR(F1864)=YEAR(S1864))</f>
        <v/>
      </c>
      <c r="Q1864">
        <f>"L001-902303751"=U1864</f>
        <v/>
      </c>
      <c r="R1864">
        <f>G1864-W1864</f>
        <v/>
      </c>
      <c r="S1864" s="36" t="n">
        <v>45244</v>
      </c>
      <c r="T1864" t="n">
        <v>353460</v>
      </c>
      <c r="U1864" t="inlineStr">
        <is>
          <t>L001-100011888</t>
        </is>
      </c>
      <c r="V1864" t="inlineStr">
        <is>
          <t>ត្រេន ស្តារ ហ្រេ្វត</t>
        </is>
      </c>
      <c r="W1864" t="n">
        <v>353460</v>
      </c>
      <c r="X1864" t="n">
        <v>0</v>
      </c>
    </row>
    <row r="1865">
      <c r="A1865" t="n">
        <v>1864</v>
      </c>
      <c r="B1865" t="inlineStr">
        <is>
          <t>Terminal Handling Charge, EMF, 3 Party Trucking, Container Imbalance Charge, D/O Fee, Document Fee and Handling Charge</t>
        </is>
      </c>
      <c r="C1865" t="inlineStr">
        <is>
          <t>ខេអិលអិន ហ្វ្រេត (ខេមបូឌា) ឯ.ក</t>
        </is>
      </c>
      <c r="D1865" t="inlineStr">
        <is>
          <t>L001-100074669</t>
        </is>
      </c>
      <c r="E1865" t="inlineStr">
        <is>
          <t>IVO17208</t>
        </is>
      </c>
      <c r="F1865" t="inlineStr">
        <is>
          <t>01-11-2024</t>
        </is>
      </c>
      <c r="G1865" t="n">
        <v>135427</v>
      </c>
      <c r="I1865">
        <f>G1865</f>
        <v/>
      </c>
      <c r="K1865">
        <f>I1865-G1865</f>
        <v/>
      </c>
      <c r="M1865" t="inlineStr">
        <is>
          <t>IVO17208</t>
        </is>
      </c>
      <c r="N1865" t="inlineStr">
        <is>
          <t>8228000</t>
        </is>
      </c>
      <c r="O1865">
        <f>M1865=N1865</f>
        <v/>
      </c>
      <c r="P1865">
        <f>AND(MONTH(F1865)=MONTH(S1865), YEAR(F1865)=YEAR(S1865))</f>
        <v/>
      </c>
      <c r="Q1865">
        <f>"L001-902303751"=U1865</f>
        <v/>
      </c>
      <c r="R1865">
        <f>G1865-W1865</f>
        <v/>
      </c>
      <c r="S1865" s="36" t="n">
        <v>45253</v>
      </c>
      <c r="T1865" t="n">
        <v>82280</v>
      </c>
      <c r="U1865" t="inlineStr">
        <is>
          <t>L001-100045995</t>
        </is>
      </c>
      <c r="V1865" t="inlineStr">
        <is>
          <t>ឌីអេចអិល ឡូជីស្ទីក (ខេមបូឌា)</t>
        </is>
      </c>
      <c r="W1865" t="n">
        <v>82280</v>
      </c>
      <c r="X1865" t="n">
        <v>0</v>
      </c>
    </row>
    <row r="1866">
      <c r="A1866" t="n">
        <v>1865</v>
      </c>
      <c r="B1866" t="inlineStr">
        <is>
          <t>Lift-On &amp; Lift-Off</t>
        </is>
      </c>
      <c r="C1866" t="inlineStr">
        <is>
          <t>កំពង់ផែស្វយ័តក្រុងព្រះសីហនុ</t>
        </is>
      </c>
      <c r="D1866" t="inlineStr">
        <is>
          <t>L001-100044638</t>
        </is>
      </c>
      <c r="E1866" t="inlineStr">
        <is>
          <t>227375</t>
        </is>
      </c>
      <c r="F1866" t="inlineStr">
        <is>
          <t>02-11-2024</t>
        </is>
      </c>
      <c r="G1866" t="n">
        <v>23165</v>
      </c>
      <c r="I1866">
        <f>G1866</f>
        <v/>
      </c>
      <c r="K1866">
        <f>I1866-G1866</f>
        <v/>
      </c>
      <c r="M1866" t="inlineStr">
        <is>
          <t>227375</t>
        </is>
      </c>
      <c r="N1866" t="inlineStr">
        <is>
          <t>29979000</t>
        </is>
      </c>
      <c r="O1866">
        <f>M1866=N1866</f>
        <v/>
      </c>
      <c r="P1866">
        <f>AND(MONTH(F1866)=MONTH(S1866), YEAR(F1866)=YEAR(S1866))</f>
        <v/>
      </c>
      <c r="Q1866">
        <f>"L001-902303751"=U1866</f>
        <v/>
      </c>
      <c r="R1866">
        <f>G1866-W1866</f>
        <v/>
      </c>
      <c r="S1866" s="36" t="n">
        <v>45243</v>
      </c>
      <c r="T1866" t="n">
        <v>299790</v>
      </c>
      <c r="U1866" t="inlineStr">
        <is>
          <t>L001-100074669</t>
        </is>
      </c>
      <c r="V1866" t="inlineStr">
        <is>
          <t>ខេអិលអិន ហ្វ្រេត (ខេមបូឌា) ឯ.ក</t>
        </is>
      </c>
      <c r="W1866" t="n">
        <v>299790</v>
      </c>
      <c r="X1866" t="n">
        <v>0</v>
      </c>
    </row>
    <row r="1867">
      <c r="A1867" t="n">
        <v>1866</v>
      </c>
      <c r="B1867" t="inlineStr">
        <is>
          <t>Customs Clearance Fee and Trucking Fee</t>
        </is>
      </c>
      <c r="C1867" t="inlineStr">
        <is>
          <t>ត្រាយអ៊ែងហ្គល ឡូជីស្ទីក (ខេមបូឌា) ឯ.ក</t>
        </is>
      </c>
      <c r="D1867" t="inlineStr">
        <is>
          <t>K010-902101743</t>
        </is>
      </c>
      <c r="E1867" t="inlineStr">
        <is>
          <t>TAG-24-00854</t>
        </is>
      </c>
      <c r="F1867" t="inlineStr">
        <is>
          <t>18-11-2024</t>
        </is>
      </c>
      <c r="G1867" t="n">
        <v>109107</v>
      </c>
      <c r="I1867">
        <f>G1867</f>
        <v/>
      </c>
      <c r="K1867">
        <f>I1867-G1867</f>
        <v/>
      </c>
      <c r="M1867" t="inlineStr">
        <is>
          <t>TAG2400854</t>
        </is>
      </c>
      <c r="N1867" t="inlineStr"/>
      <c r="O1867">
        <f>M1867=N1867</f>
        <v/>
      </c>
      <c r="P1867">
        <f>AND(MONTH(F1867)=MONTH(S1867), YEAR(F1867)=YEAR(S1867))</f>
        <v/>
      </c>
      <c r="Q1867">
        <f>"L001-902303751"=U1867</f>
        <v/>
      </c>
      <c r="R1867">
        <f>G1867-W1867</f>
        <v/>
      </c>
      <c r="S1867" s="36" t="n">
        <v>45231</v>
      </c>
      <c r="T1867" t="inlineStr"/>
      <c r="U1867" t="inlineStr">
        <is>
          <t>L001-100011888</t>
        </is>
      </c>
      <c r="V1867" t="inlineStr">
        <is>
          <t>ត្រេន ស្តារ ហ្រេ្វត</t>
        </is>
      </c>
      <c r="W1867" t="n">
        <v>0</v>
      </c>
      <c r="X1867" t="n">
        <v>0</v>
      </c>
    </row>
    <row r="1868">
      <c r="A1868" t="n">
        <v>1867</v>
      </c>
      <c r="B1868" t="inlineStr">
        <is>
          <t>Charge from Warehouse/cy to trucks and Storage Charges</t>
        </is>
      </c>
      <c r="C1868" t="inlineStr">
        <is>
          <t>កំពង់ផែស្វយ័តក្រុងព្រះសីហនុ</t>
        </is>
      </c>
      <c r="D1868" t="inlineStr">
        <is>
          <t>L001-100044638</t>
        </is>
      </c>
      <c r="E1868" t="inlineStr">
        <is>
          <t>231294</t>
        </is>
      </c>
      <c r="F1868" t="inlineStr">
        <is>
          <t>07-11-2024</t>
        </is>
      </c>
      <c r="G1868" t="n">
        <v>742</v>
      </c>
      <c r="I1868">
        <f>G1868</f>
        <v/>
      </c>
      <c r="K1868">
        <f>I1868-G1868</f>
        <v/>
      </c>
      <c r="M1868" t="inlineStr">
        <is>
          <t>231294</t>
        </is>
      </c>
      <c r="N1868" t="inlineStr"/>
      <c r="O1868">
        <f>M1868=N1868</f>
        <v/>
      </c>
      <c r="P1868">
        <f>AND(MONTH(F1868)=MONTH(S1868), YEAR(F1868)=YEAR(S1868))</f>
        <v/>
      </c>
      <c r="Q1868">
        <f>"L001-902303751"=U1868</f>
        <v/>
      </c>
      <c r="R1868">
        <f>G1868-W1868</f>
        <v/>
      </c>
      <c r="S1868" s="36" t="n">
        <v>45244</v>
      </c>
      <c r="T1868" t="inlineStr"/>
      <c r="U1868" t="inlineStr">
        <is>
          <t>K002-901800477</t>
        </is>
      </c>
      <c r="V1868" t="inlineStr">
        <is>
          <t>អាយធីអាយ អ៊ិនធើណេសិនណល ត្រេនស័្ពរថេសិន (ខេមបូឌា) ឯ.ក</t>
        </is>
      </c>
      <c r="W1868" t="n">
        <v>0</v>
      </c>
      <c r="X1868" t="n">
        <v>0</v>
      </c>
    </row>
    <row r="1869">
      <c r="A1869" t="n">
        <v>1868</v>
      </c>
      <c r="B1869" t="inlineStr">
        <is>
          <t>Customs Clearance Fee and Trucking Fee</t>
        </is>
      </c>
      <c r="C1869" t="inlineStr">
        <is>
          <t>ត្រាយអ៊ែងហ្គល ឡូជីស្ទីក (ខេមបូឌា) ឯ.ក</t>
        </is>
      </c>
      <c r="D1869" t="inlineStr">
        <is>
          <t>K010-902101743</t>
        </is>
      </c>
      <c r="E1869" t="inlineStr">
        <is>
          <t>TAG-24-00852</t>
        </is>
      </c>
      <c r="F1869" t="inlineStr">
        <is>
          <t>18-11-2024</t>
        </is>
      </c>
      <c r="G1869" t="n">
        <v>32328</v>
      </c>
      <c r="I1869">
        <f>G1869</f>
        <v/>
      </c>
      <c r="K1869">
        <f>I1869-G1869</f>
        <v/>
      </c>
      <c r="M1869" t="inlineStr">
        <is>
          <t>TAG2400852</t>
        </is>
      </c>
      <c r="N1869" t="inlineStr">
        <is>
          <t>17283000</t>
        </is>
      </c>
      <c r="O1869">
        <f>M1869=N1869</f>
        <v/>
      </c>
      <c r="P1869">
        <f>AND(MONTH(F1869)=MONTH(S1869), YEAR(F1869)=YEAR(S1869))</f>
        <v/>
      </c>
      <c r="Q1869">
        <f>"L001-902303751"=U1869</f>
        <v/>
      </c>
      <c r="R1869">
        <f>G1869-W1869</f>
        <v/>
      </c>
      <c r="S1869" s="36" t="n">
        <v>45259</v>
      </c>
      <c r="T1869" t="n">
        <v>172830</v>
      </c>
      <c r="U1869" t="inlineStr">
        <is>
          <t>K005-100059945</t>
        </is>
      </c>
      <c r="V1869" t="inlineStr">
        <is>
          <t>អ៊ែតវ៉ានស៍ គ្លរី ឡូជីស្ទីក (ខេមបូឌា) (អេ ជី អិល)</t>
        </is>
      </c>
      <c r="W1869" t="n">
        <v>172830</v>
      </c>
      <c r="X1869" t="n">
        <v>0</v>
      </c>
    </row>
    <row r="1870">
      <c r="A1870" t="n">
        <v>1869</v>
      </c>
      <c r="B1870" t="inlineStr">
        <is>
          <t>Charge from Warehouse/cy to trucks</t>
        </is>
      </c>
      <c r="C1870" t="inlineStr">
        <is>
          <t>កំពង់ផែស្វយ័តក្រុងព្រះសីហនុ</t>
        </is>
      </c>
      <c r="D1870" t="inlineStr">
        <is>
          <t>L001-100044638</t>
        </is>
      </c>
      <c r="E1870" t="inlineStr">
        <is>
          <t>231288</t>
        </is>
      </c>
      <c r="F1870" t="inlineStr">
        <is>
          <t>07-11-2024</t>
        </is>
      </c>
      <c r="G1870" t="n">
        <v>1245</v>
      </c>
      <c r="I1870">
        <f>G1870</f>
        <v/>
      </c>
      <c r="K1870">
        <f>I1870-G1870</f>
        <v/>
      </c>
      <c r="M1870" t="inlineStr">
        <is>
          <t>231288</t>
        </is>
      </c>
      <c r="N1870" t="inlineStr"/>
      <c r="O1870">
        <f>M1870=N1870</f>
        <v/>
      </c>
      <c r="P1870">
        <f>AND(MONTH(F1870)=MONTH(S1870), YEAR(F1870)=YEAR(S1870))</f>
        <v/>
      </c>
      <c r="Q1870">
        <f>"L001-902303751"=U1870</f>
        <v/>
      </c>
      <c r="R1870">
        <f>G1870-W1870</f>
        <v/>
      </c>
      <c r="S1870" s="36" t="n">
        <v>45259</v>
      </c>
      <c r="T1870" t="inlineStr"/>
      <c r="U1870" t="inlineStr">
        <is>
          <t>L001-107000385</t>
        </is>
      </c>
      <c r="V1870" t="inlineStr">
        <is>
          <t>អិចស្ពោលាំងកា ហ្រ្វេត (ខេមបូឌា) លីមីធីត</t>
        </is>
      </c>
      <c r="W1870" t="n">
        <v>0</v>
      </c>
      <c r="X1870" t="n">
        <v>0</v>
      </c>
    </row>
    <row r="1871">
      <c r="A1871" t="n">
        <v>1870</v>
      </c>
      <c r="B1871" t="inlineStr">
        <is>
          <t>Customs Clearance Fee and Trucking Fee</t>
        </is>
      </c>
      <c r="C1871" t="inlineStr">
        <is>
          <t>ត្រាយអ៊ែងហ្គល ឡូជីស្ទីក (ខេមបូឌា) ឯ.ក</t>
        </is>
      </c>
      <c r="D1871" t="inlineStr">
        <is>
          <t>K010-902101743</t>
        </is>
      </c>
      <c r="E1871" t="inlineStr">
        <is>
          <t>TAG-24-00853</t>
        </is>
      </c>
      <c r="F1871" t="inlineStr">
        <is>
          <t>18-11-2024</t>
        </is>
      </c>
      <c r="G1871" t="n">
        <v>32328</v>
      </c>
      <c r="I1871">
        <f>G1871</f>
        <v/>
      </c>
      <c r="K1871">
        <f>I1871-G1871</f>
        <v/>
      </c>
      <c r="M1871" t="inlineStr">
        <is>
          <t>TAG2400853</t>
        </is>
      </c>
      <c r="N1871" t="inlineStr">
        <is>
          <t>8483100</t>
        </is>
      </c>
      <c r="O1871">
        <f>M1871=N1871</f>
        <v/>
      </c>
      <c r="P1871">
        <f>AND(MONTH(F1871)=MONTH(S1871), YEAR(F1871)=YEAR(S1871))</f>
        <v/>
      </c>
      <c r="Q1871">
        <f>"L001-902303751"=U1871</f>
        <v/>
      </c>
      <c r="R1871">
        <f>G1871-W1871</f>
        <v/>
      </c>
      <c r="S1871" s="36" t="n">
        <v>45243</v>
      </c>
      <c r="T1871" t="n">
        <v>84831</v>
      </c>
      <c r="U1871" t="inlineStr">
        <is>
          <t>K003-901635943</t>
        </is>
      </c>
      <c r="V1871" t="inlineStr">
        <is>
          <t>អ៊ីឃ្យូឡាញ វើលវ៉ាយដ៍ ឡូជីស្ទីក</t>
        </is>
      </c>
      <c r="W1871" t="n">
        <v>84831</v>
      </c>
      <c r="X1871" t="n">
        <v>0</v>
      </c>
    </row>
    <row r="1872">
      <c r="A1872" t="n">
        <v>1871</v>
      </c>
      <c r="B1872" t="inlineStr">
        <is>
          <t>Cargo Terminal</t>
        </is>
      </c>
      <c r="C1872" t="inlineStr">
        <is>
          <t>សូស៊ីយេតេ កុងសេស្យូនែរ ដឺ ឡាអេរ៉ូព័រ</t>
        </is>
      </c>
      <c r="D1872" t="inlineStr">
        <is>
          <t>L001-100047300</t>
        </is>
      </c>
      <c r="E1872" t="inlineStr">
        <is>
          <t>2400096568</t>
        </is>
      </c>
      <c r="F1872" t="inlineStr">
        <is>
          <t>28-11-2024</t>
        </is>
      </c>
      <c r="G1872" t="n">
        <v>4352</v>
      </c>
      <c r="I1872">
        <f>G1872</f>
        <v/>
      </c>
      <c r="K1872">
        <f>I1872-G1872</f>
        <v/>
      </c>
      <c r="M1872" t="inlineStr">
        <is>
          <t>2400096568</t>
        </is>
      </c>
      <c r="N1872" t="inlineStr">
        <is>
          <t>8236000</t>
        </is>
      </c>
      <c r="O1872">
        <f>M1872=N1872</f>
        <v/>
      </c>
      <c r="P1872">
        <f>AND(MONTH(F1872)=MONTH(S1872), YEAR(F1872)=YEAR(S1872))</f>
        <v/>
      </c>
      <c r="Q1872">
        <f>"L001-902303751"=U1872</f>
        <v/>
      </c>
      <c r="R1872">
        <f>G1872-W1872</f>
        <v/>
      </c>
      <c r="S1872" s="36" t="n">
        <v>45243</v>
      </c>
      <c r="T1872" t="n">
        <v>82360</v>
      </c>
      <c r="U1872" t="inlineStr">
        <is>
          <t>L001-100045995</t>
        </is>
      </c>
      <c r="V1872" t="inlineStr">
        <is>
          <t>ឌីអេចអិល ឡូជីស្ទីក (ខេមបូឌា)</t>
        </is>
      </c>
      <c r="W1872" t="n">
        <v>82360</v>
      </c>
      <c r="X1872" t="n">
        <v>0</v>
      </c>
    </row>
    <row r="1873">
      <c r="A1873" t="n">
        <v>1872</v>
      </c>
      <c r="B1873" t="inlineStr">
        <is>
          <t>Cargo Terminal</t>
        </is>
      </c>
      <c r="C1873" t="inlineStr">
        <is>
          <t>សូស៊ីយេតេ កុងសេស្យូនែរ ដឺ ឡាអេរ៉ូព័រ</t>
        </is>
      </c>
      <c r="D1873" t="inlineStr">
        <is>
          <t>L001-100047300</t>
        </is>
      </c>
      <c r="E1873" t="inlineStr">
        <is>
          <t>2400090352</t>
        </is>
      </c>
      <c r="F1873" t="inlineStr">
        <is>
          <t>07-11-2024</t>
        </is>
      </c>
      <c r="G1873" t="n">
        <v>12123</v>
      </c>
      <c r="I1873">
        <f>G1873</f>
        <v/>
      </c>
      <c r="K1873">
        <f>I1873-G1873</f>
        <v/>
      </c>
      <c r="M1873" t="inlineStr">
        <is>
          <t>2400090352</t>
        </is>
      </c>
      <c r="N1873" t="inlineStr">
        <is>
          <t>29021900</t>
        </is>
      </c>
      <c r="O1873">
        <f>M1873=N1873</f>
        <v/>
      </c>
      <c r="P1873">
        <f>AND(MONTH(F1873)=MONTH(S1873), YEAR(F1873)=YEAR(S1873))</f>
        <v/>
      </c>
      <c r="Q1873">
        <f>"L001-902303751"=U1873</f>
        <v/>
      </c>
      <c r="R1873">
        <f>G1873-W1873</f>
        <v/>
      </c>
      <c r="S1873" s="36" t="n">
        <v>45607</v>
      </c>
      <c r="T1873" t="n">
        <v>290219</v>
      </c>
      <c r="U1873" t="inlineStr">
        <is>
          <t>L001-107041723</t>
        </is>
      </c>
      <c r="V1873" t="inlineStr">
        <is>
          <t>ឌីប៊ី សេនឃើរ (ខេមបូឌា) លីមីធីត</t>
        </is>
      </c>
      <c r="W1873" t="n">
        <v>290219</v>
      </c>
      <c r="X1873" t="n">
        <v>0</v>
      </c>
    </row>
    <row r="1874">
      <c r="A1874" t="n">
        <v>1873</v>
      </c>
      <c r="B1874" t="inlineStr">
        <is>
          <t>Monthly Charge of Photo Copier Rental from 06/10/2024-06/11/2024</t>
        </is>
      </c>
      <c r="C1874" t="inlineStr">
        <is>
          <t>វី.អាយ.អេស ខភៀ ឯ.ក</t>
        </is>
      </c>
      <c r="D1874" t="inlineStr">
        <is>
          <t>K007-901705195</t>
        </is>
      </c>
      <c r="E1874" t="inlineStr">
        <is>
          <t>RNT241122</t>
        </is>
      </c>
      <c r="F1874" t="inlineStr">
        <is>
          <t>06-11-2024</t>
        </is>
      </c>
      <c r="G1874" t="n">
        <v>56896</v>
      </c>
      <c r="I1874">
        <f>G1874</f>
        <v/>
      </c>
      <c r="K1874">
        <f>I1874-G1874</f>
        <v/>
      </c>
      <c r="M1874" t="inlineStr">
        <is>
          <t>RNT241122</t>
        </is>
      </c>
      <c r="N1874" t="inlineStr">
        <is>
          <t>8333300</t>
        </is>
      </c>
      <c r="O1874">
        <f>M1874=N1874</f>
        <v/>
      </c>
      <c r="P1874">
        <f>AND(MONTH(F1874)=MONTH(S1874), YEAR(F1874)=YEAR(S1874))</f>
        <v/>
      </c>
      <c r="Q1874">
        <f>"L001-902303751"=U1874</f>
        <v/>
      </c>
      <c r="R1874">
        <f>G1874-W1874</f>
        <v/>
      </c>
      <c r="S1874" s="36" t="n">
        <v>45600</v>
      </c>
      <c r="T1874" t="n">
        <v>83333</v>
      </c>
      <c r="U1874" t="inlineStr">
        <is>
          <t>L001-100045995</t>
        </is>
      </c>
      <c r="V1874" t="inlineStr">
        <is>
          <t>ឌីអេចអិល ឡូជីស្ទីក (ខេមបូឌា)</t>
        </is>
      </c>
      <c r="W1874" t="n">
        <v>83333</v>
      </c>
      <c r="X1874" t="n">
        <v>0</v>
      </c>
    </row>
    <row r="1875">
      <c r="A1875" t="n">
        <v>1874</v>
      </c>
      <c r="B1875" t="inlineStr">
        <is>
          <t>Transportation Fee</t>
        </is>
      </c>
      <c r="C1875" t="inlineStr">
        <is>
          <t>សំអាង &amp; មករា ត្រេនស្ព័ត ឯ.ក</t>
        </is>
      </c>
      <c r="D1875" t="inlineStr">
        <is>
          <t>K010-902204282</t>
        </is>
      </c>
      <c r="E1875" t="inlineStr">
        <is>
          <t>202300120</t>
        </is>
      </c>
      <c r="F1875" t="inlineStr">
        <is>
          <t>30-11-2024</t>
        </is>
      </c>
      <c r="G1875" t="n">
        <v>1128344</v>
      </c>
      <c r="I1875">
        <f>G1875</f>
        <v/>
      </c>
      <c r="K1875">
        <f>I1875-G1875</f>
        <v/>
      </c>
      <c r="M1875" t="inlineStr">
        <is>
          <t>202300120</t>
        </is>
      </c>
      <c r="N1875" t="inlineStr">
        <is>
          <t>17059500</t>
        </is>
      </c>
      <c r="O1875">
        <f>M1875=N1875</f>
        <v/>
      </c>
      <c r="P1875">
        <f>AND(MONTH(F1875)=MONTH(S1875), YEAR(F1875)=YEAR(S1875))</f>
        <v/>
      </c>
      <c r="Q1875">
        <f>"L001-902303751"=U1875</f>
        <v/>
      </c>
      <c r="R1875">
        <f>G1875-W1875</f>
        <v/>
      </c>
      <c r="S1875" s="36" t="n">
        <v>45621</v>
      </c>
      <c r="T1875" t="n">
        <v>170595</v>
      </c>
      <c r="U1875" t="inlineStr">
        <is>
          <t>L001-107032791</t>
        </is>
      </c>
      <c r="V1875" t="inlineStr">
        <is>
          <t>នីបផន អិចប្រេស (ខេមបូឌា) ខូ អិលធីឌី</t>
        </is>
      </c>
      <c r="W1875" t="n">
        <v>170595</v>
      </c>
      <c r="X1875" t="n">
        <v>0</v>
      </c>
    </row>
    <row r="1876">
      <c r="A1876" t="n">
        <v>1875</v>
      </c>
      <c r="B1876" t="inlineStr">
        <is>
          <t>Cargo Terminal</t>
        </is>
      </c>
      <c r="C1876" t="inlineStr">
        <is>
          <t>សូស៊ីយេតេ កុងសេស្យូនែរ ដឺ ឡាអេរ៉ូព័រ</t>
        </is>
      </c>
      <c r="D1876" t="inlineStr">
        <is>
          <t>L001-100047300</t>
        </is>
      </c>
      <c r="E1876" t="inlineStr">
        <is>
          <t>2400097321</t>
        </is>
      </c>
      <c r="F1876" t="inlineStr">
        <is>
          <t>30-11-2024</t>
        </is>
      </c>
      <c r="G1876" t="n">
        <v>901</v>
      </c>
      <c r="I1876">
        <f>G1876</f>
        <v/>
      </c>
      <c r="K1876">
        <f>I1876-G1876</f>
        <v/>
      </c>
      <c r="M1876" t="inlineStr">
        <is>
          <t>2400097321</t>
        </is>
      </c>
      <c r="N1876" t="inlineStr">
        <is>
          <t>11038500</t>
        </is>
      </c>
      <c r="O1876">
        <f>M1876=N1876</f>
        <v/>
      </c>
      <c r="P1876">
        <f>AND(MONTH(F1876)=MONTH(S1876), YEAR(F1876)=YEAR(S1876))</f>
        <v/>
      </c>
      <c r="Q1876">
        <f>"L001-902303751"=U1876</f>
        <v/>
      </c>
      <c r="R1876">
        <f>G1876-W1876</f>
        <v/>
      </c>
      <c r="S1876" s="36" t="n">
        <v>45621</v>
      </c>
      <c r="T1876" t="n">
        <v>110385</v>
      </c>
      <c r="U1876" t="inlineStr">
        <is>
          <t>K005-100150195</t>
        </is>
      </c>
      <c r="V1876" t="inlineStr">
        <is>
          <t>អេស អ វី ស៊ី ហ្វ្រេត សឺវីស (ខេមបូឌា) ខូ អិលធីឌី</t>
        </is>
      </c>
      <c r="W1876" t="n">
        <v>110385</v>
      </c>
      <c r="X1876" t="n">
        <v>0</v>
      </c>
    </row>
    <row r="1877">
      <c r="A1877" t="n">
        <v>1876</v>
      </c>
      <c r="B1877" t="inlineStr">
        <is>
          <t>Customs Clearance Fee</t>
        </is>
      </c>
      <c r="C1877" t="inlineStr">
        <is>
          <t>ត្រាយអ៊ែងហ្គល ឡូជីស្ទីក (ខេមបូឌា) ឯ.ក</t>
        </is>
      </c>
      <c r="D1877" t="inlineStr">
        <is>
          <t>K010-902101743</t>
        </is>
      </c>
      <c r="E1877" t="inlineStr">
        <is>
          <t>TAG-24-00905</t>
        </is>
      </c>
      <c r="F1877" t="inlineStr">
        <is>
          <t>29-11-2024</t>
        </is>
      </c>
      <c r="G1877" t="n">
        <v>8056</v>
      </c>
      <c r="I1877">
        <f>G1877</f>
        <v/>
      </c>
      <c r="K1877">
        <f>I1877-G1877</f>
        <v/>
      </c>
      <c r="M1877" t="inlineStr">
        <is>
          <t>TAG2400905</t>
        </is>
      </c>
      <c r="N1877" t="inlineStr">
        <is>
          <t>19869300</t>
        </is>
      </c>
      <c r="O1877">
        <f>M1877=N1877</f>
        <v/>
      </c>
      <c r="P1877">
        <f>AND(MONTH(F1877)=MONTH(S1877), YEAR(F1877)=YEAR(S1877))</f>
        <v/>
      </c>
      <c r="Q1877">
        <f>"L001-902303751"=U1877</f>
        <v/>
      </c>
      <c r="R1877">
        <f>G1877-W1877</f>
        <v/>
      </c>
      <c r="S1877" s="36" t="n">
        <v>45621</v>
      </c>
      <c r="T1877" t="n">
        <v>198693</v>
      </c>
      <c r="U1877" t="inlineStr">
        <is>
          <t>K005-100150195</t>
        </is>
      </c>
      <c r="V1877" t="inlineStr">
        <is>
          <t>អេស អ វី ស៊ី ហ្វ្រេត សឺវីស (ខេមបូឌា) ខូ អិលធីឌី</t>
        </is>
      </c>
      <c r="W1877" t="n">
        <v>198693</v>
      </c>
      <c r="X1877" t="n">
        <v>0</v>
      </c>
    </row>
    <row r="1878">
      <c r="A1878" t="n">
        <v>1877</v>
      </c>
      <c r="B1878" t="inlineStr">
        <is>
          <t>Cargo Terminal</t>
        </is>
      </c>
      <c r="C1878" t="inlineStr">
        <is>
          <t>សូស៊ីយេតេ កុងសេស្យូនែរ ដឺ ឡាអេរ៉ូព័រ</t>
        </is>
      </c>
      <c r="D1878" t="inlineStr">
        <is>
          <t>L001-100047300</t>
        </is>
      </c>
      <c r="E1878" t="inlineStr">
        <is>
          <t>2400096247</t>
        </is>
      </c>
      <c r="F1878" t="inlineStr">
        <is>
          <t>27-11-2024</t>
        </is>
      </c>
      <c r="G1878" t="n">
        <v>4152</v>
      </c>
      <c r="I1878">
        <f>G1878</f>
        <v/>
      </c>
      <c r="K1878">
        <f>I1878-G1878</f>
        <v/>
      </c>
      <c r="M1878" t="inlineStr">
        <is>
          <t>2400096247</t>
        </is>
      </c>
      <c r="N1878" t="inlineStr"/>
      <c r="O1878">
        <f>M1878=N1878</f>
        <v/>
      </c>
      <c r="P1878">
        <f>AND(MONTH(F1878)=MONTH(S1878), YEAR(F1878)=YEAR(S1878))</f>
        <v/>
      </c>
      <c r="Q1878">
        <f>"L001-902303751"=U1878</f>
        <v/>
      </c>
      <c r="R1878">
        <f>G1878-W1878</f>
        <v/>
      </c>
      <c r="S1878" s="36" t="n">
        <v>45614</v>
      </c>
      <c r="T1878" t="inlineStr"/>
      <c r="U1878" t="inlineStr">
        <is>
          <t>L001-901500191</t>
        </is>
      </c>
      <c r="V1878" t="inlineStr">
        <is>
          <t>អ.អិន.វ៉ាយ ត្រេនស្ព័ត</t>
        </is>
      </c>
      <c r="W1878" t="n">
        <v>0</v>
      </c>
      <c r="X1878" t="n">
        <v>0</v>
      </c>
    </row>
    <row r="1879">
      <c r="A1879" t="n">
        <v>1878</v>
      </c>
      <c r="B1879" t="inlineStr">
        <is>
          <t>Customs Clearance Fee</t>
        </is>
      </c>
      <c r="C1879" t="inlineStr">
        <is>
          <t>ត្រាយអ៊ែងហ្គល ឡូជីស្ទីក (ខេមបូឌា) ឯ.ក</t>
        </is>
      </c>
      <c r="D1879" t="inlineStr">
        <is>
          <t>K010-902101743</t>
        </is>
      </c>
      <c r="E1879" t="inlineStr">
        <is>
          <t>TAG-24-00900</t>
        </is>
      </c>
      <c r="F1879" t="inlineStr">
        <is>
          <t>29-11-2024</t>
        </is>
      </c>
      <c r="G1879" t="n">
        <v>8056</v>
      </c>
      <c r="I1879">
        <f>G1879</f>
        <v/>
      </c>
      <c r="K1879">
        <f>I1879-G1879</f>
        <v/>
      </c>
      <c r="M1879" t="inlineStr">
        <is>
          <t>TAG2400900</t>
        </is>
      </c>
      <c r="N1879" t="inlineStr"/>
      <c r="O1879">
        <f>M1879=N1879</f>
        <v/>
      </c>
      <c r="P1879">
        <f>AND(MONTH(F1879)=MONTH(S1879), YEAR(F1879)=YEAR(S1879))</f>
        <v/>
      </c>
      <c r="Q1879">
        <f>"L001-902303751"=U1879</f>
        <v/>
      </c>
      <c r="R1879">
        <f>G1879-W1879</f>
        <v/>
      </c>
      <c r="S1879" s="36" t="n">
        <v>45614</v>
      </c>
      <c r="T1879" t="inlineStr"/>
      <c r="U1879" t="inlineStr">
        <is>
          <t>L001-100045995</t>
        </is>
      </c>
      <c r="V1879" t="inlineStr">
        <is>
          <t>ឌីអេចអិល ឡូជីស្ទីក (ខេមបូឌា)</t>
        </is>
      </c>
      <c r="W1879" t="n">
        <v>0</v>
      </c>
      <c r="X1879" t="n">
        <v>0</v>
      </c>
    </row>
    <row r="1880">
      <c r="A1880" t="n">
        <v>1879</v>
      </c>
      <c r="B1880" t="inlineStr">
        <is>
          <t>Cargo Terminal</t>
        </is>
      </c>
      <c r="C1880" t="inlineStr">
        <is>
          <t>សូស៊ីយេតេ កុងសេស្យូនែរ ដឺ ឡាអេរ៉ូព័រ</t>
        </is>
      </c>
      <c r="D1880" t="inlineStr">
        <is>
          <t>L001-100047300</t>
        </is>
      </c>
      <c r="E1880" t="inlineStr">
        <is>
          <t>2400096339</t>
        </is>
      </c>
      <c r="F1880" t="inlineStr">
        <is>
          <t>27-11-2024</t>
        </is>
      </c>
      <c r="G1880" t="n">
        <v>7338</v>
      </c>
      <c r="I1880">
        <f>G1880</f>
        <v/>
      </c>
      <c r="K1880">
        <f>I1880-G1880</f>
        <v/>
      </c>
      <c r="M1880" t="inlineStr">
        <is>
          <t>2400096339</t>
        </is>
      </c>
      <c r="N1880" t="inlineStr">
        <is>
          <t>17250800</t>
        </is>
      </c>
      <c r="O1880">
        <f>M1880=N1880</f>
        <v/>
      </c>
      <c r="P1880">
        <f>AND(MONTH(F1880)=MONTH(S1880), YEAR(F1880)=YEAR(S1880))</f>
        <v/>
      </c>
      <c r="Q1880">
        <f>"L001-902303751"=U1880</f>
        <v/>
      </c>
      <c r="R1880">
        <f>G1880-W1880</f>
        <v/>
      </c>
      <c r="S1880" s="36" t="n">
        <v>45607</v>
      </c>
      <c r="T1880" t="n">
        <v>172508</v>
      </c>
      <c r="U1880" t="inlineStr">
        <is>
          <t>L001-107032791</t>
        </is>
      </c>
      <c r="V1880" t="inlineStr">
        <is>
          <t>នីបផន អិចប្រេស (ខេមបូឌា) ខូ អិលធីឌី</t>
        </is>
      </c>
      <c r="W1880" t="n">
        <v>172508</v>
      </c>
      <c r="X1880" t="n">
        <v>0</v>
      </c>
    </row>
    <row r="1881">
      <c r="A1881" t="n">
        <v>1880</v>
      </c>
      <c r="B1881" t="inlineStr">
        <is>
          <t>Customs Clearance Fee</t>
        </is>
      </c>
      <c r="C1881" t="inlineStr">
        <is>
          <t>ត្រាយអ៊ែងហ្គល ឡូជីស្ទីក (ខេមបូឌា) ឯ.ក</t>
        </is>
      </c>
      <c r="D1881" t="inlineStr">
        <is>
          <t>K010-902101743</t>
        </is>
      </c>
      <c r="E1881" t="inlineStr">
        <is>
          <t>TAG-24-00899</t>
        </is>
      </c>
      <c r="F1881" t="inlineStr">
        <is>
          <t>29-11-2024</t>
        </is>
      </c>
      <c r="G1881" t="n">
        <v>8056</v>
      </c>
      <c r="I1881">
        <f>G1881</f>
        <v/>
      </c>
      <c r="K1881">
        <f>I1881-G1881</f>
        <v/>
      </c>
      <c r="M1881" t="inlineStr">
        <is>
          <t>TAG2400899</t>
        </is>
      </c>
      <c r="N1881" t="inlineStr">
        <is>
          <t>11162300</t>
        </is>
      </c>
      <c r="O1881">
        <f>M1881=N1881</f>
        <v/>
      </c>
      <c r="P1881">
        <f>AND(MONTH(F1881)=MONTH(S1881), YEAR(F1881)=YEAR(S1881))</f>
        <v/>
      </c>
      <c r="Q1881">
        <f>"L001-902303751"=U1881</f>
        <v/>
      </c>
      <c r="R1881">
        <f>G1881-W1881</f>
        <v/>
      </c>
      <c r="S1881" s="36" t="n">
        <v>45607</v>
      </c>
      <c r="T1881" t="n">
        <v>111623</v>
      </c>
      <c r="U1881" t="inlineStr">
        <is>
          <t>L001-107041723</t>
        </is>
      </c>
      <c r="V1881" t="inlineStr">
        <is>
          <t>ឌីប៊ី សេនឃើរ (ខេមបូឌា) លីមីធីត</t>
        </is>
      </c>
      <c r="W1881" t="n">
        <v>111623</v>
      </c>
      <c r="X1881" t="n">
        <v>0</v>
      </c>
    </row>
    <row r="1882">
      <c r="A1882" t="n">
        <v>1881</v>
      </c>
      <c r="B1882" t="inlineStr">
        <is>
          <t>Cargo Terminal</t>
        </is>
      </c>
      <c r="C1882" t="inlineStr">
        <is>
          <t>សូស៊ីយេតេ កុងសេស្យូនែរ ដឺ ឡាអេរ៉ូព័រ</t>
        </is>
      </c>
      <c r="D1882" t="inlineStr">
        <is>
          <t>L001-100047300</t>
        </is>
      </c>
      <c r="E1882" t="inlineStr">
        <is>
          <t>2400096338</t>
        </is>
      </c>
      <c r="F1882" t="inlineStr">
        <is>
          <t>27-11-2024</t>
        </is>
      </c>
      <c r="G1882" t="n">
        <v>17673</v>
      </c>
      <c r="I1882">
        <f>G1882</f>
        <v/>
      </c>
      <c r="K1882">
        <f>I1882-G1882</f>
        <v/>
      </c>
      <c r="M1882" t="inlineStr">
        <is>
          <t>2400096338</t>
        </is>
      </c>
      <c r="N1882" t="inlineStr"/>
      <c r="O1882">
        <f>M1882=N1882</f>
        <v/>
      </c>
      <c r="P1882">
        <f>AND(MONTH(F1882)=MONTH(S1882), YEAR(F1882)=YEAR(S1882))</f>
        <v/>
      </c>
      <c r="Q1882">
        <f>"L001-902303751"=U1882</f>
        <v/>
      </c>
      <c r="R1882">
        <f>G1882-W1882</f>
        <v/>
      </c>
      <c r="S1882" s="36" t="n">
        <v>45607</v>
      </c>
      <c r="T1882" t="inlineStr"/>
      <c r="U1882" t="inlineStr">
        <is>
          <t>L001-107041723</t>
        </is>
      </c>
      <c r="V1882" t="inlineStr">
        <is>
          <t>ឌីប៊ី សេនឃើរ (ខេមបូឌា) លីមីធីត</t>
        </is>
      </c>
      <c r="W1882" t="n">
        <v>0</v>
      </c>
      <c r="X1882" t="n">
        <v>0</v>
      </c>
    </row>
    <row r="1883">
      <c r="A1883" t="n">
        <v>1882</v>
      </c>
      <c r="B1883" t="inlineStr">
        <is>
          <t>Customs Clearance Fee</t>
        </is>
      </c>
      <c r="C1883" t="inlineStr">
        <is>
          <t>ត្រាយអ៊ែងហ្គល ឡូជីស្ទីក (ខេមបូឌា) ឯ.ក</t>
        </is>
      </c>
      <c r="D1883" t="inlineStr">
        <is>
          <t>K010-902101743</t>
        </is>
      </c>
      <c r="E1883" t="inlineStr">
        <is>
          <t>TAG-24-00898</t>
        </is>
      </c>
      <c r="F1883" t="inlineStr">
        <is>
          <t>29-11-2024</t>
        </is>
      </c>
      <c r="G1883" t="n">
        <v>8056</v>
      </c>
      <c r="I1883">
        <f>G1883</f>
        <v/>
      </c>
      <c r="K1883">
        <f>I1883-G1883</f>
        <v/>
      </c>
      <c r="M1883" t="inlineStr">
        <is>
          <t>TAG2400898</t>
        </is>
      </c>
      <c r="N1883" t="inlineStr"/>
      <c r="O1883">
        <f>M1883=N1883</f>
        <v/>
      </c>
      <c r="P1883">
        <f>AND(MONTH(F1883)=MONTH(S1883), YEAR(F1883)=YEAR(S1883))</f>
        <v/>
      </c>
      <c r="Q1883">
        <f>"L001-902303751"=U1883</f>
        <v/>
      </c>
      <c r="R1883">
        <f>G1883-W1883</f>
        <v/>
      </c>
      <c r="S1883" s="36" t="n">
        <v>45600</v>
      </c>
      <c r="T1883" t="inlineStr"/>
      <c r="U1883" t="inlineStr">
        <is>
          <t>L001-100045995</t>
        </is>
      </c>
      <c r="V1883" t="inlineStr">
        <is>
          <t>ឌីអេចអិល ឡូជីស្ទីក (ខេមបូឌា)</t>
        </is>
      </c>
      <c r="W1883" t="n">
        <v>0</v>
      </c>
      <c r="X1883" t="n">
        <v>0</v>
      </c>
    </row>
    <row r="1884">
      <c r="A1884" t="n">
        <v>1883</v>
      </c>
      <c r="B1884" t="inlineStr">
        <is>
          <t>Cargo Terminal</t>
        </is>
      </c>
      <c r="C1884" t="inlineStr">
        <is>
          <t>សូស៊ីយេតេ កុងសេស្យូនែរ ដឺ ឡាអេរ៉ូព័រ</t>
        </is>
      </c>
      <c r="D1884" t="inlineStr">
        <is>
          <t>L001-100047300</t>
        </is>
      </c>
      <c r="E1884" t="inlineStr">
        <is>
          <t>2400094457</t>
        </is>
      </c>
      <c r="F1884" t="inlineStr">
        <is>
          <t>22-11-2024</t>
        </is>
      </c>
      <c r="G1884" t="n">
        <v>8952</v>
      </c>
      <c r="I1884">
        <f>G1884</f>
        <v/>
      </c>
      <c r="K1884">
        <f>I1884-G1884</f>
        <v/>
      </c>
      <c r="M1884" t="inlineStr">
        <is>
          <t>2400094457</t>
        </is>
      </c>
      <c r="N1884" t="inlineStr">
        <is>
          <t>8284100</t>
        </is>
      </c>
      <c r="O1884">
        <f>M1884=N1884</f>
        <v/>
      </c>
      <c r="P1884">
        <f>AND(MONTH(F1884)=MONTH(S1884), YEAR(F1884)=YEAR(S1884))</f>
        <v/>
      </c>
      <c r="Q1884">
        <f>"L001-902303751"=U1884</f>
        <v/>
      </c>
      <c r="R1884">
        <f>G1884-W1884</f>
        <v/>
      </c>
      <c r="S1884" s="36" t="n">
        <v>45614</v>
      </c>
      <c r="T1884" t="n">
        <v>82841</v>
      </c>
      <c r="U1884" t="inlineStr">
        <is>
          <t>L001-100045995</t>
        </is>
      </c>
      <c r="V1884" t="inlineStr">
        <is>
          <t>ឌីអេចអិល ឡូជីស្ទីក (ខេមបូឌា)</t>
        </is>
      </c>
      <c r="W1884" t="n">
        <v>82841</v>
      </c>
      <c r="X1884" t="n">
        <v>0</v>
      </c>
    </row>
    <row r="1885">
      <c r="A1885" t="n">
        <v>1884</v>
      </c>
      <c r="B1885" t="inlineStr">
        <is>
          <t>Customs Clearance Fee</t>
        </is>
      </c>
      <c r="C1885" t="inlineStr">
        <is>
          <t>ត្រាយអ៊ែងហ្គល ឡូជីស្ទីក (ខេមបូឌា) ឯ.ក</t>
        </is>
      </c>
      <c r="D1885" t="inlineStr">
        <is>
          <t>K010-902101743</t>
        </is>
      </c>
      <c r="E1885" t="inlineStr">
        <is>
          <t>TAG-24-00881</t>
        </is>
      </c>
      <c r="F1885" t="inlineStr">
        <is>
          <t>28-11-2024</t>
        </is>
      </c>
      <c r="G1885" t="n">
        <v>8060</v>
      </c>
      <c r="I1885">
        <f>G1885</f>
        <v/>
      </c>
      <c r="K1885">
        <f>I1885-G1885</f>
        <v/>
      </c>
      <c r="M1885" t="inlineStr">
        <is>
          <t>TAG2400881</t>
        </is>
      </c>
      <c r="N1885" t="inlineStr"/>
      <c r="O1885">
        <f>M1885=N1885</f>
        <v/>
      </c>
      <c r="P1885">
        <f>AND(MONTH(F1885)=MONTH(S1885), YEAR(F1885)=YEAR(S1885))</f>
        <v/>
      </c>
      <c r="Q1885">
        <f>"L001-902303751"=U1885</f>
        <v/>
      </c>
      <c r="R1885">
        <f>G1885-W1885</f>
        <v/>
      </c>
      <c r="S1885" s="36" t="n">
        <v>45614</v>
      </c>
      <c r="T1885" t="inlineStr"/>
      <c r="U1885" t="inlineStr">
        <is>
          <t>L001-107032791</t>
        </is>
      </c>
      <c r="V1885" t="inlineStr">
        <is>
          <t>នីបផន អិចប្រេស (ខេមបូឌា) ខូ អិលធីឌី</t>
        </is>
      </c>
      <c r="W1885" t="n">
        <v>0</v>
      </c>
      <c r="X1885" t="n">
        <v>0</v>
      </c>
    </row>
    <row r="1886">
      <c r="A1886" t="n">
        <v>1885</v>
      </c>
      <c r="B1886" t="inlineStr">
        <is>
          <t>Cargo Terminal</t>
        </is>
      </c>
      <c r="C1886" t="inlineStr">
        <is>
          <t>សូស៊ីយេតេ កុងសេស្យូនែរ ដឺ ឡាអេរ៉ូព័រ</t>
        </is>
      </c>
      <c r="D1886" t="inlineStr">
        <is>
          <t>L001-100047300</t>
        </is>
      </c>
      <c r="E1886" t="inlineStr">
        <is>
          <t>2400094455</t>
        </is>
      </c>
      <c r="F1886" t="inlineStr">
        <is>
          <t>22-11-2024</t>
        </is>
      </c>
      <c r="G1886" t="n">
        <v>11079</v>
      </c>
      <c r="I1886">
        <f>G1886</f>
        <v/>
      </c>
      <c r="K1886">
        <f>I1886-G1886</f>
        <v/>
      </c>
      <c r="M1886" t="inlineStr">
        <is>
          <t>2400094455</t>
        </is>
      </c>
      <c r="N1886" t="inlineStr">
        <is>
          <t>8333300</t>
        </is>
      </c>
      <c r="O1886">
        <f>M1886=N1886</f>
        <v/>
      </c>
      <c r="P1886">
        <f>AND(MONTH(F1886)=MONTH(S1886), YEAR(F1886)=YEAR(S1886))</f>
        <v/>
      </c>
      <c r="Q1886">
        <f>"L001-902303751"=U1886</f>
        <v/>
      </c>
      <c r="R1886">
        <f>G1886-W1886</f>
        <v/>
      </c>
      <c r="S1886" s="36" t="n">
        <v>45600</v>
      </c>
      <c r="T1886" t="n">
        <v>83333</v>
      </c>
      <c r="U1886" t="inlineStr">
        <is>
          <t>L001-107041723</t>
        </is>
      </c>
      <c r="V1886" t="inlineStr">
        <is>
          <t>ឌីប៊ី សេនឃើរ (ខេមបូឌា) លីមីធីត</t>
        </is>
      </c>
      <c r="W1886" t="n">
        <v>83333</v>
      </c>
      <c r="X1886" t="n">
        <v>0</v>
      </c>
    </row>
    <row r="1887">
      <c r="A1887" t="n">
        <v>1886</v>
      </c>
      <c r="B1887" t="inlineStr">
        <is>
          <t>Customs Clearance Fee</t>
        </is>
      </c>
      <c r="C1887" t="inlineStr">
        <is>
          <t>ត្រាយអ៊ែងហ្គល ឡូជីស្ទីក (ខេមបូឌា) ឯ.ក</t>
        </is>
      </c>
      <c r="D1887" t="inlineStr">
        <is>
          <t>K010-902101743</t>
        </is>
      </c>
      <c r="E1887" t="inlineStr">
        <is>
          <t>TAG-24-00880</t>
        </is>
      </c>
      <c r="F1887" t="inlineStr">
        <is>
          <t>28-11-2024</t>
        </is>
      </c>
      <c r="G1887" t="n">
        <v>8060</v>
      </c>
      <c r="I1887">
        <f>G1887</f>
        <v/>
      </c>
      <c r="K1887">
        <f>I1887-G1887</f>
        <v/>
      </c>
      <c r="M1887" t="inlineStr">
        <is>
          <t>TAG2400880</t>
        </is>
      </c>
      <c r="N1887" t="inlineStr">
        <is>
          <t>8333300</t>
        </is>
      </c>
      <c r="O1887">
        <f>M1887=N1887</f>
        <v/>
      </c>
      <c r="P1887">
        <f>AND(MONTH(F1887)=MONTH(S1887), YEAR(F1887)=YEAR(S1887))</f>
        <v/>
      </c>
      <c r="Q1887">
        <f>"L001-902303751"=U1887</f>
        <v/>
      </c>
      <c r="R1887">
        <f>G1887-W1887</f>
        <v/>
      </c>
      <c r="S1887" s="36" t="n">
        <v>45600</v>
      </c>
      <c r="T1887" t="n">
        <v>83333</v>
      </c>
      <c r="U1887" t="inlineStr">
        <is>
          <t>L001-901500191</t>
        </is>
      </c>
      <c r="V1887" t="inlineStr">
        <is>
          <t>អ.អិន.វ៉ាយ ត្រេនស្ព័ត</t>
        </is>
      </c>
      <c r="W1887" t="n">
        <v>83333</v>
      </c>
      <c r="X1887" t="n">
        <v>0</v>
      </c>
    </row>
    <row r="1888">
      <c r="A1888" t="n">
        <v>1887</v>
      </c>
      <c r="B1888" t="inlineStr">
        <is>
          <t>Cargo Terminal</t>
        </is>
      </c>
      <c r="C1888" t="inlineStr">
        <is>
          <t>សូស៊ីយេតេ កុងសេស្យូនែរ ដឺ ឡាអេរ៉ូព័រ</t>
        </is>
      </c>
      <c r="D1888" t="inlineStr">
        <is>
          <t>L001-100047300</t>
        </is>
      </c>
      <c r="E1888" t="inlineStr">
        <is>
          <t>2400094309</t>
        </is>
      </c>
      <c r="F1888" t="inlineStr">
        <is>
          <t>21-11-2024</t>
        </is>
      </c>
      <c r="G1888" t="n">
        <v>807</v>
      </c>
      <c r="I1888">
        <f>G1888</f>
        <v/>
      </c>
      <c r="K1888">
        <f>I1888-G1888</f>
        <v/>
      </c>
      <c r="M1888" t="inlineStr">
        <is>
          <t>2400094309</t>
        </is>
      </c>
      <c r="N1888" t="inlineStr">
        <is>
          <t>11038500</t>
        </is>
      </c>
      <c r="O1888">
        <f>M1888=N1888</f>
        <v/>
      </c>
      <c r="P1888">
        <f>AND(MONTH(F1888)=MONTH(S1888), YEAR(F1888)=YEAR(S1888))</f>
        <v/>
      </c>
      <c r="Q1888">
        <f>"L001-902303751"=U1888</f>
        <v/>
      </c>
      <c r="R1888">
        <f>G1888-W1888</f>
        <v/>
      </c>
      <c r="S1888" s="36" t="n">
        <v>45621</v>
      </c>
      <c r="T1888" t="n">
        <v>110385</v>
      </c>
      <c r="U1888" t="inlineStr">
        <is>
          <t>L001-107032791</t>
        </is>
      </c>
      <c r="V1888" t="inlineStr">
        <is>
          <t>នីបផន អិចប្រេស (ខេមបូឌា) ខូ អិលធីឌី</t>
        </is>
      </c>
      <c r="W1888" t="n">
        <v>110385</v>
      </c>
      <c r="X1888" t="n">
        <v>0</v>
      </c>
    </row>
    <row r="1889">
      <c r="A1889" t="n">
        <v>1888</v>
      </c>
      <c r="B1889" t="inlineStr">
        <is>
          <t>Customs Clearance Fee</t>
        </is>
      </c>
      <c r="C1889" t="inlineStr">
        <is>
          <t>ត្រាយអ៊ែងហ្គល ឡូជីស្ទីក (ខេមបូឌា) ឯ.ក</t>
        </is>
      </c>
      <c r="D1889" t="inlineStr">
        <is>
          <t>K010-902101743</t>
        </is>
      </c>
      <c r="E1889" t="inlineStr">
        <is>
          <t>TAG-24-00879</t>
        </is>
      </c>
      <c r="F1889" t="inlineStr">
        <is>
          <t>28-11-2024</t>
        </is>
      </c>
      <c r="G1889" t="n">
        <v>8060</v>
      </c>
      <c r="I1889">
        <f>G1889</f>
        <v/>
      </c>
      <c r="K1889">
        <f>I1889-G1889</f>
        <v/>
      </c>
      <c r="M1889" t="inlineStr">
        <is>
          <t>TAG2400879</t>
        </is>
      </c>
      <c r="N1889" t="inlineStr"/>
      <c r="O1889">
        <f>M1889=N1889</f>
        <v/>
      </c>
      <c r="P1889">
        <f>AND(MONTH(F1889)=MONTH(S1889), YEAR(F1889)=YEAR(S1889))</f>
        <v/>
      </c>
      <c r="Q1889">
        <f>"L001-902303751"=U1889</f>
        <v/>
      </c>
      <c r="R1889">
        <f>G1889-W1889</f>
        <v/>
      </c>
      <c r="S1889" s="36" t="n">
        <v>45621</v>
      </c>
      <c r="T1889" t="inlineStr"/>
      <c r="U1889" t="inlineStr">
        <is>
          <t>K005-901805913</t>
        </is>
      </c>
      <c r="V1889" t="inlineStr">
        <is>
          <t>ស្តារ ខង់ខដ (ខេមបូឌា) ឯ.ក</t>
        </is>
      </c>
      <c r="W1889" t="n">
        <v>0</v>
      </c>
      <c r="X1889" t="n">
        <v>0</v>
      </c>
    </row>
    <row r="1890">
      <c r="A1890" t="n">
        <v>1889</v>
      </c>
      <c r="B1890" t="inlineStr">
        <is>
          <t>Cargo Terminal</t>
        </is>
      </c>
      <c r="C1890" t="inlineStr">
        <is>
          <t>សូស៊ីយេតេ កុងសេស្យូនែរ ដឺ ឡាអេរ៉ូព័រ</t>
        </is>
      </c>
      <c r="D1890" t="inlineStr">
        <is>
          <t>L001-100047300</t>
        </is>
      </c>
      <c r="E1890" t="inlineStr">
        <is>
          <t>2400093963</t>
        </is>
      </c>
      <c r="F1890" t="inlineStr">
        <is>
          <t>20-11-2024</t>
        </is>
      </c>
      <c r="G1890" t="n">
        <v>9111</v>
      </c>
      <c r="I1890">
        <f>G1890</f>
        <v/>
      </c>
      <c r="K1890">
        <f>I1890-G1890</f>
        <v/>
      </c>
      <c r="M1890" t="inlineStr">
        <is>
          <t>2400093963</t>
        </is>
      </c>
      <c r="N1890" t="inlineStr"/>
      <c r="O1890">
        <f>M1890=N1890</f>
        <v/>
      </c>
      <c r="P1890">
        <f>AND(MONTH(F1890)=MONTH(S1890), YEAR(F1890)=YEAR(S1890))</f>
        <v/>
      </c>
      <c r="Q1890">
        <f>"L001-902303751"=U1890</f>
        <v/>
      </c>
      <c r="R1890">
        <f>G1890-W1890</f>
        <v/>
      </c>
      <c r="S1890" s="36" t="n">
        <v>45607</v>
      </c>
      <c r="T1890" t="inlineStr"/>
      <c r="U1890" t="inlineStr">
        <is>
          <t>L001-100045995</t>
        </is>
      </c>
      <c r="V1890" t="inlineStr">
        <is>
          <t>ឌីអេចអិល ឡូជីស្ទីក (ខេមបូឌា)</t>
        </is>
      </c>
      <c r="W1890" t="n">
        <v>0</v>
      </c>
      <c r="X1890" t="n">
        <v>0</v>
      </c>
    </row>
    <row r="1891">
      <c r="A1891" t="n">
        <v>1890</v>
      </c>
      <c r="B1891" t="inlineStr">
        <is>
          <t>Customs Clearance Fee</t>
        </is>
      </c>
      <c r="C1891" t="inlineStr">
        <is>
          <t>ត្រាយអ៊ែងហ្គល ឡូជីស្ទីក (ខេមបូឌា) ឯ.ក</t>
        </is>
      </c>
      <c r="D1891" t="inlineStr">
        <is>
          <t>K010-902101743</t>
        </is>
      </c>
      <c r="E1891" t="inlineStr">
        <is>
          <t>TAG-24-00878</t>
        </is>
      </c>
      <c r="F1891" t="inlineStr">
        <is>
          <t>28-11-2024</t>
        </is>
      </c>
      <c r="G1891" t="n">
        <v>8060</v>
      </c>
      <c r="I1891">
        <f>G1891</f>
        <v/>
      </c>
      <c r="K1891">
        <f>I1891-G1891</f>
        <v/>
      </c>
      <c r="M1891" t="inlineStr">
        <is>
          <t>TAG2400878</t>
        </is>
      </c>
      <c r="N1891" t="inlineStr"/>
      <c r="O1891">
        <f>M1891=N1891</f>
        <v/>
      </c>
      <c r="P1891">
        <f>AND(MONTH(F1891)=MONTH(S1891), YEAR(F1891)=YEAR(S1891))</f>
        <v/>
      </c>
      <c r="Q1891">
        <f>"L001-902303751"=U1891</f>
        <v/>
      </c>
      <c r="R1891">
        <f>G1891-W1891</f>
        <v/>
      </c>
      <c r="S1891" s="36" t="n">
        <v>45621</v>
      </c>
      <c r="T1891" t="inlineStr"/>
      <c r="U1891" t="inlineStr">
        <is>
          <t>K005-100150195</t>
        </is>
      </c>
      <c r="V1891" t="inlineStr">
        <is>
          <t>អេស អ វី ស៊ី ហ្វ្រេត សឺវីស (ខេមបូឌា) ខូ អិលធីឌី</t>
        </is>
      </c>
      <c r="W1891" t="n">
        <v>0</v>
      </c>
      <c r="X1891" t="n">
        <v>0</v>
      </c>
    </row>
    <row r="1892">
      <c r="A1892" t="n">
        <v>1891</v>
      </c>
      <c r="B1892" t="inlineStr">
        <is>
          <t>Customs Clearance Fee</t>
        </is>
      </c>
      <c r="C1892" t="inlineStr">
        <is>
          <t>ត្រាយអ៊ែងហ្គល ឡូជីស្ទីក (ខេមបូឌា) ឯ.ក</t>
        </is>
      </c>
      <c r="D1892" t="inlineStr">
        <is>
          <t>K010-902101743</t>
        </is>
      </c>
      <c r="E1892" t="inlineStr">
        <is>
          <t>TAG-24-00877</t>
        </is>
      </c>
      <c r="F1892" t="inlineStr">
        <is>
          <t>22-11-2024</t>
        </is>
      </c>
      <c r="G1892" t="n">
        <v>8052</v>
      </c>
      <c r="I1892">
        <f>G1892</f>
        <v/>
      </c>
      <c r="K1892">
        <f>I1892-G1892</f>
        <v/>
      </c>
      <c r="M1892" t="inlineStr">
        <is>
          <t>TAG2400877</t>
        </is>
      </c>
      <c r="N1892" t="inlineStr">
        <is>
          <t>8333300</t>
        </is>
      </c>
      <c r="O1892">
        <f>M1892=N1892</f>
        <v/>
      </c>
      <c r="P1892">
        <f>AND(MONTH(F1892)=MONTH(S1892), YEAR(F1892)=YEAR(S1892))</f>
        <v/>
      </c>
      <c r="Q1892">
        <f>"L001-902303751"=U1892</f>
        <v/>
      </c>
      <c r="R1892">
        <f>G1892-W1892</f>
        <v/>
      </c>
      <c r="S1892" s="36" t="n">
        <v>45600</v>
      </c>
      <c r="T1892" t="n">
        <v>83333</v>
      </c>
      <c r="U1892" t="inlineStr">
        <is>
          <t>L001-107032791</t>
        </is>
      </c>
      <c r="V1892" t="inlineStr">
        <is>
          <t>នីបផន អិចប្រេស (ខេមបូឌា) ខូ អិលធីឌី</t>
        </is>
      </c>
      <c r="W1892" t="n">
        <v>83333</v>
      </c>
      <c r="X1892" t="n">
        <v>0</v>
      </c>
    </row>
    <row r="1893">
      <c r="A1893" t="n">
        <v>1892</v>
      </c>
      <c r="B1893" t="inlineStr">
        <is>
          <t>Customs Clearance Fee</t>
        </is>
      </c>
      <c r="C1893" t="inlineStr">
        <is>
          <t>ត្រាយអ៊ែងហ្គល ឡូជីស្ទីក (ខេមបូឌា) ឯ.ក</t>
        </is>
      </c>
      <c r="D1893" t="inlineStr">
        <is>
          <t>K010-902101743</t>
        </is>
      </c>
      <c r="E1893" t="inlineStr">
        <is>
          <t>TAG-24-00876</t>
        </is>
      </c>
      <c r="F1893" t="inlineStr">
        <is>
          <t>22-11-2024</t>
        </is>
      </c>
      <c r="G1893" t="n">
        <v>8052</v>
      </c>
      <c r="I1893">
        <f>G1893</f>
        <v/>
      </c>
      <c r="K1893">
        <f>I1893-G1893</f>
        <v/>
      </c>
      <c r="M1893" t="inlineStr">
        <is>
          <t>TAG2400876</t>
        </is>
      </c>
      <c r="N1893" t="inlineStr">
        <is>
          <t>11178800</t>
        </is>
      </c>
      <c r="O1893">
        <f>M1893=N1893</f>
        <v/>
      </c>
      <c r="P1893">
        <f>AND(MONTH(F1893)=MONTH(S1893), YEAR(F1893)=YEAR(S1893))</f>
        <v/>
      </c>
      <c r="Q1893">
        <f>"L001-902303751"=U1893</f>
        <v/>
      </c>
      <c r="R1893">
        <f>G1893-W1893</f>
        <v/>
      </c>
      <c r="S1893" s="36" t="n">
        <v>45600</v>
      </c>
      <c r="T1893" t="n">
        <v>111788</v>
      </c>
      <c r="U1893" t="inlineStr">
        <is>
          <t>L001-107032791</t>
        </is>
      </c>
      <c r="V1893" t="inlineStr">
        <is>
          <t>នីបផន អិចប្រេស (ខេមបូឌា) ខូ អិលធីឌី</t>
        </is>
      </c>
      <c r="W1893" t="n">
        <v>111788</v>
      </c>
      <c r="X1893" t="n">
        <v>0</v>
      </c>
    </row>
    <row r="1894">
      <c r="A1894" t="n">
        <v>1893</v>
      </c>
      <c r="B1894" t="inlineStr">
        <is>
          <t>PVC Thin Film</t>
        </is>
      </c>
      <c r="C1894" t="inlineStr">
        <is>
          <t>ដឹ សាយ អេឡិកត្រូមេឃែនីខល អេនជីនារីង ឯ.ក</t>
        </is>
      </c>
      <c r="D1894" t="inlineStr">
        <is>
          <t>K009-902303599</t>
        </is>
      </c>
      <c r="E1894" t="inlineStr">
        <is>
          <t>00037</t>
        </is>
      </c>
      <c r="F1894" t="inlineStr">
        <is>
          <t>27-11-2024</t>
        </is>
      </c>
      <c r="G1894" t="n">
        <v>177056</v>
      </c>
      <c r="I1894">
        <f>G1894</f>
        <v/>
      </c>
      <c r="K1894">
        <f>I1894-G1894</f>
        <v/>
      </c>
      <c r="M1894" t="inlineStr">
        <is>
          <t>00037</t>
        </is>
      </c>
      <c r="N1894" t="inlineStr"/>
      <c r="O1894">
        <f>M1894=N1894</f>
        <v/>
      </c>
      <c r="P1894">
        <f>AND(MONTH(F1894)=MONTH(S1894), YEAR(F1894)=YEAR(S1894))</f>
        <v/>
      </c>
      <c r="Q1894">
        <f>"L001-902303751"=U1894</f>
        <v/>
      </c>
      <c r="R1894">
        <f>G1894-W1894</f>
        <v/>
      </c>
      <c r="S1894" s="36" t="n">
        <v>45621</v>
      </c>
      <c r="T1894" t="inlineStr"/>
      <c r="U1894" t="inlineStr">
        <is>
          <t>L001-107032791</t>
        </is>
      </c>
      <c r="V1894" t="inlineStr">
        <is>
          <t>នីបផន អិចប្រេស (ខេមបូឌា) ខូ អិលធីឌី</t>
        </is>
      </c>
      <c r="W1894" t="n">
        <v>0</v>
      </c>
      <c r="X1894" t="n">
        <v>0</v>
      </c>
    </row>
    <row r="1895">
      <c r="A1895" t="n">
        <v>1894</v>
      </c>
      <c r="B1895" t="inlineStr">
        <is>
          <t>Cargo Terminal</t>
        </is>
      </c>
      <c r="C1895" t="inlineStr">
        <is>
          <t>សូស៊ីយេតេ កុងសេស្យូនែរ ដឺ ឡាអេរ៉ូព័រ</t>
        </is>
      </c>
      <c r="D1895" t="inlineStr">
        <is>
          <t>L001-100047300</t>
        </is>
      </c>
      <c r="E1895" t="inlineStr">
        <is>
          <t>2400093865</t>
        </is>
      </c>
      <c r="F1895" t="inlineStr">
        <is>
          <t>20-11-2024</t>
        </is>
      </c>
      <c r="G1895" t="n">
        <v>9497</v>
      </c>
      <c r="I1895">
        <f>G1895</f>
        <v/>
      </c>
      <c r="K1895">
        <f>I1895-G1895</f>
        <v/>
      </c>
      <c r="M1895" t="inlineStr">
        <is>
          <t>2400093865</t>
        </is>
      </c>
      <c r="N1895" t="inlineStr"/>
      <c r="O1895">
        <f>M1895=N1895</f>
        <v/>
      </c>
      <c r="P1895">
        <f>AND(MONTH(F1895)=MONTH(S1895), YEAR(F1895)=YEAR(S1895))</f>
        <v/>
      </c>
      <c r="Q1895">
        <f>"L001-902303751"=U1895</f>
        <v/>
      </c>
      <c r="R1895">
        <f>G1895-W1895</f>
        <v/>
      </c>
      <c r="S1895" s="36" t="n">
        <v>45614</v>
      </c>
      <c r="T1895" t="inlineStr"/>
      <c r="U1895" t="inlineStr">
        <is>
          <t>L001-107032791</t>
        </is>
      </c>
      <c r="V1895" t="inlineStr">
        <is>
          <t>នីបផន អិចប្រេស (ខេមបូឌា) ខូ អិលធីឌី</t>
        </is>
      </c>
      <c r="W1895" t="n">
        <v>0</v>
      </c>
      <c r="X1895" t="n">
        <v>0</v>
      </c>
    </row>
    <row r="1896">
      <c r="A1896" t="n">
        <v>1895</v>
      </c>
      <c r="B1896" t="inlineStr">
        <is>
          <t>Documentation Origin, Handling Charges Origin, PLACI fee and HAWB Transmission Fee</t>
        </is>
      </c>
      <c r="C1896" t="inlineStr">
        <is>
          <t>ឌីប៊ី សេនឃើរ (ខេមបូឌា) លីមីធីត</t>
        </is>
      </c>
      <c r="D1896" t="inlineStr">
        <is>
          <t>L001-107041723</t>
        </is>
      </c>
      <c r="E1896" t="inlineStr">
        <is>
          <t>2400008961</t>
        </is>
      </c>
      <c r="F1896" t="inlineStr">
        <is>
          <t>07-11-2024</t>
        </is>
      </c>
      <c r="G1896" t="n">
        <v>49975</v>
      </c>
      <c r="I1896">
        <f>G1896</f>
        <v/>
      </c>
      <c r="K1896">
        <f>I1896-G1896</f>
        <v/>
      </c>
      <c r="M1896" t="inlineStr">
        <is>
          <t>2400008961</t>
        </is>
      </c>
      <c r="N1896" t="inlineStr"/>
      <c r="O1896">
        <f>M1896=N1896</f>
        <v/>
      </c>
      <c r="P1896">
        <f>AND(MONTH(F1896)=MONTH(S1896), YEAR(F1896)=YEAR(S1896))</f>
        <v/>
      </c>
      <c r="Q1896">
        <f>"L001-902303751"=U1896</f>
        <v/>
      </c>
      <c r="R1896">
        <f>G1896-W1896</f>
        <v/>
      </c>
      <c r="S1896" s="36" t="n">
        <v>45607</v>
      </c>
      <c r="T1896" t="inlineStr"/>
      <c r="U1896" t="inlineStr">
        <is>
          <t>L001-100045995</t>
        </is>
      </c>
      <c r="V1896" t="inlineStr">
        <is>
          <t>ឌីអេចអិល ឡូជីស្ទីក (ខេមបូឌា)</t>
        </is>
      </c>
      <c r="W1896" t="n">
        <v>0</v>
      </c>
      <c r="X1896" t="n">
        <v>0</v>
      </c>
    </row>
    <row r="1897">
      <c r="A1897" t="n">
        <v>1896</v>
      </c>
      <c r="B1897" t="inlineStr">
        <is>
          <t>Admin Fee, B/L Surrender Charge, Sea OTHC/CBM, ENS Charges, CFS Charges, Custom Clearance Ch, LCL Trucking, HBL Charge and VGM Fee</t>
        </is>
      </c>
      <c r="C1897" t="inlineStr">
        <is>
          <t>ត្រេនម៉ារីន ឡូជីស្ទីក (ខេមបូឌា)</t>
        </is>
      </c>
      <c r="D1897" t="inlineStr">
        <is>
          <t>L001-106004107</t>
        </is>
      </c>
      <c r="E1897" t="inlineStr">
        <is>
          <t>9961036242</t>
        </is>
      </c>
      <c r="F1897" t="inlineStr">
        <is>
          <t>19-11-2024</t>
        </is>
      </c>
      <c r="G1897" t="n">
        <v>156240</v>
      </c>
      <c r="I1897">
        <f>G1897</f>
        <v/>
      </c>
      <c r="K1897">
        <f>I1897-G1897</f>
        <v/>
      </c>
      <c r="M1897" t="inlineStr">
        <is>
          <t>9961036242</t>
        </is>
      </c>
      <c r="N1897" t="inlineStr"/>
      <c r="O1897">
        <f>M1897=N1897</f>
        <v/>
      </c>
      <c r="P1897">
        <f>AND(MONTH(F1897)=MONTH(S1897), YEAR(F1897)=YEAR(S1897))</f>
        <v/>
      </c>
      <c r="Q1897">
        <f>"L001-902303751"=U1897</f>
        <v/>
      </c>
      <c r="R1897">
        <f>G1897-W1897</f>
        <v/>
      </c>
      <c r="S1897" s="36" t="n">
        <v>45607</v>
      </c>
      <c r="T1897" t="inlineStr"/>
      <c r="U1897" t="inlineStr">
        <is>
          <t>L001-107041723</t>
        </is>
      </c>
      <c r="V1897" t="inlineStr">
        <is>
          <t>ឌីប៊ី សេនឃើរ (ខេមបូឌា) លីមីធីត</t>
        </is>
      </c>
      <c r="W1897" t="n">
        <v>0</v>
      </c>
      <c r="X1897" t="n">
        <v>0</v>
      </c>
    </row>
    <row r="1898">
      <c r="A1898" t="n">
        <v>1897</v>
      </c>
      <c r="B1898" t="inlineStr">
        <is>
          <t>Decoratiion</t>
        </is>
      </c>
      <c r="C1898" t="inlineStr">
        <is>
          <t>ដឹ សាយ អេឡិកត្រូមេឃែនីខល អេនជីនារីង ឯ.ក</t>
        </is>
      </c>
      <c r="D1898" t="inlineStr">
        <is>
          <t>K009-902303599</t>
        </is>
      </c>
      <c r="E1898" t="inlineStr">
        <is>
          <t>00026</t>
        </is>
      </c>
      <c r="F1898" t="inlineStr">
        <is>
          <t>05-11-2024</t>
        </is>
      </c>
      <c r="G1898" t="n">
        <v>2069939</v>
      </c>
      <c r="I1898">
        <f>G1898</f>
        <v/>
      </c>
      <c r="K1898">
        <f>I1898-G1898</f>
        <v/>
      </c>
      <c r="M1898" t="inlineStr">
        <is>
          <t>00026</t>
        </is>
      </c>
      <c r="N1898" t="inlineStr">
        <is>
          <t>126376100</t>
        </is>
      </c>
      <c r="O1898">
        <f>M1898=N1898</f>
        <v/>
      </c>
      <c r="P1898">
        <f>AND(MONTH(F1898)=MONTH(S1898), YEAR(F1898)=YEAR(S1898))</f>
        <v/>
      </c>
      <c r="Q1898">
        <f>"L001-902303751"=U1898</f>
        <v/>
      </c>
      <c r="R1898">
        <f>G1898-W1898</f>
        <v/>
      </c>
      <c r="S1898" s="36" t="n">
        <v>45619</v>
      </c>
      <c r="T1898" t="n">
        <v>1263761</v>
      </c>
      <c r="U1898" t="inlineStr">
        <is>
          <t>K004-105012505</t>
        </is>
      </c>
      <c r="V1898" t="inlineStr">
        <is>
          <t>អេស៊ាន ហ្វ្រេត (ខេមបូឌា)</t>
        </is>
      </c>
      <c r="W1898" t="n">
        <v>1263761</v>
      </c>
      <c r="X1898" t="n">
        <v>0</v>
      </c>
    </row>
    <row r="1899">
      <c r="A1899" t="n">
        <v>1898</v>
      </c>
      <c r="B1899" t="inlineStr">
        <is>
          <t>Decoratiion</t>
        </is>
      </c>
      <c r="C1899" t="inlineStr">
        <is>
          <t>ដឹ សាយ អេឡិកត្រូមេឃែនីខល អេនជីនារីង ឯ.ក</t>
        </is>
      </c>
      <c r="D1899" t="inlineStr">
        <is>
          <t>K009-902303599</t>
        </is>
      </c>
      <c r="E1899" t="inlineStr">
        <is>
          <t>00027</t>
        </is>
      </c>
      <c r="F1899" t="inlineStr">
        <is>
          <t>05-11-2024</t>
        </is>
      </c>
      <c r="G1899" t="n">
        <v>3875165</v>
      </c>
      <c r="I1899">
        <f>G1899</f>
        <v/>
      </c>
      <c r="K1899">
        <f>I1899-G1899</f>
        <v/>
      </c>
      <c r="M1899" t="inlineStr">
        <is>
          <t>00027</t>
        </is>
      </c>
      <c r="N1899" t="inlineStr"/>
      <c r="O1899">
        <f>M1899=N1899</f>
        <v/>
      </c>
      <c r="P1899">
        <f>AND(MONTH(F1899)=MONTH(S1899), YEAR(F1899)=YEAR(S1899))</f>
        <v/>
      </c>
      <c r="Q1899">
        <f>"L001-902303751"=U1899</f>
        <v/>
      </c>
      <c r="R1899">
        <f>G1899-W1899</f>
        <v/>
      </c>
      <c r="S1899" s="36" t="n">
        <v>45621</v>
      </c>
      <c r="T1899" t="inlineStr"/>
      <c r="U1899" t="inlineStr">
        <is>
          <t>K005-100150195</t>
        </is>
      </c>
      <c r="V1899" t="inlineStr">
        <is>
          <t>អេស អ វី ស៊ី ហ្វ្រេត សឺវីស (ខេមបូឌា) ខូ អិលធីឌី</t>
        </is>
      </c>
      <c r="W1899" t="n">
        <v>0</v>
      </c>
      <c r="X1899" t="n">
        <v>0</v>
      </c>
    </row>
    <row r="1900">
      <c r="A1900" t="n">
        <v>1899</v>
      </c>
      <c r="B1900" t="inlineStr">
        <is>
          <t>Decoratiion</t>
        </is>
      </c>
      <c r="C1900" t="inlineStr">
        <is>
          <t>ដឹ សាយ អេឡិកត្រូមេឃែនីខល អេនជីនារីង ឯ.ក</t>
        </is>
      </c>
      <c r="D1900" t="inlineStr">
        <is>
          <t>K009-902303599</t>
        </is>
      </c>
      <c r="E1900" t="inlineStr">
        <is>
          <t>00028</t>
        </is>
      </c>
      <c r="F1900" t="inlineStr">
        <is>
          <t>05-11-2024</t>
        </is>
      </c>
      <c r="G1900" t="n">
        <v>3062978</v>
      </c>
      <c r="I1900">
        <f>G1900</f>
        <v/>
      </c>
      <c r="K1900">
        <f>I1900-G1900</f>
        <v/>
      </c>
      <c r="M1900" t="inlineStr">
        <is>
          <t>00028</t>
        </is>
      </c>
      <c r="N1900" t="inlineStr">
        <is>
          <t>11038500</t>
        </is>
      </c>
      <c r="O1900">
        <f>M1900=N1900</f>
        <v/>
      </c>
      <c r="P1900">
        <f>AND(MONTH(F1900)=MONTH(S1900), YEAR(F1900)=YEAR(S1900))</f>
        <v/>
      </c>
      <c r="Q1900">
        <f>"L001-902303751"=U1900</f>
        <v/>
      </c>
      <c r="R1900">
        <f>G1900-W1900</f>
        <v/>
      </c>
      <c r="S1900" s="36" t="n">
        <v>45621</v>
      </c>
      <c r="T1900" t="n">
        <v>110385</v>
      </c>
      <c r="U1900" t="inlineStr">
        <is>
          <t>L001-107041723</t>
        </is>
      </c>
      <c r="V1900" t="inlineStr">
        <is>
          <t>ឌីប៊ី សេនឃើរ (ខេមបូឌា) លីមីធីត</t>
        </is>
      </c>
      <c r="W1900" t="n">
        <v>110385</v>
      </c>
      <c r="X1900" t="n">
        <v>0</v>
      </c>
    </row>
    <row r="1901">
      <c r="A1901" t="n">
        <v>1900</v>
      </c>
      <c r="B1901" t="inlineStr">
        <is>
          <t>Internet Access Monthly fee for 01/11/2024 to 30/04/2025</t>
        </is>
      </c>
      <c r="C1901" t="inlineStr">
        <is>
          <t>សៅ អ៊ីស្ត អេស៊ា ធេលីខម (ខេមបូឌា)</t>
        </is>
      </c>
      <c r="D1901" t="inlineStr">
        <is>
          <t>L001-100111467</t>
        </is>
      </c>
      <c r="E1901" t="inlineStr">
        <is>
          <t>2098</t>
        </is>
      </c>
      <c r="F1901" t="inlineStr">
        <is>
          <t>06-11-2024</t>
        </is>
      </c>
      <c r="G1901" t="n">
        <v>363174</v>
      </c>
      <c r="I1901">
        <f>G1901</f>
        <v/>
      </c>
      <c r="K1901">
        <f>I1901-G1901</f>
        <v/>
      </c>
      <c r="M1901" t="inlineStr">
        <is>
          <t>2098</t>
        </is>
      </c>
      <c r="N1901" t="inlineStr"/>
      <c r="O1901">
        <f>M1901=N1901</f>
        <v/>
      </c>
      <c r="P1901">
        <f>AND(MONTH(F1901)=MONTH(S1901), YEAR(F1901)=YEAR(S1901))</f>
        <v/>
      </c>
      <c r="Q1901">
        <f>"L001-902303751"=U1901</f>
        <v/>
      </c>
      <c r="R1901">
        <f>G1901-W1901</f>
        <v/>
      </c>
      <c r="S1901" s="36" t="n">
        <v>45614</v>
      </c>
      <c r="T1901" t="inlineStr"/>
      <c r="U1901" t="inlineStr">
        <is>
          <t>L001-107041723</t>
        </is>
      </c>
      <c r="V1901" t="inlineStr">
        <is>
          <t>ឌីប៊ី សេនឃើរ (ខេមបូឌា) លីមីធីត</t>
        </is>
      </c>
      <c r="W1901" t="n">
        <v>0</v>
      </c>
      <c r="X1901" t="n">
        <v>0</v>
      </c>
    </row>
    <row r="1902">
      <c r="A1902" t="n">
        <v>1901</v>
      </c>
      <c r="B1902" t="inlineStr">
        <is>
          <t>Delivery Bill</t>
        </is>
      </c>
      <c r="C1902" t="inlineStr">
        <is>
          <t>អ៊ិន3ឌី (ខេមបូឌា) ឯ.ក</t>
        </is>
      </c>
      <c r="D1902" t="inlineStr">
        <is>
          <t>K010-902103600</t>
        </is>
      </c>
      <c r="E1902" t="inlineStr">
        <is>
          <t>N3D/24-000125</t>
        </is>
      </c>
      <c r="F1902" t="inlineStr">
        <is>
          <t>07-11-2024</t>
        </is>
      </c>
      <c r="G1902" t="n">
        <v>113764</v>
      </c>
      <c r="I1902">
        <f>G1902</f>
        <v/>
      </c>
      <c r="K1902">
        <f>I1902-G1902</f>
        <v/>
      </c>
      <c r="M1902" t="inlineStr">
        <is>
          <t>N3D24000125</t>
        </is>
      </c>
      <c r="N1902" t="inlineStr">
        <is>
          <t>11112800</t>
        </is>
      </c>
      <c r="O1902">
        <f>M1902=N1902</f>
        <v/>
      </c>
      <c r="P1902">
        <f>AND(MONTH(F1902)=MONTH(S1902), YEAR(F1902)=YEAR(S1902))</f>
        <v/>
      </c>
      <c r="Q1902">
        <f>"L001-902303751"=U1902</f>
        <v/>
      </c>
      <c r="R1902">
        <f>G1902-W1902</f>
        <v/>
      </c>
      <c r="S1902" s="36" t="n">
        <v>45614</v>
      </c>
      <c r="T1902" t="n">
        <v>111128</v>
      </c>
      <c r="U1902" t="inlineStr">
        <is>
          <t>L001-100045995</t>
        </is>
      </c>
      <c r="V1902" t="inlineStr">
        <is>
          <t>ឌីអេចអិល ឡូជីស្ទីក (ខេមបូឌា)</t>
        </is>
      </c>
      <c r="W1902" t="n">
        <v>111128</v>
      </c>
      <c r="X1902" t="n">
        <v>0</v>
      </c>
    </row>
    <row r="1903">
      <c r="A1903" t="n">
        <v>1902</v>
      </c>
      <c r="B1903" t="inlineStr">
        <is>
          <t>Monthly Security for November 2024</t>
        </is>
      </c>
      <c r="C1903" t="inlineStr">
        <is>
          <t>អិល.ប៊ី.អិល.អេច ស៊ីឃ្យូរឹធី ឯ.ក</t>
        </is>
      </c>
      <c r="D1903" t="inlineStr">
        <is>
          <t>K010-902202247</t>
        </is>
      </c>
      <c r="E1903" t="inlineStr">
        <is>
          <t>L.B.L.H00011</t>
        </is>
      </c>
      <c r="F1903" t="inlineStr">
        <is>
          <t>25-11-2024</t>
        </is>
      </c>
      <c r="G1903" t="n">
        <v>1372104</v>
      </c>
      <c r="I1903">
        <f>G1903</f>
        <v/>
      </c>
      <c r="K1903">
        <f>I1903-G1903</f>
        <v/>
      </c>
      <c r="M1903" t="inlineStr">
        <is>
          <t>LBLH00011</t>
        </is>
      </c>
      <c r="N1903" t="inlineStr">
        <is>
          <t>8284100</t>
        </is>
      </c>
      <c r="O1903">
        <f>M1903=N1903</f>
        <v/>
      </c>
      <c r="P1903">
        <f>AND(MONTH(F1903)=MONTH(S1903), YEAR(F1903)=YEAR(S1903))</f>
        <v/>
      </c>
      <c r="Q1903">
        <f>"L001-902303751"=U1903</f>
        <v/>
      </c>
      <c r="R1903">
        <f>G1903-W1903</f>
        <v/>
      </c>
      <c r="S1903" s="36" t="n">
        <v>45614</v>
      </c>
      <c r="T1903" t="n">
        <v>82841</v>
      </c>
      <c r="U1903" t="inlineStr">
        <is>
          <t>L001-107032791</t>
        </is>
      </c>
      <c r="V1903" t="inlineStr">
        <is>
          <t>នីបផន អិចប្រេស (ខេមបូឌា) ខូ អិលធីឌី</t>
        </is>
      </c>
      <c r="W1903" t="n">
        <v>82841</v>
      </c>
      <c r="X1903" t="n">
        <v>0</v>
      </c>
    </row>
    <row r="1904">
      <c r="A1904" t="n">
        <v>1903</v>
      </c>
      <c r="B1904" t="inlineStr">
        <is>
          <t>Pest Control Service of November</t>
        </is>
      </c>
      <c r="C1904" t="inlineStr">
        <is>
          <t>ជីស៊ី ផេស ខិនត្រូល ឯ.ក</t>
        </is>
      </c>
      <c r="D1904" t="inlineStr">
        <is>
          <t>K004-902104767</t>
        </is>
      </c>
      <c r="E1904" t="inlineStr">
        <is>
          <t>2024-00026</t>
        </is>
      </c>
      <c r="F1904" t="inlineStr">
        <is>
          <t>09-11-2024</t>
        </is>
      </c>
      <c r="G1904" t="n">
        <v>259968</v>
      </c>
      <c r="I1904">
        <f>G1904</f>
        <v/>
      </c>
      <c r="K1904">
        <f>I1904-G1904</f>
        <v/>
      </c>
      <c r="M1904" t="inlineStr">
        <is>
          <t>202400026</t>
        </is>
      </c>
      <c r="N1904" t="inlineStr"/>
      <c r="O1904">
        <f>M1904=N1904</f>
        <v/>
      </c>
      <c r="P1904">
        <f>AND(MONTH(F1904)=MONTH(S1904), YEAR(F1904)=YEAR(S1904))</f>
        <v/>
      </c>
      <c r="Q1904">
        <f>"L001-902303751"=U1904</f>
        <v/>
      </c>
      <c r="R1904">
        <f>G1904-W1904</f>
        <v/>
      </c>
      <c r="S1904" s="36" t="n">
        <v>45607</v>
      </c>
      <c r="T1904" t="inlineStr"/>
      <c r="U1904" t="inlineStr">
        <is>
          <t>L001-107032791</t>
        </is>
      </c>
      <c r="V1904" t="inlineStr">
        <is>
          <t>នីបផន អិចប្រេស (ខេមបូឌា) ខូ អិលធីឌី</t>
        </is>
      </c>
      <c r="W1904" t="n">
        <v>0</v>
      </c>
      <c r="X1904" t="n">
        <v>0</v>
      </c>
    </row>
    <row r="1905">
      <c r="A1905" t="n">
        <v>1904</v>
      </c>
      <c r="B1905" t="inlineStr">
        <is>
          <t>SI/BL Amendment</t>
        </is>
      </c>
      <c r="C1905" t="inlineStr">
        <is>
          <t>អ៊ិចស្ពែឌីធ័រ ខេមបូឌា អិលធីឌី</t>
        </is>
      </c>
      <c r="D1905" t="inlineStr">
        <is>
          <t>L001-100045898</t>
        </is>
      </c>
      <c r="E1905" t="inlineStr">
        <is>
          <t>TI-0295176</t>
        </is>
      </c>
      <c r="F1905" t="inlineStr">
        <is>
          <t>01-11-2024</t>
        </is>
      </c>
      <c r="G1905" t="n">
        <v>10160</v>
      </c>
      <c r="I1905">
        <f>G1905</f>
        <v/>
      </c>
      <c r="K1905">
        <f>I1905-G1905</f>
        <v/>
      </c>
      <c r="M1905" t="inlineStr">
        <is>
          <t>TI0295176</t>
        </is>
      </c>
      <c r="N1905" t="inlineStr">
        <is>
          <t>11405800</t>
        </is>
      </c>
      <c r="O1905">
        <f>M1905=N1905</f>
        <v/>
      </c>
      <c r="P1905">
        <f>AND(MONTH(F1905)=MONTH(S1905), YEAR(F1905)=YEAR(S1905))</f>
        <v/>
      </c>
      <c r="Q1905">
        <f>"L001-902303751"=U1905</f>
        <v/>
      </c>
      <c r="R1905">
        <f>G1905-W1905</f>
        <v/>
      </c>
      <c r="S1905" s="36" t="n">
        <v>45607</v>
      </c>
      <c r="T1905" t="n">
        <v>114058</v>
      </c>
      <c r="U1905" t="inlineStr">
        <is>
          <t>K005-901805913</t>
        </is>
      </c>
      <c r="V1905" t="inlineStr">
        <is>
          <t>ស្តារ ខង់ខដ (ខេមបូឌា) ឯ.ក</t>
        </is>
      </c>
      <c r="W1905" t="n">
        <v>114058</v>
      </c>
      <c r="X1905" t="n">
        <v>0</v>
      </c>
    </row>
    <row r="1906">
      <c r="A1906" t="n">
        <v>1905</v>
      </c>
      <c r="B1906" t="inlineStr">
        <is>
          <t>CFS Handling, Carrier BL, Document Assembly,Terminal Handling, Handling Fee and VGM Processing Fee</t>
        </is>
      </c>
      <c r="C1906" t="inlineStr">
        <is>
          <t>អ៊ិចស្ពែឌីធ័រ ខេមបូឌា អិលធីឌី</t>
        </is>
      </c>
      <c r="D1906" t="inlineStr">
        <is>
          <t>L001-100045898</t>
        </is>
      </c>
      <c r="E1906" t="inlineStr">
        <is>
          <t>TI-0296311</t>
        </is>
      </c>
      <c r="F1906" t="inlineStr">
        <is>
          <t>12-11-2024</t>
        </is>
      </c>
      <c r="G1906" t="n">
        <v>132047</v>
      </c>
      <c r="I1906">
        <f>G1906</f>
        <v/>
      </c>
      <c r="K1906">
        <f>I1906-G1906</f>
        <v/>
      </c>
      <c r="M1906" t="inlineStr">
        <is>
          <t>TI0296311</t>
        </is>
      </c>
      <c r="N1906" t="inlineStr">
        <is>
          <t>17276300</t>
        </is>
      </c>
      <c r="O1906">
        <f>M1906=N1906</f>
        <v/>
      </c>
      <c r="P1906">
        <f>AND(MONTH(F1906)=MONTH(S1906), YEAR(F1906)=YEAR(S1906))</f>
        <v/>
      </c>
      <c r="Q1906">
        <f>"L001-902303751"=U1906</f>
        <v/>
      </c>
      <c r="R1906">
        <f>G1906-W1906</f>
        <v/>
      </c>
      <c r="S1906" s="36" t="n">
        <v>45600</v>
      </c>
      <c r="T1906" t="n">
        <v>172763</v>
      </c>
      <c r="U1906" t="inlineStr">
        <is>
          <t>K005-100150195</t>
        </is>
      </c>
      <c r="V1906" t="inlineStr">
        <is>
          <t>អេស អ វី ស៊ី ហ្វ្រេត សឺវីស (ខេមបូឌា) ខូ អិលធីឌី</t>
        </is>
      </c>
      <c r="W1906" t="n">
        <v>172763</v>
      </c>
      <c r="X1906" t="n">
        <v>0</v>
      </c>
    </row>
    <row r="1907">
      <c r="A1907" t="n">
        <v>1906</v>
      </c>
      <c r="B1907" t="inlineStr">
        <is>
          <t>CFS Handling, Carrier BL, Document Assembly,Terminal Handling, Handling Fee, VGM Processing Fee and Fuel Surcharge</t>
        </is>
      </c>
      <c r="C1907" t="inlineStr">
        <is>
          <t>អ៊ិចស្ពែឌីធ័រ ខេមបូឌា អិលធីឌី</t>
        </is>
      </c>
      <c r="D1907" t="inlineStr">
        <is>
          <t>L001-100045898</t>
        </is>
      </c>
      <c r="E1907" t="inlineStr">
        <is>
          <t>TI-0296310</t>
        </is>
      </c>
      <c r="F1907" t="inlineStr">
        <is>
          <t>12-11-2024</t>
        </is>
      </c>
      <c r="G1907" t="n">
        <v>156833</v>
      </c>
      <c r="I1907">
        <f>G1907</f>
        <v/>
      </c>
      <c r="K1907">
        <f>I1907-G1907</f>
        <v/>
      </c>
      <c r="M1907" t="inlineStr">
        <is>
          <t>TI0296310</t>
        </is>
      </c>
      <c r="N1907" t="inlineStr"/>
      <c r="O1907">
        <f>M1907=N1907</f>
        <v/>
      </c>
      <c r="P1907">
        <f>AND(MONTH(F1907)=MONTH(S1907), YEAR(F1907)=YEAR(S1907))</f>
        <v/>
      </c>
      <c r="Q1907">
        <f>"L001-902303751"=U1907</f>
        <v/>
      </c>
      <c r="R1907">
        <f>G1907-W1907</f>
        <v/>
      </c>
      <c r="S1907" s="36" t="n">
        <v>45621</v>
      </c>
      <c r="T1907" t="inlineStr"/>
      <c r="U1907" t="inlineStr">
        <is>
          <t>L001-107032791</t>
        </is>
      </c>
      <c r="V1907" t="inlineStr">
        <is>
          <t>នីបផន អិចប្រេស (ខេមបូឌា) ខូ អិលធីឌី</t>
        </is>
      </c>
      <c r="W1907" t="n">
        <v>0</v>
      </c>
      <c r="X1907" t="n">
        <v>0</v>
      </c>
    </row>
    <row r="1908">
      <c r="A1908" t="n">
        <v>1907</v>
      </c>
      <c r="B1908" t="inlineStr">
        <is>
          <t>Om Forwarding Fee, Terminal Handing, Carrier BL, Document Assembly, Handling Fee, VGM Admin Fee, Container Seal</t>
        </is>
      </c>
      <c r="C1908" t="inlineStr">
        <is>
          <t>អ៊ិចស្ពែឌីធ័រ ខេមបូឌា អិលធីឌី</t>
        </is>
      </c>
      <c r="D1908" t="inlineStr">
        <is>
          <t>L001-100045898</t>
        </is>
      </c>
      <c r="E1908" t="inlineStr">
        <is>
          <t>TI-0296857</t>
        </is>
      </c>
      <c r="F1908" t="inlineStr">
        <is>
          <t>18-11-2024</t>
        </is>
      </c>
      <c r="G1908" t="n">
        <v>190331</v>
      </c>
      <c r="I1908">
        <f>G1908</f>
        <v/>
      </c>
      <c r="K1908">
        <f>I1908-G1908</f>
        <v/>
      </c>
      <c r="M1908" t="inlineStr">
        <is>
          <t>TI0296857</t>
        </is>
      </c>
      <c r="N1908" t="inlineStr">
        <is>
          <t>11279300</t>
        </is>
      </c>
      <c r="O1908">
        <f>M1908=N1908</f>
        <v/>
      </c>
      <c r="P1908">
        <f>AND(MONTH(F1908)=MONTH(S1908), YEAR(F1908)=YEAR(S1908))</f>
        <v/>
      </c>
      <c r="Q1908">
        <f>"L001-902303751"=U1908</f>
        <v/>
      </c>
      <c r="R1908">
        <f>G1908-W1908</f>
        <v/>
      </c>
      <c r="S1908" s="36" t="n">
        <v>45621</v>
      </c>
      <c r="T1908" t="n">
        <v>112793</v>
      </c>
      <c r="U1908" t="inlineStr">
        <is>
          <t>K005-901805913</t>
        </is>
      </c>
      <c r="V1908" t="inlineStr">
        <is>
          <t>ស្តារ ខង់ខដ (ខេមបូឌា) ឯ.ក</t>
        </is>
      </c>
      <c r="W1908" t="n">
        <v>112793</v>
      </c>
      <c r="X1908" t="n">
        <v>0</v>
      </c>
    </row>
    <row r="1909">
      <c r="A1909" t="n">
        <v>1908</v>
      </c>
      <c r="B1909" t="inlineStr">
        <is>
          <t>Document Assembly and Handling Fee</t>
        </is>
      </c>
      <c r="C1909" t="inlineStr">
        <is>
          <t>អ៊ិចស្ពែឌីធ័រ ខេមបូឌា អិលធីឌី</t>
        </is>
      </c>
      <c r="D1909" t="inlineStr">
        <is>
          <t>L001-100045898</t>
        </is>
      </c>
      <c r="E1909" t="inlineStr">
        <is>
          <t>TI-0296856</t>
        </is>
      </c>
      <c r="F1909" t="inlineStr">
        <is>
          <t>18-11-2024</t>
        </is>
      </c>
      <c r="G1909" t="n">
        <v>30712</v>
      </c>
      <c r="I1909">
        <f>G1909</f>
        <v/>
      </c>
      <c r="K1909">
        <f>I1909-G1909</f>
        <v/>
      </c>
      <c r="M1909" t="inlineStr">
        <is>
          <t>TI0296856</t>
        </is>
      </c>
      <c r="N1909" t="inlineStr"/>
      <c r="O1909">
        <f>M1909=N1909</f>
        <v/>
      </c>
      <c r="P1909">
        <f>AND(MONTH(F1909)=MONTH(S1909), YEAR(F1909)=YEAR(S1909))</f>
        <v/>
      </c>
      <c r="Q1909">
        <f>"L001-902303751"=U1909</f>
        <v/>
      </c>
      <c r="R1909">
        <f>G1909-W1909</f>
        <v/>
      </c>
      <c r="S1909" s="36" t="n">
        <v>45614</v>
      </c>
      <c r="T1909" t="inlineStr"/>
      <c r="U1909" t="inlineStr">
        <is>
          <t>L001-100045995</t>
        </is>
      </c>
      <c r="V1909" t="inlineStr">
        <is>
          <t>ឌីអេចអិល ឡូជីស្ទីក (ខេមបូឌា)</t>
        </is>
      </c>
      <c r="W1909" t="n">
        <v>0</v>
      </c>
      <c r="X1909" t="n">
        <v>0</v>
      </c>
    </row>
    <row r="1910">
      <c r="A1910" t="n">
        <v>1909</v>
      </c>
      <c r="B1910" t="inlineStr">
        <is>
          <t>CFS Handling, Carrier BL, Document Assembly,Terminal Handling, Handling Fee, VGM Processing Fee</t>
        </is>
      </c>
      <c r="C1910" t="inlineStr">
        <is>
          <t>អ៊ិចស្ពែឌីធ័រ ខេមបូឌា អិលធីឌី</t>
        </is>
      </c>
      <c r="D1910" t="inlineStr">
        <is>
          <t>L001-100045898</t>
        </is>
      </c>
      <c r="E1910" t="inlineStr">
        <is>
          <t>TI-0295946</t>
        </is>
      </c>
      <c r="F1910" t="inlineStr">
        <is>
          <t>06-11-2024</t>
        </is>
      </c>
      <c r="G1910" t="n">
        <v>91846</v>
      </c>
      <c r="I1910">
        <f>G1910</f>
        <v/>
      </c>
      <c r="K1910">
        <f>I1910-G1910</f>
        <v/>
      </c>
      <c r="M1910" t="inlineStr">
        <is>
          <t>TI0295946</t>
        </is>
      </c>
      <c r="N1910" t="inlineStr"/>
      <c r="O1910">
        <f>M1910=N1910</f>
        <v/>
      </c>
      <c r="P1910">
        <f>AND(MONTH(F1910)=MONTH(S1910), YEAR(F1910)=YEAR(S1910))</f>
        <v/>
      </c>
      <c r="Q1910">
        <f>"L001-902303751"=U1910</f>
        <v/>
      </c>
      <c r="R1910">
        <f>G1910-W1910</f>
        <v/>
      </c>
      <c r="S1910" s="36" t="n">
        <v>45607</v>
      </c>
      <c r="T1910" t="inlineStr"/>
      <c r="U1910" t="inlineStr">
        <is>
          <t>K005-901805913</t>
        </is>
      </c>
      <c r="V1910" t="inlineStr">
        <is>
          <t>ស្តារ ខង់ខដ (ខេមបូឌា) ឯ.ក</t>
        </is>
      </c>
      <c r="W1910" t="n">
        <v>0</v>
      </c>
      <c r="X1910" t="n">
        <v>0</v>
      </c>
    </row>
    <row r="1911">
      <c r="A1911" t="n">
        <v>1910</v>
      </c>
      <c r="B1911" t="inlineStr">
        <is>
          <t>Om Forwarding Fee, Terminal Handing, Carrier BL, Document Assembly, Handling Fee, VGM Admin Fee, Container Seal</t>
        </is>
      </c>
      <c r="C1911" t="inlineStr">
        <is>
          <t>អ៊ិចស្ពែឌីធ័រ ខេមបូឌា អិលធីឌី</t>
        </is>
      </c>
      <c r="D1911" t="inlineStr">
        <is>
          <t>L001-100045898</t>
        </is>
      </c>
      <c r="E1911" t="inlineStr">
        <is>
          <t>TI-0295945</t>
        </is>
      </c>
      <c r="F1911" t="inlineStr">
        <is>
          <t>06-11-2024</t>
        </is>
      </c>
      <c r="G1911" t="n">
        <v>183286</v>
      </c>
      <c r="I1911">
        <f>G1911</f>
        <v/>
      </c>
      <c r="K1911">
        <f>I1911-G1911</f>
        <v/>
      </c>
      <c r="M1911" t="inlineStr">
        <is>
          <t>TI0295945</t>
        </is>
      </c>
      <c r="N1911" t="inlineStr"/>
      <c r="O1911">
        <f>M1911=N1911</f>
        <v/>
      </c>
      <c r="P1911">
        <f>AND(MONTH(F1911)=MONTH(S1911), YEAR(F1911)=YEAR(S1911))</f>
        <v/>
      </c>
      <c r="Q1911">
        <f>"L001-902303751"=U1911</f>
        <v/>
      </c>
      <c r="R1911">
        <f>G1911-W1911</f>
        <v/>
      </c>
      <c r="S1911" s="36" t="n">
        <v>45621</v>
      </c>
      <c r="T1911" t="inlineStr"/>
      <c r="U1911" t="inlineStr">
        <is>
          <t>L001-107032791</t>
        </is>
      </c>
      <c r="V1911" t="inlineStr">
        <is>
          <t>នីបផន អិចប្រេស (ខេមបូឌា) ខូ អិលធីឌី</t>
        </is>
      </c>
      <c r="W1911" t="n">
        <v>0</v>
      </c>
      <c r="X1911" t="n">
        <v>0</v>
      </c>
    </row>
    <row r="1912">
      <c r="A1912" t="n">
        <v>1911</v>
      </c>
      <c r="B1912" t="inlineStr">
        <is>
          <t>Cargo Handling Fee and Bill Fee or Document Fee</t>
        </is>
      </c>
      <c r="C1912" t="inlineStr">
        <is>
          <t>អេវើរស្តារ ស៊ីលែនឌែរ</t>
        </is>
      </c>
      <c r="D1912" t="inlineStr">
        <is>
          <t>K002-100160492</t>
        </is>
      </c>
      <c r="E1912" t="inlineStr">
        <is>
          <t>TI-2024-052</t>
        </is>
      </c>
      <c r="F1912" t="inlineStr">
        <is>
          <t>06-11-2024</t>
        </is>
      </c>
      <c r="G1912" t="n">
        <v>44704</v>
      </c>
      <c r="I1912">
        <f>G1912</f>
        <v/>
      </c>
      <c r="K1912">
        <f>I1912-G1912</f>
        <v/>
      </c>
      <c r="M1912" t="inlineStr">
        <is>
          <t>TI2024052</t>
        </is>
      </c>
      <c r="N1912" t="inlineStr"/>
      <c r="O1912">
        <f>M1912=N1912</f>
        <v/>
      </c>
      <c r="P1912">
        <f>AND(MONTH(F1912)=MONTH(S1912), YEAR(F1912)=YEAR(S1912))</f>
        <v/>
      </c>
      <c r="Q1912">
        <f>"L001-902303751"=U1912</f>
        <v/>
      </c>
      <c r="R1912">
        <f>G1912-W1912</f>
        <v/>
      </c>
      <c r="S1912" s="36" t="n">
        <v>45621</v>
      </c>
      <c r="T1912" t="inlineStr"/>
      <c r="U1912" t="inlineStr">
        <is>
          <t>L001-107041723</t>
        </is>
      </c>
      <c r="V1912" t="inlineStr">
        <is>
          <t>ឌីប៊ី សេនឃើរ (ខេមបូឌា) លីមីធីត</t>
        </is>
      </c>
      <c r="W1912" t="n">
        <v>0</v>
      </c>
      <c r="X1912" t="n">
        <v>0</v>
      </c>
    </row>
    <row r="1913">
      <c r="A1913" t="n">
        <v>1912</v>
      </c>
      <c r="B1913" t="inlineStr">
        <is>
          <t>Export Custom Clearance, Overtime Charges and Standby Fee</t>
        </is>
      </c>
      <c r="C1913" t="inlineStr">
        <is>
          <t>អ៊ីឃ្យូឡាញ វើលវ៉ាយដ៍ ឡូជីស្ទីក</t>
        </is>
      </c>
      <c r="D1913" t="inlineStr">
        <is>
          <t>K003-901635943</t>
        </is>
      </c>
      <c r="E1913" t="inlineStr">
        <is>
          <t>PPTI24/005579</t>
        </is>
      </c>
      <c r="F1913" t="inlineStr">
        <is>
          <t>19-11-2024</t>
        </is>
      </c>
      <c r="G1913" t="n">
        <v>226184</v>
      </c>
      <c r="I1913">
        <f>G1913</f>
        <v/>
      </c>
      <c r="K1913">
        <f>I1913-G1913</f>
        <v/>
      </c>
      <c r="M1913" t="inlineStr">
        <is>
          <t>PPTI24005579</t>
        </is>
      </c>
      <c r="N1913" t="inlineStr"/>
      <c r="O1913">
        <f>M1913=N1913</f>
        <v/>
      </c>
      <c r="P1913">
        <f>AND(MONTH(F1913)=MONTH(S1913), YEAR(F1913)=YEAR(S1913))</f>
        <v/>
      </c>
      <c r="Q1913">
        <f>"L001-902303751"=U1913</f>
        <v/>
      </c>
      <c r="R1913">
        <f>G1913-W1913</f>
        <v/>
      </c>
      <c r="S1913" s="36" t="n">
        <v>45614</v>
      </c>
      <c r="T1913" t="inlineStr"/>
      <c r="U1913" t="inlineStr">
        <is>
          <t>K005-901805913</t>
        </is>
      </c>
      <c r="V1913" t="inlineStr">
        <is>
          <t>ស្តារ ខង់ខដ (ខេមបូឌា) ឯ.ក</t>
        </is>
      </c>
      <c r="W1913" t="n">
        <v>0</v>
      </c>
      <c r="X1913" t="n">
        <v>0</v>
      </c>
    </row>
    <row r="1914">
      <c r="A1914" t="n">
        <v>1913</v>
      </c>
      <c r="B1914" t="inlineStr">
        <is>
          <t>Export Custom Clearance, Overtime Charges and Standby Fee</t>
        </is>
      </c>
      <c r="C1914" t="inlineStr">
        <is>
          <t>អ៊ីឃ្យូឡាញ វើលវ៉ាយដ៍ ឡូជីស្ទីក</t>
        </is>
      </c>
      <c r="D1914" t="inlineStr">
        <is>
          <t>K003-901635943</t>
        </is>
      </c>
      <c r="E1914" t="inlineStr">
        <is>
          <t>PPTI24/005582</t>
        </is>
      </c>
      <c r="F1914" t="inlineStr">
        <is>
          <t>19-11-2024</t>
        </is>
      </c>
      <c r="G1914" t="n">
        <v>232059</v>
      </c>
      <c r="I1914">
        <f>G1914</f>
        <v/>
      </c>
      <c r="K1914">
        <f>I1914-G1914</f>
        <v/>
      </c>
      <c r="M1914" t="inlineStr">
        <is>
          <t>PPTI24005582</t>
        </is>
      </c>
      <c r="N1914" t="inlineStr">
        <is>
          <t>8321000</t>
        </is>
      </c>
      <c r="O1914">
        <f>M1914=N1914</f>
        <v/>
      </c>
      <c r="P1914">
        <f>AND(MONTH(F1914)=MONTH(S1914), YEAR(F1914)=YEAR(S1914))</f>
        <v/>
      </c>
      <c r="Q1914">
        <f>"L001-902303751"=U1914</f>
        <v/>
      </c>
      <c r="R1914">
        <f>G1914-W1914</f>
        <v/>
      </c>
      <c r="S1914" s="36" t="n">
        <v>45607</v>
      </c>
      <c r="T1914" t="n">
        <v>83210</v>
      </c>
      <c r="U1914" t="inlineStr">
        <is>
          <t>L001-107032791</t>
        </is>
      </c>
      <c r="V1914" t="inlineStr">
        <is>
          <t>នីបផន អិចប្រេស (ខេមបូឌា) ខូ អិលធីឌី</t>
        </is>
      </c>
      <c r="W1914" t="n">
        <v>83210</v>
      </c>
      <c r="X1914" t="n">
        <v>0</v>
      </c>
    </row>
    <row r="1915">
      <c r="A1915" t="n">
        <v>1914</v>
      </c>
      <c r="B1915" t="inlineStr">
        <is>
          <t>Export Custom Clearance</t>
        </is>
      </c>
      <c r="C1915" t="inlineStr">
        <is>
          <t>អ៊ីឃ្យូឡាញ វើលវ៉ាយដ៍ ឡូជីស្ទីក</t>
        </is>
      </c>
      <c r="D1915" t="inlineStr">
        <is>
          <t>K003-901635943</t>
        </is>
      </c>
      <c r="E1915" t="inlineStr">
        <is>
          <t>PPTI24/005422</t>
        </is>
      </c>
      <c r="F1915" t="inlineStr">
        <is>
          <t>08-11-2024</t>
        </is>
      </c>
      <c r="G1915" t="n">
        <v>64992</v>
      </c>
      <c r="I1915">
        <f>G1915</f>
        <v/>
      </c>
      <c r="K1915">
        <f>I1915-G1915</f>
        <v/>
      </c>
      <c r="M1915" t="inlineStr">
        <is>
          <t>PPTI24005422</t>
        </is>
      </c>
      <c r="N1915" t="inlineStr"/>
      <c r="O1915">
        <f>M1915=N1915</f>
        <v/>
      </c>
      <c r="P1915">
        <f>AND(MONTH(F1915)=MONTH(S1915), YEAR(F1915)=YEAR(S1915))</f>
        <v/>
      </c>
      <c r="Q1915">
        <f>"L001-902303751"=U1915</f>
        <v/>
      </c>
      <c r="R1915">
        <f>G1915-W1915</f>
        <v/>
      </c>
      <c r="S1915" s="36" t="n">
        <v>45600</v>
      </c>
      <c r="T1915" t="inlineStr"/>
      <c r="U1915" t="inlineStr">
        <is>
          <t>L001-901500191</t>
        </is>
      </c>
      <c r="V1915" t="inlineStr">
        <is>
          <t>អ.អិន.វ៉ាយ ត្រេនស្ព័ត</t>
        </is>
      </c>
      <c r="W1915" t="n">
        <v>0</v>
      </c>
      <c r="X1915" t="n">
        <v>0</v>
      </c>
    </row>
    <row r="1916">
      <c r="A1916" t="n">
        <v>1915</v>
      </c>
      <c r="B1916" t="inlineStr">
        <is>
          <t>Customs Clearance Fee</t>
        </is>
      </c>
      <c r="C1916" t="inlineStr">
        <is>
          <t>ត្រាយអ៊ែងហ្គល ឡូជីស្ទីក (ខេមបូឌា) ឯ.ក</t>
        </is>
      </c>
      <c r="D1916" t="inlineStr">
        <is>
          <t>K010-902101743</t>
        </is>
      </c>
      <c r="E1916" t="inlineStr">
        <is>
          <t>TAG-24-00875</t>
        </is>
      </c>
      <c r="F1916" t="inlineStr">
        <is>
          <t>22-11-2024</t>
        </is>
      </c>
      <c r="G1916" t="n">
        <v>8052</v>
      </c>
      <c r="I1916">
        <f>G1916</f>
        <v/>
      </c>
      <c r="K1916">
        <f>I1916-G1916</f>
        <v/>
      </c>
      <c r="M1916" t="inlineStr">
        <is>
          <t>TAG2400875</t>
        </is>
      </c>
      <c r="N1916" t="inlineStr"/>
      <c r="O1916">
        <f>M1916=N1916</f>
        <v/>
      </c>
      <c r="P1916">
        <f>AND(MONTH(F1916)=MONTH(S1916), YEAR(F1916)=YEAR(S1916))</f>
        <v/>
      </c>
      <c r="Q1916">
        <f>"L001-902303751"=U1916</f>
        <v/>
      </c>
      <c r="R1916">
        <f>G1916-W1916</f>
        <v/>
      </c>
      <c r="S1916" s="36" t="n">
        <v>45621</v>
      </c>
      <c r="T1916" t="inlineStr"/>
      <c r="U1916" t="inlineStr">
        <is>
          <t>L001-100045995</t>
        </is>
      </c>
      <c r="V1916" t="inlineStr">
        <is>
          <t>ឌីអេចអិល ឡូជីស្ទីក (ខេមបូឌា)</t>
        </is>
      </c>
      <c r="W1916" t="n">
        <v>0</v>
      </c>
      <c r="X1916" t="n">
        <v>0</v>
      </c>
    </row>
    <row r="1917">
      <c r="A1917" t="n">
        <v>1916</v>
      </c>
      <c r="B1917" t="inlineStr">
        <is>
          <t>Customs Clearance Fee</t>
        </is>
      </c>
      <c r="C1917" t="inlineStr">
        <is>
          <t>ត្រាយអ៊ែងហ្គល ឡូជីស្ទីក (ខេមបូឌា) ឯ.ក</t>
        </is>
      </c>
      <c r="D1917" t="inlineStr">
        <is>
          <t>K010-902101743</t>
        </is>
      </c>
      <c r="E1917" t="inlineStr">
        <is>
          <t>TAG-24-00874</t>
        </is>
      </c>
      <c r="F1917" t="inlineStr">
        <is>
          <t>22-11-2024</t>
        </is>
      </c>
      <c r="G1917" t="n">
        <v>8052</v>
      </c>
      <c r="I1917">
        <f>G1917</f>
        <v/>
      </c>
      <c r="K1917">
        <f>I1917-G1917</f>
        <v/>
      </c>
      <c r="M1917" t="inlineStr">
        <is>
          <t>TAG2400874</t>
        </is>
      </c>
      <c r="N1917" t="inlineStr"/>
      <c r="O1917">
        <f>M1917=N1917</f>
        <v/>
      </c>
      <c r="P1917">
        <f>AND(MONTH(F1917)=MONTH(S1917), YEAR(F1917)=YEAR(S1917))</f>
        <v/>
      </c>
      <c r="Q1917">
        <f>"L001-902303751"=U1917</f>
        <v/>
      </c>
      <c r="R1917">
        <f>G1917-W1917</f>
        <v/>
      </c>
      <c r="S1917" s="36" t="n">
        <v>45621</v>
      </c>
      <c r="T1917" t="inlineStr"/>
      <c r="U1917" t="inlineStr">
        <is>
          <t>L001-100045340</t>
        </is>
      </c>
      <c r="V1917" t="inlineStr">
        <is>
          <t xml:space="preserve">ស៊ីវ៉ា អ៊ែរ អ៊ែន អូសៀន (ខេមបូឌា) ឯ.ក </t>
        </is>
      </c>
      <c r="W1917" t="n">
        <v>0</v>
      </c>
      <c r="X1917" t="n">
        <v>0</v>
      </c>
    </row>
    <row r="1918">
      <c r="A1918" t="n">
        <v>1917</v>
      </c>
      <c r="B1918" t="inlineStr">
        <is>
          <t>Customs Clearance Fee</t>
        </is>
      </c>
      <c r="C1918" t="inlineStr">
        <is>
          <t>ត្រាយអ៊ែងហ្គល ឡូជីស្ទីក (ខេមបូឌា) ឯ.ក</t>
        </is>
      </c>
      <c r="D1918" t="inlineStr">
        <is>
          <t>K010-902101743</t>
        </is>
      </c>
      <c r="E1918" t="inlineStr">
        <is>
          <t>TAG-24-00873</t>
        </is>
      </c>
      <c r="F1918" t="inlineStr">
        <is>
          <t>22-11-2024</t>
        </is>
      </c>
      <c r="G1918" t="n">
        <v>8052</v>
      </c>
      <c r="I1918">
        <f>G1918</f>
        <v/>
      </c>
      <c r="K1918">
        <f>I1918-G1918</f>
        <v/>
      </c>
      <c r="M1918" t="inlineStr">
        <is>
          <t>TAG2400873</t>
        </is>
      </c>
      <c r="N1918" t="inlineStr"/>
      <c r="O1918">
        <f>M1918=N1918</f>
        <v/>
      </c>
      <c r="P1918">
        <f>AND(MONTH(F1918)=MONTH(S1918), YEAR(F1918)=YEAR(S1918))</f>
        <v/>
      </c>
      <c r="Q1918">
        <f>"L001-902303751"=U1918</f>
        <v/>
      </c>
      <c r="R1918">
        <f>G1918-W1918</f>
        <v/>
      </c>
      <c r="S1918" s="36" t="n">
        <v>45600</v>
      </c>
      <c r="T1918" t="inlineStr"/>
      <c r="U1918" t="inlineStr">
        <is>
          <t>K005-100150195</t>
        </is>
      </c>
      <c r="V1918" t="inlineStr">
        <is>
          <t>អេស អ វី ស៊ី ហ្វ្រេត សឺវីស (ខេមបូឌា) ខូ អិលធីឌី</t>
        </is>
      </c>
      <c r="W1918" t="n">
        <v>0</v>
      </c>
      <c r="X1918" t="n">
        <v>0</v>
      </c>
    </row>
    <row r="1919">
      <c r="A1919" t="n">
        <v>1918</v>
      </c>
      <c r="B1919" t="inlineStr">
        <is>
          <t>Cargo Terminal</t>
        </is>
      </c>
      <c r="C1919" t="inlineStr">
        <is>
          <t>សូស៊ីយេតេ កុងសេស្យូនែរ ដឺ ឡាអេរ៉ូព័រ</t>
        </is>
      </c>
      <c r="D1919" t="inlineStr">
        <is>
          <t>L001-100047300</t>
        </is>
      </c>
      <c r="E1919" t="inlineStr">
        <is>
          <t>2400092715</t>
        </is>
      </c>
      <c r="F1919" t="inlineStr">
        <is>
          <t>15-11-2024</t>
        </is>
      </c>
      <c r="G1919" t="n">
        <v>12306</v>
      </c>
      <c r="I1919">
        <f>G1919</f>
        <v/>
      </c>
      <c r="K1919">
        <f>I1919-G1919</f>
        <v/>
      </c>
      <c r="M1919" t="inlineStr">
        <is>
          <t>2400092715</t>
        </is>
      </c>
      <c r="N1919" t="inlineStr">
        <is>
          <t>8284100</t>
        </is>
      </c>
      <c r="O1919">
        <f>M1919=N1919</f>
        <v/>
      </c>
      <c r="P1919">
        <f>AND(MONTH(F1919)=MONTH(S1919), YEAR(F1919)=YEAR(S1919))</f>
        <v/>
      </c>
      <c r="Q1919">
        <f>"L001-902303751"=U1919</f>
        <v/>
      </c>
      <c r="R1919">
        <f>G1919-W1919</f>
        <v/>
      </c>
      <c r="S1919" s="36" t="n">
        <v>45614</v>
      </c>
      <c r="T1919" t="n">
        <v>82841</v>
      </c>
      <c r="U1919" t="inlineStr">
        <is>
          <t>L001-107041723</t>
        </is>
      </c>
      <c r="V1919" t="inlineStr">
        <is>
          <t>ឌីប៊ី សេនឃើរ (ខេមបូឌា) លីមីធីត</t>
        </is>
      </c>
      <c r="W1919" t="n">
        <v>82841</v>
      </c>
      <c r="X1919" t="n">
        <v>0</v>
      </c>
    </row>
    <row r="1920">
      <c r="A1920" t="n">
        <v>1919</v>
      </c>
      <c r="B1920" t="inlineStr">
        <is>
          <t>Send Docs</t>
        </is>
      </c>
      <c r="C1920" t="inlineStr">
        <is>
          <t>ឌី អេច អិល អិចប្រេស (ខេមបូឌា)</t>
        </is>
      </c>
      <c r="D1920" t="inlineStr">
        <is>
          <t>L001-100045197</t>
        </is>
      </c>
      <c r="E1920" t="inlineStr">
        <is>
          <t>PNHIR00255555</t>
        </is>
      </c>
      <c r="F1920" t="inlineStr">
        <is>
          <t>25-11-2024</t>
        </is>
      </c>
      <c r="G1920" t="n">
        <v>12042</v>
      </c>
      <c r="I1920">
        <f>G1920</f>
        <v/>
      </c>
      <c r="K1920">
        <f>I1920-G1920</f>
        <v/>
      </c>
      <c r="M1920" t="inlineStr">
        <is>
          <t>PNHIR00255555</t>
        </is>
      </c>
      <c r="N1920" t="inlineStr">
        <is>
          <t>8284100</t>
        </is>
      </c>
      <c r="O1920">
        <f>M1920=N1920</f>
        <v/>
      </c>
      <c r="P1920">
        <f>AND(MONTH(F1920)=MONTH(S1920), YEAR(F1920)=YEAR(S1920))</f>
        <v/>
      </c>
      <c r="Q1920">
        <f>"L001-902303751"=U1920</f>
        <v/>
      </c>
      <c r="R1920">
        <f>G1920-W1920</f>
        <v/>
      </c>
      <c r="S1920" s="36" t="n">
        <v>45614</v>
      </c>
      <c r="T1920" t="n">
        <v>82841</v>
      </c>
      <c r="U1920" t="inlineStr">
        <is>
          <t>L001-107032791</t>
        </is>
      </c>
      <c r="V1920" t="inlineStr">
        <is>
          <t>នីបផន អិចប្រេស (ខេមបូឌា) ខូ អិលធីឌី</t>
        </is>
      </c>
      <c r="W1920" t="n">
        <v>82841</v>
      </c>
      <c r="X1920" t="n">
        <v>0</v>
      </c>
    </row>
    <row r="1921">
      <c r="A1921" t="n">
        <v>1920</v>
      </c>
      <c r="B1921" t="inlineStr">
        <is>
          <t>Send Docs</t>
        </is>
      </c>
      <c r="C1921" t="inlineStr">
        <is>
          <t>ឌី អេច អិល អិចប្រេស (ខេមបូឌា)</t>
        </is>
      </c>
      <c r="D1921" t="inlineStr">
        <is>
          <t>L001-100045197</t>
        </is>
      </c>
      <c r="E1921" t="inlineStr">
        <is>
          <t>PNHIR00254352</t>
        </is>
      </c>
      <c r="F1921" t="inlineStr">
        <is>
          <t>20-11-2024</t>
        </is>
      </c>
      <c r="G1921" t="n">
        <v>18171</v>
      </c>
      <c r="I1921">
        <f>G1921</f>
        <v/>
      </c>
      <c r="K1921">
        <f>I1921-G1921</f>
        <v/>
      </c>
      <c r="M1921" t="inlineStr">
        <is>
          <t>PNHIR00254352</t>
        </is>
      </c>
      <c r="N1921" t="inlineStr">
        <is>
          <t>11355200</t>
        </is>
      </c>
      <c r="O1921">
        <f>M1921=N1921</f>
        <v/>
      </c>
      <c r="P1921">
        <f>AND(MONTH(F1921)=MONTH(S1921), YEAR(F1921)=YEAR(S1921))</f>
        <v/>
      </c>
      <c r="Q1921">
        <f>"L001-902303751"=U1921</f>
        <v/>
      </c>
      <c r="R1921">
        <f>G1921-W1921</f>
        <v/>
      </c>
      <c r="S1921" s="36" t="n">
        <v>45614</v>
      </c>
      <c r="T1921" t="n">
        <v>113552</v>
      </c>
      <c r="U1921" t="inlineStr">
        <is>
          <t>K005-901805913</t>
        </is>
      </c>
      <c r="V1921" t="inlineStr">
        <is>
          <t>ស្តារ ខង់ខដ (ខេមបូឌា) ឯ.ក</t>
        </is>
      </c>
      <c r="W1921" t="n">
        <v>113552</v>
      </c>
      <c r="X1921" t="n">
        <v>0</v>
      </c>
    </row>
    <row r="1922">
      <c r="A1922" t="n">
        <v>1921</v>
      </c>
      <c r="B1922" t="inlineStr">
        <is>
          <t>Material</t>
        </is>
      </c>
      <c r="C1922" t="inlineStr">
        <is>
          <t>ក្លាក ហ៊ូ ឯ.ក</t>
        </is>
      </c>
      <c r="D1922" t="inlineStr">
        <is>
          <t>K007-901639199</t>
        </is>
      </c>
      <c r="E1922" t="inlineStr">
        <is>
          <t>IN2767</t>
        </is>
      </c>
      <c r="F1922" t="inlineStr">
        <is>
          <t>30-11-2024</t>
        </is>
      </c>
      <c r="G1922" t="n">
        <v>440260</v>
      </c>
      <c r="I1922">
        <f>G1922</f>
        <v/>
      </c>
      <c r="K1922">
        <f>I1922-G1922</f>
        <v/>
      </c>
      <c r="M1922" t="inlineStr">
        <is>
          <t>IN2767</t>
        </is>
      </c>
      <c r="N1922" t="inlineStr"/>
      <c r="O1922">
        <f>M1922=N1922</f>
        <v/>
      </c>
      <c r="P1922">
        <f>AND(MONTH(F1922)=MONTH(S1922), YEAR(F1922)=YEAR(S1922))</f>
        <v/>
      </c>
      <c r="Q1922">
        <f>"L001-902303751"=U1922</f>
        <v/>
      </c>
      <c r="R1922">
        <f>G1922-W1922</f>
        <v/>
      </c>
      <c r="S1922" s="36" t="n">
        <v>45607</v>
      </c>
      <c r="T1922" t="inlineStr"/>
      <c r="U1922" t="inlineStr">
        <is>
          <t>L001-107032791</t>
        </is>
      </c>
      <c r="V1922" t="inlineStr">
        <is>
          <t>នីបផន អិចប្រេស (ខេមបូឌា) ខូ អិលធីឌី</t>
        </is>
      </c>
      <c r="W1922" t="n">
        <v>0</v>
      </c>
      <c r="X1922" t="n">
        <v>0</v>
      </c>
    </row>
    <row r="1923">
      <c r="A1923" t="n">
        <v>1922</v>
      </c>
      <c r="B1923" t="inlineStr">
        <is>
          <t>Material</t>
        </is>
      </c>
      <c r="C1923" t="inlineStr">
        <is>
          <t>ក្លាក ហ៊ូ ឯ.ក</t>
        </is>
      </c>
      <c r="D1923" t="inlineStr">
        <is>
          <t>K007-901639199</t>
        </is>
      </c>
      <c r="E1923" t="inlineStr">
        <is>
          <t>IN2766</t>
        </is>
      </c>
      <c r="F1923" t="inlineStr">
        <is>
          <t>30-11-2024</t>
        </is>
      </c>
      <c r="G1923" t="n">
        <v>253361</v>
      </c>
      <c r="I1923">
        <f>G1923</f>
        <v/>
      </c>
      <c r="K1923">
        <f>I1923-G1923</f>
        <v/>
      </c>
      <c r="M1923" t="inlineStr">
        <is>
          <t>IN2766</t>
        </is>
      </c>
      <c r="N1923" t="inlineStr"/>
      <c r="O1923">
        <f>M1923=N1923</f>
        <v/>
      </c>
      <c r="P1923">
        <f>AND(MONTH(F1923)=MONTH(S1923), YEAR(F1923)=YEAR(S1923))</f>
        <v/>
      </c>
      <c r="Q1923">
        <f>"L001-902303751"=U1923</f>
        <v/>
      </c>
      <c r="R1923">
        <f>G1923-W1923</f>
        <v/>
      </c>
      <c r="S1923" s="36" t="n">
        <v>45600</v>
      </c>
      <c r="T1923" t="inlineStr"/>
      <c r="U1923" t="inlineStr">
        <is>
          <t>L001-107032791</t>
        </is>
      </c>
      <c r="V1923" t="inlineStr">
        <is>
          <t>នីបផន អិចប្រេស (ខេមបូឌា) ខូ អិលធីឌី</t>
        </is>
      </c>
      <c r="W1923" t="n">
        <v>0</v>
      </c>
      <c r="X1923" t="n">
        <v>0</v>
      </c>
    </row>
    <row r="1924">
      <c r="A1924" t="n">
        <v>1923</v>
      </c>
      <c r="B1924" t="inlineStr">
        <is>
          <t>Material</t>
        </is>
      </c>
      <c r="C1924" t="inlineStr">
        <is>
          <t>ក្លាក ហ៊ូ ឯ.ក</t>
        </is>
      </c>
      <c r="D1924" t="inlineStr">
        <is>
          <t>K007-901639199</t>
        </is>
      </c>
      <c r="E1924" t="inlineStr">
        <is>
          <t>IN2765</t>
        </is>
      </c>
      <c r="F1924" t="inlineStr">
        <is>
          <t>30-11-2024</t>
        </is>
      </c>
      <c r="G1924" t="n">
        <v>232617</v>
      </c>
      <c r="I1924">
        <f>G1924</f>
        <v/>
      </c>
      <c r="K1924">
        <f>I1924-G1924</f>
        <v/>
      </c>
      <c r="M1924" t="inlineStr">
        <is>
          <t>IN2765</t>
        </is>
      </c>
      <c r="N1924" t="inlineStr">
        <is>
          <t>167763400</t>
        </is>
      </c>
      <c r="O1924">
        <f>M1924=N1924</f>
        <v/>
      </c>
      <c r="P1924">
        <f>AND(MONTH(F1924)=MONTH(S1924), YEAR(F1924)=YEAR(S1924))</f>
        <v/>
      </c>
      <c r="Q1924">
        <f>"L001-902303751"=U1924</f>
        <v/>
      </c>
      <c r="R1924">
        <f>G1924-W1924</f>
        <v/>
      </c>
      <c r="S1924" s="36" t="n">
        <v>45619</v>
      </c>
      <c r="T1924" t="n">
        <v>1677634</v>
      </c>
      <c r="U1924" t="inlineStr">
        <is>
          <t>K004-105012505</t>
        </is>
      </c>
      <c r="V1924" t="inlineStr">
        <is>
          <t>អេស៊ាន ហ្វ្រេត (ខេមបូឌា)</t>
        </is>
      </c>
      <c r="W1924" t="n">
        <v>1677634</v>
      </c>
      <c r="X1924" t="n">
        <v>0</v>
      </c>
    </row>
    <row r="1925">
      <c r="A1925" t="n">
        <v>1924</v>
      </c>
      <c r="B1925" t="inlineStr">
        <is>
          <t>Material</t>
        </is>
      </c>
      <c r="C1925" t="inlineStr">
        <is>
          <t>ក្លាក ហ៊ូ ឯ.ក</t>
        </is>
      </c>
      <c r="D1925" t="inlineStr">
        <is>
          <t>K007-901639199</t>
        </is>
      </c>
      <c r="E1925" t="inlineStr">
        <is>
          <t>IN2764</t>
        </is>
      </c>
      <c r="F1925" t="inlineStr">
        <is>
          <t>30-11-2024</t>
        </is>
      </c>
      <c r="G1925" t="n">
        <v>464630</v>
      </c>
      <c r="I1925">
        <f>G1925</f>
        <v/>
      </c>
      <c r="K1925">
        <f>I1925-G1925</f>
        <v/>
      </c>
      <c r="M1925" t="inlineStr">
        <is>
          <t>IN2764</t>
        </is>
      </c>
      <c r="N1925" t="inlineStr">
        <is>
          <t>1625600</t>
        </is>
      </c>
      <c r="O1925">
        <f>M1925=N1925</f>
        <v/>
      </c>
      <c r="P1925">
        <f>AND(MONTH(F1925)=MONTH(S1925), YEAR(F1925)=YEAR(S1925))</f>
        <v/>
      </c>
      <c r="Q1925">
        <f>"L001-902303751"=U1925</f>
        <v/>
      </c>
      <c r="R1925">
        <f>G1925-W1925</f>
        <v/>
      </c>
      <c r="S1925" s="36" t="n">
        <v>45602</v>
      </c>
      <c r="T1925" t="n">
        <v>16256</v>
      </c>
      <c r="U1925" t="inlineStr">
        <is>
          <t>L001-901500191</t>
        </is>
      </c>
      <c r="V1925" t="inlineStr">
        <is>
          <t>អ.អិន.វ៉ាយ ត្រេនស្ព័ត</t>
        </is>
      </c>
      <c r="W1925" t="n">
        <v>16256</v>
      </c>
      <c r="X1925" t="n">
        <v>0</v>
      </c>
    </row>
    <row r="1926">
      <c r="A1926" t="n">
        <v>1925</v>
      </c>
      <c r="B1926" t="inlineStr">
        <is>
          <t>Material</t>
        </is>
      </c>
      <c r="C1926" t="inlineStr">
        <is>
          <t>ក្លាក ហ៊ូ ឯ.ក</t>
        </is>
      </c>
      <c r="D1926" t="inlineStr">
        <is>
          <t>K007-901639199</t>
        </is>
      </c>
      <c r="E1926" t="inlineStr">
        <is>
          <t>IN2719</t>
        </is>
      </c>
      <c r="F1926" t="inlineStr">
        <is>
          <t>30-11-2024</t>
        </is>
      </c>
      <c r="G1926" t="n">
        <v>1156439</v>
      </c>
      <c r="I1926">
        <f>G1926</f>
        <v/>
      </c>
      <c r="K1926">
        <f>I1926-G1926</f>
        <v/>
      </c>
      <c r="M1926" t="inlineStr">
        <is>
          <t>IN2719</t>
        </is>
      </c>
      <c r="N1926" t="inlineStr"/>
      <c r="O1926">
        <f>M1926=N1926</f>
        <v/>
      </c>
      <c r="P1926">
        <f>AND(MONTH(F1926)=MONTH(S1926), YEAR(F1926)=YEAR(S1926))</f>
        <v/>
      </c>
      <c r="Q1926">
        <f>"L001-902303751"=U1926</f>
        <v/>
      </c>
      <c r="R1926">
        <f>G1926-W1926</f>
        <v/>
      </c>
      <c r="S1926" s="36" t="n">
        <v>45600</v>
      </c>
      <c r="T1926" t="inlineStr"/>
      <c r="U1926" t="inlineStr">
        <is>
          <t>L001-107032791</t>
        </is>
      </c>
      <c r="V1926" t="inlineStr">
        <is>
          <t>នីបផន អិចប្រេស (ខេមបូឌា) ខូ អិលធីឌី</t>
        </is>
      </c>
      <c r="W1926" t="n">
        <v>0</v>
      </c>
      <c r="X1926" t="n">
        <v>0</v>
      </c>
    </row>
    <row r="1927">
      <c r="A1927" t="n">
        <v>1926</v>
      </c>
      <c r="B1927" t="inlineStr">
        <is>
          <t>Material</t>
        </is>
      </c>
      <c r="C1927" t="inlineStr">
        <is>
          <t>ក្លាក ហ៊ូ ឯ.ក</t>
        </is>
      </c>
      <c r="D1927" t="inlineStr">
        <is>
          <t>K007-901639199</t>
        </is>
      </c>
      <c r="E1927" t="inlineStr">
        <is>
          <t>IN2711</t>
        </is>
      </c>
      <c r="F1927" t="inlineStr">
        <is>
          <t>30-11-2024</t>
        </is>
      </c>
      <c r="G1927" t="n">
        <v>437763</v>
      </c>
      <c r="I1927">
        <f>G1927</f>
        <v/>
      </c>
      <c r="K1927">
        <f>I1927-G1927</f>
        <v/>
      </c>
      <c r="M1927" t="inlineStr">
        <is>
          <t>IN2711</t>
        </is>
      </c>
      <c r="N1927" t="inlineStr"/>
      <c r="O1927">
        <f>M1927=N1927</f>
        <v/>
      </c>
      <c r="P1927">
        <f>AND(MONTH(F1927)=MONTH(S1927), YEAR(F1927)=YEAR(S1927))</f>
        <v/>
      </c>
      <c r="Q1927">
        <f>"L001-902303751"=U1927</f>
        <v/>
      </c>
      <c r="R1927">
        <f>G1927-W1927</f>
        <v/>
      </c>
      <c r="S1927" s="36" t="n">
        <v>45600</v>
      </c>
      <c r="T1927" t="inlineStr"/>
      <c r="U1927" t="inlineStr">
        <is>
          <t>L001-107041723</t>
        </is>
      </c>
      <c r="V1927" t="inlineStr">
        <is>
          <t>ឌីប៊ី សេនឃើរ (ខេមបូឌា) លីមីធីត</t>
        </is>
      </c>
      <c r="W1927" t="n">
        <v>0</v>
      </c>
      <c r="X1927" t="n">
        <v>0</v>
      </c>
    </row>
    <row r="1928">
      <c r="A1928" t="n">
        <v>1927</v>
      </c>
      <c r="B1928" t="inlineStr">
        <is>
          <t>Fiber-based fabric glue, Special double-sided tape and Sponge strips</t>
        </is>
      </c>
      <c r="C1928" t="inlineStr">
        <is>
          <t>យីស៊ូ ធេមផ្លេត ក្រាហ្វ ឯ.ក</t>
        </is>
      </c>
      <c r="D1928" t="inlineStr">
        <is>
          <t>K010-902200360</t>
        </is>
      </c>
      <c r="E1928" t="inlineStr">
        <is>
          <t>24-0254</t>
        </is>
      </c>
      <c r="F1928" t="inlineStr">
        <is>
          <t>29-11-2024</t>
        </is>
      </c>
      <c r="G1928" t="n">
        <v>167565</v>
      </c>
      <c r="I1928">
        <f>G1928</f>
        <v/>
      </c>
      <c r="K1928">
        <f>I1928-G1928</f>
        <v/>
      </c>
      <c r="M1928" t="inlineStr">
        <is>
          <t>240254</t>
        </is>
      </c>
      <c r="N1928" t="inlineStr">
        <is>
          <t>11038500</t>
        </is>
      </c>
      <c r="O1928">
        <f>M1928=N1928</f>
        <v/>
      </c>
      <c r="P1928">
        <f>AND(MONTH(F1928)=MONTH(S1928), YEAR(F1928)=YEAR(S1928))</f>
        <v/>
      </c>
      <c r="Q1928">
        <f>"L001-902303751"=U1928</f>
        <v/>
      </c>
      <c r="R1928">
        <f>G1928-W1928</f>
        <v/>
      </c>
      <c r="S1928" s="36" t="n">
        <v>45621</v>
      </c>
      <c r="T1928" t="n">
        <v>110385</v>
      </c>
      <c r="U1928" t="inlineStr">
        <is>
          <t>L001-100045995</t>
        </is>
      </c>
      <c r="V1928" t="inlineStr">
        <is>
          <t>ឌីអេចអិល ឡូជីស្ទីក (ខេមបូឌា)</t>
        </is>
      </c>
      <c r="W1928" t="n">
        <v>110385</v>
      </c>
      <c r="X1928" t="n">
        <v>0</v>
      </c>
    </row>
    <row r="1929">
      <c r="A1929" t="n">
        <v>1928</v>
      </c>
      <c r="B1929" t="inlineStr">
        <is>
          <t>Transportation Fee</t>
        </is>
      </c>
      <c r="C1929" t="inlineStr">
        <is>
          <t>យូ អេហ្វ អេស គ្លូប៊ល អិចប្រេស ឡូជីស្ទីក</t>
        </is>
      </c>
      <c r="D1929" t="inlineStr">
        <is>
          <t>K010-108005623</t>
        </is>
      </c>
      <c r="E1929" t="inlineStr">
        <is>
          <t>UFS-00919</t>
        </is>
      </c>
      <c r="F1929" t="inlineStr">
        <is>
          <t>29-11-2024</t>
        </is>
      </c>
      <c r="G1929" t="n">
        <v>1166601</v>
      </c>
      <c r="I1929">
        <f>G1929</f>
        <v/>
      </c>
      <c r="K1929">
        <f>I1929-G1929</f>
        <v/>
      </c>
      <c r="M1929" t="inlineStr">
        <is>
          <t>UFS00919</t>
        </is>
      </c>
      <c r="N1929" t="inlineStr"/>
      <c r="O1929">
        <f>M1929=N1929</f>
        <v/>
      </c>
      <c r="P1929">
        <f>AND(MONTH(F1929)=MONTH(S1929), YEAR(F1929)=YEAR(S1929))</f>
        <v/>
      </c>
      <c r="Q1929">
        <f>"L001-902303751"=U1929</f>
        <v/>
      </c>
      <c r="R1929">
        <f>G1929-W1929</f>
        <v/>
      </c>
      <c r="S1929" s="36" t="n">
        <v>45607</v>
      </c>
      <c r="T1929" t="inlineStr"/>
      <c r="U1929" t="inlineStr">
        <is>
          <t>L001-107032791</t>
        </is>
      </c>
      <c r="V1929" t="inlineStr">
        <is>
          <t>នីបផន អិចប្រេស (ខេមបូឌា) ខូ អិលធីឌី</t>
        </is>
      </c>
      <c r="W1929" t="n">
        <v>0</v>
      </c>
      <c r="X1929" t="n">
        <v>0</v>
      </c>
    </row>
    <row r="1930">
      <c r="A1930" t="n">
        <v>1929</v>
      </c>
      <c r="B1930" t="inlineStr">
        <is>
          <t>Hardware</t>
        </is>
      </c>
      <c r="C1930" t="inlineStr">
        <is>
          <t>ភ្នំពេញ ថប វើលដ៍ ខនស្ត្រាក់សិន &amp; អេនជីនារីង ឯ.ក</t>
        </is>
      </c>
      <c r="D1930" t="inlineStr">
        <is>
          <t>K005-901638261</t>
        </is>
      </c>
      <c r="E1930" t="inlineStr">
        <is>
          <t>000033</t>
        </is>
      </c>
      <c r="F1930" t="inlineStr">
        <is>
          <t>29-11-2024</t>
        </is>
      </c>
      <c r="G1930" t="n">
        <v>463821</v>
      </c>
      <c r="I1930">
        <f>G1930</f>
        <v/>
      </c>
      <c r="K1930">
        <f>I1930-G1930</f>
        <v/>
      </c>
      <c r="M1930" t="inlineStr">
        <is>
          <t>000033</t>
        </is>
      </c>
      <c r="N1930" t="inlineStr"/>
      <c r="O1930">
        <f>M1930=N1930</f>
        <v/>
      </c>
      <c r="P1930">
        <f>AND(MONTH(F1930)=MONTH(S1930), YEAR(F1930)=YEAR(S1930))</f>
        <v/>
      </c>
      <c r="Q1930">
        <f>"L001-902303751"=U1930</f>
        <v/>
      </c>
      <c r="R1930">
        <f>G1930-W1930</f>
        <v/>
      </c>
      <c r="S1930" s="36" t="n">
        <v>45600</v>
      </c>
      <c r="T1930" t="inlineStr"/>
      <c r="U1930" t="inlineStr">
        <is>
          <t>L001-107032791</t>
        </is>
      </c>
      <c r="V1930" t="inlineStr">
        <is>
          <t>នីបផន អិចប្រេស (ខេមបូឌា) ខូ អិលធីឌី</t>
        </is>
      </c>
      <c r="W1930" t="n">
        <v>0</v>
      </c>
      <c r="X1930" t="n">
        <v>0</v>
      </c>
    </row>
    <row r="1931">
      <c r="A1931" t="n">
        <v>1930</v>
      </c>
      <c r="B1931" t="inlineStr">
        <is>
          <t>Non Woven Interlining</t>
        </is>
      </c>
      <c r="C1931" t="inlineStr">
        <is>
          <t>ដេលី ហ្គាមេន អេកសេសឺរី</t>
        </is>
      </c>
      <c r="D1931" t="inlineStr">
        <is>
          <t>L001-108012794</t>
        </is>
      </c>
      <c r="E1931" t="inlineStr">
        <is>
          <t>00493</t>
        </is>
      </c>
      <c r="F1931" t="inlineStr">
        <is>
          <t>29-11-2024</t>
        </is>
      </c>
      <c r="G1931" t="n">
        <v>385300</v>
      </c>
      <c r="I1931">
        <f>G1931</f>
        <v/>
      </c>
      <c r="K1931">
        <f>I1931-G1931</f>
        <v/>
      </c>
      <c r="M1931" t="inlineStr">
        <is>
          <t>00493</t>
        </is>
      </c>
      <c r="N1931" t="inlineStr">
        <is>
          <t>11038500</t>
        </is>
      </c>
      <c r="O1931">
        <f>M1931=N1931</f>
        <v/>
      </c>
      <c r="P1931">
        <f>AND(MONTH(F1931)=MONTH(S1931), YEAR(F1931)=YEAR(S1931))</f>
        <v/>
      </c>
      <c r="Q1931">
        <f>"L001-902303751"=U1931</f>
        <v/>
      </c>
      <c r="R1931">
        <f>G1931-W1931</f>
        <v/>
      </c>
      <c r="S1931" s="36" t="n">
        <v>45621</v>
      </c>
      <c r="T1931" t="n">
        <v>110385</v>
      </c>
      <c r="U1931" t="inlineStr">
        <is>
          <t>L001-107032791</t>
        </is>
      </c>
      <c r="V1931" t="inlineStr">
        <is>
          <t>នីបផន អិចប្រេស (ខេមបូឌា) ខូ អិលធីឌី</t>
        </is>
      </c>
      <c r="W1931" t="n">
        <v>110385</v>
      </c>
      <c r="X1931" t="n">
        <v>0</v>
      </c>
    </row>
    <row r="1932">
      <c r="A1932" t="n">
        <v>1931</v>
      </c>
      <c r="B1932" t="inlineStr">
        <is>
          <t>Double Needle Chain and Computer Super Small mouth net</t>
        </is>
      </c>
      <c r="C1932" t="inlineStr">
        <is>
          <t>ដាប់ប៊ែលយូ ឌី អិល អេឡិកត្រូមេឃែនីខល អេឃ្វីបម៉ិន ឯ.ក</t>
        </is>
      </c>
      <c r="D1932" t="inlineStr">
        <is>
          <t>K009-902202951</t>
        </is>
      </c>
      <c r="E1932" t="inlineStr">
        <is>
          <t>0257</t>
        </is>
      </c>
      <c r="F1932" t="inlineStr">
        <is>
          <t>28-11-2024</t>
        </is>
      </c>
      <c r="G1932" t="n">
        <v>137020</v>
      </c>
      <c r="I1932">
        <f>G1932</f>
        <v/>
      </c>
      <c r="K1932">
        <f>I1932-G1932</f>
        <v/>
      </c>
      <c r="M1932" t="inlineStr">
        <is>
          <t>0257</t>
        </is>
      </c>
      <c r="N1932" t="inlineStr">
        <is>
          <t>11162300</t>
        </is>
      </c>
      <c r="O1932">
        <f>M1932=N1932</f>
        <v/>
      </c>
      <c r="P1932">
        <f>AND(MONTH(F1932)=MONTH(S1932), YEAR(F1932)=YEAR(S1932))</f>
        <v/>
      </c>
      <c r="Q1932">
        <f>"L001-902303751"=U1932</f>
        <v/>
      </c>
      <c r="R1932">
        <f>G1932-W1932</f>
        <v/>
      </c>
      <c r="S1932" s="36" t="n">
        <v>45607</v>
      </c>
      <c r="T1932" t="n">
        <v>111623</v>
      </c>
      <c r="U1932" t="inlineStr">
        <is>
          <t>L001-107032791</t>
        </is>
      </c>
      <c r="V1932" t="inlineStr">
        <is>
          <t>នីបផន អិចប្រេស (ខេមបូឌា) ខូ អិលធីឌី</t>
        </is>
      </c>
      <c r="W1932" t="n">
        <v>111623</v>
      </c>
      <c r="X1932" t="n">
        <v>0</v>
      </c>
    </row>
    <row r="1933">
      <c r="A1933" t="n">
        <v>1932</v>
      </c>
      <c r="B1933" t="inlineStr">
        <is>
          <t>Thread</t>
        </is>
      </c>
      <c r="C1933" t="inlineStr">
        <is>
          <t>គ្លូប៊ល សុីលីន ហ្គាមុិន អេកសេសឺរី ឯ.ក</t>
        </is>
      </c>
      <c r="D1933" t="inlineStr">
        <is>
          <t>L001-902200857</t>
        </is>
      </c>
      <c r="E1933" t="inlineStr">
        <is>
          <t>000864</t>
        </is>
      </c>
      <c r="F1933" t="inlineStr">
        <is>
          <t>25-11-2024</t>
        </is>
      </c>
      <c r="G1933" t="n">
        <v>432889</v>
      </c>
      <c r="I1933">
        <f>G1933</f>
        <v/>
      </c>
      <c r="K1933">
        <f>I1933-G1933</f>
        <v/>
      </c>
      <c r="M1933" t="inlineStr">
        <is>
          <t>000864</t>
        </is>
      </c>
      <c r="N1933" t="inlineStr"/>
      <c r="O1933">
        <f>M1933=N1933</f>
        <v/>
      </c>
      <c r="P1933">
        <f>AND(MONTH(F1933)=MONTH(S1933), YEAR(F1933)=YEAR(S1933))</f>
        <v/>
      </c>
      <c r="Q1933">
        <f>"L001-902303751"=U1933</f>
        <v/>
      </c>
      <c r="R1933">
        <f>G1933-W1933</f>
        <v/>
      </c>
      <c r="S1933" s="36" t="n">
        <v>45607</v>
      </c>
      <c r="T1933" t="inlineStr"/>
      <c r="U1933" t="inlineStr">
        <is>
          <t>L001-100045995</t>
        </is>
      </c>
      <c r="V1933" t="inlineStr">
        <is>
          <t>ឌីអេចអិល ឡូជីស្ទីក (ខេមបូឌា)</t>
        </is>
      </c>
      <c r="W1933" t="n">
        <v>0</v>
      </c>
      <c r="X1933" t="n">
        <v>0</v>
      </c>
    </row>
    <row r="1934">
      <c r="A1934" t="n">
        <v>1933</v>
      </c>
      <c r="B1934" t="inlineStr">
        <is>
          <t>Stationery</t>
        </is>
      </c>
      <c r="C1934" t="inlineStr">
        <is>
          <t>ស៊ី &amp; ជី ត្រេឌីង ឯ.ក</t>
        </is>
      </c>
      <c r="D1934" t="inlineStr">
        <is>
          <t>K010-902205065</t>
        </is>
      </c>
      <c r="E1934" t="inlineStr">
        <is>
          <t>2024-0095</t>
        </is>
      </c>
      <c r="F1934" t="inlineStr">
        <is>
          <t>25-11-2024</t>
        </is>
      </c>
      <c r="G1934" t="n">
        <v>12042</v>
      </c>
      <c r="I1934">
        <f>G1934</f>
        <v/>
      </c>
      <c r="K1934">
        <f>I1934-G1934</f>
        <v/>
      </c>
      <c r="M1934" t="inlineStr">
        <is>
          <t>20240095</t>
        </is>
      </c>
      <c r="N1934" t="inlineStr">
        <is>
          <t>11162300</t>
        </is>
      </c>
      <c r="O1934">
        <f>M1934=N1934</f>
        <v/>
      </c>
      <c r="P1934">
        <f>AND(MONTH(F1934)=MONTH(S1934), YEAR(F1934)=YEAR(S1934))</f>
        <v/>
      </c>
      <c r="Q1934">
        <f>"L001-902303751"=U1934</f>
        <v/>
      </c>
      <c r="R1934">
        <f>G1934-W1934</f>
        <v/>
      </c>
      <c r="S1934" s="36" t="n">
        <v>45607</v>
      </c>
      <c r="T1934" t="n">
        <v>111623</v>
      </c>
      <c r="U1934" t="inlineStr">
        <is>
          <t>L001-100045995</t>
        </is>
      </c>
      <c r="V1934" t="inlineStr">
        <is>
          <t>ឌីអេចអិល ឡូជីស្ទីក (ខេមបូឌា)</t>
        </is>
      </c>
      <c r="W1934" t="n">
        <v>111623</v>
      </c>
      <c r="X1934" t="n">
        <v>0</v>
      </c>
    </row>
    <row r="1935">
      <c r="A1935" t="n">
        <v>1934</v>
      </c>
      <c r="B1935" t="inlineStr">
        <is>
          <t>Stationery</t>
        </is>
      </c>
      <c r="C1935" t="inlineStr">
        <is>
          <t>ស៊ី &amp; ជី ត្រេឌីង ឯ.ក</t>
        </is>
      </c>
      <c r="D1935" t="inlineStr">
        <is>
          <t>K010-902205065</t>
        </is>
      </c>
      <c r="E1935" t="inlineStr">
        <is>
          <t>2024-0092</t>
        </is>
      </c>
      <c r="F1935" t="inlineStr">
        <is>
          <t>25-11-2024</t>
        </is>
      </c>
      <c r="G1935" t="n">
        <v>1675612</v>
      </c>
      <c r="I1935">
        <f>G1935</f>
        <v/>
      </c>
      <c r="K1935">
        <f>I1935-G1935</f>
        <v/>
      </c>
      <c r="M1935" t="inlineStr">
        <is>
          <t>20240092</t>
        </is>
      </c>
      <c r="N1935" t="inlineStr"/>
      <c r="O1935">
        <f>M1935=N1935</f>
        <v/>
      </c>
      <c r="P1935">
        <f>AND(MONTH(F1935)=MONTH(S1935), YEAR(F1935)=YEAR(S1935))</f>
        <v/>
      </c>
      <c r="Q1935">
        <f>"L001-902303751"=U1935</f>
        <v/>
      </c>
      <c r="R1935">
        <f>G1935-W1935</f>
        <v/>
      </c>
      <c r="S1935" s="36" t="n">
        <v>45600</v>
      </c>
      <c r="T1935" t="inlineStr"/>
      <c r="U1935" t="inlineStr">
        <is>
          <t>L001-107041723</t>
        </is>
      </c>
      <c r="V1935" t="inlineStr">
        <is>
          <t>ឌីប៊ី សេនឃើរ (ខេមបូឌា) លីមីធីត</t>
        </is>
      </c>
      <c r="W1935" t="n">
        <v>0</v>
      </c>
      <c r="X1935" t="n">
        <v>0</v>
      </c>
    </row>
    <row r="1936">
      <c r="A1936" t="n">
        <v>1935</v>
      </c>
      <c r="B1936" t="inlineStr">
        <is>
          <t>Export Administration Fee, Port Formally, Service Charge and Overtime Inspection</t>
        </is>
      </c>
      <c r="C1936" t="inlineStr">
        <is>
          <t>ឆាយ ដា ឡូយីស្ទីក</t>
        </is>
      </c>
      <c r="D1936" t="inlineStr">
        <is>
          <t>L001-100063098</t>
        </is>
      </c>
      <c r="E1936" t="inlineStr">
        <is>
          <t>2411017135</t>
        </is>
      </c>
      <c r="F1936" t="inlineStr">
        <is>
          <t>20-11-2024</t>
        </is>
      </c>
      <c r="G1936" t="n">
        <v>136888</v>
      </c>
      <c r="I1936">
        <f>G1936</f>
        <v/>
      </c>
      <c r="K1936">
        <f>I1936-G1936</f>
        <v/>
      </c>
      <c r="M1936" t="inlineStr">
        <is>
          <t>2411017135</t>
        </is>
      </c>
      <c r="N1936" t="inlineStr">
        <is>
          <t>8333300</t>
        </is>
      </c>
      <c r="O1936">
        <f>M1936=N1936</f>
        <v/>
      </c>
      <c r="P1936">
        <f>AND(MONTH(F1936)=MONTH(S1936), YEAR(F1936)=YEAR(S1936))</f>
        <v/>
      </c>
      <c r="Q1936">
        <f>"L001-902303751"=U1936</f>
        <v/>
      </c>
      <c r="R1936">
        <f>G1936-W1936</f>
        <v/>
      </c>
      <c r="S1936" s="36" t="n">
        <v>45600</v>
      </c>
      <c r="T1936" t="n">
        <v>83333</v>
      </c>
      <c r="U1936" t="inlineStr">
        <is>
          <t>L001-107032791</t>
        </is>
      </c>
      <c r="V1936" t="inlineStr">
        <is>
          <t>នីបផន អិចប្រេស (ខេមបូឌា) ខូ អិលធីឌី</t>
        </is>
      </c>
      <c r="W1936" t="n">
        <v>83333</v>
      </c>
      <c r="X1936" t="n">
        <v>0</v>
      </c>
    </row>
    <row r="1937">
      <c r="A1937" t="n">
        <v>1936</v>
      </c>
      <c r="B1937" t="inlineStr">
        <is>
          <t>Export Administration Fee, Port Formally, Service Charge and Overtime Inspection</t>
        </is>
      </c>
      <c r="C1937" t="inlineStr">
        <is>
          <t>ឆាយ ដា ឡូយីស្ទីក</t>
        </is>
      </c>
      <c r="D1937" t="inlineStr">
        <is>
          <t>L001-100063098</t>
        </is>
      </c>
      <c r="E1937" t="inlineStr">
        <is>
          <t>2411017134</t>
        </is>
      </c>
      <c r="F1937" t="inlineStr">
        <is>
          <t>20-11-2024</t>
        </is>
      </c>
      <c r="G1937" t="n">
        <v>136888</v>
      </c>
      <c r="I1937">
        <f>G1937</f>
        <v/>
      </c>
      <c r="K1937">
        <f>I1937-G1937</f>
        <v/>
      </c>
      <c r="M1937" t="inlineStr">
        <is>
          <t>2411017134</t>
        </is>
      </c>
      <c r="N1937" t="inlineStr">
        <is>
          <t>8228700</t>
        </is>
      </c>
      <c r="O1937">
        <f>M1937=N1937</f>
        <v/>
      </c>
      <c r="P1937">
        <f>AND(MONTH(F1937)=MONTH(S1937), YEAR(F1937)=YEAR(S1937))</f>
        <v/>
      </c>
      <c r="Q1937">
        <f>"L001-902303751"=U1937</f>
        <v/>
      </c>
      <c r="R1937">
        <f>G1937-W1937</f>
        <v/>
      </c>
      <c r="S1937" s="36" t="n">
        <v>45621</v>
      </c>
      <c r="T1937" t="n">
        <v>82287</v>
      </c>
      <c r="U1937" t="inlineStr">
        <is>
          <t>L001-100045995</t>
        </is>
      </c>
      <c r="V1937" t="inlineStr">
        <is>
          <t>ឌីអេចអិល ឡូជីស្ទីក (ខេមបូឌា)</t>
        </is>
      </c>
      <c r="W1937" t="n">
        <v>82287</v>
      </c>
      <c r="X1937" t="n">
        <v>0</v>
      </c>
    </row>
    <row r="1938">
      <c r="A1938" t="n">
        <v>1937</v>
      </c>
      <c r="B1938" t="inlineStr">
        <is>
          <t>Factory Decoration Fee</t>
        </is>
      </c>
      <c r="C1938" t="inlineStr">
        <is>
          <t>ខ្វាន់ទុម ហ្គាមេន ឯ.ក</t>
        </is>
      </c>
      <c r="D1938" t="inlineStr">
        <is>
          <t>L001-100181244</t>
        </is>
      </c>
      <c r="E1938" t="inlineStr">
        <is>
          <t>CBK-202400033</t>
        </is>
      </c>
      <c r="F1938" t="inlineStr">
        <is>
          <t>22-11-2024</t>
        </is>
      </c>
      <c r="G1938" t="n">
        <v>79739415</v>
      </c>
      <c r="I1938">
        <f>G1938</f>
        <v/>
      </c>
      <c r="K1938">
        <f>I1938-G1938</f>
        <v/>
      </c>
      <c r="M1938" t="inlineStr">
        <is>
          <t>CBK202400033</t>
        </is>
      </c>
      <c r="N1938" t="inlineStr">
        <is>
          <t>8469500</t>
        </is>
      </c>
      <c r="O1938">
        <f>M1938=N1938</f>
        <v/>
      </c>
      <c r="P1938">
        <f>AND(MONTH(F1938)=MONTH(S1938), YEAR(F1938)=YEAR(S1938))</f>
        <v/>
      </c>
      <c r="Q1938">
        <f>"L001-902303751"=U1938</f>
        <v/>
      </c>
      <c r="R1938">
        <f>G1938-W1938</f>
        <v/>
      </c>
      <c r="S1938" s="36" t="n">
        <v>45621</v>
      </c>
      <c r="T1938" t="n">
        <v>84695</v>
      </c>
      <c r="U1938" t="inlineStr">
        <is>
          <t>L001-100045340</t>
        </is>
      </c>
      <c r="V1938" t="inlineStr">
        <is>
          <t xml:space="preserve">ស៊ីវ៉ា អ៊ែរ អ៊ែន អូសៀន (ខេមបូឌា) ឯ.ក </t>
        </is>
      </c>
      <c r="W1938" t="n">
        <v>84695</v>
      </c>
      <c r="X1938" t="n">
        <v>0</v>
      </c>
    </row>
    <row r="1939">
      <c r="A1939" t="n">
        <v>1938</v>
      </c>
      <c r="B1939" t="inlineStr">
        <is>
          <t>Send Docs</t>
        </is>
      </c>
      <c r="C1939" t="inlineStr">
        <is>
          <t>ឌី អេច អិល អិចប្រេស (ខេមបូឌា)</t>
        </is>
      </c>
      <c r="D1939" t="inlineStr">
        <is>
          <t>L001-100045197</t>
        </is>
      </c>
      <c r="E1939" t="inlineStr">
        <is>
          <t>PNHIR00256408</t>
        </is>
      </c>
      <c r="F1939" t="inlineStr">
        <is>
          <t>27-11-2024</t>
        </is>
      </c>
      <c r="G1939" t="n">
        <v>6036</v>
      </c>
      <c r="I1939">
        <f>G1939</f>
        <v/>
      </c>
      <c r="K1939">
        <f>I1939-G1939</f>
        <v/>
      </c>
      <c r="M1939" t="inlineStr">
        <is>
          <t>PNHIR00256408</t>
        </is>
      </c>
      <c r="N1939" t="inlineStr"/>
      <c r="O1939">
        <f>M1939=N1939</f>
        <v/>
      </c>
      <c r="P1939">
        <f>AND(MONTH(F1939)=MONTH(S1939), YEAR(F1939)=YEAR(S1939))</f>
        <v/>
      </c>
      <c r="Q1939">
        <f>"L001-902303751"=U1939</f>
        <v/>
      </c>
      <c r="R1939">
        <f>G1939-W1939</f>
        <v/>
      </c>
      <c r="S1939" s="36" t="n">
        <v>45621</v>
      </c>
      <c r="T1939" t="inlineStr"/>
      <c r="U1939" t="inlineStr">
        <is>
          <t>L001-100045995</t>
        </is>
      </c>
      <c r="V1939" t="inlineStr">
        <is>
          <t>ឌីអេចអិល ឡូជីស្ទីក (ខេមបូឌា)</t>
        </is>
      </c>
      <c r="W1939" t="n">
        <v>0</v>
      </c>
      <c r="X1939" t="n">
        <v>0</v>
      </c>
    </row>
    <row r="1940">
      <c r="A1940" t="n">
        <v>1939</v>
      </c>
      <c r="B1940" t="inlineStr">
        <is>
          <t>Coated Paper</t>
        </is>
      </c>
      <c r="C1940" t="inlineStr">
        <is>
          <t>ហ្គូដញូ ភែកឃីជីង ថេកណឡជី ឯ.ក</t>
        </is>
      </c>
      <c r="D1940" t="inlineStr">
        <is>
          <t>L001-901704919</t>
        </is>
      </c>
      <c r="E1940" t="inlineStr">
        <is>
          <t>TI-GN-2024-063</t>
        </is>
      </c>
      <c r="F1940" t="inlineStr">
        <is>
          <t>30-11-2024</t>
        </is>
      </c>
      <c r="G1940" t="n">
        <v>95984</v>
      </c>
      <c r="I1940">
        <f>G1940</f>
        <v/>
      </c>
      <c r="K1940">
        <f>I1940-G1940</f>
        <v/>
      </c>
      <c r="M1940" t="inlineStr">
        <is>
          <t>TIGN2024063</t>
        </is>
      </c>
      <c r="N1940" t="inlineStr">
        <is>
          <t>8284100</t>
        </is>
      </c>
      <c r="O1940">
        <f>M1940=N1940</f>
        <v/>
      </c>
      <c r="P1940">
        <f>AND(MONTH(F1940)=MONTH(S1940), YEAR(F1940)=YEAR(S1940))</f>
        <v/>
      </c>
      <c r="Q1940">
        <f>"L001-902303751"=U1940</f>
        <v/>
      </c>
      <c r="R1940">
        <f>G1940-W1940</f>
        <v/>
      </c>
      <c r="S1940" s="36" t="n">
        <v>45614</v>
      </c>
      <c r="T1940" t="n">
        <v>82841</v>
      </c>
      <c r="U1940" t="inlineStr">
        <is>
          <t>L001-901500191</t>
        </is>
      </c>
      <c r="V1940" t="inlineStr">
        <is>
          <t>អ.អិន.វ៉ាយ ត្រេនស្ព័ត</t>
        </is>
      </c>
      <c r="W1940" t="n">
        <v>82841</v>
      </c>
      <c r="X1940" t="n">
        <v>0</v>
      </c>
    </row>
    <row r="1941">
      <c r="A1941" t="n">
        <v>1940</v>
      </c>
      <c r="B1941" t="inlineStr">
        <is>
          <t>Trucking, Customs Clearance, Extra Trucking and Truck Fuel Surcharge</t>
        </is>
      </c>
      <c r="C1941" t="inlineStr">
        <is>
          <t>អេស អ វី ស៊ី ហ្វ្រេត សឺវីស (ខេមបូឌា) ខូ អិលធីឌី</t>
        </is>
      </c>
      <c r="D1941" t="inlineStr">
        <is>
          <t>K005-100150195</t>
        </is>
      </c>
      <c r="E1941" t="inlineStr">
        <is>
          <t>SRVI2407006</t>
        </is>
      </c>
      <c r="F1941" t="inlineStr">
        <is>
          <t>07-11-2024</t>
        </is>
      </c>
      <c r="G1941" t="n">
        <v>170646</v>
      </c>
      <c r="I1941">
        <f>G1941</f>
        <v/>
      </c>
      <c r="K1941">
        <f>I1941-G1941</f>
        <v/>
      </c>
      <c r="M1941" t="inlineStr">
        <is>
          <t>SRVI2407006</t>
        </is>
      </c>
      <c r="N1941" t="inlineStr">
        <is>
          <t>11162300</t>
        </is>
      </c>
      <c r="O1941">
        <f>M1941=N1941</f>
        <v/>
      </c>
      <c r="P1941">
        <f>AND(MONTH(F1941)=MONTH(S1941), YEAR(F1941)=YEAR(S1941))</f>
        <v/>
      </c>
      <c r="Q1941">
        <f>"L001-902303751"=U1941</f>
        <v/>
      </c>
      <c r="R1941">
        <f>G1941-W1941</f>
        <v/>
      </c>
      <c r="S1941" s="36" t="n">
        <v>45607</v>
      </c>
      <c r="T1941" t="n">
        <v>111623</v>
      </c>
      <c r="U1941" t="inlineStr">
        <is>
          <t>L001-100045995</t>
        </is>
      </c>
      <c r="V1941" t="inlineStr">
        <is>
          <t>ឌីអេចអិល ឡូជីស្ទីក (ខេមបូឌា)</t>
        </is>
      </c>
      <c r="W1941" t="n">
        <v>111623</v>
      </c>
      <c r="X1941" t="n">
        <v>0</v>
      </c>
    </row>
    <row r="1942">
      <c r="A1942" t="n">
        <v>1941</v>
      </c>
      <c r="B1942" t="inlineStr">
        <is>
          <t>Customs Clearance Fee</t>
        </is>
      </c>
      <c r="C1942" t="inlineStr">
        <is>
          <t>ត្រាយអ៊ែងហ្គល ឡូជីស្ទីក (ខេមបូឌា) ឯ.ក</t>
        </is>
      </c>
      <c r="D1942" t="inlineStr">
        <is>
          <t>K010-902101743</t>
        </is>
      </c>
      <c r="E1942" t="inlineStr">
        <is>
          <t>TAG-24-00868</t>
        </is>
      </c>
      <c r="F1942" t="inlineStr">
        <is>
          <t>22-11-2024</t>
        </is>
      </c>
      <c r="G1942" t="n">
        <v>8052</v>
      </c>
      <c r="I1942">
        <f>G1942</f>
        <v/>
      </c>
      <c r="K1942">
        <f>I1942-G1942</f>
        <v/>
      </c>
      <c r="M1942" t="inlineStr">
        <is>
          <t>TAG2400868</t>
        </is>
      </c>
      <c r="N1942" t="inlineStr"/>
      <c r="O1942">
        <f>M1942=N1942</f>
        <v/>
      </c>
      <c r="P1942">
        <f>AND(MONTH(F1942)=MONTH(S1942), YEAR(F1942)=YEAR(S1942))</f>
        <v/>
      </c>
      <c r="Q1942">
        <f>"L001-902303751"=U1942</f>
        <v/>
      </c>
      <c r="R1942">
        <f>G1942-W1942</f>
        <v/>
      </c>
      <c r="S1942" s="36" t="n">
        <v>45600</v>
      </c>
      <c r="T1942" t="inlineStr"/>
      <c r="U1942" t="inlineStr">
        <is>
          <t>K005-901805913</t>
        </is>
      </c>
      <c r="V1942" t="inlineStr">
        <is>
          <t>ស្តារ ខង់ខដ (ខេមបូឌា) ឯ.ក</t>
        </is>
      </c>
      <c r="W1942" t="n">
        <v>0</v>
      </c>
      <c r="X1942" t="n">
        <v>0</v>
      </c>
    </row>
    <row r="1943">
      <c r="A1943" t="n">
        <v>1942</v>
      </c>
      <c r="B1943" t="inlineStr">
        <is>
          <t>Customs Clearance Fee</t>
        </is>
      </c>
      <c r="C1943" t="inlineStr">
        <is>
          <t>ត្រាយអ៊ែងហ្គល ឡូជីស្ទីក (ខេមបូឌា) ឯ.ក</t>
        </is>
      </c>
      <c r="D1943" t="inlineStr">
        <is>
          <t>K010-902101743</t>
        </is>
      </c>
      <c r="E1943" t="inlineStr">
        <is>
          <t>TAG-24-00872</t>
        </is>
      </c>
      <c r="F1943" t="inlineStr">
        <is>
          <t>22-11-2024</t>
        </is>
      </c>
      <c r="G1943" t="n">
        <v>8052</v>
      </c>
      <c r="I1943">
        <f>G1943</f>
        <v/>
      </c>
      <c r="K1943">
        <f>I1943-G1943</f>
        <v/>
      </c>
      <c r="M1943" t="inlineStr">
        <is>
          <t>TAG2400872</t>
        </is>
      </c>
      <c r="N1943" t="inlineStr">
        <is>
          <t>11422700</t>
        </is>
      </c>
      <c r="O1943">
        <f>M1943=N1943</f>
        <v/>
      </c>
      <c r="P1943">
        <f>AND(MONTH(F1943)=MONTH(S1943), YEAR(F1943)=YEAR(S1943))</f>
        <v/>
      </c>
      <c r="Q1943">
        <f>"L001-902303751"=U1943</f>
        <v/>
      </c>
      <c r="R1943">
        <f>G1943-W1943</f>
        <v/>
      </c>
      <c r="S1943" s="36" t="n">
        <v>45600</v>
      </c>
      <c r="T1943" t="n">
        <v>114227</v>
      </c>
      <c r="U1943" t="inlineStr">
        <is>
          <t>K005-901805913</t>
        </is>
      </c>
      <c r="V1943" t="inlineStr">
        <is>
          <t>ស្តារ ខង់ខដ (ខេមបូឌា) ឯ.ក</t>
        </is>
      </c>
      <c r="W1943" t="n">
        <v>114227</v>
      </c>
      <c r="X1943" t="n">
        <v>0</v>
      </c>
    </row>
    <row r="1944">
      <c r="A1944" t="n">
        <v>1943</v>
      </c>
      <c r="B1944" t="inlineStr">
        <is>
          <t>Cargo Terminal</t>
        </is>
      </c>
      <c r="C1944" t="inlineStr">
        <is>
          <t>សូស៊ីយេតេ កុងសេស្យូនែរ ដឺ ឡាអេរ៉ូព័រ</t>
        </is>
      </c>
      <c r="D1944" t="inlineStr">
        <is>
          <t>L001-100047300</t>
        </is>
      </c>
      <c r="E1944" t="inlineStr">
        <is>
          <t>2400092714</t>
        </is>
      </c>
      <c r="F1944" t="inlineStr">
        <is>
          <t>15-11-2024</t>
        </is>
      </c>
      <c r="G1944" t="n">
        <v>21664</v>
      </c>
      <c r="I1944">
        <f>G1944</f>
        <v/>
      </c>
      <c r="K1944">
        <f>I1944-G1944</f>
        <v/>
      </c>
      <c r="M1944" t="inlineStr">
        <is>
          <t>2400092714</t>
        </is>
      </c>
      <c r="N1944" t="inlineStr">
        <is>
          <t>11162300</t>
        </is>
      </c>
      <c r="O1944">
        <f>M1944=N1944</f>
        <v/>
      </c>
      <c r="P1944">
        <f>AND(MONTH(F1944)=MONTH(S1944), YEAR(F1944)=YEAR(S1944))</f>
        <v/>
      </c>
      <c r="Q1944">
        <f>"L001-902303751"=U1944</f>
        <v/>
      </c>
      <c r="R1944">
        <f>G1944-W1944</f>
        <v/>
      </c>
      <c r="S1944" s="36" t="n">
        <v>45607</v>
      </c>
      <c r="T1944" t="n">
        <v>111623</v>
      </c>
      <c r="U1944" t="inlineStr">
        <is>
          <t>L001-100045995</t>
        </is>
      </c>
      <c r="V1944" t="inlineStr">
        <is>
          <t>ឌីអេចអិល ឡូជីស្ទីក (ខេមបូឌា)</t>
        </is>
      </c>
      <c r="W1944" t="n">
        <v>111623</v>
      </c>
      <c r="X1944" t="n">
        <v>0</v>
      </c>
    </row>
    <row r="1945">
      <c r="A1945" t="n">
        <v>1944</v>
      </c>
      <c r="B1945" t="inlineStr">
        <is>
          <t>Customs Clearance Fee</t>
        </is>
      </c>
      <c r="C1945" t="inlineStr">
        <is>
          <t>ត្រាយអ៊ែងហ្គល ឡូជីស្ទីក (ខេមបូឌា) ឯ.ក</t>
        </is>
      </c>
      <c r="D1945" t="inlineStr">
        <is>
          <t>K010-902101743</t>
        </is>
      </c>
      <c r="E1945" t="inlineStr">
        <is>
          <t>TAG-24-00871</t>
        </is>
      </c>
      <c r="F1945" t="inlineStr">
        <is>
          <t>22-11-2024</t>
        </is>
      </c>
      <c r="G1945" t="n">
        <v>8052</v>
      </c>
      <c r="I1945">
        <f>G1945</f>
        <v/>
      </c>
      <c r="K1945">
        <f>I1945-G1945</f>
        <v/>
      </c>
      <c r="M1945" t="inlineStr">
        <is>
          <t>TAG2400871</t>
        </is>
      </c>
      <c r="N1945" t="inlineStr">
        <is>
          <t>11178800</t>
        </is>
      </c>
      <c r="O1945">
        <f>M1945=N1945</f>
        <v/>
      </c>
      <c r="P1945">
        <f>AND(MONTH(F1945)=MONTH(S1945), YEAR(F1945)=YEAR(S1945))</f>
        <v/>
      </c>
      <c r="Q1945">
        <f>"L001-902303751"=U1945</f>
        <v/>
      </c>
      <c r="R1945">
        <f>G1945-W1945</f>
        <v/>
      </c>
      <c r="S1945" s="36" t="n">
        <v>45600</v>
      </c>
      <c r="T1945" t="n">
        <v>111788</v>
      </c>
      <c r="U1945" t="inlineStr">
        <is>
          <t>L001-107041723</t>
        </is>
      </c>
      <c r="V1945" t="inlineStr">
        <is>
          <t>ឌីប៊ី សេនឃើរ (ខេមបូឌា) លីមីធីត</t>
        </is>
      </c>
      <c r="W1945" t="n">
        <v>111788</v>
      </c>
      <c r="X1945" t="n">
        <v>0</v>
      </c>
    </row>
    <row r="1946">
      <c r="A1946" t="n">
        <v>1945</v>
      </c>
      <c r="B1946" t="inlineStr">
        <is>
          <t>Cargo Terminal</t>
        </is>
      </c>
      <c r="C1946" t="inlineStr">
        <is>
          <t>សូស៊ីយេតេ កុងសេស្យូនែរ ដឺ ឡាអេរ៉ូព័រ</t>
        </is>
      </c>
      <c r="D1946" t="inlineStr">
        <is>
          <t>L001-100047300</t>
        </is>
      </c>
      <c r="E1946" t="inlineStr">
        <is>
          <t>2400092065</t>
        </is>
      </c>
      <c r="F1946" t="inlineStr">
        <is>
          <t>12-11-2024</t>
        </is>
      </c>
      <c r="G1946" t="n">
        <v>811</v>
      </c>
      <c r="I1946">
        <f>G1946</f>
        <v/>
      </c>
      <c r="K1946">
        <f>I1946-G1946</f>
        <v/>
      </c>
      <c r="M1946" t="inlineStr">
        <is>
          <t>2400092065</t>
        </is>
      </c>
      <c r="N1946" t="inlineStr">
        <is>
          <t>250538000</t>
        </is>
      </c>
      <c r="O1946">
        <f>M1946=N1946</f>
        <v/>
      </c>
      <c r="P1946">
        <f>AND(MONTH(F1946)=MONTH(S1946), YEAR(F1946)=YEAR(S1946))</f>
        <v/>
      </c>
      <c r="Q1946">
        <f>"L001-902303751"=U1946</f>
        <v/>
      </c>
      <c r="R1946">
        <f>G1946-W1946</f>
        <v/>
      </c>
      <c r="S1946" s="36" t="n">
        <v>45619</v>
      </c>
      <c r="T1946" t="n">
        <v>2505380</v>
      </c>
      <c r="U1946" t="inlineStr">
        <is>
          <t>K004-105012505</t>
        </is>
      </c>
      <c r="V1946" t="inlineStr">
        <is>
          <t>អេស៊ាន ហ្វ្រេត (ខេមបូឌា)</t>
        </is>
      </c>
      <c r="W1946" t="n">
        <v>2505380</v>
      </c>
      <c r="X1946" t="n">
        <v>0</v>
      </c>
    </row>
    <row r="1947">
      <c r="A1947" t="n">
        <v>1946</v>
      </c>
      <c r="B1947" t="inlineStr">
        <is>
          <t>Customs Clearance Fee</t>
        </is>
      </c>
      <c r="C1947" t="inlineStr">
        <is>
          <t>ត្រាយអ៊ែងហ្គល ឡូជីស្ទីក (ខេមបូឌា) ឯ.ក</t>
        </is>
      </c>
      <c r="D1947" t="inlineStr">
        <is>
          <t>K010-902101743</t>
        </is>
      </c>
      <c r="E1947" t="inlineStr">
        <is>
          <t>TAG-24-00870</t>
        </is>
      </c>
      <c r="F1947" t="inlineStr">
        <is>
          <t>22-11-2024</t>
        </is>
      </c>
      <c r="G1947" t="n">
        <v>8052</v>
      </c>
      <c r="I1947">
        <f>G1947</f>
        <v/>
      </c>
      <c r="K1947">
        <f>I1947-G1947</f>
        <v/>
      </c>
      <c r="M1947" t="inlineStr">
        <is>
          <t>TAG2400870</t>
        </is>
      </c>
      <c r="N1947" t="inlineStr">
        <is>
          <t>20652300</t>
        </is>
      </c>
      <c r="O1947">
        <f>M1947=N1947</f>
        <v/>
      </c>
      <c r="P1947">
        <f>AND(MONTH(F1947)=MONTH(S1947), YEAR(F1947)=YEAR(S1947))</f>
        <v/>
      </c>
      <c r="Q1947">
        <f>"L001-902303751"=U1947</f>
        <v/>
      </c>
      <c r="R1947">
        <f>G1947-W1947</f>
        <v/>
      </c>
      <c r="S1947" s="36" t="n">
        <v>45271</v>
      </c>
      <c r="T1947" t="n">
        <v>206523</v>
      </c>
      <c r="U1947" t="inlineStr">
        <is>
          <t>L001-100074669</t>
        </is>
      </c>
      <c r="V1947" t="inlineStr">
        <is>
          <t>ខេអិលអិន ហ្វ្រេត (ខេមបូឌា) ឯ.ក</t>
        </is>
      </c>
      <c r="W1947" t="n">
        <v>206523</v>
      </c>
      <c r="X1947" t="n">
        <v>0</v>
      </c>
    </row>
    <row r="1948">
      <c r="A1948" t="n">
        <v>1947</v>
      </c>
      <c r="B1948" t="inlineStr">
        <is>
          <t>Cargo Terminal</t>
        </is>
      </c>
      <c r="C1948" t="inlineStr">
        <is>
          <t>សូស៊ីយេតេ កុងសេស្យូនែរ ដឺ ឡាអេរ៉ូព័រ</t>
        </is>
      </c>
      <c r="D1948" t="inlineStr">
        <is>
          <t>L001-100047300</t>
        </is>
      </c>
      <c r="E1948" t="inlineStr">
        <is>
          <t>2400092066</t>
        </is>
      </c>
      <c r="F1948" t="inlineStr">
        <is>
          <t>12-11-2024</t>
        </is>
      </c>
      <c r="G1948" t="n">
        <v>3633</v>
      </c>
      <c r="I1948">
        <f>G1948</f>
        <v/>
      </c>
      <c r="K1948">
        <f>I1948-G1948</f>
        <v/>
      </c>
      <c r="M1948" t="inlineStr">
        <is>
          <t>2400092066</t>
        </is>
      </c>
      <c r="N1948" t="inlineStr"/>
      <c r="O1948">
        <f>M1948=N1948</f>
        <v/>
      </c>
      <c r="P1948">
        <f>AND(MONTH(F1948)=MONTH(S1948), YEAR(F1948)=YEAR(S1948))</f>
        <v/>
      </c>
      <c r="Q1948">
        <f>"L001-902303751"=U1948</f>
        <v/>
      </c>
      <c r="R1948">
        <f>G1948-W1948</f>
        <v/>
      </c>
      <c r="S1948" s="36" t="n">
        <v>45271</v>
      </c>
      <c r="T1948" t="inlineStr"/>
      <c r="U1948" t="inlineStr">
        <is>
          <t>L001-100045340</t>
        </is>
      </c>
      <c r="V1948" t="inlineStr">
        <is>
          <t xml:space="preserve">ស៊ីវ៉ា អ៊ែរ អ៊ែន អូសៀន (ខេមបូឌា) ឯ.ក </t>
        </is>
      </c>
      <c r="W1948" t="n">
        <v>0</v>
      </c>
      <c r="X1948" t="n">
        <v>0</v>
      </c>
    </row>
    <row r="1949">
      <c r="A1949" t="n">
        <v>1948</v>
      </c>
      <c r="B1949" t="inlineStr">
        <is>
          <t>Customs Clearance Fee</t>
        </is>
      </c>
      <c r="C1949" t="inlineStr">
        <is>
          <t>ត្រាយអ៊ែងហ្គល ឡូជីស្ទីក (ខេមបូឌា) ឯ.ក</t>
        </is>
      </c>
      <c r="D1949" t="inlineStr">
        <is>
          <t>K010-902101743</t>
        </is>
      </c>
      <c r="E1949" t="inlineStr">
        <is>
          <t>TAG-24-00869</t>
        </is>
      </c>
      <c r="F1949" t="inlineStr">
        <is>
          <t>22-11-2024</t>
        </is>
      </c>
      <c r="G1949" t="n">
        <v>8052</v>
      </c>
      <c r="I1949">
        <f>G1949</f>
        <v/>
      </c>
      <c r="K1949">
        <f>I1949-G1949</f>
        <v/>
      </c>
      <c r="M1949" t="inlineStr">
        <is>
          <t>TAG2400869</t>
        </is>
      </c>
      <c r="N1949" t="inlineStr">
        <is>
          <t>8228000</t>
        </is>
      </c>
      <c r="O1949">
        <f>M1949=N1949</f>
        <v/>
      </c>
      <c r="P1949">
        <f>AND(MONTH(F1949)=MONTH(S1949), YEAR(F1949)=YEAR(S1949))</f>
        <v/>
      </c>
      <c r="Q1949">
        <f>"L001-902303751"=U1949</f>
        <v/>
      </c>
      <c r="R1949">
        <f>G1949-W1949</f>
        <v/>
      </c>
      <c r="S1949" s="36" t="n">
        <v>45264</v>
      </c>
      <c r="T1949" t="n">
        <v>82280</v>
      </c>
      <c r="U1949" t="inlineStr">
        <is>
          <t>L001-106004107</t>
        </is>
      </c>
      <c r="V1949" t="inlineStr">
        <is>
          <t>ត្រេនម៉ារីន ឡូជីស្ទីក (ខេមបូឌា)</t>
        </is>
      </c>
      <c r="W1949" t="n">
        <v>82280</v>
      </c>
      <c r="X1949" t="n">
        <v>0</v>
      </c>
    </row>
    <row r="1950">
      <c r="A1950" t="n">
        <v>1949</v>
      </c>
      <c r="B1950" t="inlineStr">
        <is>
          <t>Cargo Terminal</t>
        </is>
      </c>
      <c r="C1950" t="inlineStr">
        <is>
          <t>សូស៊ីយេតេ កុងសេស្យូនែរ ដឺ ឡាអេរ៉ូព័រ</t>
        </is>
      </c>
      <c r="D1950" t="inlineStr">
        <is>
          <t>L001-100047300</t>
        </is>
      </c>
      <c r="E1950" t="inlineStr">
        <is>
          <t>2400091753</t>
        </is>
      </c>
      <c r="F1950" t="inlineStr">
        <is>
          <t>12-11-2024</t>
        </is>
      </c>
      <c r="G1950" t="n">
        <v>3338</v>
      </c>
      <c r="I1950">
        <f>G1950</f>
        <v/>
      </c>
      <c r="K1950">
        <f>I1950-G1950</f>
        <v/>
      </c>
      <c r="M1950" t="inlineStr">
        <is>
          <t>2400091753</t>
        </is>
      </c>
      <c r="N1950" t="inlineStr"/>
      <c r="O1950">
        <f>M1950=N1950</f>
        <v/>
      </c>
      <c r="P1950">
        <f>AND(MONTH(F1950)=MONTH(S1950), YEAR(F1950)=YEAR(S1950))</f>
        <v/>
      </c>
      <c r="Q1950">
        <f>"L001-902303751"=U1950</f>
        <v/>
      </c>
      <c r="R1950">
        <f>G1950-W1950</f>
        <v/>
      </c>
      <c r="S1950" s="36" t="n">
        <v>45267</v>
      </c>
      <c r="T1950" t="inlineStr"/>
      <c r="U1950" t="inlineStr">
        <is>
          <t>L001-902000739</t>
        </is>
      </c>
      <c r="V1950" t="inlineStr">
        <is>
          <t>អាន រ៉ុង ហ្ស៊ី យី ឯ.ក</t>
        </is>
      </c>
      <c r="W1950" t="n">
        <v>0</v>
      </c>
      <c r="X1950" t="n">
        <v>0</v>
      </c>
    </row>
    <row r="1951">
      <c r="A1951" t="n">
        <v>1950</v>
      </c>
      <c r="B1951" t="inlineStr">
        <is>
          <t>Cargo Terminal</t>
        </is>
      </c>
      <c r="C1951" t="inlineStr">
        <is>
          <t>សូស៊ីយេតេ កុងសេស្យូនែរ ដឺ ឡាអេរ៉ូព័រ</t>
        </is>
      </c>
      <c r="D1951" t="inlineStr">
        <is>
          <t>L001-100047300</t>
        </is>
      </c>
      <c r="E1951" t="inlineStr">
        <is>
          <t>2400090089</t>
        </is>
      </c>
      <c r="F1951" t="inlineStr">
        <is>
          <t>06-11-2024</t>
        </is>
      </c>
      <c r="G1951" t="n">
        <v>9916</v>
      </c>
      <c r="I1951">
        <f>G1951</f>
        <v/>
      </c>
      <c r="K1951">
        <f>I1951-G1951</f>
        <v/>
      </c>
      <c r="M1951" t="inlineStr">
        <is>
          <t>2400090089</t>
        </is>
      </c>
      <c r="N1951" t="inlineStr">
        <is>
          <t>987400</t>
        </is>
      </c>
      <c r="O1951">
        <f>M1951=N1951</f>
        <v/>
      </c>
      <c r="P1951">
        <f>AND(MONTH(F1951)=MONTH(S1951), YEAR(F1951)=YEAR(S1951))</f>
        <v/>
      </c>
      <c r="Q1951">
        <f>"L001-902303751"=U1951</f>
        <v/>
      </c>
      <c r="R1951">
        <f>G1951-W1951</f>
        <v/>
      </c>
      <c r="S1951" s="36" t="n">
        <v>45266</v>
      </c>
      <c r="T1951" t="n">
        <v>9874</v>
      </c>
      <c r="U1951" t="inlineStr">
        <is>
          <t>K002-901800477</t>
        </is>
      </c>
      <c r="V1951" t="inlineStr">
        <is>
          <t>អាយធីអាយ អ៊ិនធើណេសិនណល ត្រេនស័្ពរថេសិន (ខេមបូឌា) ឯ.ក</t>
        </is>
      </c>
      <c r="W1951" t="n">
        <v>9874</v>
      </c>
      <c r="X1951" t="n">
        <v>0</v>
      </c>
    </row>
    <row r="1952">
      <c r="A1952" t="n">
        <v>1951</v>
      </c>
      <c r="B1952" t="inlineStr">
        <is>
          <t>Trucking, Customs Clearance, Extra Trucking and Truck Fuel Surcharge</t>
        </is>
      </c>
      <c r="C1952" t="inlineStr">
        <is>
          <t>អេស អ វី ស៊ី ហ្វ្រេត សឺវីស (ខេមបូឌា) ខូ អិលធីឌី</t>
        </is>
      </c>
      <c r="D1952" t="inlineStr">
        <is>
          <t>K005-100150195</t>
        </is>
      </c>
      <c r="E1952" t="inlineStr">
        <is>
          <t>SRVI2407007</t>
        </is>
      </c>
      <c r="F1952" t="inlineStr">
        <is>
          <t>07-11-2024</t>
        </is>
      </c>
      <c r="G1952" t="n">
        <v>176741</v>
      </c>
      <c r="I1952">
        <f>G1952</f>
        <v/>
      </c>
      <c r="K1952">
        <f>I1952-G1952</f>
        <v/>
      </c>
      <c r="M1952" t="inlineStr">
        <is>
          <t>SRVI2407007</t>
        </is>
      </c>
      <c r="N1952" t="inlineStr"/>
      <c r="O1952">
        <f>M1952=N1952</f>
        <v/>
      </c>
      <c r="P1952">
        <f>AND(MONTH(F1952)=MONTH(S1952), YEAR(F1952)=YEAR(S1952))</f>
        <v/>
      </c>
      <c r="Q1952">
        <f>"L001-902303751"=U1952</f>
        <v/>
      </c>
      <c r="R1952">
        <f>G1952-W1952</f>
        <v/>
      </c>
      <c r="S1952" s="36" t="n">
        <v>45264</v>
      </c>
      <c r="T1952" t="inlineStr"/>
      <c r="U1952" t="inlineStr">
        <is>
          <t>L001-100074669</t>
        </is>
      </c>
      <c r="V1952" t="inlineStr">
        <is>
          <t>ខេអិលអិន ហ្វ្រេត (ខេមបូឌា) ឯ.ក</t>
        </is>
      </c>
      <c r="W1952" t="n">
        <v>0</v>
      </c>
      <c r="X1952" t="n">
        <v>0</v>
      </c>
    </row>
    <row r="1953">
      <c r="A1953" t="n">
        <v>1952</v>
      </c>
      <c r="B1953" t="inlineStr">
        <is>
          <t>Customs Clearance Fee</t>
        </is>
      </c>
      <c r="C1953" t="inlineStr">
        <is>
          <t>ត្រាយអ៊ែងហ្គល ឡូជីស្ទីក (ខេមបូឌា) ឯ.ក</t>
        </is>
      </c>
      <c r="D1953" t="inlineStr">
        <is>
          <t>K010-902101743</t>
        </is>
      </c>
      <c r="E1953" t="inlineStr">
        <is>
          <t>TAG-24-00837</t>
        </is>
      </c>
      <c r="F1953" t="inlineStr">
        <is>
          <t>12-11-2024</t>
        </is>
      </c>
      <c r="G1953" t="n">
        <v>8106</v>
      </c>
      <c r="I1953">
        <f>G1953</f>
        <v/>
      </c>
      <c r="K1953">
        <f>I1953-G1953</f>
        <v/>
      </c>
      <c r="M1953" t="inlineStr">
        <is>
          <t>TAG2400837</t>
        </is>
      </c>
      <c r="N1953" t="inlineStr"/>
      <c r="O1953">
        <f>M1953=N1953</f>
        <v/>
      </c>
      <c r="P1953">
        <f>AND(MONTH(F1953)=MONTH(S1953), YEAR(F1953)=YEAR(S1953))</f>
        <v/>
      </c>
      <c r="Q1953">
        <f>"L001-902303751"=U1953</f>
        <v/>
      </c>
      <c r="R1953">
        <f>G1953-W1953</f>
        <v/>
      </c>
      <c r="S1953" s="36" t="n">
        <v>45285</v>
      </c>
      <c r="T1953" t="inlineStr"/>
      <c r="U1953" t="inlineStr">
        <is>
          <t>L001-107041723</t>
        </is>
      </c>
      <c r="V1953" t="inlineStr">
        <is>
          <t>ឌីប៊ី សេនឃើរ (ខេមបូឌា) លីមីធីត</t>
        </is>
      </c>
      <c r="W1953" t="n">
        <v>0</v>
      </c>
      <c r="X1953" t="n">
        <v>0</v>
      </c>
    </row>
    <row r="1954">
      <c r="A1954" t="n">
        <v>1953</v>
      </c>
      <c r="B1954" t="inlineStr">
        <is>
          <t>Cargo Terminal</t>
        </is>
      </c>
      <c r="C1954" t="inlineStr">
        <is>
          <t>សូស៊ីយេតេ កុងសេស្យូនែរ ដឺ ឡាអេរ៉ូព័រ</t>
        </is>
      </c>
      <c r="D1954" t="inlineStr">
        <is>
          <t>L001-100047300</t>
        </is>
      </c>
      <c r="E1954" t="inlineStr">
        <is>
          <t>2400088626</t>
        </is>
      </c>
      <c r="F1954" t="inlineStr">
        <is>
          <t>01-11-2024</t>
        </is>
      </c>
      <c r="G1954" t="n">
        <v>813</v>
      </c>
      <c r="I1954">
        <f>G1954</f>
        <v/>
      </c>
      <c r="K1954">
        <f>I1954-G1954</f>
        <v/>
      </c>
      <c r="M1954" t="inlineStr">
        <is>
          <t>2400088626</t>
        </is>
      </c>
      <c r="N1954" t="inlineStr"/>
      <c r="O1954">
        <f>M1954=N1954</f>
        <v/>
      </c>
      <c r="P1954">
        <f>AND(MONTH(F1954)=MONTH(S1954), YEAR(F1954)=YEAR(S1954))</f>
        <v/>
      </c>
      <c r="Q1954">
        <f>"L001-902303751"=U1954</f>
        <v/>
      </c>
      <c r="R1954">
        <f>G1954-W1954</f>
        <v/>
      </c>
      <c r="S1954" s="36" t="n">
        <v>45285</v>
      </c>
      <c r="T1954" t="inlineStr"/>
      <c r="U1954" t="inlineStr">
        <is>
          <t>L001-107032791</t>
        </is>
      </c>
      <c r="V1954" t="inlineStr">
        <is>
          <t>នីបផន អិចប្រេស (ខេមបូឌា) ខូ អិលធីឌី</t>
        </is>
      </c>
      <c r="W1954" t="n">
        <v>0</v>
      </c>
      <c r="X1954" t="n">
        <v>0</v>
      </c>
    </row>
    <row r="1955">
      <c r="A1955" t="n">
        <v>1954</v>
      </c>
      <c r="B1955" t="inlineStr">
        <is>
          <t>Customs Clearance Fee</t>
        </is>
      </c>
      <c r="C1955" t="inlineStr">
        <is>
          <t>ត្រាយអ៊ែងហ្គល ឡូជីស្ទីក (ខេមបូឌា) ឯ.ក</t>
        </is>
      </c>
      <c r="D1955" t="inlineStr">
        <is>
          <t>K010-902101743</t>
        </is>
      </c>
      <c r="E1955" t="inlineStr">
        <is>
          <t>TAG-24-00836</t>
        </is>
      </c>
      <c r="F1955" t="inlineStr">
        <is>
          <t>12-11-2024</t>
        </is>
      </c>
      <c r="G1955" t="n">
        <v>8106</v>
      </c>
      <c r="I1955">
        <f>G1955</f>
        <v/>
      </c>
      <c r="K1955">
        <f>I1955-G1955</f>
        <v/>
      </c>
      <c r="M1955" t="inlineStr">
        <is>
          <t>TAG2400836</t>
        </is>
      </c>
      <c r="N1955" t="inlineStr"/>
      <c r="O1955">
        <f>M1955=N1955</f>
        <v/>
      </c>
      <c r="P1955">
        <f>AND(MONTH(F1955)=MONTH(S1955), YEAR(F1955)=YEAR(S1955))</f>
        <v/>
      </c>
      <c r="Q1955">
        <f>"L001-902303751"=U1955</f>
        <v/>
      </c>
      <c r="R1955">
        <f>G1955-W1955</f>
        <v/>
      </c>
      <c r="S1955" s="36" t="n">
        <v>45271</v>
      </c>
      <c r="T1955" t="inlineStr"/>
      <c r="U1955" t="inlineStr">
        <is>
          <t>K005-901805913</t>
        </is>
      </c>
      <c r="V1955" t="inlineStr">
        <is>
          <t>ស្តារ ខង់ខដ (ខេមបូឌា) ឯ.ក</t>
        </is>
      </c>
      <c r="W1955" t="n">
        <v>0</v>
      </c>
      <c r="X1955" t="n">
        <v>0</v>
      </c>
    </row>
    <row r="1956">
      <c r="A1956" t="n">
        <v>1955</v>
      </c>
      <c r="B1956" t="inlineStr">
        <is>
          <t>Cargo Terminal</t>
        </is>
      </c>
      <c r="C1956" t="inlineStr">
        <is>
          <t>សូស៊ីយេតេ កុងសេស្យូនែរ ដឺ ឡាអេរ៉ូព័រ</t>
        </is>
      </c>
      <c r="D1956" t="inlineStr">
        <is>
          <t>L001-100047300</t>
        </is>
      </c>
      <c r="E1956" t="inlineStr">
        <is>
          <t>2400088625</t>
        </is>
      </c>
      <c r="F1956" t="inlineStr">
        <is>
          <t>01-11-2024</t>
        </is>
      </c>
      <c r="G1956" t="n">
        <v>1138</v>
      </c>
      <c r="I1956">
        <f>G1956</f>
        <v/>
      </c>
      <c r="K1956">
        <f>I1956-G1956</f>
        <v/>
      </c>
      <c r="M1956" t="inlineStr">
        <is>
          <t>2400088625</t>
        </is>
      </c>
      <c r="N1956" t="inlineStr"/>
      <c r="O1956">
        <f>M1956=N1956</f>
        <v/>
      </c>
      <c r="P1956">
        <f>AND(MONTH(F1956)=MONTH(S1956), YEAR(F1956)=YEAR(S1956))</f>
        <v/>
      </c>
      <c r="Q1956">
        <f>"L001-902303751"=U1956</f>
        <v/>
      </c>
      <c r="R1956">
        <f>G1956-W1956</f>
        <v/>
      </c>
      <c r="S1956" s="36" t="n">
        <v>45267</v>
      </c>
      <c r="T1956" t="inlineStr"/>
      <c r="U1956" t="inlineStr">
        <is>
          <t>K002-901800477</t>
        </is>
      </c>
      <c r="V1956" t="inlineStr">
        <is>
          <t>អាយធីអាយ អ៊ិនធើណេសិនណល ត្រេនស័្ពរថេសិន (ខេមបូឌា) ឯ.ក</t>
        </is>
      </c>
      <c r="W1956" t="n">
        <v>0</v>
      </c>
      <c r="X1956" t="n">
        <v>0</v>
      </c>
    </row>
    <row r="1957">
      <c r="A1957" t="n">
        <v>1956</v>
      </c>
      <c r="B1957" t="inlineStr">
        <is>
          <t>Customs Clearance Fee</t>
        </is>
      </c>
      <c r="C1957" t="inlineStr">
        <is>
          <t>ត្រាយអ៊ែងហ្គល ឡូជីស្ទីក (ខេមបូឌា) ឯ.ក</t>
        </is>
      </c>
      <c r="D1957" t="inlineStr">
        <is>
          <t>K010-902101743</t>
        </is>
      </c>
      <c r="E1957" t="inlineStr">
        <is>
          <t>TAG-24-00835</t>
        </is>
      </c>
      <c r="F1957" t="inlineStr">
        <is>
          <t>12-11-2024</t>
        </is>
      </c>
      <c r="G1957" t="n">
        <v>8106</v>
      </c>
      <c r="I1957">
        <f>G1957</f>
        <v/>
      </c>
      <c r="K1957">
        <f>I1957-G1957</f>
        <v/>
      </c>
      <c r="M1957" t="inlineStr">
        <is>
          <t>TAG2400835</t>
        </is>
      </c>
      <c r="N1957" t="inlineStr"/>
      <c r="O1957">
        <f>M1957=N1957</f>
        <v/>
      </c>
      <c r="P1957">
        <f>AND(MONTH(F1957)=MONTH(S1957), YEAR(F1957)=YEAR(S1957))</f>
        <v/>
      </c>
      <c r="Q1957">
        <f>"L001-902303751"=U1957</f>
        <v/>
      </c>
      <c r="R1957">
        <f>G1957-W1957</f>
        <v/>
      </c>
      <c r="S1957" s="36" t="n">
        <v>45267</v>
      </c>
      <c r="T1957" t="inlineStr"/>
      <c r="U1957" t="inlineStr">
        <is>
          <t>L001-901500191</t>
        </is>
      </c>
      <c r="V1957" t="inlineStr">
        <is>
          <t>អ.អិន.វ៉ាយ ត្រេនស្ព័ត</t>
        </is>
      </c>
      <c r="W1957" t="n">
        <v>0</v>
      </c>
      <c r="X1957" t="n">
        <v>0</v>
      </c>
    </row>
    <row r="1958">
      <c r="A1958" t="n">
        <v>1957</v>
      </c>
      <c r="B1958" t="inlineStr">
        <is>
          <t>Trucking, Customs Clearance, Extra Trucking and Truck Fuel Surcharge</t>
        </is>
      </c>
      <c r="C1958" t="inlineStr">
        <is>
          <t>អេស អ វី ស៊ី ហ្វ្រេត សឺវីស (ខេមបូឌា) ខូ អិលធីឌី</t>
        </is>
      </c>
      <c r="D1958" t="inlineStr">
        <is>
          <t>K005-100150195</t>
        </is>
      </c>
      <c r="E1958" t="inlineStr">
        <is>
          <t>SRVI2407376</t>
        </is>
      </c>
      <c r="F1958" t="inlineStr">
        <is>
          <t>27-11-2024</t>
        </is>
      </c>
      <c r="G1958" t="n">
        <v>160960</v>
      </c>
      <c r="I1958">
        <f>G1958</f>
        <v/>
      </c>
      <c r="K1958">
        <f>I1958-G1958</f>
        <v/>
      </c>
      <c r="M1958" t="inlineStr">
        <is>
          <t>SRVI2407376</t>
        </is>
      </c>
      <c r="N1958" t="inlineStr">
        <is>
          <t>11107800</t>
        </is>
      </c>
      <c r="O1958">
        <f>M1958=N1958</f>
        <v/>
      </c>
      <c r="P1958">
        <f>AND(MONTH(F1958)=MONTH(S1958), YEAR(F1958)=YEAR(S1958))</f>
        <v/>
      </c>
      <c r="Q1958">
        <f>"L001-902303751"=U1958</f>
        <v/>
      </c>
      <c r="R1958">
        <f>G1958-W1958</f>
        <v/>
      </c>
      <c r="S1958" s="36" t="n">
        <v>45271</v>
      </c>
      <c r="T1958" t="n">
        <v>111078</v>
      </c>
      <c r="U1958" t="inlineStr">
        <is>
          <t>L001-107032791</t>
        </is>
      </c>
      <c r="V1958" t="inlineStr">
        <is>
          <t>នីបផន អិចប្រេស (ខេមបូឌា) ខូ អិលធីឌី</t>
        </is>
      </c>
      <c r="W1958" t="n">
        <v>111078</v>
      </c>
      <c r="X1958" t="n">
        <v>0</v>
      </c>
    </row>
    <row r="1959">
      <c r="A1959" t="n">
        <v>1958</v>
      </c>
      <c r="B1959" t="inlineStr">
        <is>
          <t>Trucking, Customs Clearance, Extra Trucking and Truck Fuel Surcharge</t>
        </is>
      </c>
      <c r="C1959" t="inlineStr">
        <is>
          <t>អេស អ វី ស៊ី ហ្វ្រេត សឺវីស (ខេមបូឌា) ខូ អិលធីឌី</t>
        </is>
      </c>
      <c r="D1959" t="inlineStr">
        <is>
          <t>K005-100150195</t>
        </is>
      </c>
      <c r="E1959" t="inlineStr">
        <is>
          <t>SRVI2407107</t>
        </is>
      </c>
      <c r="F1959" t="inlineStr">
        <is>
          <t>12-11-2024</t>
        </is>
      </c>
      <c r="G1959" t="n">
        <v>170226</v>
      </c>
      <c r="I1959">
        <f>G1959</f>
        <v/>
      </c>
      <c r="K1959">
        <f>I1959-G1959</f>
        <v/>
      </c>
      <c r="M1959" t="inlineStr">
        <is>
          <t>SRVI2407107</t>
        </is>
      </c>
      <c r="N1959" t="inlineStr"/>
      <c r="O1959">
        <f>M1959=N1959</f>
        <v/>
      </c>
      <c r="P1959">
        <f>AND(MONTH(F1959)=MONTH(S1959), YEAR(F1959)=YEAR(S1959))</f>
        <v/>
      </c>
      <c r="Q1959">
        <f>"L001-902303751"=U1959</f>
        <v/>
      </c>
      <c r="R1959">
        <f>G1959-W1959</f>
        <v/>
      </c>
      <c r="S1959" s="36" t="n">
        <v>45267</v>
      </c>
      <c r="T1959" t="inlineStr"/>
      <c r="U1959" t="inlineStr">
        <is>
          <t>L001-100011888</t>
        </is>
      </c>
      <c r="V1959" t="inlineStr">
        <is>
          <t>ត្រេន ស្តារ ហ្រេ្វត</t>
        </is>
      </c>
      <c r="W1959" t="n">
        <v>0</v>
      </c>
      <c r="X1959" t="n">
        <v>0</v>
      </c>
    </row>
    <row r="1960">
      <c r="A1960" t="n">
        <v>1959</v>
      </c>
      <c r="B1960" t="inlineStr">
        <is>
          <t>Trucking, Customs Clearance, Extra Trucking and Truck Fuel Surcharge</t>
        </is>
      </c>
      <c r="C1960" t="inlineStr">
        <is>
          <t>អេស អ វី ស៊ី ហ្វ្រេត សឺវីស (ខេមបូឌា) ខូ អិលធីឌី</t>
        </is>
      </c>
      <c r="D1960" t="inlineStr">
        <is>
          <t>K005-100150195</t>
        </is>
      </c>
      <c r="E1960" t="inlineStr">
        <is>
          <t>SRVI2407104</t>
        </is>
      </c>
      <c r="F1960" t="inlineStr">
        <is>
          <t>12-11-2024</t>
        </is>
      </c>
      <c r="G1960" t="n">
        <v>162120</v>
      </c>
      <c r="I1960">
        <f>G1960</f>
        <v/>
      </c>
      <c r="K1960">
        <f>I1960-G1960</f>
        <v/>
      </c>
      <c r="M1960" t="inlineStr">
        <is>
          <t>SRVI2407104</t>
        </is>
      </c>
      <c r="N1960" t="inlineStr">
        <is>
          <t>11113200</t>
        </is>
      </c>
      <c r="O1960">
        <f>M1960=N1960</f>
        <v/>
      </c>
      <c r="P1960">
        <f>AND(MONTH(F1960)=MONTH(S1960), YEAR(F1960)=YEAR(S1960))</f>
        <v/>
      </c>
      <c r="Q1960">
        <f>"L001-902303751"=U1960</f>
        <v/>
      </c>
      <c r="R1960">
        <f>G1960-W1960</f>
        <v/>
      </c>
      <c r="S1960" s="36" t="n">
        <v>45267</v>
      </c>
      <c r="T1960" t="n">
        <v>111132</v>
      </c>
      <c r="U1960" t="inlineStr">
        <is>
          <t>K002-901800477</t>
        </is>
      </c>
      <c r="V1960" t="inlineStr">
        <is>
          <t>អាយធីអាយ អ៊ិនធើណេសិនណល ត្រេនស័្ពរថេសិន (ខេមបូឌា) ឯ.ក</t>
        </is>
      </c>
      <c r="W1960" t="n">
        <v>111132</v>
      </c>
      <c r="X1960" t="n">
        <v>0</v>
      </c>
    </row>
    <row r="1961">
      <c r="A1961" t="n">
        <v>1960</v>
      </c>
      <c r="B1961" t="inlineStr">
        <is>
          <t>Pest Control Service for December 2024</t>
        </is>
      </c>
      <c r="C1961" t="inlineStr">
        <is>
          <t>ជីស៊ី ផេស ខិនត្រូល ឯ.ក</t>
        </is>
      </c>
      <c r="D1961" t="inlineStr">
        <is>
          <t>K004-902104767</t>
        </is>
      </c>
      <c r="E1961" t="inlineStr">
        <is>
          <t>2024-00029</t>
        </is>
      </c>
      <c r="F1961" t="inlineStr">
        <is>
          <t>02-12-2024</t>
        </is>
      </c>
      <c r="G1961" t="n">
        <v>141015</v>
      </c>
      <c r="I1961">
        <f>G1961</f>
        <v/>
      </c>
      <c r="K1961">
        <f>I1961-G1961</f>
        <v/>
      </c>
      <c r="M1961" t="inlineStr">
        <is>
          <t>202400029</t>
        </is>
      </c>
      <c r="N1961" t="inlineStr">
        <is>
          <t>11113200</t>
        </is>
      </c>
      <c r="O1961">
        <f>M1961=N1961</f>
        <v/>
      </c>
      <c r="P1961">
        <f>AND(MONTH(F1961)=MONTH(S1961), YEAR(F1961)=YEAR(S1961))</f>
        <v/>
      </c>
      <c r="Q1961">
        <f>"L001-902303751"=U1961</f>
        <v/>
      </c>
      <c r="R1961">
        <f>G1961-W1961</f>
        <v/>
      </c>
      <c r="S1961" s="36" t="n">
        <v>45267</v>
      </c>
      <c r="T1961" t="n">
        <v>111132</v>
      </c>
      <c r="U1961" t="inlineStr">
        <is>
          <t>K005-901805913</t>
        </is>
      </c>
      <c r="V1961" t="inlineStr">
        <is>
          <t>ស្តារ ខង់ខដ (ខេមបូឌា) ឯ.ក</t>
        </is>
      </c>
      <c r="W1961" t="n">
        <v>111132</v>
      </c>
      <c r="X1961" t="n">
        <v>0</v>
      </c>
    </row>
    <row r="1962">
      <c r="A1962" t="n">
        <v>1961</v>
      </c>
      <c r="B1962" t="inlineStr">
        <is>
          <t>Inspection Fee</t>
        </is>
      </c>
      <c r="C1962" t="inlineStr">
        <is>
          <t>តេនតាក់ (ខេមបូឌា) អ៊ិនស្ពេកសិន</t>
        </is>
      </c>
      <c r="D1962" t="inlineStr">
        <is>
          <t>K009-901638542</t>
        </is>
      </c>
      <c r="E1962" t="inlineStr">
        <is>
          <t>TI2024-0147</t>
        </is>
      </c>
      <c r="F1962" t="inlineStr">
        <is>
          <t>06-12-2024</t>
        </is>
      </c>
      <c r="G1962" t="n">
        <v>6874820</v>
      </c>
      <c r="I1962">
        <f>G1962</f>
        <v/>
      </c>
      <c r="K1962">
        <f>I1962-G1962</f>
        <v/>
      </c>
      <c r="M1962" t="inlineStr">
        <is>
          <t>TI20240147</t>
        </is>
      </c>
      <c r="N1962" t="inlineStr"/>
      <c r="O1962">
        <f>M1962=N1962</f>
        <v/>
      </c>
      <c r="P1962">
        <f>AND(MONTH(F1962)=MONTH(S1962), YEAR(F1962)=YEAR(S1962))</f>
        <v/>
      </c>
      <c r="Q1962">
        <f>"L001-902303751"=U1962</f>
        <v/>
      </c>
      <c r="R1962">
        <f>G1962-W1962</f>
        <v/>
      </c>
      <c r="S1962" s="36" t="n">
        <v>45267</v>
      </c>
      <c r="T1962" t="inlineStr"/>
      <c r="U1962" t="inlineStr">
        <is>
          <t>K005-100150195</t>
        </is>
      </c>
      <c r="V1962" t="inlineStr">
        <is>
          <t>អេស អ វី ស៊ី ហ្វ្រេត សឺវីស (ខេមបូឌា) ខូ អិលធីឌី</t>
        </is>
      </c>
      <c r="W1962" t="n">
        <v>0</v>
      </c>
      <c r="X1962" t="n">
        <v>0</v>
      </c>
    </row>
    <row r="1963">
      <c r="A1963" t="n">
        <v>1962</v>
      </c>
      <c r="B1963" t="inlineStr">
        <is>
          <t>Inspection Fee</t>
        </is>
      </c>
      <c r="C1963" t="inlineStr">
        <is>
          <t>ហ្វេនស៍ ហ្វេសិន អ៊ិនស្ពេកសិន (ខេមបូឌា) ឯ.ក</t>
        </is>
      </c>
      <c r="D1963" t="inlineStr">
        <is>
          <t>K009-902302411</t>
        </is>
      </c>
      <c r="E1963" t="inlineStr">
        <is>
          <t>FC2024-0023</t>
        </is>
      </c>
      <c r="F1963" t="inlineStr">
        <is>
          <t>31-12-2024</t>
        </is>
      </c>
      <c r="G1963" t="n">
        <v>3380751</v>
      </c>
      <c r="I1963">
        <f>G1963</f>
        <v/>
      </c>
      <c r="K1963">
        <f>I1963-G1963</f>
        <v/>
      </c>
      <c r="M1963" t="inlineStr">
        <is>
          <t>FC20240023</t>
        </is>
      </c>
      <c r="N1963" t="inlineStr"/>
      <c r="O1963">
        <f>M1963=N1963</f>
        <v/>
      </c>
      <c r="P1963">
        <f>AND(MONTH(F1963)=MONTH(S1963), YEAR(F1963)=YEAR(S1963))</f>
        <v/>
      </c>
      <c r="Q1963">
        <f>"L001-902303751"=U1963</f>
        <v/>
      </c>
      <c r="R1963">
        <f>G1963-W1963</f>
        <v/>
      </c>
      <c r="S1963" s="36" t="n">
        <v>45264</v>
      </c>
      <c r="T1963" t="inlineStr"/>
      <c r="U1963" t="inlineStr">
        <is>
          <t>L001-106004107</t>
        </is>
      </c>
      <c r="V1963" t="inlineStr">
        <is>
          <t>ត្រេនម៉ារីន ឡូជីស្ទីក (ខេមបូឌា)</t>
        </is>
      </c>
      <c r="W1963" t="n">
        <v>0</v>
      </c>
      <c r="X1963" t="n">
        <v>0</v>
      </c>
    </row>
    <row r="1964">
      <c r="A1964" t="n">
        <v>1963</v>
      </c>
      <c r="B1964" t="inlineStr">
        <is>
          <t>Monthly Charge of Photo Copier Rental from 06/11/2024-06/12/2024</t>
        </is>
      </c>
      <c r="C1964" t="inlineStr">
        <is>
          <t>វី.អាយ.អេស ខភៀ ឯ.ក</t>
        </is>
      </c>
      <c r="D1964" t="inlineStr">
        <is>
          <t>K007-901705195</t>
        </is>
      </c>
      <c r="E1964" t="inlineStr">
        <is>
          <t>RNT241224</t>
        </is>
      </c>
      <c r="F1964" t="inlineStr">
        <is>
          <t>06-12-2024</t>
        </is>
      </c>
      <c r="G1964" t="n">
        <v>28196</v>
      </c>
      <c r="I1964">
        <f>G1964</f>
        <v/>
      </c>
      <c r="K1964">
        <f>I1964-G1964</f>
        <v/>
      </c>
      <c r="M1964" t="inlineStr">
        <is>
          <t>RNT241224</t>
        </is>
      </c>
      <c r="N1964" t="inlineStr"/>
      <c r="O1964">
        <f>M1964=N1964</f>
        <v/>
      </c>
      <c r="P1964">
        <f>AND(MONTH(F1964)=MONTH(S1964), YEAR(F1964)=YEAR(S1964))</f>
        <v/>
      </c>
      <c r="Q1964">
        <f>"L001-902303751"=U1964</f>
        <v/>
      </c>
      <c r="R1964">
        <f>G1964-W1964</f>
        <v/>
      </c>
      <c r="S1964" s="36" t="n">
        <v>45264</v>
      </c>
      <c r="T1964" t="inlineStr"/>
      <c r="U1964" t="inlineStr">
        <is>
          <t>K005-100059945</t>
        </is>
      </c>
      <c r="V1964" t="inlineStr">
        <is>
          <t>អ៊ែតវ៉ានស៍ គ្លរី ឡូជីស្ទីក (ខេមបូឌា) (អេ ជី អិល)</t>
        </is>
      </c>
      <c r="W1964" t="n">
        <v>0</v>
      </c>
      <c r="X1964" t="n">
        <v>0</v>
      </c>
    </row>
    <row r="1965">
      <c r="A1965" t="n">
        <v>1964</v>
      </c>
      <c r="B1965" t="inlineStr">
        <is>
          <t>Monthly Charge of Photo Copier Rental from 06/11/2024-06/12/2024</t>
        </is>
      </c>
      <c r="C1965" t="inlineStr">
        <is>
          <t>វី.អាយ.អេស ខភៀ ឯ.ក</t>
        </is>
      </c>
      <c r="D1965" t="inlineStr">
        <is>
          <t>K007-901705195</t>
        </is>
      </c>
      <c r="E1965" t="inlineStr">
        <is>
          <t>RNT241222</t>
        </is>
      </c>
      <c r="F1965" t="inlineStr">
        <is>
          <t>06-12-2024</t>
        </is>
      </c>
      <c r="G1965" t="n">
        <v>56392</v>
      </c>
      <c r="I1965">
        <f>G1965</f>
        <v/>
      </c>
      <c r="K1965">
        <f>I1965-G1965</f>
        <v/>
      </c>
      <c r="M1965" t="inlineStr">
        <is>
          <t>RNT241222</t>
        </is>
      </c>
      <c r="N1965" t="inlineStr"/>
      <c r="O1965">
        <f>M1965=N1965</f>
        <v/>
      </c>
      <c r="P1965">
        <f>AND(MONTH(F1965)=MONTH(S1965), YEAR(F1965)=YEAR(S1965))</f>
        <v/>
      </c>
      <c r="Q1965">
        <f>"L001-902303751"=U1965</f>
        <v/>
      </c>
      <c r="R1965">
        <f>G1965-W1965</f>
        <v/>
      </c>
      <c r="S1965" s="36" t="n">
        <v>45264</v>
      </c>
      <c r="T1965" t="inlineStr"/>
      <c r="U1965" t="inlineStr">
        <is>
          <t>K005-100059945</t>
        </is>
      </c>
      <c r="V1965" t="inlineStr">
        <is>
          <t>អ៊ែតវ៉ានស៍ គ្លរី ឡូជីស្ទីក (ខេមបូឌា) (អេ ជី អិល)</t>
        </is>
      </c>
      <c r="W1965" t="n">
        <v>0</v>
      </c>
      <c r="X1965" t="n">
        <v>0</v>
      </c>
    </row>
    <row r="1966">
      <c r="A1966" t="n">
        <v>1965</v>
      </c>
      <c r="B1966" t="inlineStr">
        <is>
          <t>Decoration</t>
        </is>
      </c>
      <c r="C1966" t="inlineStr">
        <is>
          <t>ដឹ សាយ អេឡិកត្រូមេឃែនីខល អេនជីនារីង ឯ.ក</t>
        </is>
      </c>
      <c r="D1966" t="inlineStr">
        <is>
          <t>K009-902303599</t>
        </is>
      </c>
      <c r="E1966" t="inlineStr">
        <is>
          <t>00044</t>
        </is>
      </c>
      <c r="F1966" t="inlineStr">
        <is>
          <t>12-12-2024</t>
        </is>
      </c>
      <c r="G1966" t="n">
        <v>963840</v>
      </c>
      <c r="I1966">
        <f>G1966</f>
        <v/>
      </c>
      <c r="K1966">
        <f>I1966-G1966</f>
        <v/>
      </c>
      <c r="M1966" t="inlineStr">
        <is>
          <t>00044</t>
        </is>
      </c>
      <c r="N1966" t="inlineStr">
        <is>
          <t>17220000</t>
        </is>
      </c>
      <c r="O1966">
        <f>M1966=N1966</f>
        <v/>
      </c>
      <c r="P1966">
        <f>AND(MONTH(F1966)=MONTH(S1966), YEAR(F1966)=YEAR(S1966))</f>
        <v/>
      </c>
      <c r="Q1966">
        <f>"L001-902303751"=U1966</f>
        <v/>
      </c>
      <c r="R1966">
        <f>G1966-W1966</f>
        <v/>
      </c>
      <c r="S1966" s="36" t="n">
        <v>45285</v>
      </c>
      <c r="T1966" t="n">
        <v>172200</v>
      </c>
      <c r="U1966" t="inlineStr">
        <is>
          <t>L001-107032791</t>
        </is>
      </c>
      <c r="V1966" t="inlineStr">
        <is>
          <t>នីបផន អិចប្រេស (ខេមបូឌា) ខូ អិលធីឌី</t>
        </is>
      </c>
      <c r="W1966" t="n">
        <v>172200</v>
      </c>
      <c r="X1966" t="n">
        <v>0</v>
      </c>
    </row>
    <row r="1967">
      <c r="A1967" t="n">
        <v>1966</v>
      </c>
      <c r="B1967" t="inlineStr">
        <is>
          <t>Factory Decoration Fee</t>
        </is>
      </c>
      <c r="C1967" t="inlineStr">
        <is>
          <t>ខ្វាន់ទុម ហ្គាមេន ឯ.ក</t>
        </is>
      </c>
      <c r="D1967" t="inlineStr">
        <is>
          <t>L001-100181244</t>
        </is>
      </c>
      <c r="E1967" t="inlineStr">
        <is>
          <t>CBK-202400034</t>
        </is>
      </c>
      <c r="F1967" t="inlineStr">
        <is>
          <t>18-12-2024</t>
        </is>
      </c>
      <c r="G1967" t="n">
        <v>79640384</v>
      </c>
      <c r="I1967">
        <f>G1967</f>
        <v/>
      </c>
      <c r="K1967">
        <f>I1967-G1967</f>
        <v/>
      </c>
      <c r="M1967" t="inlineStr">
        <is>
          <t>CBK202400034</t>
        </is>
      </c>
      <c r="N1967" t="inlineStr"/>
      <c r="O1967">
        <f>M1967=N1967</f>
        <v/>
      </c>
      <c r="P1967">
        <f>AND(MONTH(F1967)=MONTH(S1967), YEAR(F1967)=YEAR(S1967))</f>
        <v/>
      </c>
      <c r="Q1967">
        <f>"L001-902303751"=U1967</f>
        <v/>
      </c>
      <c r="R1967">
        <f>G1967-W1967</f>
        <v/>
      </c>
      <c r="S1967" s="36" t="n">
        <v>45285</v>
      </c>
      <c r="T1967" t="inlineStr"/>
      <c r="U1967" t="inlineStr">
        <is>
          <t>L001-100011888</t>
        </is>
      </c>
      <c r="V1967" t="inlineStr">
        <is>
          <t>ត្រេន ស្តារ ហ្រេ្វត</t>
        </is>
      </c>
      <c r="W1967" t="n">
        <v>0</v>
      </c>
      <c r="X1967" t="n">
        <v>0</v>
      </c>
    </row>
    <row r="1968">
      <c r="A1968" t="n">
        <v>1967</v>
      </c>
      <c r="B1968" t="inlineStr">
        <is>
          <t>Handling Charge, Documentation Fee, Manifest Filling and Air Freight</t>
        </is>
      </c>
      <c r="C1968" t="inlineStr">
        <is>
          <t>នីបផន អិចប្រេស (ខេមបូឌា) ខូ អិលធីឌី</t>
        </is>
      </c>
      <c r="D1968" t="inlineStr">
        <is>
          <t>L001-107032791</t>
        </is>
      </c>
      <c r="E1968" t="inlineStr">
        <is>
          <t>A8T-15793</t>
        </is>
      </c>
      <c r="F1968" t="inlineStr">
        <is>
          <t>08-12-2024</t>
        </is>
      </c>
      <c r="G1968" t="n">
        <v>46322</v>
      </c>
      <c r="I1968">
        <f>G1968</f>
        <v/>
      </c>
      <c r="K1968">
        <f>I1968-G1968</f>
        <v/>
      </c>
      <c r="M1968" t="inlineStr">
        <is>
          <t>A8T15793</t>
        </is>
      </c>
      <c r="N1968" t="inlineStr">
        <is>
          <t>20143900</t>
        </is>
      </c>
      <c r="O1968">
        <f>M1968=N1968</f>
        <v/>
      </c>
      <c r="P1968">
        <f>AND(MONTH(F1968)=MONTH(S1968), YEAR(F1968)=YEAR(S1968))</f>
        <v/>
      </c>
      <c r="Q1968">
        <f>"L001-902303751"=U1968</f>
        <v/>
      </c>
      <c r="R1968">
        <f>G1968-W1968</f>
        <v/>
      </c>
      <c r="S1968" s="36" t="n">
        <v>45278</v>
      </c>
      <c r="T1968" t="n">
        <v>201439</v>
      </c>
      <c r="U1968" t="inlineStr">
        <is>
          <t>L001-107032791</t>
        </is>
      </c>
      <c r="V1968" t="inlineStr">
        <is>
          <t>នីបផន អិចប្រេស (ខេមបូឌា) ខូ អិលធីឌី</t>
        </is>
      </c>
      <c r="W1968" t="n">
        <v>201439</v>
      </c>
      <c r="X1968" t="n">
        <v>0</v>
      </c>
    </row>
    <row r="1969">
      <c r="A1969" t="n">
        <v>1968</v>
      </c>
      <c r="B1969" t="inlineStr">
        <is>
          <t>Handling Charge, Documentation Fee, Manifest Filling and Air Freight</t>
        </is>
      </c>
      <c r="C1969" t="inlineStr">
        <is>
          <t>នីបផន អិចប្រេស (ខេមបូឌា) ខូ អិលធីឌី</t>
        </is>
      </c>
      <c r="D1969" t="inlineStr">
        <is>
          <t>L001-107032791</t>
        </is>
      </c>
      <c r="E1969" t="inlineStr">
        <is>
          <t>A8T-15750</t>
        </is>
      </c>
      <c r="F1969" t="inlineStr">
        <is>
          <t>05-12-2024</t>
        </is>
      </c>
      <c r="G1969" t="n">
        <v>46334</v>
      </c>
      <c r="I1969">
        <f>G1969</f>
        <v/>
      </c>
      <c r="K1969">
        <f>I1969-G1969</f>
        <v/>
      </c>
      <c r="M1969" t="inlineStr">
        <is>
          <t>A8T15750</t>
        </is>
      </c>
      <c r="N1969" t="inlineStr"/>
      <c r="O1969">
        <f>M1969=N1969</f>
        <v/>
      </c>
      <c r="P1969">
        <f>AND(MONTH(F1969)=MONTH(S1969), YEAR(F1969)=YEAR(S1969))</f>
        <v/>
      </c>
      <c r="Q1969">
        <f>"L001-902303751"=U1969</f>
        <v/>
      </c>
      <c r="R1969">
        <f>G1969-W1969</f>
        <v/>
      </c>
      <c r="S1969" s="36" t="n">
        <v>45272</v>
      </c>
      <c r="T1969" t="inlineStr"/>
      <c r="U1969" t="inlineStr">
        <is>
          <t>K003-901635943</t>
        </is>
      </c>
      <c r="V1969" t="inlineStr">
        <is>
          <t>អ៊ីឃ្យូឡាញ វើលវ៉ាយដ៍ ឡូជីស្ទីក</t>
        </is>
      </c>
      <c r="W1969" t="n">
        <v>0</v>
      </c>
      <c r="X1969" t="n">
        <v>0</v>
      </c>
    </row>
    <row r="1970">
      <c r="A1970" t="n">
        <v>1969</v>
      </c>
      <c r="B1970" t="inlineStr">
        <is>
          <t>Handling Charge, Documentation Fee, Manifest Filling and Air Freight</t>
        </is>
      </c>
      <c r="C1970" t="inlineStr">
        <is>
          <t>នីបផន អិចប្រេស (ខេមបូឌា) ខូ អិលធីឌី</t>
        </is>
      </c>
      <c r="D1970" t="inlineStr">
        <is>
          <t>L001-107032791</t>
        </is>
      </c>
      <c r="E1970" t="inlineStr">
        <is>
          <t>A8T-15742</t>
        </is>
      </c>
      <c r="F1970" t="inlineStr">
        <is>
          <t>03-12-2024</t>
        </is>
      </c>
      <c r="G1970" t="n">
        <v>46368</v>
      </c>
      <c r="I1970">
        <f>G1970</f>
        <v/>
      </c>
      <c r="K1970">
        <f>I1970-G1970</f>
        <v/>
      </c>
      <c r="M1970" t="inlineStr">
        <is>
          <t>A8T15742</t>
        </is>
      </c>
      <c r="N1970" t="inlineStr"/>
      <c r="O1970">
        <f>M1970=N1970</f>
        <v/>
      </c>
      <c r="P1970">
        <f>AND(MONTH(F1970)=MONTH(S1970), YEAR(F1970)=YEAR(S1970))</f>
        <v/>
      </c>
      <c r="Q1970">
        <f>"L001-902303751"=U1970</f>
        <v/>
      </c>
      <c r="R1970">
        <f>G1970-W1970</f>
        <v/>
      </c>
      <c r="S1970" s="36" t="n">
        <v>45267</v>
      </c>
      <c r="T1970" t="inlineStr"/>
      <c r="U1970" t="inlineStr">
        <is>
          <t>K002-901800477</t>
        </is>
      </c>
      <c r="V1970" t="inlineStr">
        <is>
          <t>អាយធីអាយ អ៊ិនធើណេសិនណល ត្រេនស័្ពរថេសិន (ខេមបូឌា) ឯ.ក</t>
        </is>
      </c>
      <c r="W1970" t="n">
        <v>0</v>
      </c>
      <c r="X1970" t="n">
        <v>0</v>
      </c>
    </row>
    <row r="1971">
      <c r="A1971" t="n">
        <v>1970</v>
      </c>
      <c r="B1971" t="inlineStr">
        <is>
          <t>Handling Charge, Documentation Fee, Manifest Filling and Air Freight</t>
        </is>
      </c>
      <c r="C1971" t="inlineStr">
        <is>
          <t>នីបផន អិចប្រេស (ខេមបូឌា) ខូ អិលធីឌី</t>
        </is>
      </c>
      <c r="D1971" t="inlineStr">
        <is>
          <t>L001-107032791</t>
        </is>
      </c>
      <c r="E1971" t="inlineStr">
        <is>
          <t>A8T-15741</t>
        </is>
      </c>
      <c r="F1971" t="inlineStr">
        <is>
          <t>03-12-2024</t>
        </is>
      </c>
      <c r="G1971" t="n">
        <v>46368</v>
      </c>
      <c r="I1971">
        <f>G1971</f>
        <v/>
      </c>
      <c r="K1971">
        <f>I1971-G1971</f>
        <v/>
      </c>
      <c r="M1971" t="inlineStr">
        <is>
          <t>A8T15741</t>
        </is>
      </c>
      <c r="N1971" t="inlineStr">
        <is>
          <t>11113200</t>
        </is>
      </c>
      <c r="O1971">
        <f>M1971=N1971</f>
        <v/>
      </c>
      <c r="P1971">
        <f>AND(MONTH(F1971)=MONTH(S1971), YEAR(F1971)=YEAR(S1971))</f>
        <v/>
      </c>
      <c r="Q1971">
        <f>"L001-902303751"=U1971</f>
        <v/>
      </c>
      <c r="R1971">
        <f>G1971-W1971</f>
        <v/>
      </c>
      <c r="S1971" s="36" t="n">
        <v>45267</v>
      </c>
      <c r="T1971" t="n">
        <v>111132</v>
      </c>
      <c r="U1971" t="inlineStr">
        <is>
          <t>L001-902000739</t>
        </is>
      </c>
      <c r="V1971" t="inlineStr">
        <is>
          <t>អាន រ៉ុង ហ្ស៊ី យី ឯ.ក</t>
        </is>
      </c>
      <c r="W1971" t="n">
        <v>111132</v>
      </c>
      <c r="X1971" t="n">
        <v>0</v>
      </c>
    </row>
    <row r="1972">
      <c r="A1972" t="n">
        <v>1971</v>
      </c>
      <c r="B1972" t="inlineStr">
        <is>
          <t>Handling Charge, Documentation Fee, Manifest Filling and Air Freight</t>
        </is>
      </c>
      <c r="C1972" t="inlineStr">
        <is>
          <t>នីបផន អិចប្រេស (ខេមបូឌា) ខូ អិលធីឌី</t>
        </is>
      </c>
      <c r="D1972" t="inlineStr">
        <is>
          <t>L001-107032791</t>
        </is>
      </c>
      <c r="E1972" t="inlineStr">
        <is>
          <t>A8T-15835</t>
        </is>
      </c>
      <c r="F1972" t="inlineStr">
        <is>
          <t>13-12-2024</t>
        </is>
      </c>
      <c r="G1972" t="n">
        <v>46242</v>
      </c>
      <c r="I1972">
        <f>G1972</f>
        <v/>
      </c>
      <c r="K1972">
        <f>I1972-G1972</f>
        <v/>
      </c>
      <c r="M1972" t="inlineStr">
        <is>
          <t>A8T15835</t>
        </is>
      </c>
      <c r="N1972" t="inlineStr">
        <is>
          <t>987400</t>
        </is>
      </c>
      <c r="O1972">
        <f>M1972=N1972</f>
        <v/>
      </c>
      <c r="P1972">
        <f>AND(MONTH(F1972)=MONTH(S1972), YEAR(F1972)=YEAR(S1972))</f>
        <v/>
      </c>
      <c r="Q1972">
        <f>"L001-902303751"=U1972</f>
        <v/>
      </c>
      <c r="R1972">
        <f>G1972-W1972</f>
        <v/>
      </c>
      <c r="S1972" s="36" t="n">
        <v>45266</v>
      </c>
      <c r="T1972" t="n">
        <v>9874</v>
      </c>
      <c r="U1972" t="inlineStr">
        <is>
          <t>K002-901800477</t>
        </is>
      </c>
      <c r="V1972" t="inlineStr">
        <is>
          <t>អាយធីអាយ អ៊ិនធើណេសិនណល ត្រេនស័្ពរថេសិន (ខេមបូឌា) ឯ.ក</t>
        </is>
      </c>
      <c r="W1972" t="n">
        <v>9874</v>
      </c>
      <c r="X1972" t="n">
        <v>0</v>
      </c>
    </row>
    <row r="1973">
      <c r="A1973" t="n">
        <v>1972</v>
      </c>
      <c r="B1973" t="inlineStr">
        <is>
          <t>Handling Charge, Documentation Fee, Manifest Filling and Air Freight</t>
        </is>
      </c>
      <c r="C1973" t="inlineStr">
        <is>
          <t>នីបផន អិចប្រេស (ខេមបូឌា) ខូ អិលធីឌី</t>
        </is>
      </c>
      <c r="D1973" t="inlineStr">
        <is>
          <t>L001-107032791</t>
        </is>
      </c>
      <c r="E1973" t="inlineStr">
        <is>
          <t>A8T-15882</t>
        </is>
      </c>
      <c r="F1973" t="inlineStr">
        <is>
          <t>18-12-2024</t>
        </is>
      </c>
      <c r="G1973" t="n">
        <v>46242</v>
      </c>
      <c r="I1973">
        <f>G1973</f>
        <v/>
      </c>
      <c r="K1973">
        <f>I1973-G1973</f>
        <v/>
      </c>
      <c r="M1973" t="inlineStr">
        <is>
          <t>A8T15882</t>
        </is>
      </c>
      <c r="N1973" t="inlineStr">
        <is>
          <t>11107800</t>
        </is>
      </c>
      <c r="O1973">
        <f>M1973=N1973</f>
        <v/>
      </c>
      <c r="P1973">
        <f>AND(MONTH(F1973)=MONTH(S1973), YEAR(F1973)=YEAR(S1973))</f>
        <v/>
      </c>
      <c r="Q1973">
        <f>"L001-902303751"=U1973</f>
        <v/>
      </c>
      <c r="R1973">
        <f>G1973-W1973</f>
        <v/>
      </c>
      <c r="S1973" s="36" t="n">
        <v>45264</v>
      </c>
      <c r="T1973" t="n">
        <v>111078</v>
      </c>
      <c r="U1973" t="inlineStr">
        <is>
          <t>L001-107032791</t>
        </is>
      </c>
      <c r="V1973" t="inlineStr">
        <is>
          <t>នីបផន អិចប្រេស (ខេមបូឌា) ខូ អិលធីឌី</t>
        </is>
      </c>
      <c r="W1973" t="n">
        <v>111078</v>
      </c>
      <c r="X1973" t="n">
        <v>0</v>
      </c>
    </row>
    <row r="1974">
      <c r="A1974" t="n">
        <v>1973</v>
      </c>
      <c r="B1974" t="inlineStr">
        <is>
          <t>CFS Charge, C/C Handling Fee, Documentation Fee, Handling /Agency Fee, THC, Trucking Charge, Customs Processing Fee, Overtime Documents, Way Bill Fee, Fuel Surcharge and Overtime Cargo</t>
        </is>
      </c>
      <c r="C1974" t="inlineStr">
        <is>
          <t>នីបផន អិចប្រេស (ខេមបូឌា) ខូ អិលធីឌី</t>
        </is>
      </c>
      <c r="D1974" t="inlineStr">
        <is>
          <t>L001-107032791</t>
        </is>
      </c>
      <c r="E1974" t="inlineStr">
        <is>
          <t>O8T-D8335</t>
        </is>
      </c>
      <c r="F1974" t="inlineStr">
        <is>
          <t>08-12-2024</t>
        </is>
      </c>
      <c r="G1974" t="n">
        <v>288280</v>
      </c>
      <c r="I1974">
        <f>G1974</f>
        <v/>
      </c>
      <c r="K1974">
        <f>I1974-G1974</f>
        <v/>
      </c>
      <c r="M1974" t="inlineStr">
        <is>
          <t>O8TD8335</t>
        </is>
      </c>
      <c r="N1974" t="inlineStr"/>
      <c r="O1974">
        <f>M1974=N1974</f>
        <v/>
      </c>
      <c r="P1974">
        <f>AND(MONTH(F1974)=MONTH(S1974), YEAR(F1974)=YEAR(S1974))</f>
        <v/>
      </c>
      <c r="Q1974">
        <f>"L001-902303751"=U1974</f>
        <v/>
      </c>
      <c r="R1974">
        <f>G1974-W1974</f>
        <v/>
      </c>
      <c r="S1974" s="36" t="n">
        <v>45264</v>
      </c>
      <c r="T1974" t="inlineStr"/>
      <c r="U1974" t="inlineStr">
        <is>
          <t>L001-107032791</t>
        </is>
      </c>
      <c r="V1974" t="inlineStr">
        <is>
          <t>នីបផន អិចប្រេស (ខេមបូឌា) ខូ អិលធីឌី</t>
        </is>
      </c>
      <c r="W1974" t="n">
        <v>0</v>
      </c>
      <c r="X1974" t="n">
        <v>0</v>
      </c>
    </row>
    <row r="1975">
      <c r="A1975" t="n">
        <v>1974</v>
      </c>
      <c r="B1975" t="inlineStr">
        <is>
          <t>Control Box Machie , Machine OSHIMA, Pressure Heater Vaccume Machine and Bell OSHIMA</t>
        </is>
      </c>
      <c r="C1975" t="inlineStr">
        <is>
          <t>ស៊ិន វឿន ញូ ប្រាយ អេឡិកត្រូនិក ឯ.ក</t>
        </is>
      </c>
      <c r="D1975" t="inlineStr">
        <is>
          <t>K009-901904164</t>
        </is>
      </c>
      <c r="E1975" t="inlineStr">
        <is>
          <t>SV24-0204</t>
        </is>
      </c>
      <c r="F1975" t="inlineStr">
        <is>
          <t>04-12-2024</t>
        </is>
      </c>
      <c r="G1975" t="n">
        <v>749580</v>
      </c>
      <c r="I1975">
        <f>G1975</f>
        <v/>
      </c>
      <c r="K1975">
        <f>I1975-G1975</f>
        <v/>
      </c>
      <c r="M1975" t="inlineStr">
        <is>
          <t>SV240204</t>
        </is>
      </c>
      <c r="N1975" t="inlineStr">
        <is>
          <t>1970900</t>
        </is>
      </c>
      <c r="O1975">
        <f>M1975=N1975</f>
        <v/>
      </c>
      <c r="P1975">
        <f>AND(MONTH(F1975)=MONTH(S1975), YEAR(F1975)=YEAR(S1975))</f>
        <v/>
      </c>
      <c r="Q1975">
        <f>"L001-902303751"=U1975</f>
        <v/>
      </c>
      <c r="R1975">
        <f>G1975-W1975</f>
        <v/>
      </c>
      <c r="S1975" s="36" t="n">
        <v>45281</v>
      </c>
      <c r="T1975" t="n">
        <v>19709</v>
      </c>
      <c r="U1975" t="inlineStr">
        <is>
          <t>K002-901800477</t>
        </is>
      </c>
      <c r="V1975" t="inlineStr">
        <is>
          <t>អាយធីអាយ អ៊ិនធើណេសិនណល ត្រេនស័្ពរថេសិន (ខេមបូឌា) ឯ.ក</t>
        </is>
      </c>
      <c r="W1975" t="n">
        <v>19709</v>
      </c>
      <c r="X1975" t="n">
        <v>0</v>
      </c>
    </row>
    <row r="1976">
      <c r="A1976" t="n">
        <v>1975</v>
      </c>
      <c r="B1976" t="inlineStr">
        <is>
          <t>Betl Machine OSHIMA, Motor and Bearing Block Ball</t>
        </is>
      </c>
      <c r="C1976" t="inlineStr">
        <is>
          <t>ស៊ិន វឿន ញូ ប្រាយ អេឡិកត្រូនិក ឯ.ក</t>
        </is>
      </c>
      <c r="D1976" t="inlineStr">
        <is>
          <t>K009-901904164</t>
        </is>
      </c>
      <c r="E1976" t="inlineStr">
        <is>
          <t>SV24-0214</t>
        </is>
      </c>
      <c r="F1976" t="inlineStr">
        <is>
          <t>16-12-2024</t>
        </is>
      </c>
      <c r="G1976" t="n">
        <v>217026</v>
      </c>
      <c r="I1976">
        <f>G1976</f>
        <v/>
      </c>
      <c r="K1976">
        <f>I1976-G1976</f>
        <v/>
      </c>
      <c r="M1976" t="inlineStr">
        <is>
          <t>SV240214</t>
        </is>
      </c>
      <c r="N1976" t="inlineStr">
        <is>
          <t>11354600</t>
        </is>
      </c>
      <c r="O1976">
        <f>M1976=N1976</f>
        <v/>
      </c>
      <c r="P1976">
        <f>AND(MONTH(F1976)=MONTH(S1976), YEAR(F1976)=YEAR(S1976))</f>
        <v/>
      </c>
      <c r="Q1976">
        <f>"L001-902303751"=U1976</f>
        <v/>
      </c>
      <c r="R1976">
        <f>G1976-W1976</f>
        <v/>
      </c>
      <c r="S1976" s="36" t="n">
        <v>45271</v>
      </c>
      <c r="T1976" t="n">
        <v>113546</v>
      </c>
      <c r="U1976" t="inlineStr">
        <is>
          <t>L001-100045340</t>
        </is>
      </c>
      <c r="V1976" t="inlineStr">
        <is>
          <t xml:space="preserve">ស៊ីវ៉ា អ៊ែរ អ៊ែន អូសៀន (ខេមបូឌា) ឯ.ក </t>
        </is>
      </c>
      <c r="W1976" t="n">
        <v>113546</v>
      </c>
      <c r="X1976" t="n">
        <v>0</v>
      </c>
    </row>
    <row r="1977">
      <c r="A1977" t="n">
        <v>1976</v>
      </c>
      <c r="B1977" t="inlineStr">
        <is>
          <t>Monthly Charge of Photo Copier Rental from 06/11/2024-06/12/2024</t>
        </is>
      </c>
      <c r="C1977" t="inlineStr">
        <is>
          <t>វី.អាយ.អេស ខភៀ ឯ.ក</t>
        </is>
      </c>
      <c r="D1977" t="inlineStr">
        <is>
          <t>K007-901705195</t>
        </is>
      </c>
      <c r="E1977" t="inlineStr">
        <is>
          <t>RNT241223</t>
        </is>
      </c>
      <c r="F1977" t="inlineStr">
        <is>
          <t>06-12-2024</t>
        </is>
      </c>
      <c r="G1977" t="n">
        <v>26182</v>
      </c>
      <c r="I1977">
        <f>G1977</f>
        <v/>
      </c>
      <c r="K1977">
        <f>I1977-G1977</f>
        <v/>
      </c>
      <c r="M1977" t="inlineStr">
        <is>
          <t>RNT241223</t>
        </is>
      </c>
      <c r="N1977" t="inlineStr">
        <is>
          <t>20580000</t>
        </is>
      </c>
      <c r="O1977">
        <f>M1977=N1977</f>
        <v/>
      </c>
      <c r="P1977">
        <f>AND(MONTH(F1977)=MONTH(S1977), YEAR(F1977)=YEAR(S1977))</f>
        <v/>
      </c>
      <c r="Q1977">
        <f>"L001-902303751"=U1977</f>
        <v/>
      </c>
      <c r="R1977">
        <f>G1977-W1977</f>
        <v/>
      </c>
      <c r="S1977" s="36" t="n">
        <v>45267</v>
      </c>
      <c r="T1977" t="n">
        <v>205800</v>
      </c>
      <c r="U1977" t="inlineStr">
        <is>
          <t>L001-100044956</t>
        </is>
      </c>
      <c r="V1977" t="inlineStr">
        <is>
          <t>ជី លីង អិចប្រេស ឡូជីស្ទីក (ខេមបូឌា) លីមីធីត</t>
        </is>
      </c>
      <c r="W1977" t="n">
        <v>205800</v>
      </c>
      <c r="X1977" t="n">
        <v>0</v>
      </c>
    </row>
    <row r="1978">
      <c r="A1978" t="n">
        <v>1977</v>
      </c>
      <c r="B1978" t="inlineStr">
        <is>
          <t>Monthly Charge of Photo Copier Rental from 06/11/2024-06/12/2024</t>
        </is>
      </c>
      <c r="C1978" t="inlineStr">
        <is>
          <t>វី.អាយ.អេស ខភៀ ឯ.ក</t>
        </is>
      </c>
      <c r="D1978" t="inlineStr">
        <is>
          <t>K007-901705195</t>
        </is>
      </c>
      <c r="E1978" t="inlineStr">
        <is>
          <t>RNT241225</t>
        </is>
      </c>
      <c r="F1978" t="inlineStr">
        <is>
          <t>06-12-2024</t>
        </is>
      </c>
      <c r="G1978" t="n">
        <v>72486</v>
      </c>
      <c r="I1978">
        <f>G1978</f>
        <v/>
      </c>
      <c r="K1978">
        <f>I1978-G1978</f>
        <v/>
      </c>
      <c r="M1978" t="inlineStr">
        <is>
          <t>RNT241225</t>
        </is>
      </c>
      <c r="N1978" t="inlineStr">
        <is>
          <t>11113200</t>
        </is>
      </c>
      <c r="O1978">
        <f>M1978=N1978</f>
        <v/>
      </c>
      <c r="P1978">
        <f>AND(MONTH(F1978)=MONTH(S1978), YEAR(F1978)=YEAR(S1978))</f>
        <v/>
      </c>
      <c r="Q1978">
        <f>"L001-902303751"=U1978</f>
        <v/>
      </c>
      <c r="R1978">
        <f>G1978-W1978</f>
        <v/>
      </c>
      <c r="S1978" s="36" t="n">
        <v>45267</v>
      </c>
      <c r="T1978" t="n">
        <v>111132</v>
      </c>
      <c r="U1978" t="inlineStr">
        <is>
          <t>L001-901500191</t>
        </is>
      </c>
      <c r="V1978" t="inlineStr">
        <is>
          <t>អ.អិន.វ៉ាយ ត្រេនស្ព័ត</t>
        </is>
      </c>
      <c r="W1978" t="n">
        <v>111132</v>
      </c>
      <c r="X1978" t="n">
        <v>0</v>
      </c>
    </row>
    <row r="1979">
      <c r="A1979" t="n">
        <v>1978</v>
      </c>
      <c r="B1979" t="inlineStr">
        <is>
          <t>Examination note book</t>
        </is>
      </c>
      <c r="C1979" t="inlineStr">
        <is>
          <t>អ៊ិន3ឌី (ខេមបូឌា) ឯ.ក</t>
        </is>
      </c>
      <c r="D1979" t="inlineStr">
        <is>
          <t>K010-902103600</t>
        </is>
      </c>
      <c r="E1979" t="inlineStr">
        <is>
          <t>N3D/24-000135</t>
        </is>
      </c>
      <c r="F1979" t="inlineStr">
        <is>
          <t>06-12-2024</t>
        </is>
      </c>
      <c r="G1979" t="n">
        <v>120840</v>
      </c>
      <c r="I1979">
        <f>G1979</f>
        <v/>
      </c>
      <c r="K1979">
        <f>I1979-G1979</f>
        <v/>
      </c>
      <c r="M1979" t="inlineStr">
        <is>
          <t>N3D24000135</t>
        </is>
      </c>
      <c r="N1979" t="inlineStr"/>
      <c r="O1979">
        <f>M1979=N1979</f>
        <v/>
      </c>
      <c r="P1979">
        <f>AND(MONTH(F1979)=MONTH(S1979), YEAR(F1979)=YEAR(S1979))</f>
        <v/>
      </c>
      <c r="Q1979">
        <f>"L001-902303751"=U1979</f>
        <v/>
      </c>
      <c r="R1979">
        <f>G1979-W1979</f>
        <v/>
      </c>
      <c r="S1979" s="36" t="n">
        <v>45267</v>
      </c>
      <c r="T1979" t="inlineStr"/>
      <c r="U1979" t="inlineStr">
        <is>
          <t>K002-901800477</t>
        </is>
      </c>
      <c r="V1979" t="inlineStr">
        <is>
          <t>អាយធីអាយ អ៊ិនធើណេសិនណល ត្រេនស័្ពរថេសិន (ខេមបូឌា) ឯ.ក</t>
        </is>
      </c>
      <c r="W1979" t="n">
        <v>0</v>
      </c>
      <c r="X1979" t="n">
        <v>0</v>
      </c>
    </row>
    <row r="1980">
      <c r="A1980" t="n">
        <v>1979</v>
      </c>
      <c r="B1980" t="inlineStr">
        <is>
          <t>Export Administration Fee and Custom Processing Fee</t>
        </is>
      </c>
      <c r="C1980" t="inlineStr">
        <is>
          <t>ជី លីង អិចប្រេស ឡូជីស្ទីក (ខេមបូឌា) លីមីធីត</t>
        </is>
      </c>
      <c r="D1980" t="inlineStr">
        <is>
          <t>L001-100044956</t>
        </is>
      </c>
      <c r="E1980" t="inlineStr">
        <is>
          <t>24160155</t>
        </is>
      </c>
      <c r="F1980" t="inlineStr">
        <is>
          <t>04-12-2024</t>
        </is>
      </c>
      <c r="G1980" t="n">
        <v>64480</v>
      </c>
      <c r="I1980">
        <f>G1980</f>
        <v/>
      </c>
      <c r="K1980">
        <f>I1980-G1980</f>
        <v/>
      </c>
      <c r="M1980" t="inlineStr">
        <is>
          <t>24160155</t>
        </is>
      </c>
      <c r="N1980" t="inlineStr">
        <is>
          <t>11107800</t>
        </is>
      </c>
      <c r="O1980">
        <f>M1980=N1980</f>
        <v/>
      </c>
      <c r="P1980">
        <f>AND(MONTH(F1980)=MONTH(S1980), YEAR(F1980)=YEAR(S1980))</f>
        <v/>
      </c>
      <c r="Q1980">
        <f>"L001-902303751"=U1980</f>
        <v/>
      </c>
      <c r="R1980">
        <f>G1980-W1980</f>
        <v/>
      </c>
      <c r="S1980" s="36" t="n">
        <v>45264</v>
      </c>
      <c r="T1980" t="n">
        <v>111078</v>
      </c>
      <c r="U1980" t="inlineStr">
        <is>
          <t>K005-100059945</t>
        </is>
      </c>
      <c r="V1980" t="inlineStr">
        <is>
          <t>អ៊ែតវ៉ានស៍ គ្លរី ឡូជីស្ទីក (ខេមបូឌា) (អេ ជី អិល)</t>
        </is>
      </c>
      <c r="W1980" t="n">
        <v>111078</v>
      </c>
      <c r="X1980" t="n">
        <v>0</v>
      </c>
    </row>
    <row r="1981">
      <c r="A1981" t="n">
        <v>1980</v>
      </c>
      <c r="B1981" t="inlineStr">
        <is>
          <t>Export Administration Fee and Custom Processing Fee</t>
        </is>
      </c>
      <c r="C1981" t="inlineStr">
        <is>
          <t>ជី លីង អិចប្រេស ឡូជីស្ទីក (ខេមបូឌា) លីមីធីត</t>
        </is>
      </c>
      <c r="D1981" t="inlineStr">
        <is>
          <t>L001-100044956</t>
        </is>
      </c>
      <c r="E1981" t="inlineStr">
        <is>
          <t>24160147</t>
        </is>
      </c>
      <c r="F1981" t="inlineStr">
        <is>
          <t>04-12-2024</t>
        </is>
      </c>
      <c r="G1981" t="n">
        <v>64480</v>
      </c>
      <c r="I1981">
        <f>G1981</f>
        <v/>
      </c>
      <c r="K1981">
        <f>I1981-G1981</f>
        <v/>
      </c>
      <c r="M1981" t="inlineStr">
        <is>
          <t>24160147</t>
        </is>
      </c>
      <c r="N1981" t="inlineStr">
        <is>
          <t>340475100</t>
        </is>
      </c>
      <c r="O1981">
        <f>M1981=N1981</f>
        <v/>
      </c>
      <c r="P1981">
        <f>AND(MONTH(F1981)=MONTH(S1981), YEAR(F1981)=YEAR(S1981))</f>
        <v/>
      </c>
      <c r="Q1981">
        <f>"L001-902303751"=U1981</f>
        <v/>
      </c>
      <c r="R1981">
        <f>G1981-W1981</f>
        <v/>
      </c>
      <c r="S1981" s="36" t="n">
        <v>45261</v>
      </c>
      <c r="T1981" t="n">
        <v>3404751</v>
      </c>
      <c r="U1981" t="inlineStr">
        <is>
          <t>K004-105012505</t>
        </is>
      </c>
      <c r="V1981" t="inlineStr">
        <is>
          <t>អេស៊ាន ហ្វ្រេត (ខេមបូឌា)</t>
        </is>
      </c>
      <c r="W1981" t="n">
        <v>3404751</v>
      </c>
      <c r="X1981" t="n">
        <v>0</v>
      </c>
    </row>
    <row r="1982">
      <c r="A1982" t="n">
        <v>1981</v>
      </c>
      <c r="B1982" t="inlineStr">
        <is>
          <t>Send Materials</t>
        </is>
      </c>
      <c r="C1982" t="inlineStr">
        <is>
          <t>ឌី អេច អិល អិចប្រេស (ខេមបូឌា)</t>
        </is>
      </c>
      <c r="D1982" t="inlineStr">
        <is>
          <t>L001-100045197</t>
        </is>
      </c>
      <c r="E1982" t="inlineStr">
        <is>
          <t>PNHIR00258960</t>
        </is>
      </c>
      <c r="F1982" t="inlineStr">
        <is>
          <t>06-12-2024</t>
        </is>
      </c>
      <c r="G1982" t="n">
        <v>6042</v>
      </c>
      <c r="I1982">
        <f>G1982</f>
        <v/>
      </c>
      <c r="K1982">
        <f>I1982-G1982</f>
        <v/>
      </c>
      <c r="M1982" t="inlineStr">
        <is>
          <t>PNHIR00258960</t>
        </is>
      </c>
      <c r="N1982" t="inlineStr"/>
      <c r="O1982">
        <f>M1982=N1982</f>
        <v/>
      </c>
      <c r="P1982">
        <f>AND(MONTH(F1982)=MONTH(S1982), YEAR(F1982)=YEAR(S1982))</f>
        <v/>
      </c>
      <c r="Q1982">
        <f>"L001-902303751"=U1982</f>
        <v/>
      </c>
      <c r="R1982">
        <f>G1982-W1982</f>
        <v/>
      </c>
      <c r="S1982" s="36" t="n">
        <v>45267</v>
      </c>
      <c r="T1982" t="inlineStr"/>
      <c r="U1982" t="inlineStr">
        <is>
          <t>L001-901500191</t>
        </is>
      </c>
      <c r="V1982" t="inlineStr">
        <is>
          <t>អ.អិន.វ៉ាយ ត្រេនស្ព័ត</t>
        </is>
      </c>
      <c r="W1982" t="n">
        <v>0</v>
      </c>
      <c r="X1982" t="n">
        <v>0</v>
      </c>
    </row>
    <row r="1983">
      <c r="A1983" t="n">
        <v>1982</v>
      </c>
      <c r="B1983" t="inlineStr">
        <is>
          <t>Send Doc</t>
        </is>
      </c>
      <c r="C1983" t="inlineStr">
        <is>
          <t>ឌី អេច អិល អិចប្រេស (ខេមបូឌា)</t>
        </is>
      </c>
      <c r="D1983" t="inlineStr">
        <is>
          <t>L001-100045197</t>
        </is>
      </c>
      <c r="E1983" t="inlineStr">
        <is>
          <t>PNHIR00258486</t>
        </is>
      </c>
      <c r="F1983" t="inlineStr">
        <is>
          <t>04-12-2024</t>
        </is>
      </c>
      <c r="G1983" t="n">
        <v>8060</v>
      </c>
      <c r="I1983">
        <f>G1983</f>
        <v/>
      </c>
      <c r="K1983">
        <f>I1983-G1983</f>
        <v/>
      </c>
      <c r="M1983" t="inlineStr">
        <is>
          <t>PNHIR00258486</t>
        </is>
      </c>
      <c r="N1983" t="inlineStr">
        <is>
          <t>11070000</t>
        </is>
      </c>
      <c r="O1983">
        <f>M1983=N1983</f>
        <v/>
      </c>
      <c r="P1983">
        <f>AND(MONTH(F1983)=MONTH(S1983), YEAR(F1983)=YEAR(S1983))</f>
        <v/>
      </c>
      <c r="Q1983">
        <f>"L001-902303751"=U1983</f>
        <v/>
      </c>
      <c r="R1983">
        <f>G1983-W1983</f>
        <v/>
      </c>
      <c r="S1983" s="36" t="n">
        <v>45285</v>
      </c>
      <c r="T1983" t="n">
        <v>110700</v>
      </c>
      <c r="U1983" t="inlineStr">
        <is>
          <t>L001-107032791</t>
        </is>
      </c>
      <c r="V1983" t="inlineStr">
        <is>
          <t>នីបផន អិចប្រេស (ខេមបូឌា) ខូ អិលធីឌី</t>
        </is>
      </c>
      <c r="W1983" t="n">
        <v>110700</v>
      </c>
      <c r="X1983" t="n">
        <v>0</v>
      </c>
    </row>
    <row r="1984">
      <c r="A1984" t="n">
        <v>1983</v>
      </c>
      <c r="B1984" t="inlineStr">
        <is>
          <t>Send Materials</t>
        </is>
      </c>
      <c r="C1984" t="inlineStr">
        <is>
          <t>ឌី អេច អិល អិចប្រេស (ខេមបូឌា)</t>
        </is>
      </c>
      <c r="D1984" t="inlineStr">
        <is>
          <t>L001-100045197</t>
        </is>
      </c>
      <c r="E1984" t="inlineStr">
        <is>
          <t>PNHIR00258485</t>
        </is>
      </c>
      <c r="F1984" t="inlineStr">
        <is>
          <t>04-12-2024</t>
        </is>
      </c>
      <c r="G1984" t="n">
        <v>6045</v>
      </c>
      <c r="I1984">
        <f>G1984</f>
        <v/>
      </c>
      <c r="K1984">
        <f>I1984-G1984</f>
        <v/>
      </c>
      <c r="M1984" t="inlineStr">
        <is>
          <t>PNHIR00258485</t>
        </is>
      </c>
      <c r="N1984" t="inlineStr"/>
      <c r="O1984">
        <f>M1984=N1984</f>
        <v/>
      </c>
      <c r="P1984">
        <f>AND(MONTH(F1984)=MONTH(S1984), YEAR(F1984)=YEAR(S1984))</f>
        <v/>
      </c>
      <c r="Q1984">
        <f>"L001-902303751"=U1984</f>
        <v/>
      </c>
      <c r="R1984">
        <f>G1984-W1984</f>
        <v/>
      </c>
      <c r="S1984" s="36" t="n">
        <v>45283</v>
      </c>
      <c r="T1984" t="inlineStr"/>
      <c r="U1984" t="inlineStr">
        <is>
          <t>K003-901635943</t>
        </is>
      </c>
      <c r="V1984" t="inlineStr">
        <is>
          <t>អ៊ីឃ្យូឡាញ វើលវ៉ាយដ៍ ឡូជីស្ទីក</t>
        </is>
      </c>
      <c r="W1984" t="n">
        <v>0</v>
      </c>
      <c r="X1984" t="n">
        <v>0</v>
      </c>
    </row>
    <row r="1985">
      <c r="A1985" t="n">
        <v>1984</v>
      </c>
      <c r="B1985" t="inlineStr">
        <is>
          <t>Send Doc</t>
        </is>
      </c>
      <c r="C1985" t="inlineStr">
        <is>
          <t>ឌី អេច អិល អិចប្រេស (ខេមបូឌា)</t>
        </is>
      </c>
      <c r="D1985" t="inlineStr">
        <is>
          <t>L001-100045197</t>
        </is>
      </c>
      <c r="E1985" t="inlineStr">
        <is>
          <t>PNHIR00258453</t>
        </is>
      </c>
      <c r="F1985" t="inlineStr">
        <is>
          <t>03-12-2024</t>
        </is>
      </c>
      <c r="G1985" t="n">
        <v>16128</v>
      </c>
      <c r="I1985">
        <f>G1985</f>
        <v/>
      </c>
      <c r="K1985">
        <f>I1985-G1985</f>
        <v/>
      </c>
      <c r="M1985" t="inlineStr">
        <is>
          <t>PNHIR00258453</t>
        </is>
      </c>
      <c r="N1985" t="inlineStr">
        <is>
          <t>8204000</t>
        </is>
      </c>
      <c r="O1985">
        <f>M1985=N1985</f>
        <v/>
      </c>
      <c r="P1985">
        <f>AND(MONTH(F1985)=MONTH(S1985), YEAR(F1985)=YEAR(S1985))</f>
        <v/>
      </c>
      <c r="Q1985">
        <f>"L001-902303751"=U1985</f>
        <v/>
      </c>
      <c r="R1985">
        <f>G1985-W1985</f>
        <v/>
      </c>
      <c r="S1985" s="36" t="n">
        <v>45283</v>
      </c>
      <c r="T1985" t="n">
        <v>82040</v>
      </c>
      <c r="U1985" t="inlineStr">
        <is>
          <t>K003-901635943</t>
        </is>
      </c>
      <c r="V1985" t="inlineStr">
        <is>
          <t>អ៊ីឃ្យូឡាញ វើលវ៉ាយដ៍ ឡូជីស្ទីក</t>
        </is>
      </c>
      <c r="W1985" t="n">
        <v>82040</v>
      </c>
      <c r="X1985" t="n">
        <v>0</v>
      </c>
    </row>
    <row r="1986">
      <c r="A1986" t="n">
        <v>1985</v>
      </c>
      <c r="B1986" t="inlineStr">
        <is>
          <t>Rental Machine</t>
        </is>
      </c>
      <c r="C1986" t="inlineStr">
        <is>
          <t>ក្លាក ហ៊ូ ឯ.ក</t>
        </is>
      </c>
      <c r="D1986" t="inlineStr">
        <is>
          <t>K007-901639199</t>
        </is>
      </c>
      <c r="E1986" t="inlineStr">
        <is>
          <t>IN2966</t>
        </is>
      </c>
      <c r="F1986" t="inlineStr">
        <is>
          <t>25-12-2024</t>
        </is>
      </c>
      <c r="G1986" t="n">
        <v>268137</v>
      </c>
      <c r="I1986">
        <f>G1986</f>
        <v/>
      </c>
      <c r="K1986">
        <f>I1986-G1986</f>
        <v/>
      </c>
      <c r="M1986" t="inlineStr">
        <is>
          <t>IN2966</t>
        </is>
      </c>
      <c r="N1986" t="inlineStr"/>
      <c r="O1986">
        <f>M1986=N1986</f>
        <v/>
      </c>
      <c r="P1986">
        <f>AND(MONTH(F1986)=MONTH(S1986), YEAR(F1986)=YEAR(S1986))</f>
        <v/>
      </c>
      <c r="Q1986">
        <f>"L001-902303751"=U1986</f>
        <v/>
      </c>
      <c r="R1986">
        <f>G1986-W1986</f>
        <v/>
      </c>
      <c r="S1986" s="36" t="n">
        <v>45278</v>
      </c>
      <c r="T1986" t="inlineStr"/>
      <c r="U1986" t="inlineStr">
        <is>
          <t>L001-107032791</t>
        </is>
      </c>
      <c r="V1986" t="inlineStr">
        <is>
          <t>នីបផន អិចប្រេស (ខេមបូឌា) ខូ អិលធីឌី</t>
        </is>
      </c>
      <c r="W1986" t="n">
        <v>0</v>
      </c>
      <c r="X1986" t="n">
        <v>0</v>
      </c>
    </row>
    <row r="1987">
      <c r="A1987" t="n">
        <v>1986</v>
      </c>
      <c r="B1987" t="inlineStr">
        <is>
          <t>Rental Machine</t>
        </is>
      </c>
      <c r="C1987" t="inlineStr">
        <is>
          <t>ក្លាក ហ៊ូ ឯ.ក</t>
        </is>
      </c>
      <c r="D1987" t="inlineStr">
        <is>
          <t>K007-901639199</t>
        </is>
      </c>
      <c r="E1987" t="inlineStr">
        <is>
          <t>IN2967</t>
        </is>
      </c>
      <c r="F1987" t="inlineStr">
        <is>
          <t>25-12-2024</t>
        </is>
      </c>
      <c r="G1987" t="n">
        <v>136646</v>
      </c>
      <c r="I1987">
        <f>G1987</f>
        <v/>
      </c>
      <c r="K1987">
        <f>I1987-G1987</f>
        <v/>
      </c>
      <c r="M1987" t="inlineStr">
        <is>
          <t>IN2967</t>
        </is>
      </c>
      <c r="N1987" t="inlineStr"/>
      <c r="O1987">
        <f>M1987=N1987</f>
        <v/>
      </c>
      <c r="P1987">
        <f>AND(MONTH(F1987)=MONTH(S1987), YEAR(F1987)=YEAR(S1987))</f>
        <v/>
      </c>
      <c r="Q1987">
        <f>"L001-902303751"=U1987</f>
        <v/>
      </c>
      <c r="R1987">
        <f>G1987-W1987</f>
        <v/>
      </c>
      <c r="S1987" s="36" t="n">
        <v>45264</v>
      </c>
      <c r="T1987" t="inlineStr"/>
      <c r="U1987" t="inlineStr">
        <is>
          <t>K005-100059945</t>
        </is>
      </c>
      <c r="V1987" t="inlineStr">
        <is>
          <t>អ៊ែតវ៉ានស៍ គ្លរី ឡូជីស្ទីក (ខេមបូឌា) (អេ ជី អិល)</t>
        </is>
      </c>
      <c r="W1987" t="n">
        <v>0</v>
      </c>
      <c r="X1987" t="n">
        <v>0</v>
      </c>
    </row>
    <row r="1988">
      <c r="A1988" t="n">
        <v>1987</v>
      </c>
      <c r="B1988" t="inlineStr">
        <is>
          <t>Rental Machine</t>
        </is>
      </c>
      <c r="C1988" t="inlineStr">
        <is>
          <t>ក្លាក ហ៊ូ ឯ.ក</t>
        </is>
      </c>
      <c r="D1988" t="inlineStr">
        <is>
          <t>K007-901639199</t>
        </is>
      </c>
      <c r="E1988" t="inlineStr">
        <is>
          <t>IN2968</t>
        </is>
      </c>
      <c r="F1988" t="inlineStr">
        <is>
          <t>25-12-2024</t>
        </is>
      </c>
      <c r="G1988" t="n">
        <v>110523</v>
      </c>
      <c r="I1988">
        <f>G1988</f>
        <v/>
      </c>
      <c r="K1988">
        <f>I1988-G1988</f>
        <v/>
      </c>
      <c r="M1988" t="inlineStr">
        <is>
          <t>IN2968</t>
        </is>
      </c>
      <c r="N1988" t="inlineStr"/>
      <c r="O1988">
        <f>M1988=N1988</f>
        <v/>
      </c>
      <c r="P1988">
        <f>AND(MONTH(F1988)=MONTH(S1988), YEAR(F1988)=YEAR(S1988))</f>
        <v/>
      </c>
      <c r="Q1988">
        <f>"L001-902303751"=U1988</f>
        <v/>
      </c>
      <c r="R1988">
        <f>G1988-W1988</f>
        <v/>
      </c>
      <c r="S1988" s="36" t="n">
        <v>45264</v>
      </c>
      <c r="T1988" t="inlineStr"/>
      <c r="U1988" t="inlineStr">
        <is>
          <t>L001-100045995</t>
        </is>
      </c>
      <c r="V1988" t="inlineStr">
        <is>
          <t>ឌីអេចអិល ឡូជីស្ទីក (ខេមបូឌា)</t>
        </is>
      </c>
      <c r="W1988" t="n">
        <v>0</v>
      </c>
      <c r="X1988" t="n">
        <v>0</v>
      </c>
    </row>
    <row r="1989">
      <c r="A1989" t="n">
        <v>1988</v>
      </c>
      <c r="B1989" t="inlineStr">
        <is>
          <t>Rental Machine</t>
        </is>
      </c>
      <c r="C1989" t="inlineStr">
        <is>
          <t>ក្លាក ហ៊ូ ឯ.ក</t>
        </is>
      </c>
      <c r="D1989" t="inlineStr">
        <is>
          <t>K007-901639199</t>
        </is>
      </c>
      <c r="E1989" t="inlineStr">
        <is>
          <t>IN2969</t>
        </is>
      </c>
      <c r="F1989" t="inlineStr">
        <is>
          <t>25-12-2024</t>
        </is>
      </c>
      <c r="G1989" t="n">
        <v>192912</v>
      </c>
      <c r="I1989">
        <f>G1989</f>
        <v/>
      </c>
      <c r="K1989">
        <f>I1989-G1989</f>
        <v/>
      </c>
      <c r="M1989" t="inlineStr">
        <is>
          <t>IN2969</t>
        </is>
      </c>
      <c r="N1989" t="inlineStr">
        <is>
          <t>2952000</t>
        </is>
      </c>
      <c r="O1989">
        <f>M1989=N1989</f>
        <v/>
      </c>
      <c r="P1989">
        <f>AND(MONTH(F1989)=MONTH(S1989), YEAR(F1989)=YEAR(S1989))</f>
        <v/>
      </c>
      <c r="Q1989">
        <f>"L001-902303751"=U1989</f>
        <v/>
      </c>
      <c r="R1989">
        <f>G1989-W1989</f>
        <v/>
      </c>
      <c r="S1989" s="36" t="n">
        <v>45285</v>
      </c>
      <c r="T1989" t="n">
        <v>29520</v>
      </c>
      <c r="U1989" t="inlineStr">
        <is>
          <t>L001-100045898</t>
        </is>
      </c>
      <c r="V1989" t="inlineStr">
        <is>
          <t>អ៊ិចស្ពែឌីធ័រ ខេមបូឌា អិលធីឌី</t>
        </is>
      </c>
      <c r="W1989" t="n">
        <v>29520</v>
      </c>
      <c r="X1989" t="n">
        <v>0</v>
      </c>
    </row>
    <row r="1990">
      <c r="A1990" t="n">
        <v>1989</v>
      </c>
      <c r="B1990" t="inlineStr">
        <is>
          <t>Send Doc</t>
        </is>
      </c>
      <c r="C1990" t="inlineStr">
        <is>
          <t>ឌី អេច អិល អិចប្រេស (ខេមបូឌា)</t>
        </is>
      </c>
      <c r="D1990" t="inlineStr">
        <is>
          <t>L001-100045197</t>
        </is>
      </c>
      <c r="E1990" t="inlineStr">
        <is>
          <t>PNHIR00259633</t>
        </is>
      </c>
      <c r="F1990" t="inlineStr">
        <is>
          <t>09-12-2024</t>
        </is>
      </c>
      <c r="G1990" t="n">
        <v>24162</v>
      </c>
      <c r="I1990">
        <f>G1990</f>
        <v/>
      </c>
      <c r="K1990">
        <f>I1990-G1990</f>
        <v/>
      </c>
      <c r="M1990" t="inlineStr">
        <is>
          <t>PNHIR00259633</t>
        </is>
      </c>
      <c r="N1990" t="inlineStr">
        <is>
          <t>8200000</t>
        </is>
      </c>
      <c r="O1990">
        <f>M1990=N1990</f>
        <v/>
      </c>
      <c r="P1990">
        <f>AND(MONTH(F1990)=MONTH(S1990), YEAR(F1990)=YEAR(S1990))</f>
        <v/>
      </c>
      <c r="Q1990">
        <f>"L001-902303751"=U1990</f>
        <v/>
      </c>
      <c r="R1990">
        <f>G1990-W1990</f>
        <v/>
      </c>
      <c r="S1990" s="36" t="n">
        <v>45285</v>
      </c>
      <c r="T1990" t="n">
        <v>82000</v>
      </c>
      <c r="U1990" t="inlineStr">
        <is>
          <t>L001-100011888</t>
        </is>
      </c>
      <c r="V1990" t="inlineStr">
        <is>
          <t>ត្រេន ស្តារ ហ្រេ្វត</t>
        </is>
      </c>
      <c r="W1990" t="n">
        <v>82000</v>
      </c>
      <c r="X1990" t="n">
        <v>0</v>
      </c>
    </row>
    <row r="1991">
      <c r="A1991" t="n">
        <v>1990</v>
      </c>
      <c r="B1991" t="inlineStr">
        <is>
          <t>Send Materials</t>
        </is>
      </c>
      <c r="C1991" t="inlineStr">
        <is>
          <t>ឌី អេច អិល អិចប្រេស (ខេមបូឌា)</t>
        </is>
      </c>
      <c r="D1991" t="inlineStr">
        <is>
          <t>L001-100045197</t>
        </is>
      </c>
      <c r="E1991" t="inlineStr">
        <is>
          <t>PNHIR00260197</t>
        </is>
      </c>
      <c r="F1991" t="inlineStr">
        <is>
          <t>11-12-2024</t>
        </is>
      </c>
      <c r="G1991" t="n">
        <v>8044</v>
      </c>
      <c r="I1991">
        <f>G1991</f>
        <v/>
      </c>
      <c r="K1991">
        <f>I1991-G1991</f>
        <v/>
      </c>
      <c r="M1991" t="inlineStr">
        <is>
          <t>PNHIR00260197</t>
        </is>
      </c>
      <c r="N1991" t="inlineStr"/>
      <c r="O1991">
        <f>M1991=N1991</f>
        <v/>
      </c>
      <c r="P1991">
        <f>AND(MONTH(F1991)=MONTH(S1991), YEAR(F1991)=YEAR(S1991))</f>
        <v/>
      </c>
      <c r="Q1991">
        <f>"L001-902303751"=U1991</f>
        <v/>
      </c>
      <c r="R1991">
        <f>G1991-W1991</f>
        <v/>
      </c>
      <c r="S1991" s="36" t="n">
        <v>45288</v>
      </c>
      <c r="T1991" t="inlineStr"/>
      <c r="U1991" t="inlineStr">
        <is>
          <t>L001-100011888</t>
        </is>
      </c>
      <c r="V1991" t="inlineStr">
        <is>
          <t>ត្រេន ស្តារ ហ្រេ្វត</t>
        </is>
      </c>
      <c r="W1991" t="n">
        <v>0</v>
      </c>
      <c r="X1991" t="n">
        <v>0</v>
      </c>
    </row>
    <row r="1992">
      <c r="A1992" t="n">
        <v>1991</v>
      </c>
      <c r="B1992" t="inlineStr">
        <is>
          <t>Send Materials</t>
        </is>
      </c>
      <c r="C1992" t="inlineStr">
        <is>
          <t>ឌី អេច អិល អិចប្រេស (ខេមបូឌា)</t>
        </is>
      </c>
      <c r="D1992" t="inlineStr">
        <is>
          <t>L001-100045197</t>
        </is>
      </c>
      <c r="E1992" t="inlineStr">
        <is>
          <t>PNHIR00260253</t>
        </is>
      </c>
      <c r="F1992" t="inlineStr">
        <is>
          <t>12-12-2024</t>
        </is>
      </c>
      <c r="G1992" t="n">
        <v>6024</v>
      </c>
      <c r="I1992">
        <f>G1992</f>
        <v/>
      </c>
      <c r="K1992">
        <f>I1992-G1992</f>
        <v/>
      </c>
      <c r="M1992" t="inlineStr">
        <is>
          <t>PNHIR00260253</t>
        </is>
      </c>
      <c r="N1992" t="inlineStr">
        <is>
          <t>8222000</t>
        </is>
      </c>
      <c r="O1992">
        <f>M1992=N1992</f>
        <v/>
      </c>
      <c r="P1992">
        <f>AND(MONTH(F1992)=MONTH(S1992), YEAR(F1992)=YEAR(S1992))</f>
        <v/>
      </c>
      <c r="Q1992">
        <f>"L001-902303751"=U1992</f>
        <v/>
      </c>
      <c r="R1992">
        <f>G1992-W1992</f>
        <v/>
      </c>
      <c r="S1992" s="36" t="n">
        <v>45278</v>
      </c>
      <c r="T1992" t="n">
        <v>82220</v>
      </c>
      <c r="U1992" t="inlineStr">
        <is>
          <t>L001-100045995</t>
        </is>
      </c>
      <c r="V1992" t="inlineStr">
        <is>
          <t>ឌីអេចអិល ឡូជីស្ទីក (ខេមបូឌា)</t>
        </is>
      </c>
      <c r="W1992" t="n">
        <v>82220</v>
      </c>
      <c r="X1992" t="n">
        <v>0</v>
      </c>
    </row>
    <row r="1993">
      <c r="A1993" t="n">
        <v>1992</v>
      </c>
      <c r="B1993" t="inlineStr">
        <is>
          <t>CFS Handling, Carrier BL, Document Assembly, Terminal Handling, Handling Fee, VGM Processing Fee and Mainfest Fee</t>
        </is>
      </c>
      <c r="C1993" t="inlineStr">
        <is>
          <t>អ៊ិចស្ពែឌីធ័រ ខេមបូឌា អិលធីឌី</t>
        </is>
      </c>
      <c r="D1993" t="inlineStr">
        <is>
          <t>L001-100045898</t>
        </is>
      </c>
      <c r="E1993" t="inlineStr">
        <is>
          <t>TI-0299462</t>
        </is>
      </c>
      <c r="F1993" t="inlineStr">
        <is>
          <t>03-12-2024</t>
        </is>
      </c>
      <c r="G1993" t="n">
        <v>83059</v>
      </c>
      <c r="I1993">
        <f>G1993</f>
        <v/>
      </c>
      <c r="K1993">
        <f>I1993-G1993</f>
        <v/>
      </c>
      <c r="M1993" t="inlineStr">
        <is>
          <t>TI0299462</t>
        </is>
      </c>
      <c r="N1993" t="inlineStr">
        <is>
          <t>8222000</t>
        </is>
      </c>
      <c r="O1993">
        <f>M1993=N1993</f>
        <v/>
      </c>
      <c r="P1993">
        <f>AND(MONTH(F1993)=MONTH(S1993), YEAR(F1993)=YEAR(S1993))</f>
        <v/>
      </c>
      <c r="Q1993">
        <f>"L001-902303751"=U1993</f>
        <v/>
      </c>
      <c r="R1993">
        <f>G1993-W1993</f>
        <v/>
      </c>
      <c r="S1993" s="36" t="n">
        <v>45278</v>
      </c>
      <c r="T1993" t="n">
        <v>82220</v>
      </c>
      <c r="U1993" t="inlineStr">
        <is>
          <t>L001-107041723</t>
        </is>
      </c>
      <c r="V1993" t="inlineStr">
        <is>
          <t>ឌីប៊ី សេនឃើរ (ខេមបូឌា) លីមីធីត</t>
        </is>
      </c>
      <c r="W1993" t="n">
        <v>82220</v>
      </c>
      <c r="X1993" t="n">
        <v>0</v>
      </c>
    </row>
    <row r="1994">
      <c r="A1994" t="n">
        <v>1993</v>
      </c>
      <c r="B1994" t="inlineStr">
        <is>
          <t>Being billed for 1st 50% financial audit for FYE 31 December 2024</t>
        </is>
      </c>
      <c r="C1994" t="inlineStr">
        <is>
          <t>អេហ្វអាយអាយ &amp; អឹសូស៊ីអេត</t>
        </is>
      </c>
      <c r="D1994" t="inlineStr">
        <is>
          <t>K008-104009497</t>
        </is>
      </c>
      <c r="E1994" t="inlineStr">
        <is>
          <t>2024/1665</t>
        </is>
      </c>
      <c r="F1994" t="inlineStr">
        <is>
          <t>02-12-2024</t>
        </is>
      </c>
      <c r="G1994" t="n">
        <v>1813050</v>
      </c>
      <c r="I1994">
        <f>G1994</f>
        <v/>
      </c>
      <c r="K1994">
        <f>I1994-G1994</f>
        <v/>
      </c>
      <c r="M1994" t="inlineStr">
        <is>
          <t>20241665</t>
        </is>
      </c>
      <c r="N1994" t="inlineStr"/>
      <c r="O1994">
        <f>M1994=N1994</f>
        <v/>
      </c>
      <c r="P1994">
        <f>AND(MONTH(F1994)=MONTH(S1994), YEAR(F1994)=YEAR(S1994))</f>
        <v/>
      </c>
      <c r="Q1994">
        <f>"L001-902303751"=U1994</f>
        <v/>
      </c>
      <c r="R1994">
        <f>G1994-W1994</f>
        <v/>
      </c>
      <c r="S1994" s="36" t="n">
        <v>45271</v>
      </c>
      <c r="T1994" t="inlineStr"/>
      <c r="U1994" t="inlineStr">
        <is>
          <t>K003-901635943</t>
        </is>
      </c>
      <c r="V1994" t="inlineStr">
        <is>
          <t>អ៊ីឃ្យូឡាញ វើលវ៉ាយដ៍ ឡូជីស្ទីក</t>
        </is>
      </c>
      <c r="W1994" t="n">
        <v>0</v>
      </c>
      <c r="X1994" t="n">
        <v>0</v>
      </c>
    </row>
    <row r="1995">
      <c r="A1995" t="n">
        <v>1994</v>
      </c>
      <c r="B1995" t="inlineStr">
        <is>
          <t>Being billed for 1st 50% financial audit for period from 15 August 2023 to 31 December 2023</t>
        </is>
      </c>
      <c r="C1995" t="inlineStr">
        <is>
          <t>អេហ្វអាយអាយ &amp; អឹសូស៊ីអេត</t>
        </is>
      </c>
      <c r="D1995" t="inlineStr">
        <is>
          <t>K008-104009497</t>
        </is>
      </c>
      <c r="E1995" t="inlineStr">
        <is>
          <t>2024/1666</t>
        </is>
      </c>
      <c r="F1995" t="inlineStr">
        <is>
          <t>02-12-2024</t>
        </is>
      </c>
      <c r="G1995" t="n">
        <v>1208700</v>
      </c>
      <c r="I1995">
        <f>G1995</f>
        <v/>
      </c>
      <c r="K1995">
        <f>I1995-G1995</f>
        <v/>
      </c>
      <c r="M1995" t="inlineStr">
        <is>
          <t>20241666</t>
        </is>
      </c>
      <c r="N1995" t="inlineStr">
        <is>
          <t>20652300</t>
        </is>
      </c>
      <c r="O1995">
        <f>M1995=N1995</f>
        <v/>
      </c>
      <c r="P1995">
        <f>AND(MONTH(F1995)=MONTH(S1995), YEAR(F1995)=YEAR(S1995))</f>
        <v/>
      </c>
      <c r="Q1995">
        <f>"L001-902303751"=U1995</f>
        <v/>
      </c>
      <c r="R1995">
        <f>G1995-W1995</f>
        <v/>
      </c>
      <c r="S1995" s="36" t="n">
        <v>45271</v>
      </c>
      <c r="T1995" t="n">
        <v>206523</v>
      </c>
      <c r="U1995" t="inlineStr">
        <is>
          <t>L001-100044956</t>
        </is>
      </c>
      <c r="V1995" t="inlineStr">
        <is>
          <t>ជី លីង អិចប្រេស ឡូជីស្ទីក (ខេមបូឌា) លីមីធីត</t>
        </is>
      </c>
      <c r="W1995" t="n">
        <v>206523</v>
      </c>
      <c r="X1995" t="n">
        <v>0</v>
      </c>
    </row>
    <row r="1996">
      <c r="A1996" t="n">
        <v>1995</v>
      </c>
      <c r="B1996" t="inlineStr">
        <is>
          <t>OM FORWARDING FEE, H/C and AMB FEE</t>
        </is>
      </c>
      <c r="C1996" t="inlineStr">
        <is>
          <t>អ៊ិចស្ពែឌីធ័រ ខេមបូឌា អិលធីឌី</t>
        </is>
      </c>
      <c r="D1996" t="inlineStr">
        <is>
          <t>L001-100045898</t>
        </is>
      </c>
      <c r="E1996" t="inlineStr">
        <is>
          <t>TI-0299621</t>
        </is>
      </c>
      <c r="F1996" t="inlineStr">
        <is>
          <t>04-12-2024</t>
        </is>
      </c>
      <c r="G1996" t="n">
        <v>46345</v>
      </c>
      <c r="I1996">
        <f>G1996</f>
        <v/>
      </c>
      <c r="K1996">
        <f>I1996-G1996</f>
        <v/>
      </c>
      <c r="M1996" t="inlineStr">
        <is>
          <t>TI0299621</t>
        </is>
      </c>
      <c r="N1996" t="inlineStr"/>
      <c r="O1996">
        <f>M1996=N1996</f>
        <v/>
      </c>
      <c r="P1996">
        <f>AND(MONTH(F1996)=MONTH(S1996), YEAR(F1996)=YEAR(S1996))</f>
        <v/>
      </c>
      <c r="Q1996">
        <f>"L001-902303751"=U1996</f>
        <v/>
      </c>
      <c r="R1996">
        <f>G1996-W1996</f>
        <v/>
      </c>
      <c r="S1996" s="36" t="n">
        <v>45271</v>
      </c>
      <c r="T1996" t="inlineStr"/>
      <c r="U1996" t="inlineStr">
        <is>
          <t>L001-107032791</t>
        </is>
      </c>
      <c r="V1996" t="inlineStr">
        <is>
          <t>នីបផន អិចប្រេស (ខេមបូឌា) ខូ អិលធីឌី</t>
        </is>
      </c>
      <c r="W1996" t="n">
        <v>0</v>
      </c>
      <c r="X1996" t="n">
        <v>0</v>
      </c>
    </row>
    <row r="1997">
      <c r="A1997" t="n">
        <v>1996</v>
      </c>
      <c r="B1997" t="inlineStr">
        <is>
          <t>AH Fee</t>
        </is>
      </c>
      <c r="C1997" t="inlineStr">
        <is>
          <t>អ៊ិចស្ពែឌីធ័រ ខេមបូឌា អិលធីឌី</t>
        </is>
      </c>
      <c r="D1997" t="inlineStr">
        <is>
          <t>L001-100045898</t>
        </is>
      </c>
      <c r="E1997" t="inlineStr">
        <is>
          <t>TI-0299078</t>
        </is>
      </c>
      <c r="F1997" t="inlineStr">
        <is>
          <t>03-12-2024</t>
        </is>
      </c>
      <c r="G1997" t="n">
        <v>20160</v>
      </c>
      <c r="I1997">
        <f>G1997</f>
        <v/>
      </c>
      <c r="K1997">
        <f>I1997-G1997</f>
        <v/>
      </c>
      <c r="M1997" t="inlineStr">
        <is>
          <t>TI0299078</t>
        </is>
      </c>
      <c r="N1997" t="inlineStr"/>
      <c r="O1997">
        <f>M1997=N1997</f>
        <v/>
      </c>
      <c r="P1997">
        <f>AND(MONTH(F1997)=MONTH(S1997), YEAR(F1997)=YEAR(S1997))</f>
        <v/>
      </c>
      <c r="Q1997">
        <f>"L001-902303751"=U1997</f>
        <v/>
      </c>
      <c r="R1997">
        <f>G1997-W1997</f>
        <v/>
      </c>
      <c r="S1997" s="36" t="n">
        <v>45267</v>
      </c>
      <c r="T1997" t="inlineStr"/>
      <c r="U1997" t="inlineStr">
        <is>
          <t>K002-901800477</t>
        </is>
      </c>
      <c r="V1997" t="inlineStr">
        <is>
          <t>អាយធីអាយ អ៊ិនធើណេសិនណល ត្រេនស័្ពរថេសិន (ខេមបូឌា) ឯ.ក</t>
        </is>
      </c>
      <c r="W1997" t="n">
        <v>0</v>
      </c>
      <c r="X1997" t="n">
        <v>0</v>
      </c>
    </row>
    <row r="1998">
      <c r="A1998" t="n">
        <v>1997</v>
      </c>
      <c r="B1998" t="inlineStr">
        <is>
          <t>OT Fee</t>
        </is>
      </c>
      <c r="C1998" t="inlineStr">
        <is>
          <t>អ៊ិចស្ពែឌីធ័រ ខេមបូឌា អិលធីឌី</t>
        </is>
      </c>
      <c r="D1998" t="inlineStr">
        <is>
          <t>L001-100045898</t>
        </is>
      </c>
      <c r="E1998" t="inlineStr">
        <is>
          <t>TI-0298718</t>
        </is>
      </c>
      <c r="F1998" t="inlineStr">
        <is>
          <t>03-12-2024</t>
        </is>
      </c>
      <c r="G1998" t="n">
        <v>32256</v>
      </c>
      <c r="I1998">
        <f>G1998</f>
        <v/>
      </c>
      <c r="K1998">
        <f>I1998-G1998</f>
        <v/>
      </c>
      <c r="M1998" t="inlineStr">
        <is>
          <t>TI0298718</t>
        </is>
      </c>
      <c r="N1998" t="inlineStr">
        <is>
          <t>11113200</t>
        </is>
      </c>
      <c r="O1998">
        <f>M1998=N1998</f>
        <v/>
      </c>
      <c r="P1998">
        <f>AND(MONTH(F1998)=MONTH(S1998), YEAR(F1998)=YEAR(S1998))</f>
        <v/>
      </c>
      <c r="Q1998">
        <f>"L001-902303751"=U1998</f>
        <v/>
      </c>
      <c r="R1998">
        <f>G1998-W1998</f>
        <v/>
      </c>
      <c r="S1998" s="36" t="n">
        <v>45267</v>
      </c>
      <c r="T1998" t="n">
        <v>111132</v>
      </c>
      <c r="U1998" t="inlineStr">
        <is>
          <t>K002-901800477</t>
        </is>
      </c>
      <c r="V1998" t="inlineStr">
        <is>
          <t>អាយធីអាយ អ៊ិនធើណេសិនណល ត្រេនស័្ពរថេសិន (ខេមបូឌា) ឯ.ក</t>
        </is>
      </c>
      <c r="W1998" t="n">
        <v>111132</v>
      </c>
      <c r="X1998" t="n">
        <v>0</v>
      </c>
    </row>
    <row r="1999">
      <c r="A1999" t="n">
        <v>1998</v>
      </c>
      <c r="B1999" t="inlineStr">
        <is>
          <t>CFS Handling, Carrier BL, Document Assembly, Terminal Handling, Handling Fee, VGM Processing Fee and Mainfest Fee</t>
        </is>
      </c>
      <c r="C1999" t="inlineStr">
        <is>
          <t>អ៊ិចស្ពែឌីធ័រ ខេមបូឌា អិលធីឌី</t>
        </is>
      </c>
      <c r="D1999" t="inlineStr">
        <is>
          <t>L001-100045898</t>
        </is>
      </c>
      <c r="E1999" t="inlineStr">
        <is>
          <t>TI-0299408</t>
        </is>
      </c>
      <c r="F1999" t="inlineStr">
        <is>
          <t>03-12-2024</t>
        </is>
      </c>
      <c r="G1999" t="n">
        <v>116928</v>
      </c>
      <c r="I1999">
        <f>G1999</f>
        <v/>
      </c>
      <c r="K1999">
        <f>I1999-G1999</f>
        <v/>
      </c>
      <c r="M1999" t="inlineStr">
        <is>
          <t>TI0299408</t>
        </is>
      </c>
      <c r="N1999" t="inlineStr"/>
      <c r="O1999">
        <f>M1999=N1999</f>
        <v/>
      </c>
      <c r="P1999">
        <f>AND(MONTH(F1999)=MONTH(S1999), YEAR(F1999)=YEAR(S1999))</f>
        <v/>
      </c>
      <c r="Q1999">
        <f>"L001-902303751"=U1999</f>
        <v/>
      </c>
      <c r="R1999">
        <f>G1999-W1999</f>
        <v/>
      </c>
      <c r="S1999" s="36" t="n">
        <v>45267</v>
      </c>
      <c r="T1999" t="inlineStr"/>
      <c r="U1999" t="inlineStr">
        <is>
          <t>K005-901805913</t>
        </is>
      </c>
      <c r="V1999" t="inlineStr">
        <is>
          <t>ស្តារ ខង់ខដ (ខេមបូឌា) ឯ.ក</t>
        </is>
      </c>
      <c r="W1999" t="n">
        <v>0</v>
      </c>
      <c r="X1999" t="n">
        <v>0</v>
      </c>
    </row>
    <row r="2000">
      <c r="A2000" t="n">
        <v>1999</v>
      </c>
      <c r="B2000" t="inlineStr">
        <is>
          <t>Send Materials</t>
        </is>
      </c>
      <c r="C2000" t="inlineStr">
        <is>
          <t>ឌី អេច អិល អិចប្រេស (ខេមបូឌា)</t>
        </is>
      </c>
      <c r="D2000" t="inlineStr">
        <is>
          <t>L001-100045197</t>
        </is>
      </c>
      <c r="E2000" t="inlineStr">
        <is>
          <t>PNHIR00261155</t>
        </is>
      </c>
      <c r="F2000" t="inlineStr">
        <is>
          <t>16-12-2024</t>
        </is>
      </c>
      <c r="G2000" t="n">
        <v>8038</v>
      </c>
      <c r="I2000">
        <f>G2000</f>
        <v/>
      </c>
      <c r="K2000">
        <f>I2000-G2000</f>
        <v/>
      </c>
      <c r="M2000" t="inlineStr">
        <is>
          <t>PNHIR00261155</t>
        </is>
      </c>
      <c r="N2000" t="inlineStr"/>
      <c r="O2000">
        <f>M2000=N2000</f>
        <v/>
      </c>
      <c r="P2000">
        <f>AND(MONTH(F2000)=MONTH(S2000), YEAR(F2000)=YEAR(S2000))</f>
        <v/>
      </c>
      <c r="Q2000">
        <f>"L001-902303751"=U2000</f>
        <v/>
      </c>
      <c r="R2000">
        <f>G2000-W2000</f>
        <v/>
      </c>
      <c r="S2000" s="36" t="n">
        <v>45261</v>
      </c>
      <c r="T2000" t="inlineStr"/>
      <c r="U2000" t="inlineStr">
        <is>
          <t>L001-107041723</t>
        </is>
      </c>
      <c r="V2000" t="inlineStr">
        <is>
          <t>ឌីប៊ី សេនឃើរ (ខេមបូឌា) លីមីធីត</t>
        </is>
      </c>
      <c r="W2000" t="n">
        <v>0</v>
      </c>
      <c r="X2000" t="n">
        <v>0</v>
      </c>
    </row>
    <row r="2001">
      <c r="A2001" t="n">
        <v>2000</v>
      </c>
      <c r="B2001" t="inlineStr">
        <is>
          <t>OT Fee</t>
        </is>
      </c>
      <c r="C2001" t="inlineStr">
        <is>
          <t>អ៊ិចស្ពែឌីធ័រ ខេមបូឌា អិលធីឌី</t>
        </is>
      </c>
      <c r="D2001" t="inlineStr">
        <is>
          <t>L001-100045898</t>
        </is>
      </c>
      <c r="E2001" t="inlineStr">
        <is>
          <t>TI-0299542</t>
        </is>
      </c>
      <c r="F2001" t="inlineStr">
        <is>
          <t>04-12-2024</t>
        </is>
      </c>
      <c r="G2001" t="n">
        <v>48360</v>
      </c>
      <c r="I2001">
        <f>G2001</f>
        <v/>
      </c>
      <c r="K2001">
        <f>I2001-G2001</f>
        <v/>
      </c>
      <c r="M2001" t="inlineStr">
        <is>
          <t>TI0299542</t>
        </is>
      </c>
      <c r="N2001" t="inlineStr">
        <is>
          <t>20637200</t>
        </is>
      </c>
      <c r="O2001">
        <f>M2001=N2001</f>
        <v/>
      </c>
      <c r="P2001">
        <f>AND(MONTH(F2001)=MONTH(S2001), YEAR(F2001)=YEAR(S2001))</f>
        <v/>
      </c>
      <c r="Q2001">
        <f>"L001-902303751"=U2001</f>
        <v/>
      </c>
      <c r="R2001">
        <f>G2001-W2001</f>
        <v/>
      </c>
      <c r="S2001" s="36" t="n">
        <v>45278</v>
      </c>
      <c r="T2001" t="n">
        <v>206372</v>
      </c>
      <c r="U2001" t="inlineStr">
        <is>
          <t>L001-100044956</t>
        </is>
      </c>
      <c r="V2001" t="inlineStr">
        <is>
          <t>ជី លីង អិចប្រេស ឡូជីស្ទីក (ខេមបូឌា) លីមីធីត</t>
        </is>
      </c>
      <c r="W2001" t="n">
        <v>206372</v>
      </c>
      <c r="X2001" t="n">
        <v>0</v>
      </c>
    </row>
    <row r="2002">
      <c r="A2002" t="n">
        <v>2001</v>
      </c>
      <c r="B2002" t="inlineStr">
        <is>
          <t>Export Customs Clearance</t>
        </is>
      </c>
      <c r="C2002" t="inlineStr">
        <is>
          <t>អ៊ីឃ្យូឡាញ វើលវ៉ាយដ៍ ឡូជីស្ទីក</t>
        </is>
      </c>
      <c r="D2002" t="inlineStr">
        <is>
          <t>K003-901635943</t>
        </is>
      </c>
      <c r="E2002" t="inlineStr">
        <is>
          <t>PPTI24/005824</t>
        </is>
      </c>
      <c r="F2002" t="inlineStr">
        <is>
          <t>03-12-2024</t>
        </is>
      </c>
      <c r="G2002" t="n">
        <v>64512</v>
      </c>
      <c r="I2002">
        <f>G2002</f>
        <v/>
      </c>
      <c r="K2002">
        <f>I2002-G2002</f>
        <v/>
      </c>
      <c r="M2002" t="inlineStr">
        <is>
          <t>PPTI24005824</t>
        </is>
      </c>
      <c r="N2002" t="inlineStr">
        <is>
          <t>1643200</t>
        </is>
      </c>
      <c r="O2002">
        <f>M2002=N2002</f>
        <v/>
      </c>
      <c r="P2002">
        <f>AND(MONTH(F2002)=MONTH(S2002), YEAR(F2002)=YEAR(S2002))</f>
        <v/>
      </c>
      <c r="Q2002">
        <f>"L001-902303751"=U2002</f>
        <v/>
      </c>
      <c r="R2002">
        <f>G2002-W2002</f>
        <v/>
      </c>
      <c r="S2002" s="36" t="n">
        <v>45273</v>
      </c>
      <c r="T2002" t="n">
        <v>16432</v>
      </c>
      <c r="U2002" t="inlineStr">
        <is>
          <t>L001-100045340</t>
        </is>
      </c>
      <c r="V2002" t="inlineStr">
        <is>
          <t xml:space="preserve">ស៊ីវ៉ា អ៊ែរ អ៊ែន អូសៀន (ខេមបូឌា) ឯ.ក </t>
        </is>
      </c>
      <c r="W2002" t="n">
        <v>16432</v>
      </c>
      <c r="X2002" t="n">
        <v>0</v>
      </c>
    </row>
    <row r="2003">
      <c r="A2003" t="n">
        <v>2002</v>
      </c>
      <c r="B2003" t="inlineStr">
        <is>
          <t>Export Customs Clearance</t>
        </is>
      </c>
      <c r="C2003" t="inlineStr">
        <is>
          <t>អ៊ីឃ្យូឡាញ វើលវ៉ាយដ៍ ឡូជីស្ទីក</t>
        </is>
      </c>
      <c r="D2003" t="inlineStr">
        <is>
          <t>K003-901635943</t>
        </is>
      </c>
      <c r="E2003" t="inlineStr">
        <is>
          <t>PPTI24/006110</t>
        </is>
      </c>
      <c r="F2003" t="inlineStr">
        <is>
          <t>17-12-2024</t>
        </is>
      </c>
      <c r="G2003" t="n">
        <v>64304</v>
      </c>
      <c r="I2003">
        <f>G2003</f>
        <v/>
      </c>
      <c r="K2003">
        <f>I2003-G2003</f>
        <v/>
      </c>
      <c r="M2003" t="inlineStr">
        <is>
          <t>PPTI24006110</t>
        </is>
      </c>
      <c r="N2003" t="inlineStr"/>
      <c r="O2003">
        <f>M2003=N2003</f>
        <v/>
      </c>
      <c r="P2003">
        <f>AND(MONTH(F2003)=MONTH(S2003), YEAR(F2003)=YEAR(S2003))</f>
        <v/>
      </c>
      <c r="Q2003">
        <f>"L001-902303751"=U2003</f>
        <v/>
      </c>
      <c r="R2003">
        <f>G2003-W2003</f>
        <v/>
      </c>
      <c r="S2003" s="36" t="n">
        <v>45267</v>
      </c>
      <c r="T2003" t="inlineStr"/>
      <c r="U2003" t="inlineStr">
        <is>
          <t>K002-901800477</t>
        </is>
      </c>
      <c r="V2003" t="inlineStr">
        <is>
          <t>អាយធីអាយ អ៊ិនធើណេសិនណល ត្រេនស័្ពរថេសិន (ខេមបូឌា) ឯ.ក</t>
        </is>
      </c>
      <c r="W2003" t="n">
        <v>0</v>
      </c>
      <c r="X2003" t="n">
        <v>0</v>
      </c>
    </row>
    <row r="2004">
      <c r="A2004" t="n">
        <v>2003</v>
      </c>
      <c r="B2004" t="inlineStr">
        <is>
          <t>Export Customs Clearance</t>
        </is>
      </c>
      <c r="C2004" t="inlineStr">
        <is>
          <t>អ៊ីឃ្យូឡាញ វើលវ៉ាយដ៍ ឡូជីស្ទីក</t>
        </is>
      </c>
      <c r="D2004" t="inlineStr">
        <is>
          <t>K003-901635943</t>
        </is>
      </c>
      <c r="E2004" t="inlineStr">
        <is>
          <t>PPTI24/005965</t>
        </is>
      </c>
      <c r="F2004" t="inlineStr">
        <is>
          <t>10-12-2024</t>
        </is>
      </c>
      <c r="G2004" t="n">
        <v>64400</v>
      </c>
      <c r="I2004">
        <f>G2004</f>
        <v/>
      </c>
      <c r="K2004">
        <f>I2004-G2004</f>
        <v/>
      </c>
      <c r="M2004" t="inlineStr">
        <is>
          <t>PPTI24005965</t>
        </is>
      </c>
      <c r="N2004" t="inlineStr"/>
      <c r="O2004">
        <f>M2004=N2004</f>
        <v/>
      </c>
      <c r="P2004">
        <f>AND(MONTH(F2004)=MONTH(S2004), YEAR(F2004)=YEAR(S2004))</f>
        <v/>
      </c>
      <c r="Q2004">
        <f>"L001-902303751"=U2004</f>
        <v/>
      </c>
      <c r="R2004">
        <f>G2004-W2004</f>
        <v/>
      </c>
      <c r="S2004" s="36" t="n">
        <v>45278</v>
      </c>
      <c r="T2004" t="inlineStr"/>
      <c r="U2004" t="inlineStr">
        <is>
          <t>L001-100045995</t>
        </is>
      </c>
      <c r="V2004" t="inlineStr">
        <is>
          <t>ឌីអេចអិល ឡូជីស្ទីក (ខេមបូឌា)</t>
        </is>
      </c>
      <c r="W2004" t="n">
        <v>0</v>
      </c>
      <c r="X2004" t="n">
        <v>0</v>
      </c>
    </row>
    <row r="2005">
      <c r="A2005" t="n">
        <v>2004</v>
      </c>
      <c r="B2005" t="inlineStr">
        <is>
          <t>Export Customs Clearance</t>
        </is>
      </c>
      <c r="C2005" t="inlineStr">
        <is>
          <t>អ៊ីឃ្យូឡាញ វើលវ៉ាយដ៍ ឡូជីស្ទីក</t>
        </is>
      </c>
      <c r="D2005" t="inlineStr">
        <is>
          <t>K003-901635943</t>
        </is>
      </c>
      <c r="E2005" t="inlineStr">
        <is>
          <t>PPTI24/006019</t>
        </is>
      </c>
      <c r="F2005" t="inlineStr">
        <is>
          <t>11-12-2024</t>
        </is>
      </c>
      <c r="G2005" t="n">
        <v>64352</v>
      </c>
      <c r="I2005">
        <f>G2005</f>
        <v/>
      </c>
      <c r="K2005">
        <f>I2005-G2005</f>
        <v/>
      </c>
      <c r="M2005" t="inlineStr">
        <is>
          <t>PPTI24006019</t>
        </is>
      </c>
      <c r="N2005" t="inlineStr">
        <is>
          <t>11346400</t>
        </is>
      </c>
      <c r="O2005">
        <f>M2005=N2005</f>
        <v/>
      </c>
      <c r="P2005">
        <f>AND(MONTH(F2005)=MONTH(S2005), YEAR(F2005)=YEAR(S2005))</f>
        <v/>
      </c>
      <c r="Q2005">
        <f>"L001-902303751"=U2005</f>
        <v/>
      </c>
      <c r="R2005">
        <f>G2005-W2005</f>
        <v/>
      </c>
      <c r="S2005" s="36" t="n">
        <v>45278</v>
      </c>
      <c r="T2005" t="n">
        <v>113464</v>
      </c>
      <c r="U2005" t="inlineStr">
        <is>
          <t>K003-901635943</t>
        </is>
      </c>
      <c r="V2005" t="inlineStr">
        <is>
          <t>អ៊ីឃ្យូឡាញ វើលវ៉ាយដ៍ ឡូជីស្ទីក</t>
        </is>
      </c>
      <c r="W2005" t="n">
        <v>113464</v>
      </c>
      <c r="X2005" t="n">
        <v>0</v>
      </c>
    </row>
    <row r="2006">
      <c r="A2006" t="n">
        <v>2005</v>
      </c>
      <c r="B2006" t="inlineStr">
        <is>
          <t>Send Materials</t>
        </is>
      </c>
      <c r="C2006" t="inlineStr">
        <is>
          <t>ឌី អេច អិល អិចប្រេស (ខេមបូឌា)</t>
        </is>
      </c>
      <c r="D2006" t="inlineStr">
        <is>
          <t>L001-100045197</t>
        </is>
      </c>
      <c r="E2006" t="inlineStr">
        <is>
          <t>PNHIR00261182</t>
        </is>
      </c>
      <c r="F2006" t="inlineStr">
        <is>
          <t>17-12-2024</t>
        </is>
      </c>
      <c r="G2006" t="n">
        <v>6029</v>
      </c>
      <c r="I2006">
        <f>G2006</f>
        <v/>
      </c>
      <c r="K2006">
        <f>I2006-G2006</f>
        <v/>
      </c>
      <c r="M2006" t="inlineStr">
        <is>
          <t>PNHIR00261182</t>
        </is>
      </c>
      <c r="N2006" t="inlineStr"/>
      <c r="O2006">
        <f>M2006=N2006</f>
        <v/>
      </c>
      <c r="P2006">
        <f>AND(MONTH(F2006)=MONTH(S2006), YEAR(F2006)=YEAR(S2006))</f>
        <v/>
      </c>
      <c r="Q2006">
        <f>"L001-902303751"=U2006</f>
        <v/>
      </c>
      <c r="R2006">
        <f>G2006-W2006</f>
        <v/>
      </c>
      <c r="S2006" s="36" t="n">
        <v>45271</v>
      </c>
      <c r="T2006" t="inlineStr"/>
      <c r="U2006" t="inlineStr">
        <is>
          <t>L001-100074669</t>
        </is>
      </c>
      <c r="V2006" t="inlineStr">
        <is>
          <t>ខេអិលអិន ហ្វ្រេត (ខេមបូឌា) ឯ.ក</t>
        </is>
      </c>
      <c r="W2006" t="n">
        <v>0</v>
      </c>
      <c r="X2006" t="n">
        <v>0</v>
      </c>
    </row>
    <row r="2007">
      <c r="A2007" t="n">
        <v>2006</v>
      </c>
      <c r="B2007" t="inlineStr">
        <is>
          <t>Decoration</t>
        </is>
      </c>
      <c r="C2007" t="inlineStr">
        <is>
          <t>ដឹ សាយ អេឡិកត្រូមេឃែនីខល អេនជីនារីង ឯ.ក</t>
        </is>
      </c>
      <c r="D2007" t="inlineStr">
        <is>
          <t>K009-902303599</t>
        </is>
      </c>
      <c r="E2007" t="inlineStr">
        <is>
          <t>00047</t>
        </is>
      </c>
      <c r="F2007" t="inlineStr">
        <is>
          <t>18-12-2024</t>
        </is>
      </c>
      <c r="G2007" t="n">
        <v>176924</v>
      </c>
      <c r="I2007">
        <f>G2007</f>
        <v/>
      </c>
      <c r="K2007">
        <f>I2007-G2007</f>
        <v/>
      </c>
      <c r="M2007" t="inlineStr">
        <is>
          <t>00047</t>
        </is>
      </c>
      <c r="N2007" t="inlineStr">
        <is>
          <t>8232000</t>
        </is>
      </c>
      <c r="O2007">
        <f>M2007=N2007</f>
        <v/>
      </c>
      <c r="P2007">
        <f>AND(MONTH(F2007)=MONTH(S2007), YEAR(F2007)=YEAR(S2007))</f>
        <v/>
      </c>
      <c r="Q2007">
        <f>"L001-902303751"=U2007</f>
        <v/>
      </c>
      <c r="R2007">
        <f>G2007-W2007</f>
        <v/>
      </c>
      <c r="S2007" s="36" t="n">
        <v>45267</v>
      </c>
      <c r="T2007" t="n">
        <v>82320</v>
      </c>
      <c r="U2007" t="inlineStr">
        <is>
          <t>K002-901800477</t>
        </is>
      </c>
      <c r="V2007" t="inlineStr">
        <is>
          <t>អាយធីអាយ អ៊ិនធើណេសិនណល ត្រេនស័្ពរថេសិន (ខេមបូឌា) ឯ.ក</t>
        </is>
      </c>
      <c r="W2007" t="n">
        <v>82320</v>
      </c>
      <c r="X2007" t="n">
        <v>0</v>
      </c>
    </row>
    <row r="2008">
      <c r="A2008" t="n">
        <v>2007</v>
      </c>
      <c r="B2008" t="inlineStr">
        <is>
          <t>Decoration</t>
        </is>
      </c>
      <c r="C2008" t="inlineStr">
        <is>
          <t>ដឹ សាយ អេឡិកត្រូមេឃែនីខល អេនជីនារីង ឯ.ក</t>
        </is>
      </c>
      <c r="D2008" t="inlineStr">
        <is>
          <t>K009-902303599</t>
        </is>
      </c>
      <c r="E2008" t="inlineStr">
        <is>
          <t>00048</t>
        </is>
      </c>
      <c r="F2008" t="inlineStr">
        <is>
          <t>19-12-2024</t>
        </is>
      </c>
      <c r="G2008" t="n">
        <v>1320014</v>
      </c>
      <c r="I2008">
        <f>G2008</f>
        <v/>
      </c>
      <c r="K2008">
        <f>I2008-G2008</f>
        <v/>
      </c>
      <c r="M2008" t="inlineStr">
        <is>
          <t>00048</t>
        </is>
      </c>
      <c r="N2008" t="inlineStr"/>
      <c r="O2008">
        <f>M2008=N2008</f>
        <v/>
      </c>
      <c r="P2008">
        <f>AND(MONTH(F2008)=MONTH(S2008), YEAR(F2008)=YEAR(S2008))</f>
        <v/>
      </c>
      <c r="Q2008">
        <f>"L001-902303751"=U2008</f>
        <v/>
      </c>
      <c r="R2008">
        <f>G2008-W2008</f>
        <v/>
      </c>
      <c r="S2008" s="36" t="n">
        <v>45264</v>
      </c>
      <c r="T2008" t="inlineStr"/>
      <c r="U2008" t="inlineStr">
        <is>
          <t>K005-901902888</t>
        </is>
      </c>
      <c r="V2008" t="inlineStr">
        <is>
          <t>អឹឡាយអិន ហ្វ័រវើឌីង (ខេមបូឌា) ឯ.ក</t>
        </is>
      </c>
      <c r="W2008" t="n">
        <v>0</v>
      </c>
      <c r="X2008" t="n">
        <v>0</v>
      </c>
    </row>
    <row r="2009">
      <c r="A2009" t="n">
        <v>2008</v>
      </c>
      <c r="B2009" t="inlineStr">
        <is>
          <t>Building Rental from 01-Aug-2024 to 31-Dec-2024</t>
        </is>
      </c>
      <c r="C2009" t="inlineStr">
        <is>
          <t>ស្មាត សាញ ហ្គាម៉ិន (ខេមបូឌា) ឯ.ក</t>
        </is>
      </c>
      <c r="D2009" t="inlineStr">
        <is>
          <t>L001-902105025</t>
        </is>
      </c>
      <c r="E2009" t="inlineStr">
        <is>
          <t>SSG-20240004</t>
        </is>
      </c>
      <c r="F2009" t="inlineStr">
        <is>
          <t>01-12-2024</t>
        </is>
      </c>
      <c r="G2009" t="n">
        <v>34926273</v>
      </c>
      <c r="I2009">
        <f>G2009</f>
        <v/>
      </c>
      <c r="K2009">
        <f>I2009-G2009</f>
        <v/>
      </c>
      <c r="M2009" t="inlineStr">
        <is>
          <t>SSG20240004</t>
        </is>
      </c>
      <c r="N2009" t="inlineStr"/>
      <c r="O2009">
        <f>M2009=N2009</f>
        <v/>
      </c>
      <c r="P2009">
        <f>AND(MONTH(F2009)=MONTH(S2009), YEAR(F2009)=YEAR(S2009))</f>
        <v/>
      </c>
      <c r="Q2009">
        <f>"L001-902303751"=U2009</f>
        <v/>
      </c>
      <c r="R2009">
        <f>G2009-W2009</f>
        <v/>
      </c>
      <c r="S2009" s="36" t="n">
        <v>45285</v>
      </c>
      <c r="T2009" t="inlineStr"/>
      <c r="U2009" t="inlineStr">
        <is>
          <t>K003-901635943</t>
        </is>
      </c>
      <c r="V2009" t="inlineStr">
        <is>
          <t>អ៊ីឃ្យូឡាញ វើលវ៉ាយដ៍ ឡូជីស្ទីក</t>
        </is>
      </c>
      <c r="W2009" t="n">
        <v>0</v>
      </c>
      <c r="X2009" t="n">
        <v>0</v>
      </c>
    </row>
    <row r="2010">
      <c r="A2010" t="n">
        <v>2009</v>
      </c>
      <c r="B2010" t="inlineStr">
        <is>
          <t>Monthly Tax Service for November 2024</t>
        </is>
      </c>
      <c r="C2010" t="inlineStr">
        <is>
          <t>ខេឌី ខនសាល់ធេន ឯ.ក</t>
        </is>
      </c>
      <c r="D2010" t="inlineStr">
        <is>
          <t>K005-901704277</t>
        </is>
      </c>
      <c r="E2010" t="inlineStr">
        <is>
          <t>20240001590</t>
        </is>
      </c>
      <c r="F2010" t="inlineStr">
        <is>
          <t>25-12-2024</t>
        </is>
      </c>
      <c r="G2010" t="n">
        <v>100475</v>
      </c>
      <c r="I2010">
        <f>G2010</f>
        <v/>
      </c>
      <c r="K2010">
        <f>I2010-G2010</f>
        <v/>
      </c>
      <c r="M2010" t="inlineStr">
        <is>
          <t>20240001590</t>
        </is>
      </c>
      <c r="N2010" t="inlineStr">
        <is>
          <t>8200000</t>
        </is>
      </c>
      <c r="O2010">
        <f>M2010=N2010</f>
        <v/>
      </c>
      <c r="P2010">
        <f>AND(MONTH(F2010)=MONTH(S2010), YEAR(F2010)=YEAR(S2010))</f>
        <v/>
      </c>
      <c r="Q2010">
        <f>"L001-902303751"=U2010</f>
        <v/>
      </c>
      <c r="R2010">
        <f>G2010-W2010</f>
        <v/>
      </c>
      <c r="S2010" s="36" t="n">
        <v>45285</v>
      </c>
      <c r="T2010" t="n">
        <v>82000</v>
      </c>
      <c r="U2010" t="inlineStr">
        <is>
          <t>L001-107041723</t>
        </is>
      </c>
      <c r="V2010" t="inlineStr">
        <is>
          <t>ឌីប៊ី សេនឃើរ (ខេមបូឌា) លីមីធីត</t>
        </is>
      </c>
      <c r="W2010" t="n">
        <v>82000</v>
      </c>
      <c r="X2010" t="n">
        <v>0</v>
      </c>
    </row>
    <row r="2011">
      <c r="A2011" t="n">
        <v>2010</v>
      </c>
      <c r="B2011" t="inlineStr">
        <is>
          <t>Customs Clearance Fee and Trucking Fee</t>
        </is>
      </c>
      <c r="C2011" t="inlineStr">
        <is>
          <t>ត្រាយអ៊ែងហ្គល ឡូជីស្ទីក (ខេមបូឌា) ឯ.ក</t>
        </is>
      </c>
      <c r="D2011" t="inlineStr">
        <is>
          <t>K010-902101743</t>
        </is>
      </c>
      <c r="E2011" t="inlineStr">
        <is>
          <t>TAG-24-00915</t>
        </is>
      </c>
      <c r="F2011" t="inlineStr">
        <is>
          <t>16-12-2024</t>
        </is>
      </c>
      <c r="G2011" t="n">
        <v>8038</v>
      </c>
      <c r="I2011">
        <f>G2011</f>
        <v/>
      </c>
      <c r="K2011">
        <f>I2011-G2011</f>
        <v/>
      </c>
      <c r="M2011" t="inlineStr">
        <is>
          <t>TAG2400915</t>
        </is>
      </c>
      <c r="N2011" t="inlineStr"/>
      <c r="O2011">
        <f>M2011=N2011</f>
        <v/>
      </c>
      <c r="P2011">
        <f>AND(MONTH(F2011)=MONTH(S2011), YEAR(F2011)=YEAR(S2011))</f>
        <v/>
      </c>
      <c r="Q2011">
        <f>"L001-902303751"=U2011</f>
        <v/>
      </c>
      <c r="R2011">
        <f>G2011-W2011</f>
        <v/>
      </c>
      <c r="S2011" s="36" t="n">
        <v>45267</v>
      </c>
      <c r="T2011" t="inlineStr"/>
      <c r="U2011" t="inlineStr">
        <is>
          <t>L001-100044956</t>
        </is>
      </c>
      <c r="V2011" t="inlineStr">
        <is>
          <t>ជី លីង អិចប្រេស ឡូជីស្ទីក (ខេមបូឌា) លីមីធីត</t>
        </is>
      </c>
      <c r="W2011" t="n">
        <v>0</v>
      </c>
      <c r="X2011" t="n">
        <v>0</v>
      </c>
    </row>
    <row r="2012">
      <c r="A2012" t="n">
        <v>2011</v>
      </c>
      <c r="B2012" t="inlineStr">
        <is>
          <t>Customs Clearance Fee and Trucking Fee</t>
        </is>
      </c>
      <c r="C2012" t="inlineStr">
        <is>
          <t>ត្រាយអ៊ែងហ្គល ឡូជីស្ទីក (ខេមបូឌា) ឯ.ក</t>
        </is>
      </c>
      <c r="D2012" t="inlineStr">
        <is>
          <t>K010-902101743</t>
        </is>
      </c>
      <c r="E2012" t="inlineStr">
        <is>
          <t>TAG-24-00914</t>
        </is>
      </c>
      <c r="F2012" t="inlineStr">
        <is>
          <t>16-12-2024</t>
        </is>
      </c>
      <c r="G2012" t="n">
        <v>8038</v>
      </c>
      <c r="I2012">
        <f>G2012</f>
        <v/>
      </c>
      <c r="K2012">
        <f>I2012-G2012</f>
        <v/>
      </c>
      <c r="M2012" t="inlineStr">
        <is>
          <t>TAG2400914</t>
        </is>
      </c>
      <c r="N2012" t="inlineStr"/>
      <c r="O2012">
        <f>M2012=N2012</f>
        <v/>
      </c>
      <c r="P2012">
        <f>AND(MONTH(F2012)=MONTH(S2012), YEAR(F2012)=YEAR(S2012))</f>
        <v/>
      </c>
      <c r="Q2012">
        <f>"L001-902303751"=U2012</f>
        <v/>
      </c>
      <c r="R2012">
        <f>G2012-W2012</f>
        <v/>
      </c>
      <c r="S2012" s="36" t="n">
        <v>45264</v>
      </c>
      <c r="T2012" t="inlineStr"/>
      <c r="U2012" t="inlineStr">
        <is>
          <t>K003-901635943</t>
        </is>
      </c>
      <c r="V2012" t="inlineStr">
        <is>
          <t>អ៊ីឃ្យូឡាញ វើលវ៉ាយដ៍ ឡូជីស្ទីក</t>
        </is>
      </c>
      <c r="W2012" t="n">
        <v>0</v>
      </c>
      <c r="X2012" t="n">
        <v>0</v>
      </c>
    </row>
    <row r="2013">
      <c r="A2013" t="n">
        <v>2012</v>
      </c>
      <c r="B2013" t="inlineStr">
        <is>
          <t>Customs Clearance Fee and Trucking Fee</t>
        </is>
      </c>
      <c r="C2013" t="inlineStr">
        <is>
          <t>ត្រាយអ៊ែងហ្គល ឡូជីស្ទីក (ខេមបូឌា) ឯ.ក</t>
        </is>
      </c>
      <c r="D2013" t="inlineStr">
        <is>
          <t>K010-902101743</t>
        </is>
      </c>
      <c r="E2013" t="inlineStr">
        <is>
          <t>TAG-24-00913</t>
        </is>
      </c>
      <c r="F2013" t="inlineStr">
        <is>
          <t>16-12-2024</t>
        </is>
      </c>
      <c r="G2013" t="n">
        <v>8038</v>
      </c>
      <c r="I2013">
        <f>G2013</f>
        <v/>
      </c>
      <c r="K2013">
        <f>I2013-G2013</f>
        <v/>
      </c>
      <c r="M2013" t="inlineStr">
        <is>
          <t>TAG2400913</t>
        </is>
      </c>
      <c r="N2013" t="inlineStr">
        <is>
          <t>29949900</t>
        </is>
      </c>
      <c r="O2013">
        <f>M2013=N2013</f>
        <v/>
      </c>
      <c r="P2013">
        <f>AND(MONTH(F2013)=MONTH(S2013), YEAR(F2013)=YEAR(S2013))</f>
        <v/>
      </c>
      <c r="Q2013">
        <f>"L001-902303751"=U2013</f>
        <v/>
      </c>
      <c r="R2013">
        <f>G2013-W2013</f>
        <v/>
      </c>
      <c r="S2013" s="36" t="n">
        <v>45264</v>
      </c>
      <c r="T2013" t="n">
        <v>299499</v>
      </c>
      <c r="U2013" t="inlineStr">
        <is>
          <t>L001-100074669</t>
        </is>
      </c>
      <c r="V2013" t="inlineStr">
        <is>
          <t>ខេអិលអិន ហ្វ្រេត (ខេមបូឌា) ឯ.ក</t>
        </is>
      </c>
      <c r="W2013" t="n">
        <v>299499</v>
      </c>
      <c r="X2013" t="n">
        <v>0</v>
      </c>
    </row>
    <row r="2014">
      <c r="A2014" t="n">
        <v>2013</v>
      </c>
      <c r="B2014" t="inlineStr">
        <is>
          <t>Customs Clearance Fee and Trucking Fee</t>
        </is>
      </c>
      <c r="C2014" t="inlineStr">
        <is>
          <t>ត្រាយអ៊ែងហ្គល ឡូជីស្ទីក (ខេមបូឌា) ឯ.ក</t>
        </is>
      </c>
      <c r="D2014" t="inlineStr">
        <is>
          <t>K010-902101743</t>
        </is>
      </c>
      <c r="E2014" t="inlineStr">
        <is>
          <t>TAG-24-00912</t>
        </is>
      </c>
      <c r="F2014" t="inlineStr">
        <is>
          <t>16-12-2024</t>
        </is>
      </c>
      <c r="G2014" t="n">
        <v>8038</v>
      </c>
      <c r="I2014">
        <f>G2014</f>
        <v/>
      </c>
      <c r="K2014">
        <f>I2014-G2014</f>
        <v/>
      </c>
      <c r="M2014" t="inlineStr">
        <is>
          <t>TAG2400912</t>
        </is>
      </c>
      <c r="N2014" t="inlineStr"/>
      <c r="O2014">
        <f>M2014=N2014</f>
        <v/>
      </c>
      <c r="P2014">
        <f>AND(MONTH(F2014)=MONTH(S2014), YEAR(F2014)=YEAR(S2014))</f>
        <v/>
      </c>
      <c r="Q2014">
        <f>"L001-902303751"=U2014</f>
        <v/>
      </c>
      <c r="R2014">
        <f>G2014-W2014</f>
        <v/>
      </c>
      <c r="S2014" s="36" t="n">
        <v>45285</v>
      </c>
      <c r="T2014" t="inlineStr"/>
      <c r="U2014" t="inlineStr">
        <is>
          <t>L001-107032791</t>
        </is>
      </c>
      <c r="V2014" t="inlineStr">
        <is>
          <t>នីបផន អិចប្រេស (ខេមបូឌា) ខូ អិលធីឌី</t>
        </is>
      </c>
      <c r="W2014" t="n">
        <v>0</v>
      </c>
      <c r="X2014" t="n">
        <v>0</v>
      </c>
    </row>
    <row r="2015">
      <c r="A2015" t="n">
        <v>2014</v>
      </c>
      <c r="B2015" t="inlineStr">
        <is>
          <t>Trucking, Customs Clearance, Extra Trucking and Truck Fuel Surcharge</t>
        </is>
      </c>
      <c r="C2015" t="inlineStr">
        <is>
          <t>អេស អ វី ស៊ី ហ្វ្រេត សឺវីស (ខេមបូឌា) ខូ អិលធីឌី</t>
        </is>
      </c>
      <c r="D2015" t="inlineStr">
        <is>
          <t>K005-100150195</t>
        </is>
      </c>
      <c r="E2015" t="inlineStr">
        <is>
          <t>SRVI2407785</t>
        </is>
      </c>
      <c r="F2015" t="inlineStr">
        <is>
          <t>05-12-2024</t>
        </is>
      </c>
      <c r="G2015" t="n">
        <v>161160</v>
      </c>
      <c r="I2015">
        <f>G2015</f>
        <v/>
      </c>
      <c r="K2015">
        <f>I2015-G2015</f>
        <v/>
      </c>
      <c r="M2015" t="inlineStr">
        <is>
          <t>SRVI2407785</t>
        </is>
      </c>
      <c r="N2015" t="inlineStr">
        <is>
          <t>289138500</t>
        </is>
      </c>
      <c r="O2015">
        <f>M2015=N2015</f>
        <v/>
      </c>
      <c r="P2015">
        <f>AND(MONTH(F2015)=MONTH(S2015), YEAR(F2015)=YEAR(S2015))</f>
        <v/>
      </c>
      <c r="Q2015">
        <f>"L001-902303751"=U2015</f>
        <v/>
      </c>
      <c r="R2015">
        <f>G2015-W2015</f>
        <v/>
      </c>
      <c r="S2015" s="36" t="n">
        <v>45275</v>
      </c>
      <c r="T2015" t="n">
        <v>2891385</v>
      </c>
      <c r="U2015" t="inlineStr">
        <is>
          <t>K004-105012505</t>
        </is>
      </c>
      <c r="V2015" t="inlineStr">
        <is>
          <t>អេស៊ាន ហ្វ្រេត (ខេមបូឌា)</t>
        </is>
      </c>
      <c r="W2015" t="n">
        <v>2891385</v>
      </c>
      <c r="X2015" t="n">
        <v>0</v>
      </c>
    </row>
    <row r="2016">
      <c r="A2016" t="n">
        <v>2015</v>
      </c>
      <c r="B2016" t="inlineStr">
        <is>
          <t>Trucking, Customs Clearance, Extra Trucking and Truck Fuel Surcharge</t>
        </is>
      </c>
      <c r="C2016" t="inlineStr">
        <is>
          <t>អេស អ វី ស៊ី ហ្វ្រេត សឺវីស (ខេមបូឌា) ខូ អិលធីឌី</t>
        </is>
      </c>
      <c r="D2016" t="inlineStr">
        <is>
          <t>K005-100150195</t>
        </is>
      </c>
      <c r="E2016" t="inlineStr">
        <is>
          <t>SRVI2407788</t>
        </is>
      </c>
      <c r="F2016" t="inlineStr">
        <is>
          <t>05-12-2024</t>
        </is>
      </c>
      <c r="G2016" t="n">
        <v>169218</v>
      </c>
      <c r="I2016">
        <f>G2016</f>
        <v/>
      </c>
      <c r="K2016">
        <f>I2016-G2016</f>
        <v/>
      </c>
      <c r="M2016" t="inlineStr">
        <is>
          <t>SRVI2407788</t>
        </is>
      </c>
      <c r="N2016" t="inlineStr"/>
      <c r="O2016">
        <f>M2016=N2016</f>
        <v/>
      </c>
      <c r="P2016">
        <f>AND(MONTH(F2016)=MONTH(S2016), YEAR(F2016)=YEAR(S2016))</f>
        <v/>
      </c>
      <c r="Q2016">
        <f>"L001-902303751"=U2016</f>
        <v/>
      </c>
      <c r="R2016">
        <f>G2016-W2016</f>
        <v/>
      </c>
      <c r="S2016" s="36" t="n">
        <v>45278</v>
      </c>
      <c r="T2016" t="inlineStr"/>
      <c r="U2016" t="inlineStr">
        <is>
          <t>K003-901635943</t>
        </is>
      </c>
      <c r="V2016" t="inlineStr">
        <is>
          <t>អ៊ីឃ្យូឡាញ វើលវ៉ាយដ៍ ឡូជីស្ទីក</t>
        </is>
      </c>
      <c r="W2016" t="n">
        <v>0</v>
      </c>
      <c r="X2016" t="n">
        <v>0</v>
      </c>
    </row>
    <row r="2017">
      <c r="A2017" t="n">
        <v>2016</v>
      </c>
      <c r="B2017" t="inlineStr">
        <is>
          <t>Trucking, Customs Clearance, Extra Trucking and Truck Fuel Surcharge</t>
        </is>
      </c>
      <c r="C2017" t="inlineStr">
        <is>
          <t>អេស អ វី ស៊ី ហ្វ្រេត សឺវីស (ខេមបូឌា) ខូ អិលធីឌី</t>
        </is>
      </c>
      <c r="D2017" t="inlineStr">
        <is>
          <t>K005-100150195</t>
        </is>
      </c>
      <c r="E2017" t="inlineStr">
        <is>
          <t>SRVI2408205</t>
        </is>
      </c>
      <c r="F2017" t="inlineStr">
        <is>
          <t>24-12-2024</t>
        </is>
      </c>
      <c r="G2017" t="n">
        <v>160760</v>
      </c>
      <c r="I2017">
        <f>G2017</f>
        <v/>
      </c>
      <c r="K2017">
        <f>I2017-G2017</f>
        <v/>
      </c>
      <c r="M2017" t="inlineStr">
        <is>
          <t>SRVI2408205</t>
        </is>
      </c>
      <c r="N2017" t="inlineStr"/>
      <c r="O2017">
        <f>M2017=N2017</f>
        <v/>
      </c>
      <c r="P2017">
        <f>AND(MONTH(F2017)=MONTH(S2017), YEAR(F2017)=YEAR(S2017))</f>
        <v/>
      </c>
      <c r="Q2017">
        <f>"L001-902303751"=U2017</f>
        <v/>
      </c>
      <c r="R2017">
        <f>G2017-W2017</f>
        <v/>
      </c>
      <c r="S2017" s="36" t="n">
        <v>45278</v>
      </c>
      <c r="T2017" t="inlineStr"/>
      <c r="U2017" t="inlineStr">
        <is>
          <t>L001-107041723</t>
        </is>
      </c>
      <c r="V2017" t="inlineStr">
        <is>
          <t>ឌីប៊ី សេនឃើរ (ខេមបូឌា) លីមីធីត</t>
        </is>
      </c>
      <c r="W2017" t="n">
        <v>0</v>
      </c>
      <c r="X2017" t="n">
        <v>0</v>
      </c>
    </row>
    <row r="2018">
      <c r="A2018" t="n">
        <v>2017</v>
      </c>
      <c r="B2018" t="inlineStr">
        <is>
          <t>Trucking, Customs Clearance, Extra Trucking and Truck Fuel Surcharge</t>
        </is>
      </c>
      <c r="C2018" t="inlineStr">
        <is>
          <t>អេស អ វី ស៊ី ហ្វ្រេត សឺវីស (ខេមបូឌា) ខូ អិលធីឌី</t>
        </is>
      </c>
      <c r="D2018" t="inlineStr">
        <is>
          <t>K005-100150195</t>
        </is>
      </c>
      <c r="E2018" t="inlineStr">
        <is>
          <t>SRVI2408071</t>
        </is>
      </c>
      <c r="F2018" t="inlineStr">
        <is>
          <t>18-12-2024</t>
        </is>
      </c>
      <c r="G2018" t="n">
        <v>233218</v>
      </c>
      <c r="I2018">
        <f>G2018</f>
        <v/>
      </c>
      <c r="K2018">
        <f>I2018-G2018</f>
        <v/>
      </c>
      <c r="M2018" t="inlineStr">
        <is>
          <t>SRVI2408071</t>
        </is>
      </c>
      <c r="N2018" t="inlineStr">
        <is>
          <t>13000200</t>
        </is>
      </c>
      <c r="O2018">
        <f>M2018=N2018</f>
        <v/>
      </c>
      <c r="P2018">
        <f>AND(MONTH(F2018)=MONTH(S2018), YEAR(F2018)=YEAR(S2018))</f>
        <v/>
      </c>
      <c r="Q2018">
        <f>"L001-902303751"=U2018</f>
        <v/>
      </c>
      <c r="R2018">
        <f>G2018-W2018</f>
        <v/>
      </c>
      <c r="S2018" s="36" t="n">
        <v>45271</v>
      </c>
      <c r="T2018" t="n">
        <v>130002</v>
      </c>
      <c r="U2018" t="inlineStr">
        <is>
          <t>K005-901805913</t>
        </is>
      </c>
      <c r="V2018" t="inlineStr">
        <is>
          <t>ស្តារ ខង់ខដ (ខេមបូឌា) ឯ.ក</t>
        </is>
      </c>
      <c r="W2018" t="n">
        <v>130002</v>
      </c>
      <c r="X2018" t="n">
        <v>0</v>
      </c>
    </row>
    <row r="2019">
      <c r="A2019" t="n">
        <v>2018</v>
      </c>
      <c r="B2019" t="inlineStr">
        <is>
          <t>Trucking, Customs Clearance, Extra Trucking and Truck Fuel Surcharge</t>
        </is>
      </c>
      <c r="C2019" t="inlineStr">
        <is>
          <t>អេស អ វី ស៊ី ហ្វ្រេត សឺវីស (ខេមបូឌា) ខូ អិលធីឌី</t>
        </is>
      </c>
      <c r="D2019" t="inlineStr">
        <is>
          <t>K005-100150195</t>
        </is>
      </c>
      <c r="E2019" t="inlineStr">
        <is>
          <t>SRVI2408068</t>
        </is>
      </c>
      <c r="F2019" t="inlineStr">
        <is>
          <t>18-12-2024</t>
        </is>
      </c>
      <c r="G2019" t="n">
        <v>160840</v>
      </c>
      <c r="I2019">
        <f>G2019</f>
        <v/>
      </c>
      <c r="K2019">
        <f>I2019-G2019</f>
        <v/>
      </c>
      <c r="M2019" t="inlineStr">
        <is>
          <t>SRVI2408068</t>
        </is>
      </c>
      <c r="N2019" t="inlineStr">
        <is>
          <t>26342400</t>
        </is>
      </c>
      <c r="O2019">
        <f>M2019=N2019</f>
        <v/>
      </c>
      <c r="P2019">
        <f>AND(MONTH(F2019)=MONTH(S2019), YEAR(F2019)=YEAR(S2019))</f>
        <v/>
      </c>
      <c r="Q2019">
        <f>"L001-902303751"=U2019</f>
        <v/>
      </c>
      <c r="R2019">
        <f>G2019-W2019</f>
        <v/>
      </c>
      <c r="S2019" s="36" t="n">
        <v>45267</v>
      </c>
      <c r="T2019" t="n">
        <v>263424</v>
      </c>
      <c r="U2019" t="inlineStr">
        <is>
          <t>L001-100011888</t>
        </is>
      </c>
      <c r="V2019" t="inlineStr">
        <is>
          <t>ត្រេន ស្តារ ហ្រេ្វត</t>
        </is>
      </c>
      <c r="W2019" t="n">
        <v>263424</v>
      </c>
      <c r="X2019" t="n">
        <v>0</v>
      </c>
    </row>
    <row r="2020">
      <c r="A2020" t="n">
        <v>2019</v>
      </c>
      <c r="B2020" t="inlineStr">
        <is>
          <t>Trucking, Customs Clearance, Extra Trucking and Truck Fuel Surcharge</t>
        </is>
      </c>
      <c r="C2020" t="inlineStr">
        <is>
          <t>អេស អ វី ស៊ី ហ្វ្រេត សឺវីស (ខេមបូឌា) ខូ អិលធីឌី</t>
        </is>
      </c>
      <c r="D2020" t="inlineStr">
        <is>
          <t>K005-100150195</t>
        </is>
      </c>
      <c r="E2020" t="inlineStr">
        <is>
          <t>SRVI2407901</t>
        </is>
      </c>
      <c r="F2020" t="inlineStr">
        <is>
          <t>11-12-2024</t>
        </is>
      </c>
      <c r="G2020" t="n">
        <v>168924</v>
      </c>
      <c r="I2020">
        <f>G2020</f>
        <v/>
      </c>
      <c r="K2020">
        <f>I2020-G2020</f>
        <v/>
      </c>
      <c r="M2020" t="inlineStr">
        <is>
          <t>SRVI2407901</t>
        </is>
      </c>
      <c r="N2020" t="inlineStr">
        <is>
          <t>11113200</t>
        </is>
      </c>
      <c r="O2020">
        <f>M2020=N2020</f>
        <v/>
      </c>
      <c r="P2020">
        <f>AND(MONTH(F2020)=MONTH(S2020), YEAR(F2020)=YEAR(S2020))</f>
        <v/>
      </c>
      <c r="Q2020">
        <f>"L001-902303751"=U2020</f>
        <v/>
      </c>
      <c r="R2020">
        <f>G2020-W2020</f>
        <v/>
      </c>
      <c r="S2020" s="36" t="n">
        <v>45267</v>
      </c>
      <c r="T2020" t="n">
        <v>111132</v>
      </c>
      <c r="U2020" t="inlineStr">
        <is>
          <t>K002-901800477</t>
        </is>
      </c>
      <c r="V2020" t="inlineStr">
        <is>
          <t>អាយធីអាយ អ៊ិនធើណេសិនណល ត្រេនស័្ពរថេសិន (ខេមបូឌា) ឯ.ក</t>
        </is>
      </c>
      <c r="W2020" t="n">
        <v>111132</v>
      </c>
      <c r="X2020" t="n">
        <v>0</v>
      </c>
    </row>
    <row r="2021">
      <c r="A2021" t="n">
        <v>2020</v>
      </c>
      <c r="B2021" t="inlineStr">
        <is>
          <t>Trucking, Customs Clearance, Extra Trucking and Truck Fuel Surcharge</t>
        </is>
      </c>
      <c r="C2021" t="inlineStr">
        <is>
          <t>អេស អ វី ស៊ី ហ្វ្រេត សឺវីស (ខេមបូឌា) ខូ អិលធីឌី</t>
        </is>
      </c>
      <c r="D2021" t="inlineStr">
        <is>
          <t>K005-100150195</t>
        </is>
      </c>
      <c r="E2021" t="inlineStr">
        <is>
          <t>SRVI2407898</t>
        </is>
      </c>
      <c r="F2021" t="inlineStr">
        <is>
          <t>11-12-2024</t>
        </is>
      </c>
      <c r="G2021" t="n">
        <v>160880</v>
      </c>
      <c r="I2021">
        <f>G2021</f>
        <v/>
      </c>
      <c r="K2021">
        <f>I2021-G2021</f>
        <v/>
      </c>
      <c r="M2021" t="inlineStr">
        <is>
          <t>SRVI2407898</t>
        </is>
      </c>
      <c r="N2021" t="inlineStr"/>
      <c r="O2021">
        <f>M2021=N2021</f>
        <v/>
      </c>
      <c r="P2021">
        <f>AND(MONTH(F2021)=MONTH(S2021), YEAR(F2021)=YEAR(S2021))</f>
        <v/>
      </c>
      <c r="Q2021">
        <f>"L001-902303751"=U2021</f>
        <v/>
      </c>
      <c r="R2021">
        <f>G2021-W2021</f>
        <v/>
      </c>
      <c r="S2021" s="36" t="n">
        <v>45267</v>
      </c>
      <c r="T2021" t="inlineStr"/>
      <c r="U2021" t="inlineStr">
        <is>
          <t>L001-103007369</t>
        </is>
      </c>
      <c r="V2021" t="inlineStr">
        <is>
          <t>អូរៀនថល ឡូជីស្ទីក &amp; ឌីស្ទ្រីប៊្យូសិន (ខេមបូឌា)</t>
        </is>
      </c>
      <c r="W2021" t="n">
        <v>0</v>
      </c>
      <c r="X2021" t="n">
        <v>0</v>
      </c>
    </row>
    <row r="2022">
      <c r="A2022" t="n">
        <v>2021</v>
      </c>
      <c r="B2022" t="inlineStr">
        <is>
          <t>Customs Clearance Fee and Trucking Fee</t>
        </is>
      </c>
      <c r="C2022" t="inlineStr">
        <is>
          <t>ត្រាយអ៊ែងហ្គល ឡូជីស្ទីក (ខេមបូឌា) ឯ.ក</t>
        </is>
      </c>
      <c r="D2022" t="inlineStr">
        <is>
          <t>K010-902101743</t>
        </is>
      </c>
      <c r="E2022" t="inlineStr">
        <is>
          <t>TAG-24-00916</t>
        </is>
      </c>
      <c r="F2022" t="inlineStr">
        <is>
          <t>20-12-2024</t>
        </is>
      </c>
      <c r="G2022" t="n">
        <v>8038</v>
      </c>
      <c r="I2022">
        <f>G2022</f>
        <v/>
      </c>
      <c r="K2022">
        <f>I2022-G2022</f>
        <v/>
      </c>
      <c r="M2022" t="inlineStr">
        <is>
          <t>TAG2400916</t>
        </is>
      </c>
      <c r="N2022" t="inlineStr">
        <is>
          <t>11107800</t>
        </is>
      </c>
      <c r="O2022">
        <f>M2022=N2022</f>
        <v/>
      </c>
      <c r="P2022">
        <f>AND(MONTH(F2022)=MONTH(S2022), YEAR(F2022)=YEAR(S2022))</f>
        <v/>
      </c>
      <c r="Q2022">
        <f>"L001-902303751"=U2022</f>
        <v/>
      </c>
      <c r="R2022">
        <f>G2022-W2022</f>
        <v/>
      </c>
      <c r="S2022" s="36" t="n">
        <v>45264</v>
      </c>
      <c r="T2022" t="n">
        <v>111078</v>
      </c>
      <c r="U2022" t="inlineStr">
        <is>
          <t>K005-100059945</t>
        </is>
      </c>
      <c r="V2022" t="inlineStr">
        <is>
          <t>អ៊ែតវ៉ានស៍ គ្លរី ឡូជីស្ទីក (ខេមបូឌា) (អេ ជី អិល)</t>
        </is>
      </c>
      <c r="W2022" t="n">
        <v>111078</v>
      </c>
      <c r="X2022" t="n">
        <v>0</v>
      </c>
    </row>
    <row r="2023">
      <c r="A2023" t="n">
        <v>2022</v>
      </c>
      <c r="B2023" t="inlineStr">
        <is>
          <t>Customs Clearance Fee and Trucking Fee</t>
        </is>
      </c>
      <c r="C2023" t="inlineStr">
        <is>
          <t>ត្រាយអ៊ែងហ្គល ឡូជីស្ទីក (ខេមបូឌា) ឯ.ក</t>
        </is>
      </c>
      <c r="D2023" t="inlineStr">
        <is>
          <t>K010-902101743</t>
        </is>
      </c>
      <c r="E2023" t="inlineStr">
        <is>
          <t>TAG-24-00917</t>
        </is>
      </c>
      <c r="F2023" t="inlineStr">
        <is>
          <t>20-12-2024</t>
        </is>
      </c>
      <c r="G2023" t="n">
        <v>8038</v>
      </c>
      <c r="I2023">
        <f>G2023</f>
        <v/>
      </c>
      <c r="K2023">
        <f>I2023-G2023</f>
        <v/>
      </c>
      <c r="M2023" t="inlineStr">
        <is>
          <t>TAG2400917</t>
        </is>
      </c>
      <c r="N2023" t="inlineStr">
        <is>
          <t>11107800</t>
        </is>
      </c>
      <c r="O2023">
        <f>M2023=N2023</f>
        <v/>
      </c>
      <c r="P2023">
        <f>AND(MONTH(F2023)=MONTH(S2023), YEAR(F2023)=YEAR(S2023))</f>
        <v/>
      </c>
      <c r="Q2023">
        <f>"L001-902303751"=U2023</f>
        <v/>
      </c>
      <c r="R2023">
        <f>G2023-W2023</f>
        <v/>
      </c>
      <c r="S2023" s="36" t="n">
        <v>45264</v>
      </c>
      <c r="T2023" t="n">
        <v>111078</v>
      </c>
      <c r="U2023" t="inlineStr">
        <is>
          <t>L001-100045995</t>
        </is>
      </c>
      <c r="V2023" t="inlineStr">
        <is>
          <t>ឌីអេចអិល ឡូជីស្ទីក (ខេមបូឌា)</t>
        </is>
      </c>
      <c r="W2023" t="n">
        <v>111078</v>
      </c>
      <c r="X2023" t="n">
        <v>0</v>
      </c>
    </row>
    <row r="2024">
      <c r="A2024" t="n">
        <v>2023</v>
      </c>
      <c r="B2024" t="inlineStr">
        <is>
          <t>Customs Clearance Fee and Trucking Fee</t>
        </is>
      </c>
      <c r="C2024" t="inlineStr">
        <is>
          <t>ត្រាយអ៊ែងហ្គល ឡូជីស្ទីក (ខេមបូឌា) ឯ.ក</t>
        </is>
      </c>
      <c r="D2024" t="inlineStr">
        <is>
          <t>K010-902101743</t>
        </is>
      </c>
      <c r="E2024" t="inlineStr">
        <is>
          <t>TAG-24-00918</t>
        </is>
      </c>
      <c r="F2024" t="inlineStr">
        <is>
          <t>20-12-2024</t>
        </is>
      </c>
      <c r="G2024" t="n">
        <v>8038</v>
      </c>
      <c r="I2024">
        <f>G2024</f>
        <v/>
      </c>
      <c r="K2024">
        <f>I2024-G2024</f>
        <v/>
      </c>
      <c r="M2024" t="inlineStr">
        <is>
          <t>TAG2400918</t>
        </is>
      </c>
      <c r="N2024" t="inlineStr">
        <is>
          <t>8228000</t>
        </is>
      </c>
      <c r="O2024">
        <f>M2024=N2024</f>
        <v/>
      </c>
      <c r="P2024">
        <f>AND(MONTH(F2024)=MONTH(S2024), YEAR(F2024)=YEAR(S2024))</f>
        <v/>
      </c>
      <c r="Q2024">
        <f>"L001-902303751"=U2024</f>
        <v/>
      </c>
      <c r="R2024">
        <f>G2024-W2024</f>
        <v/>
      </c>
      <c r="S2024" s="36" t="n">
        <v>45264</v>
      </c>
      <c r="T2024" t="n">
        <v>82280</v>
      </c>
      <c r="U2024" t="inlineStr">
        <is>
          <t>K005-901902888</t>
        </is>
      </c>
      <c r="V2024" t="inlineStr">
        <is>
          <t>អឹឡាយអិន ហ្វ័រវើឌីង (ខេមបូឌា) ឯ.ក</t>
        </is>
      </c>
      <c r="W2024" t="n">
        <v>82280</v>
      </c>
      <c r="X2024" t="n">
        <v>0</v>
      </c>
    </row>
    <row r="2025">
      <c r="A2025" t="n">
        <v>2024</v>
      </c>
      <c r="B2025" t="inlineStr">
        <is>
          <t>Transportation Fee</t>
        </is>
      </c>
      <c r="C2025" t="inlineStr">
        <is>
          <t>យូ អេហ្វ អេស គ្លូប៊ល អិចប្រេស ឡូជីស្ទីក</t>
        </is>
      </c>
      <c r="D2025" t="inlineStr">
        <is>
          <t>K010-108005623</t>
        </is>
      </c>
      <c r="E2025" t="inlineStr">
        <is>
          <t>UFS-00946</t>
        </is>
      </c>
      <c r="F2025" t="inlineStr">
        <is>
          <t>26-12-2024</t>
        </is>
      </c>
      <c r="G2025" t="n">
        <v>654045</v>
      </c>
      <c r="I2025">
        <f>G2025</f>
        <v/>
      </c>
      <c r="K2025">
        <f>I2025-G2025</f>
        <v/>
      </c>
      <c r="M2025" t="inlineStr">
        <is>
          <t>UFS00946</t>
        </is>
      </c>
      <c r="N2025" t="inlineStr">
        <is>
          <t>8228000</t>
        </is>
      </c>
      <c r="O2025">
        <f>M2025=N2025</f>
        <v/>
      </c>
      <c r="P2025">
        <f>AND(MONTH(F2025)=MONTH(S2025), YEAR(F2025)=YEAR(S2025))</f>
        <v/>
      </c>
      <c r="Q2025">
        <f>"L001-902303751"=U2025</f>
        <v/>
      </c>
      <c r="R2025">
        <f>G2025-W2025</f>
        <v/>
      </c>
      <c r="S2025" s="36" t="n">
        <v>45271</v>
      </c>
      <c r="T2025" t="n">
        <v>82280</v>
      </c>
      <c r="U2025" t="inlineStr">
        <is>
          <t>K003-901635943</t>
        </is>
      </c>
      <c r="V2025" t="inlineStr">
        <is>
          <t>អ៊ីឃ្យូឡាញ វើលវ៉ាយដ៍ ឡូជីស្ទីក</t>
        </is>
      </c>
      <c r="W2025" t="n">
        <v>82280</v>
      </c>
      <c r="X2025" t="n">
        <v>0</v>
      </c>
    </row>
    <row r="2026">
      <c r="A2026" t="n">
        <v>2025</v>
      </c>
      <c r="B2026" t="inlineStr">
        <is>
          <t>Boiler repair costs</t>
        </is>
      </c>
      <c r="C2026" t="inlineStr">
        <is>
          <t>វ៉ានលី ប៊យឡឺ អាយរ៉ុននីង អេឃ្វីបម៉ិន ឯ.ក</t>
        </is>
      </c>
      <c r="D2026" t="inlineStr">
        <is>
          <t>K010-902202437</t>
        </is>
      </c>
      <c r="E2026" t="inlineStr">
        <is>
          <t>W2024-0044</t>
        </is>
      </c>
      <c r="F2026" t="inlineStr">
        <is>
          <t>16-12-2024</t>
        </is>
      </c>
      <c r="G2026" t="n">
        <v>221045</v>
      </c>
      <c r="I2026">
        <f>G2026</f>
        <v/>
      </c>
      <c r="K2026">
        <f>I2026-G2026</f>
        <v/>
      </c>
      <c r="M2026" t="inlineStr">
        <is>
          <t>W20240044</t>
        </is>
      </c>
      <c r="N2026" t="inlineStr"/>
      <c r="O2026">
        <f>M2026=N2026</f>
        <v/>
      </c>
      <c r="P2026">
        <f>AND(MONTH(F2026)=MONTH(S2026), YEAR(F2026)=YEAR(S2026))</f>
        <v/>
      </c>
      <c r="Q2026">
        <f>"L001-902303751"=U2026</f>
        <v/>
      </c>
      <c r="R2026">
        <f>G2026-W2026</f>
        <v/>
      </c>
      <c r="S2026" s="36" t="n">
        <v>45271</v>
      </c>
      <c r="T2026" t="inlineStr"/>
      <c r="U2026" t="inlineStr">
        <is>
          <t>L001-100045340</t>
        </is>
      </c>
      <c r="V2026" t="inlineStr">
        <is>
          <t xml:space="preserve">ស៊ីវ៉ា អ៊ែរ អ៊ែន អូសៀន (ខេមបូឌា) ឯ.ក </t>
        </is>
      </c>
      <c r="W2026" t="n">
        <v>0</v>
      </c>
      <c r="X2026" t="n">
        <v>0</v>
      </c>
    </row>
    <row r="2027">
      <c r="A2027" t="n">
        <v>2026</v>
      </c>
      <c r="B2027" t="inlineStr">
        <is>
          <t>Cost of replacing boiler plpes</t>
        </is>
      </c>
      <c r="C2027" t="inlineStr">
        <is>
          <t>វ៉ានលី ប៊យឡឺ អាយរ៉ុននីង អេឃ្វីបម៉ិន ឯ.ក</t>
        </is>
      </c>
      <c r="D2027" t="inlineStr">
        <is>
          <t>K010-902202437</t>
        </is>
      </c>
      <c r="E2027" t="inlineStr">
        <is>
          <t>W2024-0045</t>
        </is>
      </c>
      <c r="F2027" t="inlineStr">
        <is>
          <t>16-12-2024</t>
        </is>
      </c>
      <c r="G2027" t="n">
        <v>115747</v>
      </c>
      <c r="I2027">
        <f>G2027</f>
        <v/>
      </c>
      <c r="K2027">
        <f>I2027-G2027</f>
        <v/>
      </c>
      <c r="M2027" t="inlineStr">
        <is>
          <t>W20240045</t>
        </is>
      </c>
      <c r="N2027" t="inlineStr">
        <is>
          <t>11113200</t>
        </is>
      </c>
      <c r="O2027">
        <f>M2027=N2027</f>
        <v/>
      </c>
      <c r="P2027">
        <f>AND(MONTH(F2027)=MONTH(S2027), YEAR(F2027)=YEAR(S2027))</f>
        <v/>
      </c>
      <c r="Q2027">
        <f>"L001-902303751"=U2027</f>
        <v/>
      </c>
      <c r="R2027">
        <f>G2027-W2027</f>
        <v/>
      </c>
      <c r="S2027" s="36" t="n">
        <v>45267</v>
      </c>
      <c r="T2027" t="n">
        <v>111132</v>
      </c>
      <c r="U2027" t="inlineStr">
        <is>
          <t>K002-901800477</t>
        </is>
      </c>
      <c r="V2027" t="inlineStr">
        <is>
          <t>អាយធីអាយ អ៊ិនធើណេសិនណល ត្រេនស័្ពរថេសិន (ខេមបូឌា) ឯ.ក</t>
        </is>
      </c>
      <c r="W2027" t="n">
        <v>111132</v>
      </c>
      <c r="X2027" t="n">
        <v>0</v>
      </c>
    </row>
    <row r="2028">
      <c r="A2028" t="n">
        <v>2027</v>
      </c>
      <c r="B2028" t="inlineStr">
        <is>
          <t>Double needle chain, Computer super small mouth nett, Comjputer date, Computer Button, Computer Cutter flat and Electronic nail striking</t>
        </is>
      </c>
      <c r="C2028" t="inlineStr">
        <is>
          <t>ដាប់ប៊ែលយូ ឌី អិល អេឡិកត្រូមេឃែនីខល អេឃ្វីបម៉ិន ឯ.ក</t>
        </is>
      </c>
      <c r="D2028" t="inlineStr">
        <is>
          <t>K009-902202951</t>
        </is>
      </c>
      <c r="E2028" t="inlineStr">
        <is>
          <t>0280</t>
        </is>
      </c>
      <c r="F2028" t="inlineStr">
        <is>
          <t>30-12-2024</t>
        </is>
      </c>
      <c r="G2028" t="n">
        <v>315884</v>
      </c>
      <c r="I2028">
        <f>G2028</f>
        <v/>
      </c>
      <c r="K2028">
        <f>I2028-G2028</f>
        <v/>
      </c>
      <c r="M2028" t="inlineStr">
        <is>
          <t>0280</t>
        </is>
      </c>
      <c r="N2028" t="inlineStr">
        <is>
          <t>11113200</t>
        </is>
      </c>
      <c r="O2028">
        <f>M2028=N2028</f>
        <v/>
      </c>
      <c r="P2028">
        <f>AND(MONTH(F2028)=MONTH(S2028), YEAR(F2028)=YEAR(S2028))</f>
        <v/>
      </c>
      <c r="Q2028">
        <f>"L001-902303751"=U2028</f>
        <v/>
      </c>
      <c r="R2028">
        <f>G2028-W2028</f>
        <v/>
      </c>
      <c r="S2028" s="36" t="n">
        <v>45267</v>
      </c>
      <c r="T2028" t="n">
        <v>111132</v>
      </c>
      <c r="U2028" t="inlineStr">
        <is>
          <t>K002-901800477</t>
        </is>
      </c>
      <c r="V2028" t="inlineStr">
        <is>
          <t>អាយធីអាយ អ៊ិនធើណេសិនណល ត្រេនស័្ពរថេសិន (ខេមបូឌា) ឯ.ក</t>
        </is>
      </c>
      <c r="W2028" t="n">
        <v>111132</v>
      </c>
      <c r="X2028" t="n">
        <v>0</v>
      </c>
    </row>
    <row r="2029">
      <c r="A2029" t="n">
        <v>2028</v>
      </c>
      <c r="B2029" t="inlineStr">
        <is>
          <t>High pressure pneumatic vacuum gun</t>
        </is>
      </c>
      <c r="C2029" t="inlineStr">
        <is>
          <t>ដាប់ប៊ែលយូ ឌី អិល អេឡិកត្រូមេឃែនីខល អេឃ្វីបម៉ិន ឯ.ក</t>
        </is>
      </c>
      <c r="D2029" t="inlineStr">
        <is>
          <t>K009-902202951</t>
        </is>
      </c>
      <c r="E2029" t="inlineStr">
        <is>
          <t>0281</t>
        </is>
      </c>
      <c r="F2029" t="inlineStr">
        <is>
          <t>30-12-2024</t>
        </is>
      </c>
      <c r="G2029" t="n">
        <v>193152</v>
      </c>
      <c r="I2029">
        <f>G2029</f>
        <v/>
      </c>
      <c r="K2029">
        <f>I2029-G2029</f>
        <v/>
      </c>
      <c r="M2029" t="inlineStr">
        <is>
          <t>0281</t>
        </is>
      </c>
      <c r="N2029" t="inlineStr"/>
      <c r="O2029">
        <f>M2029=N2029</f>
        <v/>
      </c>
      <c r="P2029">
        <f>AND(MONTH(F2029)=MONTH(S2029), YEAR(F2029)=YEAR(S2029))</f>
        <v/>
      </c>
      <c r="Q2029">
        <f>"L001-902303751"=U2029</f>
        <v/>
      </c>
      <c r="R2029">
        <f>G2029-W2029</f>
        <v/>
      </c>
      <c r="S2029" s="36" t="n">
        <v>45278</v>
      </c>
      <c r="T2029" t="inlineStr"/>
      <c r="U2029" t="inlineStr">
        <is>
          <t>L001-107032791</t>
        </is>
      </c>
      <c r="V2029" t="inlineStr">
        <is>
          <t>នីបផន អិចប្រេស (ខេមបូឌា) ខូ អិលធីឌី</t>
        </is>
      </c>
      <c r="W2029" t="n">
        <v>0</v>
      </c>
      <c r="X2029" t="n">
        <v>0</v>
      </c>
    </row>
    <row r="2030">
      <c r="A2030" t="n">
        <v>2029</v>
      </c>
      <c r="B2030" t="inlineStr">
        <is>
          <t>Team Leader Security Service and Security Guard</t>
        </is>
      </c>
      <c r="C2030" t="inlineStr">
        <is>
          <t>វី.ភី.អ.វ៉ាយ ស៊ីឃ្យួរឹធី ឯ.ក</t>
        </is>
      </c>
      <c r="D2030" t="inlineStr">
        <is>
          <t>K010-902303788</t>
        </is>
      </c>
      <c r="E2030" t="inlineStr">
        <is>
          <t>V.P.R.Y24-00164</t>
        </is>
      </c>
      <c r="F2030" t="inlineStr">
        <is>
          <t>26-12-2024</t>
        </is>
      </c>
      <c r="G2030" t="n">
        <v>1277724</v>
      </c>
      <c r="I2030">
        <f>G2030</f>
        <v/>
      </c>
      <c r="K2030">
        <f>I2030-G2030</f>
        <v/>
      </c>
      <c r="M2030" t="inlineStr">
        <is>
          <t>VPRY2400164</t>
        </is>
      </c>
      <c r="N2030" t="inlineStr">
        <is>
          <t>11099700</t>
        </is>
      </c>
      <c r="O2030">
        <f>M2030=N2030</f>
        <v/>
      </c>
      <c r="P2030">
        <f>AND(MONTH(F2030)=MONTH(S2030), YEAR(F2030)=YEAR(S2030))</f>
        <v/>
      </c>
      <c r="Q2030">
        <f>"L001-902303751"=U2030</f>
        <v/>
      </c>
      <c r="R2030">
        <f>G2030-W2030</f>
        <v/>
      </c>
      <c r="S2030" s="36" t="n">
        <v>45278</v>
      </c>
      <c r="T2030" t="n">
        <v>110997</v>
      </c>
      <c r="U2030" t="inlineStr">
        <is>
          <t>L001-107032791</t>
        </is>
      </c>
      <c r="V2030" t="inlineStr">
        <is>
          <t>នីបផន អិចប្រេស (ខេមបូឌា) ខូ អិលធីឌី</t>
        </is>
      </c>
      <c r="W2030" t="n">
        <v>110997</v>
      </c>
      <c r="X2030" t="n">
        <v>0</v>
      </c>
    </row>
    <row r="2031">
      <c r="A2031" t="n">
        <v>2030</v>
      </c>
      <c r="B2031" t="inlineStr">
        <is>
          <t>Team Leader Security Service and Security Guard</t>
        </is>
      </c>
      <c r="C2031" t="inlineStr">
        <is>
          <t>វី.ភី.អ.វ៉ាយ ស៊ីឃ្យួរឹធី ឯ.ក</t>
        </is>
      </c>
      <c r="D2031" t="inlineStr">
        <is>
          <t>K010-902303788</t>
        </is>
      </c>
      <c r="E2031" t="inlineStr">
        <is>
          <t>V.P.R.Y24-00165</t>
        </is>
      </c>
      <c r="F2031" t="inlineStr">
        <is>
          <t>26-12-2024</t>
        </is>
      </c>
      <c r="G2031" t="n">
        <v>795564</v>
      </c>
      <c r="I2031">
        <f>G2031</f>
        <v/>
      </c>
      <c r="K2031">
        <f>I2031-G2031</f>
        <v/>
      </c>
      <c r="M2031" t="inlineStr">
        <is>
          <t>VPRY2400165</t>
        </is>
      </c>
      <c r="N2031" t="inlineStr">
        <is>
          <t>8464500</t>
        </is>
      </c>
      <c r="O2031">
        <f>M2031=N2031</f>
        <v/>
      </c>
      <c r="P2031">
        <f>AND(MONTH(F2031)=MONTH(S2031), YEAR(F2031)=YEAR(S2031))</f>
        <v/>
      </c>
      <c r="Q2031">
        <f>"L001-902303751"=U2031</f>
        <v/>
      </c>
      <c r="R2031">
        <f>G2031-W2031</f>
        <v/>
      </c>
      <c r="S2031" s="36" t="n">
        <v>45272</v>
      </c>
      <c r="T2031" t="n">
        <v>84645</v>
      </c>
      <c r="U2031" t="inlineStr">
        <is>
          <t>K003-901635943</t>
        </is>
      </c>
      <c r="V2031" t="inlineStr">
        <is>
          <t>អ៊ីឃ្យូឡាញ វើលវ៉ាយដ៍ ឡូជីស្ទីក</t>
        </is>
      </c>
      <c r="W2031" t="n">
        <v>84645</v>
      </c>
      <c r="X2031" t="n">
        <v>0</v>
      </c>
    </row>
    <row r="2032">
      <c r="A2032" t="n">
        <v>2031</v>
      </c>
      <c r="B2032" t="inlineStr">
        <is>
          <t>Customs Clearance Fee and Trucking Fee</t>
        </is>
      </c>
      <c r="C2032" t="inlineStr">
        <is>
          <t>ត្រាយអ៊ែងហ្គល ឡូជីស្ទីក (ខេមបូឌា) ឯ.ក</t>
        </is>
      </c>
      <c r="D2032" t="inlineStr">
        <is>
          <t>K010-902101743</t>
        </is>
      </c>
      <c r="E2032" t="inlineStr">
        <is>
          <t>TAG-24-00951</t>
        </is>
      </c>
      <c r="F2032" t="inlineStr">
        <is>
          <t>25-12-2024</t>
        </is>
      </c>
      <c r="G2032" t="n">
        <v>8038</v>
      </c>
      <c r="I2032">
        <f>G2032</f>
        <v/>
      </c>
      <c r="K2032">
        <f>I2032-G2032</f>
        <v/>
      </c>
      <c r="M2032" t="inlineStr">
        <is>
          <t>TAG2400951</t>
        </is>
      </c>
      <c r="N2032" t="inlineStr">
        <is>
          <t>17772500</t>
        </is>
      </c>
      <c r="O2032">
        <f>M2032=N2032</f>
        <v/>
      </c>
      <c r="P2032">
        <f>AND(MONTH(F2032)=MONTH(S2032), YEAR(F2032)=YEAR(S2032))</f>
        <v/>
      </c>
      <c r="Q2032">
        <f>"L001-902303751"=U2032</f>
        <v/>
      </c>
      <c r="R2032">
        <f>G2032-W2032</f>
        <v/>
      </c>
      <c r="S2032" s="36" t="n">
        <v>45271</v>
      </c>
      <c r="T2032" t="n">
        <v>177725</v>
      </c>
      <c r="U2032" t="inlineStr">
        <is>
          <t>L001-100045340</t>
        </is>
      </c>
      <c r="V2032" t="inlineStr">
        <is>
          <t xml:space="preserve">ស៊ីវ៉ា អ៊ែរ អ៊ែន អូសៀន (ខេមបូឌា) ឯ.ក </t>
        </is>
      </c>
      <c r="W2032" t="n">
        <v>177725</v>
      </c>
      <c r="X2032" t="n">
        <v>0</v>
      </c>
    </row>
    <row r="2033">
      <c r="A2033" t="n">
        <v>2032</v>
      </c>
      <c r="B2033" t="inlineStr">
        <is>
          <t>Customs Clearance Fee and Trucking Fee</t>
        </is>
      </c>
      <c r="C2033" t="inlineStr">
        <is>
          <t>ត្រាយអ៊ែងហ្គល ឡូជីស្ទីក (ខេមបូឌា) ឯ.ក</t>
        </is>
      </c>
      <c r="D2033" t="inlineStr">
        <is>
          <t>K010-902101743</t>
        </is>
      </c>
      <c r="E2033" t="inlineStr">
        <is>
          <t>TAG-24-00919</t>
        </is>
      </c>
      <c r="F2033" t="inlineStr">
        <is>
          <t>20-12-2024</t>
        </is>
      </c>
      <c r="G2033" t="n">
        <v>8038</v>
      </c>
      <c r="I2033">
        <f>G2033</f>
        <v/>
      </c>
      <c r="K2033">
        <f>I2033-G2033</f>
        <v/>
      </c>
      <c r="M2033" t="inlineStr">
        <is>
          <t>TAG2400919</t>
        </is>
      </c>
      <c r="N2033" t="inlineStr">
        <is>
          <t>8232000</t>
        </is>
      </c>
      <c r="O2033">
        <f>M2033=N2033</f>
        <v/>
      </c>
      <c r="P2033">
        <f>AND(MONTH(F2033)=MONTH(S2033), YEAR(F2033)=YEAR(S2033))</f>
        <v/>
      </c>
      <c r="Q2033">
        <f>"L001-902303751"=U2033</f>
        <v/>
      </c>
      <c r="R2033">
        <f>G2033-W2033</f>
        <v/>
      </c>
      <c r="S2033" s="36" t="n">
        <v>45267</v>
      </c>
      <c r="T2033" t="n">
        <v>82320</v>
      </c>
      <c r="U2033" t="inlineStr">
        <is>
          <t>K002-901800477</t>
        </is>
      </c>
      <c r="V2033" t="inlineStr">
        <is>
          <t>អាយធីអាយ អ៊ិនធើណេសិនណល ត្រេនស័្ពរថេសិន (ខេមបូឌា) ឯ.ក</t>
        </is>
      </c>
      <c r="W2033" t="n">
        <v>82320</v>
      </c>
      <c r="X2033" t="n">
        <v>0</v>
      </c>
    </row>
    <row r="2034">
      <c r="A2034" t="n">
        <v>2033</v>
      </c>
      <c r="B2034" t="inlineStr">
        <is>
          <t>Customs Clearance Fee and Trucking Fee</t>
        </is>
      </c>
      <c r="C2034" t="inlineStr">
        <is>
          <t>ត្រាយអ៊ែងហ្គល ឡូជីស្ទីក (ខេមបូឌា) ឯ.ក</t>
        </is>
      </c>
      <c r="D2034" t="inlineStr">
        <is>
          <t>K010-902101743</t>
        </is>
      </c>
      <c r="E2034" t="inlineStr">
        <is>
          <t>TAG-24-00950</t>
        </is>
      </c>
      <c r="F2034" t="inlineStr">
        <is>
          <t>25-12-2024</t>
        </is>
      </c>
      <c r="G2034" t="n">
        <v>8038</v>
      </c>
      <c r="I2034">
        <f>G2034</f>
        <v/>
      </c>
      <c r="K2034">
        <f>I2034-G2034</f>
        <v/>
      </c>
      <c r="M2034" t="inlineStr">
        <is>
          <t>TAG2400950</t>
        </is>
      </c>
      <c r="N2034" t="inlineStr">
        <is>
          <t>8474800</t>
        </is>
      </c>
      <c r="O2034">
        <f>M2034=N2034</f>
        <v/>
      </c>
      <c r="P2034">
        <f>AND(MONTH(F2034)=MONTH(S2034), YEAR(F2034)=YEAR(S2034))</f>
        <v/>
      </c>
      <c r="Q2034">
        <f>"L001-902303751"=U2034</f>
        <v/>
      </c>
      <c r="R2034">
        <f>G2034-W2034</f>
        <v/>
      </c>
      <c r="S2034" s="36" t="n">
        <v>45264</v>
      </c>
      <c r="T2034" t="n">
        <v>84748</v>
      </c>
      <c r="U2034" t="inlineStr">
        <is>
          <t>K003-901635943</t>
        </is>
      </c>
      <c r="V2034" t="inlineStr">
        <is>
          <t>អ៊ីឃ្យូឡាញ វើលវ៉ាយដ៍ ឡូជីស្ទីក</t>
        </is>
      </c>
      <c r="W2034" t="n">
        <v>84748</v>
      </c>
      <c r="X2034" t="n">
        <v>0</v>
      </c>
    </row>
    <row r="2035">
      <c r="A2035" t="n">
        <v>2034</v>
      </c>
      <c r="B2035" t="inlineStr">
        <is>
          <t>Customs Clearance Fee and Trucking Fee</t>
        </is>
      </c>
      <c r="C2035" t="inlineStr">
        <is>
          <t>ត្រាយអ៊ែងហ្គល ឡូជីស្ទីក (ខេមបូឌា) ឯ.ក</t>
        </is>
      </c>
      <c r="D2035" t="inlineStr">
        <is>
          <t>K010-902101743</t>
        </is>
      </c>
      <c r="E2035" t="inlineStr">
        <is>
          <t>TAG-24-00948</t>
        </is>
      </c>
      <c r="F2035" t="inlineStr">
        <is>
          <t>25-12-2024</t>
        </is>
      </c>
      <c r="G2035" t="n">
        <v>8038</v>
      </c>
      <c r="I2035">
        <f>G2035</f>
        <v/>
      </c>
      <c r="K2035">
        <f>I2035-G2035</f>
        <v/>
      </c>
      <c r="M2035" t="inlineStr">
        <is>
          <t>TAG2400948</t>
        </is>
      </c>
      <c r="N2035" t="inlineStr"/>
      <c r="O2035">
        <f>M2035=N2035</f>
        <v/>
      </c>
      <c r="P2035">
        <f>AND(MONTH(F2035)=MONTH(S2035), YEAR(F2035)=YEAR(S2035))</f>
        <v/>
      </c>
      <c r="Q2035">
        <f>"L001-902303751"=U2035</f>
        <v/>
      </c>
      <c r="R2035">
        <f>G2035-W2035</f>
        <v/>
      </c>
      <c r="S2035" s="36" t="n">
        <v>45264</v>
      </c>
      <c r="T2035" t="inlineStr"/>
      <c r="U2035" t="inlineStr">
        <is>
          <t>L001-100045995</t>
        </is>
      </c>
      <c r="V2035" t="inlineStr">
        <is>
          <t>ឌីអេចអិល ឡូជីស្ទីក (ខេមបូឌា)</t>
        </is>
      </c>
      <c r="W2035" t="n">
        <v>0</v>
      </c>
      <c r="X2035" t="n">
        <v>0</v>
      </c>
    </row>
    <row r="2036">
      <c r="A2036" t="n">
        <v>2035</v>
      </c>
      <c r="B2036" t="inlineStr">
        <is>
          <t>Customs Clearance Fee and Trucking Fee</t>
        </is>
      </c>
      <c r="C2036" t="inlineStr">
        <is>
          <t>ត្រាយអ៊ែងហ្គល ឡូជីស្ទីក (ខេមបូឌា) ឯ.ក</t>
        </is>
      </c>
      <c r="D2036" t="inlineStr">
        <is>
          <t>K010-902101743</t>
        </is>
      </c>
      <c r="E2036" t="inlineStr">
        <is>
          <t>TAG-24-00947</t>
        </is>
      </c>
      <c r="F2036" t="inlineStr">
        <is>
          <t>25-12-2024</t>
        </is>
      </c>
      <c r="G2036" t="n">
        <v>8038</v>
      </c>
      <c r="I2036">
        <f>G2036</f>
        <v/>
      </c>
      <c r="K2036">
        <f>I2036-G2036</f>
        <v/>
      </c>
      <c r="M2036" t="inlineStr">
        <is>
          <t>TAG2400947</t>
        </is>
      </c>
      <c r="N2036" t="inlineStr">
        <is>
          <t>11107800</t>
        </is>
      </c>
      <c r="O2036">
        <f>M2036=N2036</f>
        <v/>
      </c>
      <c r="P2036">
        <f>AND(MONTH(F2036)=MONTH(S2036), YEAR(F2036)=YEAR(S2036))</f>
        <v/>
      </c>
      <c r="Q2036">
        <f>"L001-902303751"=U2036</f>
        <v/>
      </c>
      <c r="R2036">
        <f>G2036-W2036</f>
        <v/>
      </c>
      <c r="S2036" s="36" t="n">
        <v>45264</v>
      </c>
      <c r="T2036" t="n">
        <v>111078</v>
      </c>
      <c r="U2036" t="inlineStr">
        <is>
          <t>L001-100045995</t>
        </is>
      </c>
      <c r="V2036" t="inlineStr">
        <is>
          <t>ឌីអេចអិល ឡូជីស្ទីក (ខេមបូឌា)</t>
        </is>
      </c>
      <c r="W2036" t="n">
        <v>111078</v>
      </c>
      <c r="X2036" t="n">
        <v>0</v>
      </c>
    </row>
    <row r="2037">
      <c r="A2037" t="n">
        <v>2036</v>
      </c>
      <c r="B2037" t="inlineStr">
        <is>
          <t>Customs Clearance Fee and Trucking Fee</t>
        </is>
      </c>
      <c r="C2037" t="inlineStr">
        <is>
          <t>ត្រាយអ៊ែងហ្គល ឡូជីស្ទីក (ខេមបូឌា) ឯ.ក</t>
        </is>
      </c>
      <c r="D2037" t="inlineStr">
        <is>
          <t>K010-902101743</t>
        </is>
      </c>
      <c r="E2037" t="inlineStr">
        <is>
          <t>TAG-24-00946</t>
        </is>
      </c>
      <c r="F2037" t="inlineStr">
        <is>
          <t>25-12-2024</t>
        </is>
      </c>
      <c r="G2037" t="n">
        <v>8038</v>
      </c>
      <c r="I2037">
        <f>G2037</f>
        <v/>
      </c>
      <c r="K2037">
        <f>I2037-G2037</f>
        <v/>
      </c>
      <c r="M2037" t="inlineStr">
        <is>
          <t>TAG2400946</t>
        </is>
      </c>
      <c r="N2037" t="inlineStr">
        <is>
          <t>11316000</t>
        </is>
      </c>
      <c r="O2037">
        <f>M2037=N2037</f>
        <v/>
      </c>
      <c r="P2037">
        <f>AND(MONTH(F2037)=MONTH(S2037), YEAR(F2037)=YEAR(S2037))</f>
        <v/>
      </c>
      <c r="Q2037">
        <f>"L001-902303751"=U2037</f>
        <v/>
      </c>
      <c r="R2037">
        <f>G2037-W2037</f>
        <v/>
      </c>
      <c r="S2037" s="36" t="n">
        <v>45285</v>
      </c>
      <c r="T2037" t="n">
        <v>113160</v>
      </c>
      <c r="U2037" t="inlineStr">
        <is>
          <t>K003-901635943</t>
        </is>
      </c>
      <c r="V2037" t="inlineStr">
        <is>
          <t>អ៊ីឃ្យូឡាញ វើលវ៉ាយដ៍ ឡូជីស្ទីក</t>
        </is>
      </c>
      <c r="W2037" t="n">
        <v>113160</v>
      </c>
      <c r="X2037" t="n">
        <v>0</v>
      </c>
    </row>
    <row r="2038">
      <c r="A2038" t="n">
        <v>2037</v>
      </c>
      <c r="B2038" t="inlineStr">
        <is>
          <t>Customs Clearance Fee and Trucking Fee</t>
        </is>
      </c>
      <c r="C2038" t="inlineStr">
        <is>
          <t>ត្រាយអ៊ែងហ្គល ឡូជីស្ទីក (ខេមបូឌា) ឯ.ក</t>
        </is>
      </c>
      <c r="D2038" t="inlineStr">
        <is>
          <t>K010-902101743</t>
        </is>
      </c>
      <c r="E2038" t="inlineStr">
        <is>
          <t>TAG-24-00939</t>
        </is>
      </c>
      <c r="F2038" t="inlineStr">
        <is>
          <t>25-12-2024</t>
        </is>
      </c>
      <c r="G2038" t="n">
        <v>8038</v>
      </c>
      <c r="I2038">
        <f>G2038</f>
        <v/>
      </c>
      <c r="K2038">
        <f>I2038-G2038</f>
        <v/>
      </c>
      <c r="M2038" t="inlineStr">
        <is>
          <t>TAG2400939</t>
        </is>
      </c>
      <c r="N2038" t="inlineStr"/>
      <c r="O2038">
        <f>M2038=N2038</f>
        <v/>
      </c>
      <c r="P2038">
        <f>AND(MONTH(F2038)=MONTH(S2038), YEAR(F2038)=YEAR(S2038))</f>
        <v/>
      </c>
      <c r="Q2038">
        <f>"L001-902303751"=U2038</f>
        <v/>
      </c>
      <c r="R2038">
        <f>G2038-W2038</f>
        <v/>
      </c>
      <c r="S2038" s="36" t="n">
        <v>45267</v>
      </c>
      <c r="T2038" t="inlineStr"/>
      <c r="U2038" t="inlineStr">
        <is>
          <t>K002-901800477</t>
        </is>
      </c>
      <c r="V2038" t="inlineStr">
        <is>
          <t>អាយធីអាយ អ៊ិនធើណេសិនណល ត្រេនស័្ពរថេសិន (ខេមបូឌា) ឯ.ក</t>
        </is>
      </c>
      <c r="W2038" t="n">
        <v>0</v>
      </c>
      <c r="X2038" t="n">
        <v>0</v>
      </c>
    </row>
    <row r="2039">
      <c r="A2039" t="n">
        <v>2038</v>
      </c>
      <c r="B2039" t="inlineStr">
        <is>
          <t>Customs Clearance Fee and Trucking Fee</t>
        </is>
      </c>
      <c r="C2039" t="inlineStr">
        <is>
          <t>ត្រាយអ៊ែងហ្គល ឡូជីស្ទីក (ខេមបូឌា) ឯ.ក</t>
        </is>
      </c>
      <c r="D2039" t="inlineStr">
        <is>
          <t>K010-902101743</t>
        </is>
      </c>
      <c r="E2039" t="inlineStr">
        <is>
          <t>TAG-24-00921</t>
        </is>
      </c>
      <c r="F2039" t="inlineStr">
        <is>
          <t>20-12-2024</t>
        </is>
      </c>
      <c r="G2039" t="n">
        <v>8038</v>
      </c>
      <c r="I2039">
        <f>G2039</f>
        <v/>
      </c>
      <c r="K2039">
        <f>I2039-G2039</f>
        <v/>
      </c>
      <c r="M2039" t="inlineStr">
        <is>
          <t>TAG2400921</t>
        </is>
      </c>
      <c r="N2039" t="inlineStr"/>
      <c r="O2039">
        <f>M2039=N2039</f>
        <v/>
      </c>
      <c r="P2039">
        <f>AND(MONTH(F2039)=MONTH(S2039), YEAR(F2039)=YEAR(S2039))</f>
        <v/>
      </c>
      <c r="Q2039">
        <f>"L001-902303751"=U2039</f>
        <v/>
      </c>
      <c r="R2039">
        <f>G2039-W2039</f>
        <v/>
      </c>
      <c r="S2039" s="36" t="n">
        <v>45267</v>
      </c>
      <c r="T2039" t="inlineStr"/>
      <c r="U2039" t="inlineStr">
        <is>
          <t>K002-901800477</t>
        </is>
      </c>
      <c r="V2039" t="inlineStr">
        <is>
          <t>អាយធីអាយ អ៊ិនធើណេសិនណល ត្រេនស័្ពរថេសិន (ខេមបូឌា) ឯ.ក</t>
        </is>
      </c>
      <c r="W2039" t="n">
        <v>0</v>
      </c>
      <c r="X2039" t="n">
        <v>0</v>
      </c>
    </row>
    <row r="2040">
      <c r="A2040" t="n">
        <v>2039</v>
      </c>
      <c r="B2040" t="inlineStr">
        <is>
          <t>Customs Clearance Fee and Trucking Fee</t>
        </is>
      </c>
      <c r="C2040" t="inlineStr">
        <is>
          <t>ត្រាយអ៊ែងហ្គល ឡូជីស្ទីក (ខេមបូឌា) ឯ.ក</t>
        </is>
      </c>
      <c r="D2040" t="inlineStr">
        <is>
          <t>K010-902101743</t>
        </is>
      </c>
      <c r="E2040" t="inlineStr">
        <is>
          <t>TAG-24-00920</t>
        </is>
      </c>
      <c r="F2040" t="inlineStr">
        <is>
          <t>20-12-2024</t>
        </is>
      </c>
      <c r="G2040" t="n">
        <v>8038</v>
      </c>
      <c r="I2040">
        <f>G2040</f>
        <v/>
      </c>
      <c r="K2040">
        <f>I2040-G2040</f>
        <v/>
      </c>
      <c r="M2040" t="inlineStr">
        <is>
          <t>TAG2400920</t>
        </is>
      </c>
      <c r="N2040" t="inlineStr">
        <is>
          <t>20168400</t>
        </is>
      </c>
      <c r="O2040">
        <f>M2040=N2040</f>
        <v/>
      </c>
      <c r="P2040">
        <f>AND(MONTH(F2040)=MONTH(S2040), YEAR(F2040)=YEAR(S2040))</f>
        <v/>
      </c>
      <c r="Q2040">
        <f>"L001-902303751"=U2040</f>
        <v/>
      </c>
      <c r="R2040">
        <f>G2040-W2040</f>
        <v/>
      </c>
      <c r="S2040" s="36" t="n">
        <v>45267</v>
      </c>
      <c r="T2040" t="n">
        <v>201684</v>
      </c>
      <c r="U2040" t="inlineStr">
        <is>
          <t>L001-103007369</t>
        </is>
      </c>
      <c r="V2040" t="inlineStr">
        <is>
          <t>អូរៀនថល ឡូជីស្ទីក &amp; ឌីស្ទ្រីប៊្យូសិន (ខេមបូឌា)</t>
        </is>
      </c>
      <c r="W2040" t="n">
        <v>201684</v>
      </c>
      <c r="X2040" t="n">
        <v>0</v>
      </c>
    </row>
    <row r="2041">
      <c r="A2041" t="n">
        <v>2040</v>
      </c>
      <c r="B2041" t="inlineStr">
        <is>
          <t>Transportation Fee</t>
        </is>
      </c>
      <c r="C2041" t="inlineStr">
        <is>
          <t>សំអាង &amp; មករា ត្រេនស្ព័ត ឯ.ក</t>
        </is>
      </c>
      <c r="D2041" t="inlineStr">
        <is>
          <t>K010-902204282</t>
        </is>
      </c>
      <c r="E2041" t="inlineStr">
        <is>
          <t>202300128</t>
        </is>
      </c>
      <c r="F2041" t="inlineStr">
        <is>
          <t>26-12-2024</t>
        </is>
      </c>
      <c r="G2041" t="n">
        <v>1311877</v>
      </c>
      <c r="I2041">
        <f>G2041</f>
        <v/>
      </c>
      <c r="K2041">
        <f>I2041-G2041</f>
        <v/>
      </c>
      <c r="M2041" t="inlineStr">
        <is>
          <t>202300128</t>
        </is>
      </c>
      <c r="N2041" t="inlineStr">
        <is>
          <t>11113200</t>
        </is>
      </c>
      <c r="O2041">
        <f>M2041=N2041</f>
        <v/>
      </c>
      <c r="P2041">
        <f>AND(MONTH(F2041)=MONTH(S2041), YEAR(F2041)=YEAR(S2041))</f>
        <v/>
      </c>
      <c r="Q2041">
        <f>"L001-902303751"=U2041</f>
        <v/>
      </c>
      <c r="R2041">
        <f>G2041-W2041</f>
        <v/>
      </c>
      <c r="S2041" s="36" t="n">
        <v>45267</v>
      </c>
      <c r="T2041" t="n">
        <v>111132</v>
      </c>
      <c r="U2041" t="inlineStr">
        <is>
          <t>K005-100150195</t>
        </is>
      </c>
      <c r="V2041" t="inlineStr">
        <is>
          <t>អេស អ វី ស៊ី ហ្វ្រេត សឺវីស (ខេមបូឌា) ខូ អិលធីឌី</t>
        </is>
      </c>
      <c r="W2041" t="n">
        <v>111132</v>
      </c>
      <c r="X2041" t="n">
        <v>0</v>
      </c>
    </row>
    <row r="2042">
      <c r="A2042" t="n">
        <v>2041</v>
      </c>
      <c r="B2042" t="inlineStr">
        <is>
          <t>Hardware</t>
        </is>
      </c>
      <c r="C2042" t="inlineStr">
        <is>
          <t>ភ្នំពេញ ថប វើលដ៍ ខនស្ត្រាក់សិន &amp; អេនជីនារីង ឯ.ក</t>
        </is>
      </c>
      <c r="D2042" t="inlineStr">
        <is>
          <t>K005-901638261</t>
        </is>
      </c>
      <c r="E2042" t="inlineStr">
        <is>
          <t>000039</t>
        </is>
      </c>
      <c r="F2042" t="inlineStr">
        <is>
          <t>27-12-2024</t>
        </is>
      </c>
      <c r="G2042" t="n">
        <v>232048</v>
      </c>
      <c r="I2042">
        <f>G2042</f>
        <v/>
      </c>
      <c r="K2042">
        <f>I2042-G2042</f>
        <v/>
      </c>
      <c r="M2042" t="inlineStr">
        <is>
          <t>000039</t>
        </is>
      </c>
      <c r="N2042" t="inlineStr">
        <is>
          <t>11107800</t>
        </is>
      </c>
      <c r="O2042">
        <f>M2042=N2042</f>
        <v/>
      </c>
      <c r="P2042">
        <f>AND(MONTH(F2042)=MONTH(S2042), YEAR(F2042)=YEAR(S2042))</f>
        <v/>
      </c>
      <c r="Q2042">
        <f>"L001-902303751"=U2042</f>
        <v/>
      </c>
      <c r="R2042">
        <f>G2042-W2042</f>
        <v/>
      </c>
      <c r="S2042" s="36" t="n">
        <v>45264</v>
      </c>
      <c r="T2042" t="n">
        <v>111078</v>
      </c>
      <c r="U2042" t="inlineStr">
        <is>
          <t>K005-100059945</t>
        </is>
      </c>
      <c r="V2042" t="inlineStr">
        <is>
          <t>អ៊ែតវ៉ានស៍ គ្លរី ឡូជីស្ទីក (ខេមបូឌា) (អេ ជី អិល)</t>
        </is>
      </c>
      <c r="W2042" t="n">
        <v>111078</v>
      </c>
      <c r="X2042" t="n">
        <v>0</v>
      </c>
    </row>
    <row r="2043">
      <c r="A2043" t="n">
        <v>2042</v>
      </c>
      <c r="B2043" t="inlineStr">
        <is>
          <t>CFS HANDLING, CARRIER BL, DOCUMENT ASSEMBLY, TERMINAL HANDLING, HANDLING FEE, VGM PROCESSING FEE-CFS, FUEL SURCHARGE AND MANIFEST FEE</t>
        </is>
      </c>
      <c r="C2043" t="inlineStr">
        <is>
          <t>អ៊ិចស្ពែឌីធ័រ ខេមបូឌា អិលធីឌី</t>
        </is>
      </c>
      <c r="D2043" t="inlineStr">
        <is>
          <t>L001-100045898</t>
        </is>
      </c>
      <c r="E2043" t="inlineStr">
        <is>
          <t>TI-0299974</t>
        </is>
      </c>
      <c r="F2043" t="inlineStr">
        <is>
          <t>10-12-2024</t>
        </is>
      </c>
      <c r="G2043" t="n">
        <v>253937</v>
      </c>
      <c r="I2043">
        <f>G2043</f>
        <v/>
      </c>
      <c r="K2043">
        <f>I2043-G2043</f>
        <v/>
      </c>
      <c r="M2043" t="inlineStr">
        <is>
          <t>TI0299974</t>
        </is>
      </c>
      <c r="N2043" t="inlineStr">
        <is>
          <t>11113200</t>
        </is>
      </c>
      <c r="O2043">
        <f>M2043=N2043</f>
        <v/>
      </c>
      <c r="P2043">
        <f>AND(MONTH(F2043)=MONTH(S2043), YEAR(F2043)=YEAR(S2043))</f>
        <v/>
      </c>
      <c r="Q2043">
        <f>"L001-902303751"=U2043</f>
        <v/>
      </c>
      <c r="R2043">
        <f>G2043-W2043</f>
        <v/>
      </c>
      <c r="S2043" s="36" t="n">
        <v>45267</v>
      </c>
      <c r="T2043" t="n">
        <v>111132</v>
      </c>
      <c r="U2043" t="inlineStr">
        <is>
          <t>L001-901500191</t>
        </is>
      </c>
      <c r="V2043" t="inlineStr">
        <is>
          <t>អ.អិន.វ៉ាយ ត្រេនស្ព័ត</t>
        </is>
      </c>
      <c r="W2043" t="n">
        <v>111132</v>
      </c>
      <c r="X2043" t="n">
        <v>0</v>
      </c>
    </row>
    <row r="2044">
      <c r="A2044" t="n">
        <v>2043</v>
      </c>
      <c r="B2044" t="inlineStr">
        <is>
          <t>HAWB FREIGHT, OM FORWARDING FEE, H/C AND AWB FEE</t>
        </is>
      </c>
      <c r="C2044" t="inlineStr">
        <is>
          <t>អ៊ិចស្ពែឌីធ័រ ខេមបូឌា អិលធីឌី</t>
        </is>
      </c>
      <c r="D2044" t="inlineStr">
        <is>
          <t>L001-100045898</t>
        </is>
      </c>
      <c r="E2044" t="inlineStr">
        <is>
          <t>TI-0300411</t>
        </is>
      </c>
      <c r="F2044" t="inlineStr">
        <is>
          <t>10-12-2024</t>
        </is>
      </c>
      <c r="G2044" t="n">
        <v>46288</v>
      </c>
      <c r="I2044">
        <f>G2044</f>
        <v/>
      </c>
      <c r="K2044">
        <f>I2044-G2044</f>
        <v/>
      </c>
      <c r="M2044" t="inlineStr">
        <is>
          <t>TI0300411</t>
        </is>
      </c>
      <c r="N2044" t="inlineStr">
        <is>
          <t>8230000</t>
        </is>
      </c>
      <c r="O2044">
        <f>M2044=N2044</f>
        <v/>
      </c>
      <c r="P2044">
        <f>AND(MONTH(F2044)=MONTH(S2044), YEAR(F2044)=YEAR(S2044))</f>
        <v/>
      </c>
      <c r="Q2044">
        <f>"L001-902303751"=U2044</f>
        <v/>
      </c>
      <c r="R2044">
        <f>G2044-W2044</f>
        <v/>
      </c>
      <c r="S2044" s="36" t="n">
        <v>45261</v>
      </c>
      <c r="T2044" t="n">
        <v>82300</v>
      </c>
      <c r="U2044" t="inlineStr">
        <is>
          <t>L001-107041723</t>
        </is>
      </c>
      <c r="V2044" t="inlineStr">
        <is>
          <t>ឌីប៊ី សេនឃើរ (ខេមបូឌា) លីមីធីត</t>
        </is>
      </c>
      <c r="W2044" t="n">
        <v>82300</v>
      </c>
      <c r="X2044" t="n">
        <v>0</v>
      </c>
    </row>
    <row r="2045">
      <c r="A2045" t="n">
        <v>2044</v>
      </c>
      <c r="B2045" t="inlineStr">
        <is>
          <t>CFS HANDLING, CARRIER BL, DOCUMENT ASSEMBLY, TERMINAL HANDLING, HANDLING FEE, VGM PROCESSING FEE-CFS AND MANIFEST FEE</t>
        </is>
      </c>
      <c r="C2045" t="inlineStr">
        <is>
          <t>អ៊ិចស្ពែឌីធ័រ ខេមបូឌា អិលធីឌី</t>
        </is>
      </c>
      <c r="D2045" t="inlineStr">
        <is>
          <t>L001-100045898</t>
        </is>
      </c>
      <c r="E2045" t="inlineStr">
        <is>
          <t>TI-0300257</t>
        </is>
      </c>
      <c r="F2045" t="inlineStr">
        <is>
          <t>10-12-2024</t>
        </is>
      </c>
      <c r="G2045" t="n">
        <v>82915</v>
      </c>
      <c r="I2045">
        <f>G2045</f>
        <v/>
      </c>
      <c r="K2045">
        <f>I2045-G2045</f>
        <v/>
      </c>
      <c r="M2045" t="inlineStr">
        <is>
          <t>TI0300257</t>
        </is>
      </c>
      <c r="N2045" t="inlineStr"/>
      <c r="O2045">
        <f>M2045=N2045</f>
        <v/>
      </c>
      <c r="P2045">
        <f>AND(MONTH(F2045)=MONTH(S2045), YEAR(F2045)=YEAR(S2045))</f>
        <v/>
      </c>
      <c r="Q2045">
        <f>"L001-902303751"=U2045</f>
        <v/>
      </c>
      <c r="R2045">
        <f>G2045-W2045</f>
        <v/>
      </c>
      <c r="S2045" s="36" t="n">
        <v>45639</v>
      </c>
      <c r="T2045" t="inlineStr"/>
      <c r="U2045" t="inlineStr">
        <is>
          <t>K002-901800477</t>
        </is>
      </c>
      <c r="V2045" t="inlineStr">
        <is>
          <t>អាយធីអាយ អ៊ិនធើណេសិនណល ត្រេនស័្ពរថេសិន (ខេមបូឌា) ឯ.ក</t>
        </is>
      </c>
      <c r="W2045" t="n">
        <v>0</v>
      </c>
      <c r="X2045" t="n">
        <v>0</v>
      </c>
    </row>
    <row r="2046">
      <c r="A2046" t="n">
        <v>2045</v>
      </c>
      <c r="B2046" t="inlineStr">
        <is>
          <t>CFS HANDLING, CARRIER BL, DOCUMENT ASSEMBLY, TERMINAL HANDLING, HANDLING FEE, VGM PROCESSING FEE-CFS AND MANIFEST FEE</t>
        </is>
      </c>
      <c r="C2046" t="inlineStr">
        <is>
          <t>អ៊ិចស្ពែឌីធ័រ ខេមបូឌា អិលធីឌី</t>
        </is>
      </c>
      <c r="D2046" t="inlineStr">
        <is>
          <t>L001-100045898</t>
        </is>
      </c>
      <c r="E2046" t="inlineStr">
        <is>
          <t>TI-0300250</t>
        </is>
      </c>
      <c r="F2046" t="inlineStr">
        <is>
          <t>10-12-2024</t>
        </is>
      </c>
      <c r="G2046" t="n">
        <v>129484</v>
      </c>
      <c r="I2046">
        <f>G2046</f>
        <v/>
      </c>
      <c r="K2046">
        <f>I2046-G2046</f>
        <v/>
      </c>
      <c r="M2046" t="inlineStr">
        <is>
          <t>TI0300250</t>
        </is>
      </c>
      <c r="N2046" t="inlineStr"/>
      <c r="O2046">
        <f>M2046=N2046</f>
        <v/>
      </c>
      <c r="P2046">
        <f>AND(MONTH(F2046)=MONTH(S2046), YEAR(F2046)=YEAR(S2046))</f>
        <v/>
      </c>
      <c r="Q2046">
        <f>"L001-902303751"=U2046</f>
        <v/>
      </c>
      <c r="R2046">
        <f>G2046-W2046</f>
        <v/>
      </c>
      <c r="S2046" s="36" t="n">
        <v>45628</v>
      </c>
      <c r="T2046" t="inlineStr"/>
      <c r="U2046" t="inlineStr">
        <is>
          <t>L001-107032791</t>
        </is>
      </c>
      <c r="V2046" t="inlineStr">
        <is>
          <t>នីបផន អិចប្រេស (ខេមបូឌា) ខូ អិលធីឌី</t>
        </is>
      </c>
      <c r="W2046" t="n">
        <v>0</v>
      </c>
      <c r="X2046" t="n">
        <v>0</v>
      </c>
    </row>
    <row r="2047">
      <c r="A2047" t="n">
        <v>2046</v>
      </c>
      <c r="B2047" t="inlineStr">
        <is>
          <t>CFS HANDLING, CARRIER BL, DOCUMENT ASSEMBLY, TERMINAL HANDLING, HANDLING FEE, VGM WEIGHING FEE-CFS AND MANIFEST FEE</t>
        </is>
      </c>
      <c r="C2047" t="inlineStr">
        <is>
          <t>អ៊ិចស្ពែឌីធ័រ ខេមបូឌា អិលធីឌី</t>
        </is>
      </c>
      <c r="D2047" t="inlineStr">
        <is>
          <t>L001-100045898</t>
        </is>
      </c>
      <c r="E2047" t="inlineStr">
        <is>
          <t>TI-0300251</t>
        </is>
      </c>
      <c r="F2047" t="inlineStr">
        <is>
          <t>10-12-2024</t>
        </is>
      </c>
      <c r="G2047" t="n">
        <v>127230</v>
      </c>
      <c r="I2047">
        <f>G2047</f>
        <v/>
      </c>
      <c r="K2047">
        <f>I2047-G2047</f>
        <v/>
      </c>
      <c r="M2047" t="inlineStr">
        <is>
          <t>TI0300251</t>
        </is>
      </c>
      <c r="N2047" t="inlineStr"/>
      <c r="O2047">
        <f>M2047=N2047</f>
        <v/>
      </c>
      <c r="P2047">
        <f>AND(MONTH(F2047)=MONTH(S2047), YEAR(F2047)=YEAR(S2047))</f>
        <v/>
      </c>
      <c r="Q2047">
        <f>"L001-902303751"=U2047</f>
        <v/>
      </c>
      <c r="R2047">
        <f>G2047-W2047</f>
        <v/>
      </c>
      <c r="S2047" s="36" t="n">
        <v>45628</v>
      </c>
      <c r="T2047" t="inlineStr"/>
      <c r="U2047" t="inlineStr">
        <is>
          <t>L001-107032791</t>
        </is>
      </c>
      <c r="V2047" t="inlineStr">
        <is>
          <t>នីបផន អិចប្រេស (ខេមបូឌា) ខូ អិលធីឌី</t>
        </is>
      </c>
      <c r="W2047" t="n">
        <v>0</v>
      </c>
      <c r="X2047" t="n">
        <v>0</v>
      </c>
    </row>
    <row r="2048">
      <c r="A2048" t="n">
        <v>2047</v>
      </c>
      <c r="B2048" t="inlineStr">
        <is>
          <t>CFS HANDLING, CARRIER BL, DOCUMENT ASSEMBLY, TERMINAL HANDLING, HANDLING FEE AND VGM WEIGHING FEE-CFS</t>
        </is>
      </c>
      <c r="C2048" t="inlineStr">
        <is>
          <t>អ៊ិចស្ពែឌីធ័រ ខេមបូឌា អិលធីឌី</t>
        </is>
      </c>
      <c r="D2048" t="inlineStr">
        <is>
          <t>L001-100045898</t>
        </is>
      </c>
      <c r="E2048" t="inlineStr">
        <is>
          <t>TI-0300247</t>
        </is>
      </c>
      <c r="F2048" t="inlineStr">
        <is>
          <t>10-12-2024</t>
        </is>
      </c>
      <c r="G2048" t="n">
        <v>124856</v>
      </c>
      <c r="I2048">
        <f>G2048</f>
        <v/>
      </c>
      <c r="K2048">
        <f>I2048-G2048</f>
        <v/>
      </c>
      <c r="M2048" t="inlineStr">
        <is>
          <t>TI0300247</t>
        </is>
      </c>
      <c r="N2048" t="inlineStr">
        <is>
          <t>5427000</t>
        </is>
      </c>
      <c r="O2048">
        <f>M2048=N2048</f>
        <v/>
      </c>
      <c r="P2048">
        <f>AND(MONTH(F2048)=MONTH(S2048), YEAR(F2048)=YEAR(S2048))</f>
        <v/>
      </c>
      <c r="Q2048">
        <f>"L001-902303751"=U2048</f>
        <v/>
      </c>
      <c r="R2048">
        <f>G2048-W2048</f>
        <v/>
      </c>
      <c r="S2048" s="36" t="n">
        <v>45649</v>
      </c>
      <c r="T2048" t="n">
        <v>54270</v>
      </c>
      <c r="U2048" t="inlineStr">
        <is>
          <t>L001-100045340</t>
        </is>
      </c>
      <c r="V2048" t="inlineStr">
        <is>
          <t xml:space="preserve">ស៊ីវ៉ា អ៊ែរ អ៊ែន អូសៀន (ខេមបូឌា) ឯ.ក </t>
        </is>
      </c>
      <c r="W2048" t="n">
        <v>54270</v>
      </c>
      <c r="X2048" t="n">
        <v>0</v>
      </c>
    </row>
    <row r="2049">
      <c r="A2049" t="n">
        <v>2048</v>
      </c>
      <c r="B2049" t="inlineStr">
        <is>
          <t>CFS HANDLING, CARRIER BL, DOCUMENT ASSEMBLY, TERMINAL HANDLING, HANDLING FEE, VGM WEIGHING FEE-CFS AND MANIFEST FEE</t>
        </is>
      </c>
      <c r="C2049" t="inlineStr">
        <is>
          <t>អ៊ិចស្ពែឌីធ័រ ខេមបូឌា អិលធីឌី</t>
        </is>
      </c>
      <c r="D2049" t="inlineStr">
        <is>
          <t>L001-100045898</t>
        </is>
      </c>
      <c r="E2049" t="inlineStr">
        <is>
          <t>TI-0302117</t>
        </is>
      </c>
      <c r="F2049" t="inlineStr">
        <is>
          <t>25-12-2024</t>
        </is>
      </c>
      <c r="G2049" t="n">
        <v>94165</v>
      </c>
      <c r="I2049">
        <f>G2049</f>
        <v/>
      </c>
      <c r="K2049">
        <f>I2049-G2049</f>
        <v/>
      </c>
      <c r="M2049" t="inlineStr">
        <is>
          <t>TI0302117</t>
        </is>
      </c>
      <c r="N2049" t="inlineStr"/>
      <c r="O2049">
        <f>M2049=N2049</f>
        <v/>
      </c>
      <c r="P2049">
        <f>AND(MONTH(F2049)=MONTH(S2049), YEAR(F2049)=YEAR(S2049))</f>
        <v/>
      </c>
      <c r="Q2049">
        <f>"L001-902303751"=U2049</f>
        <v/>
      </c>
      <c r="R2049">
        <f>G2049-W2049</f>
        <v/>
      </c>
      <c r="S2049" s="36" t="n">
        <v>45649</v>
      </c>
      <c r="T2049" t="inlineStr"/>
      <c r="U2049" t="inlineStr">
        <is>
          <t>L001-100045995</t>
        </is>
      </c>
      <c r="V2049" t="inlineStr">
        <is>
          <t>ឌីអេចអិល ឡូជីស្ទីក (ខេមបូឌា)</t>
        </is>
      </c>
      <c r="W2049" t="n">
        <v>0</v>
      </c>
      <c r="X2049" t="n">
        <v>0</v>
      </c>
    </row>
    <row r="2050">
      <c r="A2050" t="n">
        <v>2049</v>
      </c>
      <c r="B2050" t="inlineStr">
        <is>
          <t>CFS HANDLING, CARRIER BL, DOCUMENT ASSEMBLY, TERMINAL HANDLING, HANDLING FEE, VGM WEIGHING FEE-CFS AND MANIFEST FEE</t>
        </is>
      </c>
      <c r="C2050" t="inlineStr">
        <is>
          <t>អ៊ិចស្ពែឌីធ័រ ខេមបូឌា អិលធីឌី</t>
        </is>
      </c>
      <c r="D2050" t="inlineStr">
        <is>
          <t>L001-100045898</t>
        </is>
      </c>
      <c r="E2050" t="inlineStr">
        <is>
          <t>TI-0302118</t>
        </is>
      </c>
      <c r="F2050" t="inlineStr">
        <is>
          <t>25-12-2024</t>
        </is>
      </c>
      <c r="G2050" t="n">
        <v>96416</v>
      </c>
      <c r="I2050">
        <f>G2050</f>
        <v/>
      </c>
      <c r="K2050">
        <f>I2050-G2050</f>
        <v/>
      </c>
      <c r="M2050" t="inlineStr">
        <is>
          <t>TI0302118</t>
        </is>
      </c>
      <c r="N2050" t="inlineStr">
        <is>
          <t>28778800</t>
        </is>
      </c>
      <c r="O2050">
        <f>M2050=N2050</f>
        <v/>
      </c>
      <c r="P2050">
        <f>AND(MONTH(F2050)=MONTH(S2050), YEAR(F2050)=YEAR(S2050))</f>
        <v/>
      </c>
      <c r="Q2050">
        <f>"L001-902303751"=U2050</f>
        <v/>
      </c>
      <c r="R2050">
        <f>G2050-W2050</f>
        <v/>
      </c>
      <c r="S2050" s="36" t="n">
        <v>45636</v>
      </c>
      <c r="T2050" t="n">
        <v>287788</v>
      </c>
      <c r="U2050" t="inlineStr">
        <is>
          <t>K005-100150195</t>
        </is>
      </c>
      <c r="V2050" t="inlineStr">
        <is>
          <t>អេស អ វី ស៊ី ហ្វ្រេត សឺវីស (ខេមបូឌា) ខូ អិលធីឌី</t>
        </is>
      </c>
      <c r="W2050" t="n">
        <v>287788</v>
      </c>
      <c r="X2050" t="n">
        <v>0</v>
      </c>
    </row>
    <row r="2051">
      <c r="A2051" t="n">
        <v>2050</v>
      </c>
      <c r="B2051" t="inlineStr">
        <is>
          <t>CFS HANDLING, CARRIER BL, DOCUMENT ASSEMBLY, TERMINAL HANDLING, HANDLING FEE, VGM WEIGHING FEE-CFS, FUEL, SURCHARE, TELEX RELEASE, OT CHARGES AND LATE OMB BOOKING</t>
        </is>
      </c>
      <c r="C2051" t="inlineStr">
        <is>
          <t>អ៊ិចស្ពែឌីធ័រ ខេមបូឌា អិលធីឌី</t>
        </is>
      </c>
      <c r="D2051" t="inlineStr">
        <is>
          <t>L001-100045898</t>
        </is>
      </c>
      <c r="E2051" t="inlineStr">
        <is>
          <t>TI-0302120</t>
        </is>
      </c>
      <c r="F2051" t="inlineStr">
        <is>
          <t>25-12-2024</t>
        </is>
      </c>
      <c r="G2051" t="n">
        <v>262642</v>
      </c>
      <c r="I2051">
        <f>G2051</f>
        <v/>
      </c>
      <c r="K2051">
        <f>I2051-G2051</f>
        <v/>
      </c>
      <c r="M2051" t="inlineStr">
        <is>
          <t>TI0302120</t>
        </is>
      </c>
      <c r="N2051" t="inlineStr"/>
      <c r="O2051">
        <f>M2051=N2051</f>
        <v/>
      </c>
      <c r="P2051">
        <f>AND(MONTH(F2051)=MONTH(S2051), YEAR(F2051)=YEAR(S2051))</f>
        <v/>
      </c>
      <c r="Q2051">
        <f>"L001-902303751"=U2051</f>
        <v/>
      </c>
      <c r="R2051">
        <f>G2051-W2051</f>
        <v/>
      </c>
      <c r="S2051" s="36" t="n">
        <v>45642</v>
      </c>
      <c r="T2051" t="inlineStr"/>
      <c r="U2051" t="inlineStr">
        <is>
          <t>L001-107032791</t>
        </is>
      </c>
      <c r="V2051" t="inlineStr">
        <is>
          <t>នីបផន អិចប្រេស (ខេមបូឌា) ខូ អិលធីឌី</t>
        </is>
      </c>
      <c r="W2051" t="n">
        <v>0</v>
      </c>
      <c r="X2051" t="n">
        <v>0</v>
      </c>
    </row>
    <row r="2052">
      <c r="A2052" t="n">
        <v>2051</v>
      </c>
      <c r="B2052" t="inlineStr">
        <is>
          <t>CFS HANDLING, CARRIER BL, DOCUMENT ASSEMBLY, TERMINAL HANDLING, HANDLING FEE, VGM WEIGHING FEE-CFS, FUEL, SURCHARE, TELEX RELEASE AND MANIFEST FEE</t>
        </is>
      </c>
      <c r="C2052" t="inlineStr">
        <is>
          <t>អ៊ិចស្ពែឌីធ័រ ខេមបូឌា អិលធីឌី</t>
        </is>
      </c>
      <c r="D2052" t="inlineStr">
        <is>
          <t>L001-100045898</t>
        </is>
      </c>
      <c r="E2052" t="inlineStr">
        <is>
          <t>TI-0302119</t>
        </is>
      </c>
      <c r="F2052" t="inlineStr">
        <is>
          <t>25-12-2024</t>
        </is>
      </c>
      <c r="G2052" t="n">
        <v>160026</v>
      </c>
      <c r="I2052">
        <f>G2052</f>
        <v/>
      </c>
      <c r="K2052">
        <f>I2052-G2052</f>
        <v/>
      </c>
      <c r="M2052" t="inlineStr">
        <is>
          <t>TI0302119</t>
        </is>
      </c>
      <c r="N2052" t="inlineStr">
        <is>
          <t>11079800</t>
        </is>
      </c>
      <c r="O2052">
        <f>M2052=N2052</f>
        <v/>
      </c>
      <c r="P2052">
        <f>AND(MONTH(F2052)=MONTH(S2052), YEAR(F2052)=YEAR(S2052))</f>
        <v/>
      </c>
      <c r="Q2052">
        <f>"L001-902303751"=U2052</f>
        <v/>
      </c>
      <c r="R2052">
        <f>G2052-W2052</f>
        <v/>
      </c>
      <c r="S2052" s="36" t="n">
        <v>45628</v>
      </c>
      <c r="T2052" t="n">
        <v>110798</v>
      </c>
      <c r="U2052" t="inlineStr">
        <is>
          <t>L001-107032791</t>
        </is>
      </c>
      <c r="V2052" t="inlineStr">
        <is>
          <t>នីបផន អិចប្រេស (ខេមបូឌា) ខូ អិលធីឌី</t>
        </is>
      </c>
      <c r="W2052" t="n">
        <v>110798</v>
      </c>
      <c r="X2052" t="n">
        <v>0</v>
      </c>
    </row>
    <row r="2053">
      <c r="A2053" t="n">
        <v>2052</v>
      </c>
      <c r="B2053" t="inlineStr">
        <is>
          <t>CFS CHARGES, BILL OF LADING FEE, THC CHARGES and FCR FEE</t>
        </is>
      </c>
      <c r="C2053" t="inlineStr">
        <is>
          <t>អ៊ិចស្ពែឌីធ័រ ខេមបូឌា អិលធីឌី</t>
        </is>
      </c>
      <c r="D2053" t="inlineStr">
        <is>
          <t>L001-100045898</t>
        </is>
      </c>
      <c r="E2053" t="inlineStr">
        <is>
          <t>TI-0302179</t>
        </is>
      </c>
      <c r="F2053" t="inlineStr">
        <is>
          <t>25-12-2024</t>
        </is>
      </c>
      <c r="G2053" t="n">
        <v>94447</v>
      </c>
      <c r="I2053">
        <f>G2053</f>
        <v/>
      </c>
      <c r="K2053">
        <f>I2053-G2053</f>
        <v/>
      </c>
      <c r="M2053" t="inlineStr">
        <is>
          <t>TI0302179</t>
        </is>
      </c>
      <c r="N2053" t="inlineStr"/>
      <c r="O2053">
        <f>M2053=N2053</f>
        <v/>
      </c>
      <c r="P2053">
        <f>AND(MONTH(F2053)=MONTH(S2053), YEAR(F2053)=YEAR(S2053))</f>
        <v/>
      </c>
      <c r="Q2053">
        <f>"L001-902303751"=U2053</f>
        <v/>
      </c>
      <c r="R2053">
        <f>G2053-W2053</f>
        <v/>
      </c>
      <c r="S2053" s="36" t="n">
        <v>45656</v>
      </c>
      <c r="T2053" t="inlineStr"/>
      <c r="U2053" t="inlineStr">
        <is>
          <t>L001-107032791</t>
        </is>
      </c>
      <c r="V2053" t="inlineStr">
        <is>
          <t>នីបផន អិចប្រេស (ខេមបូឌា) ខូ អិលធីឌី</t>
        </is>
      </c>
      <c r="W2053" t="n">
        <v>0</v>
      </c>
      <c r="X2053" t="n">
        <v>0</v>
      </c>
    </row>
    <row r="2054">
      <c r="A2054" t="n">
        <v>2053</v>
      </c>
      <c r="B2054" t="inlineStr">
        <is>
          <t>CARGO HANDLING FEE and Bill Fee or Document Fee</t>
        </is>
      </c>
      <c r="C2054" t="inlineStr">
        <is>
          <t>អេវើរស្តារ ស៊ីលែនឌែរ</t>
        </is>
      </c>
      <c r="D2054" t="inlineStr">
        <is>
          <t>K002-100160492</t>
        </is>
      </c>
      <c r="E2054" t="inlineStr">
        <is>
          <t>TI-2024-054</t>
        </is>
      </c>
      <c r="F2054" t="inlineStr">
        <is>
          <t>09-12-2024</t>
        </is>
      </c>
      <c r="G2054" t="n">
        <v>44297</v>
      </c>
      <c r="I2054">
        <f>G2054</f>
        <v/>
      </c>
      <c r="K2054">
        <f>I2054-G2054</f>
        <v/>
      </c>
      <c r="M2054" t="inlineStr">
        <is>
          <t>TI2024054</t>
        </is>
      </c>
      <c r="N2054" t="inlineStr"/>
      <c r="O2054">
        <f>M2054=N2054</f>
        <v/>
      </c>
      <c r="P2054">
        <f>AND(MONTH(F2054)=MONTH(S2054), YEAR(F2054)=YEAR(S2054))</f>
        <v/>
      </c>
      <c r="Q2054">
        <f>"L001-902303751"=U2054</f>
        <v/>
      </c>
      <c r="R2054">
        <f>G2054-W2054</f>
        <v/>
      </c>
      <c r="S2054" s="36" t="n">
        <v>45642</v>
      </c>
      <c r="T2054" t="inlineStr"/>
      <c r="U2054" t="inlineStr">
        <is>
          <t>L001-100045995</t>
        </is>
      </c>
      <c r="V2054" t="inlineStr">
        <is>
          <t>ឌីអេចអិល ឡូជីស្ទីក (ខេមបូឌា)</t>
        </is>
      </c>
      <c r="W2054" t="n">
        <v>0</v>
      </c>
      <c r="X2054" t="n">
        <v>0</v>
      </c>
    </row>
    <row r="2055">
      <c r="A2055" t="n">
        <v>2054</v>
      </c>
      <c r="B2055" t="inlineStr">
        <is>
          <t>Customs Clearance of LCL Shipment, THC Charge of LCL, CFS Charge of LCL, Trucking Fee of LCL, CARGO Handling Fee and Bill Fee or Document Fee</t>
        </is>
      </c>
      <c r="C2055" t="inlineStr">
        <is>
          <t>អេវើរស្តារ ស៊ីលែនឌែរ</t>
        </is>
      </c>
      <c r="D2055" t="inlineStr">
        <is>
          <t>K002-100160492</t>
        </is>
      </c>
      <c r="E2055" t="inlineStr">
        <is>
          <t>TI-2024-056</t>
        </is>
      </c>
      <c r="F2055" t="inlineStr">
        <is>
          <t>23-12-2024</t>
        </is>
      </c>
      <c r="G2055" t="n">
        <v>146312</v>
      </c>
      <c r="I2055">
        <f>G2055</f>
        <v/>
      </c>
      <c r="K2055">
        <f>I2055-G2055</f>
        <v/>
      </c>
      <c r="M2055" t="inlineStr">
        <is>
          <t>TI2024056</t>
        </is>
      </c>
      <c r="N2055" t="inlineStr">
        <is>
          <t>11055000</t>
        </is>
      </c>
      <c r="O2055">
        <f>M2055=N2055</f>
        <v/>
      </c>
      <c r="P2055">
        <f>AND(MONTH(F2055)=MONTH(S2055), YEAR(F2055)=YEAR(S2055))</f>
        <v/>
      </c>
      <c r="Q2055">
        <f>"L001-902303751"=U2055</f>
        <v/>
      </c>
      <c r="R2055">
        <f>G2055-W2055</f>
        <v/>
      </c>
      <c r="S2055" s="36" t="n">
        <v>45649</v>
      </c>
      <c r="T2055" t="n">
        <v>110550</v>
      </c>
      <c r="U2055" t="inlineStr">
        <is>
          <t>L001-100045995</t>
        </is>
      </c>
      <c r="V2055" t="inlineStr">
        <is>
          <t>ឌីអេចអិល ឡូជីស្ទីក (ខេមបូឌា)</t>
        </is>
      </c>
      <c r="W2055" t="n">
        <v>110550</v>
      </c>
      <c r="X2055" t="n">
        <v>0</v>
      </c>
    </row>
    <row r="2056">
      <c r="A2056" t="n">
        <v>2055</v>
      </c>
      <c r="B2056" t="inlineStr">
        <is>
          <t>Export Custom Clearance Fee</t>
        </is>
      </c>
      <c r="C2056" t="inlineStr">
        <is>
          <t>អ៊ីឃ្យូឡាញ វើលវ៉ាយដ៍ ឡូជីស្ទីក</t>
        </is>
      </c>
      <c r="D2056" t="inlineStr">
        <is>
          <t>K003-901635943</t>
        </is>
      </c>
      <c r="E2056" t="inlineStr">
        <is>
          <t>PPTI24/006270</t>
        </is>
      </c>
      <c r="F2056" t="inlineStr">
        <is>
          <t>23-12-2024</t>
        </is>
      </c>
      <c r="G2056" t="n">
        <v>64320</v>
      </c>
      <c r="I2056">
        <f>G2056</f>
        <v/>
      </c>
      <c r="K2056">
        <f>I2056-G2056</f>
        <v/>
      </c>
      <c r="M2056" t="inlineStr">
        <is>
          <t>PPTI24006270</t>
        </is>
      </c>
      <c r="N2056" t="inlineStr">
        <is>
          <t>11068800</t>
        </is>
      </c>
      <c r="O2056">
        <f>M2056=N2056</f>
        <v/>
      </c>
      <c r="P2056">
        <f>AND(MONTH(F2056)=MONTH(S2056), YEAR(F2056)=YEAR(S2056))</f>
        <v/>
      </c>
      <c r="Q2056">
        <f>"L001-902303751"=U2056</f>
        <v/>
      </c>
      <c r="R2056">
        <f>G2056-W2056</f>
        <v/>
      </c>
      <c r="S2056" s="36" t="n">
        <v>45636</v>
      </c>
      <c r="T2056" t="n">
        <v>110688</v>
      </c>
      <c r="U2056" t="inlineStr">
        <is>
          <t>L001-107041723</t>
        </is>
      </c>
      <c r="V2056" t="inlineStr">
        <is>
          <t>ឌីប៊ី សេនឃើរ (ខេមបូឌា) លីមីធីត</t>
        </is>
      </c>
      <c r="W2056" t="n">
        <v>110688</v>
      </c>
      <c r="X2056" t="n">
        <v>0</v>
      </c>
    </row>
    <row r="2057">
      <c r="A2057" t="n">
        <v>2056</v>
      </c>
      <c r="B2057" t="inlineStr">
        <is>
          <t>Cargo Terminal</t>
        </is>
      </c>
      <c r="C2057" t="inlineStr">
        <is>
          <t>សូស៊ីយេតេ កុងសេស្យូនែរ ដឺ ឡាអេរ៉ូព័រ</t>
        </is>
      </c>
      <c r="D2057" t="inlineStr">
        <is>
          <t>L001-100047300</t>
        </is>
      </c>
      <c r="E2057" t="inlineStr">
        <is>
          <t>2400098846</t>
        </is>
      </c>
      <c r="F2057" t="inlineStr">
        <is>
          <t>05-12-2024</t>
        </is>
      </c>
      <c r="G2057" t="n">
        <v>3223</v>
      </c>
      <c r="I2057">
        <f>G2057</f>
        <v/>
      </c>
      <c r="K2057">
        <f>I2057-G2057</f>
        <v/>
      </c>
      <c r="M2057" t="inlineStr">
        <is>
          <t>2400098846</t>
        </is>
      </c>
      <c r="N2057" t="inlineStr"/>
      <c r="O2057">
        <f>M2057=N2057</f>
        <v/>
      </c>
      <c r="P2057">
        <f>AND(MONTH(F2057)=MONTH(S2057), YEAR(F2057)=YEAR(S2057))</f>
        <v/>
      </c>
      <c r="Q2057">
        <f>"L001-902303751"=U2057</f>
        <v/>
      </c>
      <c r="R2057">
        <f>G2057-W2057</f>
        <v/>
      </c>
      <c r="S2057" s="36" t="n">
        <v>45636</v>
      </c>
      <c r="T2057" t="inlineStr"/>
      <c r="U2057" t="inlineStr">
        <is>
          <t>L001-107041723</t>
        </is>
      </c>
      <c r="V2057" t="inlineStr">
        <is>
          <t>ឌីប៊ី សេនឃើរ (ខេមបូឌា) លីមីធីត</t>
        </is>
      </c>
      <c r="W2057" t="n">
        <v>0</v>
      </c>
      <c r="X2057" t="n">
        <v>0</v>
      </c>
    </row>
    <row r="2058">
      <c r="A2058" t="n">
        <v>2057</v>
      </c>
      <c r="B2058" t="inlineStr">
        <is>
          <t>OM FORWARDING FEE, H/C AND AWB FEE</t>
        </is>
      </c>
      <c r="C2058" t="inlineStr">
        <is>
          <t>អ៊ិចស្ពែឌីធ័រ ខេមបូឌា អិលធីឌី</t>
        </is>
      </c>
      <c r="D2058" t="inlineStr">
        <is>
          <t>L001-100045898</t>
        </is>
      </c>
      <c r="E2058" t="inlineStr">
        <is>
          <t>TI-0300619</t>
        </is>
      </c>
      <c r="F2058" t="inlineStr">
        <is>
          <t>12-12-2024</t>
        </is>
      </c>
      <c r="G2058" t="n">
        <v>46184</v>
      </c>
      <c r="I2058">
        <f>G2058</f>
        <v/>
      </c>
      <c r="K2058">
        <f>I2058-G2058</f>
        <v/>
      </c>
      <c r="M2058" t="inlineStr">
        <is>
          <t>TI0300619</t>
        </is>
      </c>
      <c r="N2058" t="inlineStr"/>
      <c r="O2058">
        <f>M2058=N2058</f>
        <v/>
      </c>
      <c r="P2058">
        <f>AND(MONTH(F2058)=MONTH(S2058), YEAR(F2058)=YEAR(S2058))</f>
        <v/>
      </c>
      <c r="Q2058">
        <f>"L001-902303751"=U2058</f>
        <v/>
      </c>
      <c r="R2058">
        <f>G2058-W2058</f>
        <v/>
      </c>
      <c r="S2058" s="36" t="n">
        <v>45656</v>
      </c>
      <c r="T2058" t="inlineStr"/>
      <c r="U2058" t="inlineStr">
        <is>
          <t>L001-107032791</t>
        </is>
      </c>
      <c r="V2058" t="inlineStr">
        <is>
          <t>នីបផន អិចប្រេស (ខេមបូឌា) ខូ អិលធីឌី</t>
        </is>
      </c>
      <c r="W2058" t="n">
        <v>0</v>
      </c>
      <c r="X2058" t="n">
        <v>0</v>
      </c>
    </row>
    <row r="2059">
      <c r="A2059" t="n">
        <v>2058</v>
      </c>
      <c r="B2059" t="inlineStr">
        <is>
          <t>CTNR STUFFING FEE, THC CHARES, BILL OF LANDING FEE, MANIFEST FEE AND FCR FEE</t>
        </is>
      </c>
      <c r="C2059" t="inlineStr">
        <is>
          <t>អ៊ិចស្ពែឌីធ័រ ខេមបូឌា អិលធីឌី</t>
        </is>
      </c>
      <c r="D2059" t="inlineStr">
        <is>
          <t>L001-100045898</t>
        </is>
      </c>
      <c r="E2059" t="inlineStr">
        <is>
          <t>TI-0300513</t>
        </is>
      </c>
      <c r="F2059" t="inlineStr">
        <is>
          <t>11-12-2024</t>
        </is>
      </c>
      <c r="G2059" t="n">
        <v>64794</v>
      </c>
      <c r="I2059">
        <f>G2059</f>
        <v/>
      </c>
      <c r="K2059">
        <f>I2059-G2059</f>
        <v/>
      </c>
      <c r="M2059" t="inlineStr">
        <is>
          <t>TI0300513</t>
        </is>
      </c>
      <c r="N2059" t="inlineStr"/>
      <c r="O2059">
        <f>M2059=N2059</f>
        <v/>
      </c>
      <c r="P2059">
        <f>AND(MONTH(F2059)=MONTH(S2059), YEAR(F2059)=YEAR(S2059))</f>
        <v/>
      </c>
      <c r="Q2059">
        <f>"L001-902303751"=U2059</f>
        <v/>
      </c>
      <c r="R2059">
        <f>G2059-W2059</f>
        <v/>
      </c>
      <c r="S2059" s="36" t="n">
        <v>45642</v>
      </c>
      <c r="T2059" t="inlineStr"/>
      <c r="U2059" t="inlineStr">
        <is>
          <t>K005-901805913</t>
        </is>
      </c>
      <c r="V2059" t="inlineStr">
        <is>
          <t>ស្តារ ខង់ខដ (ខេមបូឌា) ឯ.ក</t>
        </is>
      </c>
      <c r="W2059" t="n">
        <v>0</v>
      </c>
      <c r="X2059" t="n">
        <v>0</v>
      </c>
    </row>
    <row r="2060">
      <c r="A2060" t="n">
        <v>2059</v>
      </c>
      <c r="B2060" t="inlineStr">
        <is>
          <t>CFS HANDLING, CARRIER BL, DOCUMENT ASSEMBLY, TERMINAL HANDLING, HANDLING FEE, VGM PROCESSING FEE-CFS AND MANIFEST FEE</t>
        </is>
      </c>
      <c r="C2060" t="inlineStr">
        <is>
          <t>អ៊ិចស្ពែឌីធ័រ ខេមបូឌា អិលធីឌី</t>
        </is>
      </c>
      <c r="D2060" t="inlineStr">
        <is>
          <t>L001-100045898</t>
        </is>
      </c>
      <c r="E2060" t="inlineStr">
        <is>
          <t>TI-0300624</t>
        </is>
      </c>
      <c r="F2060" t="inlineStr">
        <is>
          <t>12-12-2024</t>
        </is>
      </c>
      <c r="G2060" t="n">
        <v>82730</v>
      </c>
      <c r="I2060">
        <f>G2060</f>
        <v/>
      </c>
      <c r="K2060">
        <f>I2060-G2060</f>
        <v/>
      </c>
      <c r="M2060" t="inlineStr">
        <is>
          <t>TI0300624</t>
        </is>
      </c>
      <c r="N2060" t="inlineStr"/>
      <c r="O2060">
        <f>M2060=N2060</f>
        <v/>
      </c>
      <c r="P2060">
        <f>AND(MONTH(F2060)=MONTH(S2060), YEAR(F2060)=YEAR(S2060))</f>
        <v/>
      </c>
      <c r="Q2060">
        <f>"L001-902303751"=U2060</f>
        <v/>
      </c>
      <c r="R2060">
        <f>G2060-W2060</f>
        <v/>
      </c>
      <c r="S2060" s="36" t="n">
        <v>45649</v>
      </c>
      <c r="T2060" t="inlineStr"/>
      <c r="U2060" t="inlineStr">
        <is>
          <t>K005-100150195</t>
        </is>
      </c>
      <c r="V2060" t="inlineStr">
        <is>
          <t>អេស អ វី ស៊ី ហ្វ្រេត សឺវីស (ខេមបូឌា) ខូ អិលធីឌី</t>
        </is>
      </c>
      <c r="W2060" t="n">
        <v>0</v>
      </c>
      <c r="X2060" t="n">
        <v>0</v>
      </c>
    </row>
    <row r="2061">
      <c r="A2061" t="n">
        <v>2060</v>
      </c>
      <c r="B2061" t="inlineStr">
        <is>
          <t>Export Administration Fee and Custom Processing Fee</t>
        </is>
      </c>
      <c r="C2061" t="inlineStr">
        <is>
          <t>ជី លីង អិចប្រេស ឡូជីស្ទីក (ខេមបូឌា) លីមីធីត</t>
        </is>
      </c>
      <c r="D2061" t="inlineStr">
        <is>
          <t>L001-100044956</t>
        </is>
      </c>
      <c r="E2061" t="inlineStr">
        <is>
          <t>24160373</t>
        </is>
      </c>
      <c r="F2061" t="inlineStr">
        <is>
          <t>14-12-2024</t>
        </is>
      </c>
      <c r="G2061" t="n">
        <v>64336</v>
      </c>
      <c r="I2061">
        <f>G2061</f>
        <v/>
      </c>
      <c r="K2061">
        <f>I2061-G2061</f>
        <v/>
      </c>
      <c r="M2061" t="inlineStr">
        <is>
          <t>24160373</t>
        </is>
      </c>
      <c r="N2061" t="inlineStr">
        <is>
          <t>11055000</t>
        </is>
      </c>
      <c r="O2061">
        <f>M2061=N2061</f>
        <v/>
      </c>
      <c r="P2061">
        <f>AND(MONTH(F2061)=MONTH(S2061), YEAR(F2061)=YEAR(S2061))</f>
        <v/>
      </c>
      <c r="Q2061">
        <f>"L001-902303751"=U2061</f>
        <v/>
      </c>
      <c r="R2061">
        <f>G2061-W2061</f>
        <v/>
      </c>
      <c r="S2061" s="36" t="n">
        <v>45649</v>
      </c>
      <c r="T2061" t="n">
        <v>110550</v>
      </c>
      <c r="U2061" t="inlineStr">
        <is>
          <t>L001-107032791</t>
        </is>
      </c>
      <c r="V2061" t="inlineStr">
        <is>
          <t>នីបផន អិចប្រេស (ខេមបូឌា) ខូ អិលធីឌី</t>
        </is>
      </c>
      <c r="W2061" t="n">
        <v>110550</v>
      </c>
      <c r="X2061" t="n">
        <v>0</v>
      </c>
    </row>
    <row r="2062">
      <c r="A2062" t="n">
        <v>2061</v>
      </c>
      <c r="B2062" t="inlineStr">
        <is>
          <t>Hardware</t>
        </is>
      </c>
      <c r="C2062" t="inlineStr">
        <is>
          <t>ភ្នំពេញ ថប វើលដ៍ ខនស្ត្រាក់សិន &amp; អេនជីនារីង ឯ.ក</t>
        </is>
      </c>
      <c r="D2062" t="inlineStr">
        <is>
          <t>K005-901638261</t>
        </is>
      </c>
      <c r="E2062" t="inlineStr">
        <is>
          <t>000038</t>
        </is>
      </c>
      <c r="F2062" t="inlineStr">
        <is>
          <t>27-12-2024</t>
        </is>
      </c>
      <c r="G2062" t="n">
        <v>1263398</v>
      </c>
      <c r="I2062">
        <f>G2062</f>
        <v/>
      </c>
      <c r="K2062">
        <f>I2062-G2062</f>
        <v/>
      </c>
      <c r="M2062" t="inlineStr">
        <is>
          <t>000038</t>
        </is>
      </c>
      <c r="N2062" t="inlineStr"/>
      <c r="O2062">
        <f>M2062=N2062</f>
        <v/>
      </c>
      <c r="P2062">
        <f>AND(MONTH(F2062)=MONTH(S2062), YEAR(F2062)=YEAR(S2062))</f>
        <v/>
      </c>
      <c r="Q2062">
        <f>"L001-902303751"=U2062</f>
        <v/>
      </c>
      <c r="R2062">
        <f>G2062-W2062</f>
        <v/>
      </c>
      <c r="S2062" s="36" t="n">
        <v>45649</v>
      </c>
      <c r="T2062" t="inlineStr"/>
      <c r="U2062" t="inlineStr">
        <is>
          <t>L001-100045340</t>
        </is>
      </c>
      <c r="V2062" t="inlineStr">
        <is>
          <t xml:space="preserve">ស៊ីវ៉ា អ៊ែរ អ៊ែន អូសៀន (ខេមបូឌា) ឯ.ក </t>
        </is>
      </c>
      <c r="W2062" t="n">
        <v>0</v>
      </c>
      <c r="X2062" t="n">
        <v>0</v>
      </c>
    </row>
    <row r="2063">
      <c r="A2063" t="n">
        <v>2062</v>
      </c>
      <c r="B2063" t="inlineStr">
        <is>
          <t>Handling Charge, Documentation Fee, Manifest Filling and Air Freight</t>
        </is>
      </c>
      <c r="C2063" t="inlineStr">
        <is>
          <t>នីបផន អិចប្រេស (ខេមបូឌា) ខូ អិលធីឌី</t>
        </is>
      </c>
      <c r="D2063" t="inlineStr">
        <is>
          <t>L001-107032791</t>
        </is>
      </c>
      <c r="E2063" t="inlineStr">
        <is>
          <t>A8T-16030</t>
        </is>
      </c>
      <c r="F2063" t="inlineStr">
        <is>
          <t>25-12-2024</t>
        </is>
      </c>
      <c r="G2063" t="n">
        <v>46219</v>
      </c>
      <c r="I2063">
        <f>G2063</f>
        <v/>
      </c>
      <c r="K2063">
        <f>I2063-G2063</f>
        <v/>
      </c>
      <c r="M2063" t="inlineStr">
        <is>
          <t>A8T16030</t>
        </is>
      </c>
      <c r="N2063" t="inlineStr">
        <is>
          <t>37633800</t>
        </is>
      </c>
      <c r="O2063">
        <f>M2063=N2063</f>
        <v/>
      </c>
      <c r="P2063">
        <f>AND(MONTH(F2063)=MONTH(S2063), YEAR(F2063)=YEAR(S2063))</f>
        <v/>
      </c>
      <c r="Q2063">
        <f>"L001-902303751"=U2063</f>
        <v/>
      </c>
      <c r="R2063">
        <f>G2063-W2063</f>
        <v/>
      </c>
      <c r="S2063" s="36" t="n">
        <v>45636</v>
      </c>
      <c r="T2063" t="n">
        <v>376338</v>
      </c>
      <c r="U2063" t="inlineStr">
        <is>
          <t>L001-100045995</t>
        </is>
      </c>
      <c r="V2063" t="inlineStr">
        <is>
          <t>ឌីអេចអិល ឡូជីស្ទីក (ខេមបូឌា)</t>
        </is>
      </c>
      <c r="W2063" t="n">
        <v>376338</v>
      </c>
      <c r="X2063" t="n">
        <v>0</v>
      </c>
    </row>
    <row r="2064">
      <c r="A2064" t="n">
        <v>2063</v>
      </c>
      <c r="B2064" t="inlineStr">
        <is>
          <t>Coated Paper</t>
        </is>
      </c>
      <c r="C2064" t="inlineStr">
        <is>
          <t>ហ្គូដញូ ភែកឃីជីង ថេកណឡជី ឯ.ក</t>
        </is>
      </c>
      <c r="D2064" t="inlineStr">
        <is>
          <t>L001-901704919</t>
        </is>
      </c>
      <c r="E2064" t="inlineStr">
        <is>
          <t>TI-GN-2024-067</t>
        </is>
      </c>
      <c r="F2064" t="inlineStr">
        <is>
          <t>27-12-2024</t>
        </is>
      </c>
      <c r="G2064" t="n">
        <v>91911</v>
      </c>
      <c r="I2064">
        <f>G2064</f>
        <v/>
      </c>
      <c r="K2064">
        <f>I2064-G2064</f>
        <v/>
      </c>
      <c r="M2064" t="inlineStr">
        <is>
          <t>TIGN2024067</t>
        </is>
      </c>
      <c r="N2064" t="inlineStr"/>
      <c r="O2064">
        <f>M2064=N2064</f>
        <v/>
      </c>
      <c r="P2064">
        <f>AND(MONTH(F2064)=MONTH(S2064), YEAR(F2064)=YEAR(S2064))</f>
        <v/>
      </c>
      <c r="Q2064">
        <f>"L001-902303751"=U2064</f>
        <v/>
      </c>
      <c r="R2064">
        <f>G2064-W2064</f>
        <v/>
      </c>
      <c r="S2064" s="36" t="n">
        <v>45636</v>
      </c>
      <c r="T2064" t="inlineStr"/>
      <c r="U2064" t="inlineStr">
        <is>
          <t>L001-100045995</t>
        </is>
      </c>
      <c r="V2064" t="inlineStr">
        <is>
          <t>ឌីអេចអិល ឡូជីស្ទីក (ខេមបូឌា)</t>
        </is>
      </c>
      <c r="W2064" t="n">
        <v>0</v>
      </c>
      <c r="X2064" t="n">
        <v>0</v>
      </c>
    </row>
    <row r="2065">
      <c r="A2065" t="n">
        <v>2064</v>
      </c>
      <c r="B2065" t="inlineStr">
        <is>
          <t>Thread</t>
        </is>
      </c>
      <c r="C2065" t="inlineStr">
        <is>
          <t>គ្លូប៊ល សុីលីន ហ្គាមុិន អេកសេសឺរី ឯ.ក</t>
        </is>
      </c>
      <c r="D2065" t="inlineStr">
        <is>
          <t>L001-902200857</t>
        </is>
      </c>
      <c r="E2065" t="inlineStr">
        <is>
          <t>000968</t>
        </is>
      </c>
      <c r="F2065" t="inlineStr">
        <is>
          <t>27-12-2024</t>
        </is>
      </c>
      <c r="G2065" t="n">
        <v>837606</v>
      </c>
      <c r="I2065">
        <f>G2065</f>
        <v/>
      </c>
      <c r="K2065">
        <f>I2065-G2065</f>
        <v/>
      </c>
      <c r="M2065" t="inlineStr">
        <is>
          <t>000968</t>
        </is>
      </c>
      <c r="N2065" t="inlineStr"/>
      <c r="O2065">
        <f>M2065=N2065</f>
        <v/>
      </c>
      <c r="P2065">
        <f>AND(MONTH(F2065)=MONTH(S2065), YEAR(F2065)=YEAR(S2065))</f>
        <v/>
      </c>
      <c r="Q2065">
        <f>"L001-902303751"=U2065</f>
        <v/>
      </c>
      <c r="R2065">
        <f>G2065-W2065</f>
        <v/>
      </c>
      <c r="S2065" s="36" t="n">
        <v>45636</v>
      </c>
      <c r="T2065" t="inlineStr"/>
      <c r="U2065" t="inlineStr">
        <is>
          <t>L001-107032791</t>
        </is>
      </c>
      <c r="V2065" t="inlineStr">
        <is>
          <t>នីបផន អិចប្រេស (ខេមបូឌា) ខូ អិលធីឌី</t>
        </is>
      </c>
      <c r="W2065" t="n">
        <v>0</v>
      </c>
      <c r="X2065" t="n">
        <v>0</v>
      </c>
    </row>
    <row r="2066">
      <c r="A2066" t="n">
        <v>2065</v>
      </c>
      <c r="B2066" t="inlineStr">
        <is>
          <t>Thread</t>
        </is>
      </c>
      <c r="C2066" t="inlineStr">
        <is>
          <t>គ្លូប៊ល សុីលីន ហ្គាមុិន អេកសេសឺរី ឯ.ក</t>
        </is>
      </c>
      <c r="D2066" t="inlineStr">
        <is>
          <t>L001-902200857</t>
        </is>
      </c>
      <c r="E2066" t="inlineStr">
        <is>
          <t>000969</t>
        </is>
      </c>
      <c r="F2066" t="inlineStr">
        <is>
          <t>27-12-2024</t>
        </is>
      </c>
      <c r="G2066" t="n">
        <v>209092</v>
      </c>
      <c r="I2066">
        <f>G2066</f>
        <v/>
      </c>
      <c r="K2066">
        <f>I2066-G2066</f>
        <v/>
      </c>
      <c r="M2066" t="inlineStr">
        <is>
          <t>000969</t>
        </is>
      </c>
      <c r="N2066" t="inlineStr">
        <is>
          <t>8239000</t>
        </is>
      </c>
      <c r="O2066">
        <f>M2066=N2066</f>
        <v/>
      </c>
      <c r="P2066">
        <f>AND(MONTH(F2066)=MONTH(S2066), YEAR(F2066)=YEAR(S2066))</f>
        <v/>
      </c>
      <c r="Q2066">
        <f>"L001-902303751"=U2066</f>
        <v/>
      </c>
      <c r="R2066">
        <f>G2066-W2066</f>
        <v/>
      </c>
      <c r="S2066" s="36" t="n">
        <v>45642</v>
      </c>
      <c r="T2066" t="n">
        <v>82390</v>
      </c>
      <c r="U2066" t="inlineStr">
        <is>
          <t>L001-107032791</t>
        </is>
      </c>
      <c r="V2066" t="inlineStr">
        <is>
          <t>នីបផន អិចប្រេស (ខេមបូឌា) ខូ អិលធីឌី</t>
        </is>
      </c>
      <c r="W2066" t="n">
        <v>82390</v>
      </c>
      <c r="X2066" t="n">
        <v>0</v>
      </c>
    </row>
    <row r="2067">
      <c r="A2067" t="n">
        <v>2066</v>
      </c>
      <c r="B2067" t="inlineStr">
        <is>
          <t>Export Administration Fee and Custom Processing Fee</t>
        </is>
      </c>
      <c r="C2067" t="inlineStr">
        <is>
          <t>ជី លីង អិចប្រេស ឡូជីស្ទីក (ខេមបូឌា) លីមីធីត</t>
        </is>
      </c>
      <c r="D2067" t="inlineStr">
        <is>
          <t>L001-100044956</t>
        </is>
      </c>
      <c r="E2067" t="inlineStr">
        <is>
          <t>24160544</t>
        </is>
      </c>
      <c r="F2067" t="inlineStr">
        <is>
          <t>20-12-2024</t>
        </is>
      </c>
      <c r="G2067" t="n">
        <v>64304</v>
      </c>
      <c r="I2067">
        <f>G2067</f>
        <v/>
      </c>
      <c r="K2067">
        <f>I2067-G2067</f>
        <v/>
      </c>
      <c r="M2067" t="inlineStr">
        <is>
          <t>24160544</t>
        </is>
      </c>
      <c r="N2067" t="inlineStr">
        <is>
          <t>8239000</t>
        </is>
      </c>
      <c r="O2067">
        <f>M2067=N2067</f>
        <v/>
      </c>
      <c r="P2067">
        <f>AND(MONTH(F2067)=MONTH(S2067), YEAR(F2067)=YEAR(S2067))</f>
        <v/>
      </c>
      <c r="Q2067">
        <f>"L001-902303751"=U2067</f>
        <v/>
      </c>
      <c r="R2067">
        <f>G2067-W2067</f>
        <v/>
      </c>
      <c r="S2067" s="36" t="n">
        <v>45642</v>
      </c>
      <c r="T2067" t="n">
        <v>82390</v>
      </c>
      <c r="U2067" t="inlineStr">
        <is>
          <t>L001-100045995</t>
        </is>
      </c>
      <c r="V2067" t="inlineStr">
        <is>
          <t>ឌីអេចអិល ឡូជីស្ទីក (ខេមបូឌា)</t>
        </is>
      </c>
      <c r="W2067" t="n">
        <v>82390</v>
      </c>
      <c r="X2067" t="n">
        <v>0</v>
      </c>
    </row>
    <row r="2068">
      <c r="A2068" t="n">
        <v>2067</v>
      </c>
      <c r="B2068" t="inlineStr">
        <is>
          <t>Export Administration Fee and Custom Processing Fee</t>
        </is>
      </c>
      <c r="C2068" t="inlineStr">
        <is>
          <t>ជី លីង អិចប្រេស ឡូជីស្ទីក (ខេមបូឌា) លីមីធីត</t>
        </is>
      </c>
      <c r="D2068" t="inlineStr">
        <is>
          <t>L001-100044956</t>
        </is>
      </c>
      <c r="E2068" t="inlineStr">
        <is>
          <t>24160678</t>
        </is>
      </c>
      <c r="F2068" t="inlineStr">
        <is>
          <t>25-12-2024</t>
        </is>
      </c>
      <c r="G2068" t="n">
        <v>64304</v>
      </c>
      <c r="I2068">
        <f>G2068</f>
        <v/>
      </c>
      <c r="K2068">
        <f>I2068-G2068</f>
        <v/>
      </c>
      <c r="M2068" t="inlineStr">
        <is>
          <t>24160678</t>
        </is>
      </c>
      <c r="N2068" t="inlineStr">
        <is>
          <t>9709900</t>
        </is>
      </c>
      <c r="O2068">
        <f>M2068=N2068</f>
        <v/>
      </c>
      <c r="P2068">
        <f>AND(MONTH(F2068)=MONTH(S2068), YEAR(F2068)=YEAR(S2068))</f>
        <v/>
      </c>
      <c r="Q2068">
        <f>"L001-902303751"=U2068</f>
        <v/>
      </c>
      <c r="R2068">
        <f>G2068-W2068</f>
        <v/>
      </c>
      <c r="S2068" s="36" t="n">
        <v>45628</v>
      </c>
      <c r="T2068" t="n">
        <v>97099</v>
      </c>
      <c r="U2068" t="inlineStr">
        <is>
          <t>K005-901805913</t>
        </is>
      </c>
      <c r="V2068" t="inlineStr">
        <is>
          <t>ស្តារ ខង់ខដ (ខេមបូឌា) ឯ.ក</t>
        </is>
      </c>
      <c r="W2068" t="n">
        <v>97099</v>
      </c>
      <c r="X2068" t="n">
        <v>0</v>
      </c>
    </row>
    <row r="2069">
      <c r="A2069" t="n">
        <v>2068</v>
      </c>
      <c r="B2069" t="inlineStr">
        <is>
          <t>Export Administration Fee and Custom Processing Fee</t>
        </is>
      </c>
      <c r="C2069" t="inlineStr">
        <is>
          <t>ជី លីង អិចប្រេស ឡូជីស្ទីក (ខេមបូឌា) លីមីធីត</t>
        </is>
      </c>
      <c r="D2069" t="inlineStr">
        <is>
          <t>L001-100044956</t>
        </is>
      </c>
      <c r="E2069" t="inlineStr">
        <is>
          <t>24160363</t>
        </is>
      </c>
      <c r="F2069" t="inlineStr">
        <is>
          <t>14-12-2024</t>
        </is>
      </c>
      <c r="G2069" t="n">
        <v>64336</v>
      </c>
      <c r="I2069">
        <f>G2069</f>
        <v/>
      </c>
      <c r="K2069">
        <f>I2069-G2069</f>
        <v/>
      </c>
      <c r="M2069" t="inlineStr">
        <is>
          <t>24160363</t>
        </is>
      </c>
      <c r="N2069" t="inlineStr"/>
      <c r="O2069">
        <f>M2069=N2069</f>
        <v/>
      </c>
      <c r="P2069">
        <f>AND(MONTH(F2069)=MONTH(S2069), YEAR(F2069)=YEAR(S2069))</f>
        <v/>
      </c>
      <c r="Q2069">
        <f>"L001-902303751"=U2069</f>
        <v/>
      </c>
      <c r="R2069">
        <f>G2069-W2069</f>
        <v/>
      </c>
      <c r="S2069" s="36" t="n">
        <v>45653</v>
      </c>
      <c r="T2069" t="inlineStr"/>
      <c r="U2069" t="inlineStr">
        <is>
          <t>L001-100045340</t>
        </is>
      </c>
      <c r="V2069" t="inlineStr">
        <is>
          <t xml:space="preserve">ស៊ីវ៉ា អ៊ែរ អ៊ែន អូសៀន (ខេមបូឌា) ឯ.ក </t>
        </is>
      </c>
      <c r="W2069" t="n">
        <v>0</v>
      </c>
      <c r="X2069" t="n">
        <v>0</v>
      </c>
    </row>
    <row r="2070">
      <c r="A2070" t="n">
        <v>2069</v>
      </c>
      <c r="B2070" t="inlineStr">
        <is>
          <t>CTNR STUFFING FEE, THC CHARES, BILL OF LANDING FEE, MANIFEST FEE AND FCR FEE</t>
        </is>
      </c>
      <c r="C2070" t="inlineStr">
        <is>
          <t>អ៊ិចស្ពែឌីធ័រ ខេមបូឌា អិលធីឌី</t>
        </is>
      </c>
      <c r="D2070" t="inlineStr">
        <is>
          <t>L001-100045898</t>
        </is>
      </c>
      <c r="E2070" t="inlineStr">
        <is>
          <t>TI-0300925</t>
        </is>
      </c>
      <c r="F2070" t="inlineStr">
        <is>
          <t>17-12-2024</t>
        </is>
      </c>
      <c r="G2070" t="n">
        <v>55864</v>
      </c>
      <c r="I2070">
        <f>G2070</f>
        <v/>
      </c>
      <c r="K2070">
        <f>I2070-G2070</f>
        <v/>
      </c>
      <c r="M2070" t="inlineStr">
        <is>
          <t>TI0300925</t>
        </is>
      </c>
      <c r="N2070" t="inlineStr">
        <is>
          <t>8241000</t>
        </is>
      </c>
      <c r="O2070">
        <f>M2070=N2070</f>
        <v/>
      </c>
      <c r="P2070">
        <f>AND(MONTH(F2070)=MONTH(S2070), YEAR(F2070)=YEAR(S2070))</f>
        <v/>
      </c>
      <c r="Q2070">
        <f>"L001-902303751"=U2070</f>
        <v/>
      </c>
      <c r="R2070">
        <f>G2070-W2070</f>
        <v/>
      </c>
      <c r="S2070" s="36" t="n">
        <v>45649</v>
      </c>
      <c r="T2070" t="n">
        <v>82410</v>
      </c>
      <c r="U2070" t="inlineStr">
        <is>
          <t>K005-901902888</t>
        </is>
      </c>
      <c r="V2070" t="inlineStr">
        <is>
          <t>អឹឡាយអិន ហ្វ័រវើឌីង (ខេមបូឌា) ឯ.ក</t>
        </is>
      </c>
      <c r="W2070" t="n">
        <v>82410</v>
      </c>
      <c r="X2070" t="n">
        <v>0</v>
      </c>
    </row>
    <row r="2071">
      <c r="A2071" t="n">
        <v>2070</v>
      </c>
      <c r="B2071" t="inlineStr">
        <is>
          <t>Export Administration Fee and Custom Processing Fee</t>
        </is>
      </c>
      <c r="C2071" t="inlineStr">
        <is>
          <t>ជី លីង អិចប្រេស ឡូជីស្ទីក (ខេមបូឌា) លីមីធីត</t>
        </is>
      </c>
      <c r="D2071" t="inlineStr">
        <is>
          <t>L001-100044956</t>
        </is>
      </c>
      <c r="E2071" t="inlineStr">
        <is>
          <t>24160664</t>
        </is>
      </c>
      <c r="F2071" t="inlineStr">
        <is>
          <t>25-12-2024</t>
        </is>
      </c>
      <c r="G2071" t="n">
        <v>64304</v>
      </c>
      <c r="I2071">
        <f>G2071</f>
        <v/>
      </c>
      <c r="K2071">
        <f>I2071-G2071</f>
        <v/>
      </c>
      <c r="M2071" t="inlineStr">
        <is>
          <t>24160664</t>
        </is>
      </c>
      <c r="N2071" t="inlineStr"/>
      <c r="O2071">
        <f>M2071=N2071</f>
        <v/>
      </c>
      <c r="P2071">
        <f>AND(MONTH(F2071)=MONTH(S2071), YEAR(F2071)=YEAR(S2071))</f>
        <v/>
      </c>
      <c r="Q2071">
        <f>"L001-902303751"=U2071</f>
        <v/>
      </c>
      <c r="R2071">
        <f>G2071-W2071</f>
        <v/>
      </c>
      <c r="S2071" s="36" t="n">
        <v>45649</v>
      </c>
      <c r="T2071" t="inlineStr"/>
      <c r="U2071" t="inlineStr">
        <is>
          <t>L001-100045995</t>
        </is>
      </c>
      <c r="V2071" t="inlineStr">
        <is>
          <t>ឌីអេចអិល ឡូជីស្ទីក (ខេមបូឌា)</t>
        </is>
      </c>
      <c r="W2071" t="n">
        <v>0</v>
      </c>
      <c r="X2071" t="n">
        <v>0</v>
      </c>
    </row>
    <row r="2072">
      <c r="A2072" t="n">
        <v>2071</v>
      </c>
      <c r="B2072" t="inlineStr">
        <is>
          <t>Export Administration Fee and Custom Processing Fee</t>
        </is>
      </c>
      <c r="C2072" t="inlineStr">
        <is>
          <t>ជី លីង អិចប្រេស ឡូជីស្ទីក (ខេមបូឌា) លីមីធីត</t>
        </is>
      </c>
      <c r="D2072" t="inlineStr">
        <is>
          <t>L001-100044956</t>
        </is>
      </c>
      <c r="E2072" t="inlineStr">
        <is>
          <t>24160519</t>
        </is>
      </c>
      <c r="F2072" t="inlineStr">
        <is>
          <t>19-12-2024</t>
        </is>
      </c>
      <c r="G2072" t="n">
        <v>64336</v>
      </c>
      <c r="I2072">
        <f>G2072</f>
        <v/>
      </c>
      <c r="K2072">
        <f>I2072-G2072</f>
        <v/>
      </c>
      <c r="M2072" t="inlineStr">
        <is>
          <t>24160519</t>
        </is>
      </c>
      <c r="N2072" t="inlineStr"/>
      <c r="O2072">
        <f>M2072=N2072</f>
        <v/>
      </c>
      <c r="P2072">
        <f>AND(MONTH(F2072)=MONTH(S2072), YEAR(F2072)=YEAR(S2072))</f>
        <v/>
      </c>
      <c r="Q2072">
        <f>"L001-902303751"=U2072</f>
        <v/>
      </c>
      <c r="R2072">
        <f>G2072-W2072</f>
        <v/>
      </c>
      <c r="S2072" s="36" t="n">
        <v>45636</v>
      </c>
      <c r="T2072" t="inlineStr"/>
      <c r="U2072" t="inlineStr">
        <is>
          <t>L001-100045995</t>
        </is>
      </c>
      <c r="V2072" t="inlineStr">
        <is>
          <t>ឌីអេចអិល ឡូជីស្ទីក (ខេមបូឌា)</t>
        </is>
      </c>
      <c r="W2072" t="n">
        <v>0</v>
      </c>
      <c r="X2072" t="n">
        <v>0</v>
      </c>
    </row>
    <row r="2073">
      <c r="A2073" t="n">
        <v>2072</v>
      </c>
      <c r="B2073" t="inlineStr">
        <is>
          <t>OM FORWARDING FEE, TERMINAL HANDLING, CARRIER BL, DOCUMENT ASSEMBLY, HANDLING FEE, VGM ADMIN FEE, CONTAINER SEAL, TELEX RELEASE, DETENTION CHARGE, LATE OMB REVISION AND MANIFEST FEE</t>
        </is>
      </c>
      <c r="C2073" t="inlineStr">
        <is>
          <t>អ៊ិចស្ពែឌីធ័រ ខេមបូឌា អិលធីឌី</t>
        </is>
      </c>
      <c r="D2073" t="inlineStr">
        <is>
          <t>L001-100045898</t>
        </is>
      </c>
      <c r="E2073" t="inlineStr">
        <is>
          <t>TI-0301371</t>
        </is>
      </c>
      <c r="F2073" t="inlineStr">
        <is>
          <t>19-12-2024</t>
        </is>
      </c>
      <c r="G2073" t="n">
        <v>248900</v>
      </c>
      <c r="I2073">
        <f>G2073</f>
        <v/>
      </c>
      <c r="K2073">
        <f>I2073-G2073</f>
        <v/>
      </c>
      <c r="M2073" t="inlineStr">
        <is>
          <t>TI0301371</t>
        </is>
      </c>
      <c r="N2073" t="inlineStr">
        <is>
          <t>11068800</t>
        </is>
      </c>
      <c r="O2073">
        <f>M2073=N2073</f>
        <v/>
      </c>
      <c r="P2073">
        <f>AND(MONTH(F2073)=MONTH(S2073), YEAR(F2073)=YEAR(S2073))</f>
        <v/>
      </c>
      <c r="Q2073">
        <f>"L001-902303751"=U2073</f>
        <v/>
      </c>
      <c r="R2073">
        <f>G2073-W2073</f>
        <v/>
      </c>
      <c r="S2073" s="36" t="n">
        <v>45636</v>
      </c>
      <c r="T2073" t="n">
        <v>110688</v>
      </c>
      <c r="U2073" t="inlineStr">
        <is>
          <t>L001-100045995</t>
        </is>
      </c>
      <c r="V2073" t="inlineStr">
        <is>
          <t>ឌីអេចអិល ឡូជីស្ទីក (ខេមបូឌា)</t>
        </is>
      </c>
      <c r="W2073" t="n">
        <v>110688</v>
      </c>
      <c r="X2073" t="n">
        <v>0</v>
      </c>
    </row>
    <row r="2074">
      <c r="A2074" t="n">
        <v>2073</v>
      </c>
      <c r="B2074" t="inlineStr">
        <is>
          <t>CFS HANDLING, CARRIER BL, DOCUMENT ASSEMBLY, TERMINAL HANDLING, HANDLING FEE, VGM PROCESSING FEE-CFS, FUEL SURCHARGE AND TELEX RELEASE</t>
        </is>
      </c>
      <c r="C2074" t="inlineStr">
        <is>
          <t>អ៊ិចស្ពែឌីធ័រ ខេមបូឌា អិលធីឌី</t>
        </is>
      </c>
      <c r="D2074" t="inlineStr">
        <is>
          <t>L001-100045898</t>
        </is>
      </c>
      <c r="E2074" t="inlineStr">
        <is>
          <t>TI-0301372</t>
        </is>
      </c>
      <c r="F2074" t="inlineStr">
        <is>
          <t>19-12-2024</t>
        </is>
      </c>
      <c r="G2074" t="n">
        <v>204863</v>
      </c>
      <c r="I2074">
        <f>G2074</f>
        <v/>
      </c>
      <c r="K2074">
        <f>I2074-G2074</f>
        <v/>
      </c>
      <c r="M2074" t="inlineStr">
        <is>
          <t>TI0301372</t>
        </is>
      </c>
      <c r="N2074" t="inlineStr"/>
      <c r="O2074">
        <f>M2074=N2074</f>
        <v/>
      </c>
      <c r="P2074">
        <f>AND(MONTH(F2074)=MONTH(S2074), YEAR(F2074)=YEAR(S2074))</f>
        <v/>
      </c>
      <c r="Q2074">
        <f>"L001-902303751"=U2074</f>
        <v/>
      </c>
      <c r="R2074">
        <f>G2074-W2074</f>
        <v/>
      </c>
      <c r="S2074" s="36" t="n">
        <v>45628</v>
      </c>
      <c r="T2074" t="inlineStr"/>
      <c r="U2074" t="inlineStr">
        <is>
          <t>L001-107032791</t>
        </is>
      </c>
      <c r="V2074" t="inlineStr">
        <is>
          <t>នីបផន អិចប្រេស (ខេមបូឌា) ខូ អិលធីឌី</t>
        </is>
      </c>
      <c r="W2074" t="n">
        <v>0</v>
      </c>
      <c r="X2074" t="n">
        <v>0</v>
      </c>
    </row>
    <row r="2075">
      <c r="A2075" t="n">
        <v>2074</v>
      </c>
      <c r="B2075" t="inlineStr">
        <is>
          <t>CFS HANDLING, CARRIER BL, DOCUMENT ASSEMBLY, TERMINAL HANDLING, HANDLING FEE, VGM PROCESSING FEE-CFS AND MANIFEST FEE</t>
        </is>
      </c>
      <c r="C2075" t="inlineStr">
        <is>
          <t>អ៊ិចស្ពែឌីធ័រ ខេមបូឌា អិលធីឌី</t>
        </is>
      </c>
      <c r="D2075" t="inlineStr">
        <is>
          <t>L001-100045898</t>
        </is>
      </c>
      <c r="E2075" t="inlineStr">
        <is>
          <t>TI-0301221</t>
        </is>
      </c>
      <c r="F2075" t="inlineStr">
        <is>
          <t>17-12-2024</t>
        </is>
      </c>
      <c r="G2075" t="n">
        <v>82791</v>
      </c>
      <c r="I2075">
        <f>G2075</f>
        <v/>
      </c>
      <c r="K2075">
        <f>I2075-G2075</f>
        <v/>
      </c>
      <c r="M2075" t="inlineStr">
        <is>
          <t>TI0301221</t>
        </is>
      </c>
      <c r="N2075" t="inlineStr"/>
      <c r="O2075">
        <f>M2075=N2075</f>
        <v/>
      </c>
      <c r="P2075">
        <f>AND(MONTH(F2075)=MONTH(S2075), YEAR(F2075)=YEAR(S2075))</f>
        <v/>
      </c>
      <c r="Q2075">
        <f>"L001-902303751"=U2075</f>
        <v/>
      </c>
      <c r="R2075">
        <f>G2075-W2075</f>
        <v/>
      </c>
      <c r="S2075" s="36" t="n">
        <v>45656</v>
      </c>
      <c r="T2075" t="inlineStr"/>
      <c r="U2075" t="inlineStr">
        <is>
          <t>L001-107032791</t>
        </is>
      </c>
      <c r="V2075" t="inlineStr">
        <is>
          <t>នីបផន អិចប្រេស (ខេមបូឌា) ខូ អិលធីឌី</t>
        </is>
      </c>
      <c r="W2075" t="n">
        <v>0</v>
      </c>
      <c r="X2075" t="n">
        <v>0</v>
      </c>
    </row>
    <row r="2076">
      <c r="A2076" t="n">
        <v>2075</v>
      </c>
      <c r="B2076" t="inlineStr">
        <is>
          <t>CFS HANDLING, CARRIER BL, DOCUMENT ASSEMBLY, TERMINAL HANDLING, HANDLING FEE, VGM PROCESSING FEE-CFS AND MANIFEST FEE</t>
        </is>
      </c>
      <c r="C2076" t="inlineStr">
        <is>
          <t>អ៊ិចស្ពែឌីធ័រ ខេមបូឌា អិលធីឌី</t>
        </is>
      </c>
      <c r="D2076" t="inlineStr">
        <is>
          <t>L001-100045898</t>
        </is>
      </c>
      <c r="E2076" t="inlineStr">
        <is>
          <t>TI-0301217</t>
        </is>
      </c>
      <c r="F2076" t="inlineStr">
        <is>
          <t>17-12-2024</t>
        </is>
      </c>
      <c r="G2076" t="n">
        <v>82791</v>
      </c>
      <c r="I2076">
        <f>G2076</f>
        <v/>
      </c>
      <c r="K2076">
        <f>I2076-G2076</f>
        <v/>
      </c>
      <c r="M2076" t="inlineStr">
        <is>
          <t>TI0301217</t>
        </is>
      </c>
      <c r="N2076" t="inlineStr">
        <is>
          <t>19381200</t>
        </is>
      </c>
      <c r="O2076">
        <f>M2076=N2076</f>
        <v/>
      </c>
      <c r="P2076">
        <f>AND(MONTH(F2076)=MONTH(S2076), YEAR(F2076)=YEAR(S2076))</f>
        <v/>
      </c>
      <c r="Q2076">
        <f>"L001-902303751"=U2076</f>
        <v/>
      </c>
      <c r="R2076">
        <f>G2076-W2076</f>
        <v/>
      </c>
      <c r="S2076" s="36" t="n">
        <v>45645</v>
      </c>
      <c r="T2076" t="n">
        <v>193812</v>
      </c>
      <c r="U2076" t="inlineStr">
        <is>
          <t>L001-107000385</t>
        </is>
      </c>
      <c r="V2076" t="inlineStr">
        <is>
          <t>អិចស្ពោលាំងកា ហ្រ្វេត (ខេមបូឌា) លីមីធីត</t>
        </is>
      </c>
      <c r="W2076" t="n">
        <v>193812</v>
      </c>
      <c r="X2076" t="n">
        <v>0</v>
      </c>
    </row>
    <row r="2077">
      <c r="A2077" t="n">
        <v>2076</v>
      </c>
      <c r="B2077" t="inlineStr">
        <is>
          <t>CFS HANDLING, CARRIER BL, DOCUMENT ASSEMBLY, TERMINAL HANDLING, HANDLING FEE, VGM PROCESSING FEE-CFS AND MANIFEST FEE</t>
        </is>
      </c>
      <c r="C2077" t="inlineStr">
        <is>
          <t>អ៊ិចស្ពែឌីធ័រ ខេមបូឌា អិលធីឌី</t>
        </is>
      </c>
      <c r="D2077" t="inlineStr">
        <is>
          <t>L001-100045898</t>
        </is>
      </c>
      <c r="E2077" t="inlineStr">
        <is>
          <t>TI-0301219</t>
        </is>
      </c>
      <c r="F2077" t="inlineStr">
        <is>
          <t>17-12-2024</t>
        </is>
      </c>
      <c r="G2077" t="n">
        <v>94326</v>
      </c>
      <c r="I2077">
        <f>G2077</f>
        <v/>
      </c>
      <c r="K2077">
        <f>I2077-G2077</f>
        <v/>
      </c>
      <c r="M2077" t="inlineStr">
        <is>
          <t>TI0301219</t>
        </is>
      </c>
      <c r="N2077" t="inlineStr"/>
      <c r="O2077">
        <f>M2077=N2077</f>
        <v/>
      </c>
      <c r="P2077">
        <f>AND(MONTH(F2077)=MONTH(S2077), YEAR(F2077)=YEAR(S2077))</f>
        <v/>
      </c>
      <c r="Q2077">
        <f>"L001-902303751"=U2077</f>
        <v/>
      </c>
      <c r="R2077">
        <f>G2077-W2077</f>
        <v/>
      </c>
      <c r="S2077" s="36" t="n">
        <v>45642</v>
      </c>
      <c r="T2077" t="inlineStr"/>
      <c r="U2077" t="inlineStr">
        <is>
          <t>L001-107041723</t>
        </is>
      </c>
      <c r="V2077" t="inlineStr">
        <is>
          <t>ឌីប៊ី សេនឃើរ (ខេមបូឌា) លីមីធីត</t>
        </is>
      </c>
      <c r="W2077" t="n">
        <v>0</v>
      </c>
      <c r="X2077" t="n">
        <v>0</v>
      </c>
    </row>
    <row r="2078">
      <c r="A2078" t="n">
        <v>2077</v>
      </c>
      <c r="B2078" t="inlineStr">
        <is>
          <t>First &amp; Second Inspection Fee, FC Normal OT, FC Hollyday OT, Transportation Fee and Waiting for Inspection</t>
        </is>
      </c>
      <c r="C2078" t="inlineStr">
        <is>
          <t>ហ្វេនស៍ ហ្វេសិន អ៊ិនស្ពេកសិន (ខេមបូឌា) ឯ.ក</t>
        </is>
      </c>
      <c r="D2078" t="inlineStr">
        <is>
          <t>K009-902302411</t>
        </is>
      </c>
      <c r="E2078" t="inlineStr">
        <is>
          <t>FC2024-0022</t>
        </is>
      </c>
      <c r="F2078" t="inlineStr">
        <is>
          <t>31-12-2024</t>
        </is>
      </c>
      <c r="G2078" t="n">
        <v>1538150</v>
      </c>
      <c r="I2078">
        <f>G2078</f>
        <v/>
      </c>
      <c r="K2078">
        <f>I2078-G2078</f>
        <v/>
      </c>
      <c r="M2078" t="inlineStr">
        <is>
          <t>FC20240022</t>
        </is>
      </c>
      <c r="N2078" t="inlineStr"/>
      <c r="O2078">
        <f>M2078=N2078</f>
        <v/>
      </c>
      <c r="P2078">
        <f>AND(MONTH(F2078)=MONTH(S2078), YEAR(F2078)=YEAR(S2078))</f>
        <v/>
      </c>
      <c r="Q2078">
        <f>"L001-902303751"=U2078</f>
        <v/>
      </c>
      <c r="R2078">
        <f>G2078-W2078</f>
        <v/>
      </c>
      <c r="S2078" s="36" t="n">
        <v>45649</v>
      </c>
      <c r="T2078" t="inlineStr"/>
      <c r="U2078" t="inlineStr">
        <is>
          <t>L001-100045340</t>
        </is>
      </c>
      <c r="V2078" t="inlineStr">
        <is>
          <t xml:space="preserve">ស៊ីវ៉ា អ៊ែរ អ៊ែន អូសៀន (ខេមបូឌា) ឯ.ក </t>
        </is>
      </c>
      <c r="W2078" t="n">
        <v>0</v>
      </c>
      <c r="X2078" t="n">
        <v>0</v>
      </c>
    </row>
    <row r="2079">
      <c r="A2079" t="n">
        <v>2078</v>
      </c>
      <c r="B2079" t="inlineStr">
        <is>
          <t>Temite Control Service Second Paymenr of 50%</t>
        </is>
      </c>
      <c r="C2079" t="inlineStr">
        <is>
          <t>ជីស៊ី ផេស ខិនត្រូល ឯ.ក</t>
        </is>
      </c>
      <c r="D2079" t="inlineStr">
        <is>
          <t>K004-902104767</t>
        </is>
      </c>
      <c r="E2079" t="inlineStr">
        <is>
          <t>2024-00031</t>
        </is>
      </c>
      <c r="F2079" t="inlineStr">
        <is>
          <t>14-12-2024</t>
        </is>
      </c>
      <c r="G2079" t="n">
        <v>125675</v>
      </c>
      <c r="I2079">
        <f>G2079</f>
        <v/>
      </c>
      <c r="K2079">
        <f>I2079-G2079</f>
        <v/>
      </c>
      <c r="M2079" t="inlineStr">
        <is>
          <t>202400031</t>
        </is>
      </c>
      <c r="N2079" t="inlineStr">
        <is>
          <t>8492800</t>
        </is>
      </c>
      <c r="O2079">
        <f>M2079=N2079</f>
        <v/>
      </c>
      <c r="P2079">
        <f>AND(MONTH(F2079)=MONTH(S2079), YEAR(F2079)=YEAR(S2079))</f>
        <v/>
      </c>
      <c r="Q2079">
        <f>"L001-902303751"=U2079</f>
        <v/>
      </c>
      <c r="R2079">
        <f>G2079-W2079</f>
        <v/>
      </c>
      <c r="S2079" s="36" t="n">
        <v>45636</v>
      </c>
      <c r="T2079" t="n">
        <v>84928</v>
      </c>
      <c r="U2079" t="inlineStr">
        <is>
          <t>K005-901805913</t>
        </is>
      </c>
      <c r="V2079" t="inlineStr">
        <is>
          <t>ស្តារ ខង់ខដ (ខេមបូឌា) ឯ.ក</t>
        </is>
      </c>
      <c r="W2079" t="n">
        <v>84928</v>
      </c>
      <c r="X2079" t="n">
        <v>0</v>
      </c>
    </row>
    <row r="2080">
      <c r="A2080" t="n">
        <v>2079</v>
      </c>
      <c r="B2080" t="inlineStr">
        <is>
          <t>Pest Control Service for December 2024</t>
        </is>
      </c>
      <c r="C2080" t="inlineStr">
        <is>
          <t>ជីស៊ី ផេស ខិនត្រូល ឯ.ក</t>
        </is>
      </c>
      <c r="D2080" t="inlineStr">
        <is>
          <t>K004-902104767</t>
        </is>
      </c>
      <c r="E2080" t="inlineStr">
        <is>
          <t>2024-00030</t>
        </is>
      </c>
      <c r="F2080" t="inlineStr">
        <is>
          <t>14-12-2024</t>
        </is>
      </c>
      <c r="G2080" t="n">
        <v>140735</v>
      </c>
      <c r="I2080">
        <f>G2080</f>
        <v/>
      </c>
      <c r="K2080">
        <f>I2080-G2080</f>
        <v/>
      </c>
      <c r="M2080" t="inlineStr">
        <is>
          <t>202400030</t>
        </is>
      </c>
      <c r="N2080" t="inlineStr">
        <is>
          <t>8251300</t>
        </is>
      </c>
      <c r="O2080">
        <f>M2080=N2080</f>
        <v/>
      </c>
      <c r="P2080">
        <f>AND(MONTH(F2080)=MONTH(S2080), YEAR(F2080)=YEAR(S2080))</f>
        <v/>
      </c>
      <c r="Q2080">
        <f>"L001-902303751"=U2080</f>
        <v/>
      </c>
      <c r="R2080">
        <f>G2080-W2080</f>
        <v/>
      </c>
      <c r="S2080" s="36" t="n">
        <v>45636</v>
      </c>
      <c r="T2080" t="n">
        <v>82513</v>
      </c>
      <c r="U2080" t="inlineStr">
        <is>
          <t>L001-107041723</t>
        </is>
      </c>
      <c r="V2080" t="inlineStr">
        <is>
          <t>ឌីប៊ី សេនឃើរ (ខេមបូឌា) លីមីធីត</t>
        </is>
      </c>
      <c r="W2080" t="n">
        <v>82513</v>
      </c>
      <c r="X2080" t="n">
        <v>0</v>
      </c>
    </row>
    <row r="2081">
      <c r="A2081" t="n">
        <v>2080</v>
      </c>
      <c r="B2081" t="inlineStr">
        <is>
          <t>Customs Clearance Fee and Trucking Fee</t>
        </is>
      </c>
      <c r="C2081" t="inlineStr">
        <is>
          <t>ត្រាយអ៊ែងហ្គល ឡូជីស្ទីក (ខេមបូឌា) ឯ.ក</t>
        </is>
      </c>
      <c r="D2081" t="inlineStr">
        <is>
          <t>K010-902101743</t>
        </is>
      </c>
      <c r="E2081" t="inlineStr">
        <is>
          <t>TAG-24-00911</t>
        </is>
      </c>
      <c r="F2081" t="inlineStr">
        <is>
          <t>16-12-2024</t>
        </is>
      </c>
      <c r="G2081" t="n">
        <v>20095</v>
      </c>
      <c r="I2081">
        <f>G2081</f>
        <v/>
      </c>
      <c r="K2081">
        <f>I2081-G2081</f>
        <v/>
      </c>
      <c r="M2081" t="inlineStr">
        <is>
          <t>TAG2400911</t>
        </is>
      </c>
      <c r="N2081" t="inlineStr"/>
      <c r="O2081">
        <f>M2081=N2081</f>
        <v/>
      </c>
      <c r="P2081">
        <f>AND(MONTH(F2081)=MONTH(S2081), YEAR(F2081)=YEAR(S2081))</f>
        <v/>
      </c>
      <c r="Q2081">
        <f>"L001-902303751"=U2081</f>
        <v/>
      </c>
      <c r="R2081">
        <f>G2081-W2081</f>
        <v/>
      </c>
      <c r="S2081" s="36" t="n">
        <v>45636</v>
      </c>
      <c r="T2081" t="inlineStr"/>
      <c r="U2081" t="inlineStr">
        <is>
          <t>L001-100045340</t>
        </is>
      </c>
      <c r="V2081" t="inlineStr">
        <is>
          <t xml:space="preserve">ស៊ីវ៉ា អ៊ែរ អ៊ែន អូសៀន (ខេមបូឌា) ឯ.ក </t>
        </is>
      </c>
      <c r="W2081" t="n">
        <v>0</v>
      </c>
      <c r="X2081" t="n">
        <v>0</v>
      </c>
    </row>
    <row r="2082">
      <c r="A2082" t="n">
        <v>2081</v>
      </c>
      <c r="B2082" t="inlineStr">
        <is>
          <t>Lift-On &amp; Lift-Off</t>
        </is>
      </c>
      <c r="C2082" t="inlineStr">
        <is>
          <t>កំពង់ផែស្វយ័តក្រុងព្រះសីហនុ</t>
        </is>
      </c>
      <c r="D2082" t="inlineStr">
        <is>
          <t>L001-100044638</t>
        </is>
      </c>
      <c r="E2082" t="inlineStr">
        <is>
          <t>273615</t>
        </is>
      </c>
      <c r="F2082" t="inlineStr">
        <is>
          <t>28-12-2024</t>
        </is>
      </c>
      <c r="G2082" t="n">
        <v>34983</v>
      </c>
      <c r="I2082">
        <f>G2082</f>
        <v/>
      </c>
      <c r="K2082">
        <f>I2082-G2082</f>
        <v/>
      </c>
      <c r="M2082" t="inlineStr">
        <is>
          <t>273615</t>
        </is>
      </c>
      <c r="N2082" t="inlineStr"/>
      <c r="O2082">
        <f>M2082=N2082</f>
        <v/>
      </c>
      <c r="P2082">
        <f>AND(MONTH(F2082)=MONTH(S2082), YEAR(F2082)=YEAR(S2082))</f>
        <v/>
      </c>
      <c r="Q2082">
        <f>"L001-902303751"=U2082</f>
        <v/>
      </c>
      <c r="R2082">
        <f>G2082-W2082</f>
        <v/>
      </c>
      <c r="S2082" s="36" t="n">
        <v>45628</v>
      </c>
      <c r="T2082" t="inlineStr"/>
      <c r="U2082" t="inlineStr">
        <is>
          <t>K005-100150195</t>
        </is>
      </c>
      <c r="V2082" t="inlineStr">
        <is>
          <t>អេស អ វី ស៊ី ហ្វ្រេត សឺវីស (ខេមបូឌា) ខូ អិលធីឌី</t>
        </is>
      </c>
      <c r="W2082" t="n">
        <v>0</v>
      </c>
      <c r="X2082" t="n">
        <v>0</v>
      </c>
    </row>
    <row r="2083">
      <c r="A2083" t="n">
        <v>2082</v>
      </c>
      <c r="B2083" t="inlineStr">
        <is>
          <t>Export Administration Fee, Port Formalily and Service Charge</t>
        </is>
      </c>
      <c r="C2083" t="inlineStr">
        <is>
          <t>ឆាយ ដា ឡូយីស្ទីក</t>
        </is>
      </c>
      <c r="D2083" t="inlineStr">
        <is>
          <t>L001-100063098</t>
        </is>
      </c>
      <c r="E2083" t="inlineStr">
        <is>
          <t>2412018867</t>
        </is>
      </c>
      <c r="F2083" t="inlineStr">
        <is>
          <t>17-12-2024</t>
        </is>
      </c>
      <c r="G2083" t="n">
        <v>75959</v>
      </c>
      <c r="I2083">
        <f>G2083</f>
        <v/>
      </c>
      <c r="K2083">
        <f>I2083-G2083</f>
        <v/>
      </c>
      <c r="M2083" t="inlineStr">
        <is>
          <t>2412018867</t>
        </is>
      </c>
      <c r="N2083" t="inlineStr"/>
      <c r="O2083">
        <f>M2083=N2083</f>
        <v/>
      </c>
      <c r="P2083">
        <f>AND(MONTH(F2083)=MONTH(S2083), YEAR(F2083)=YEAR(S2083))</f>
        <v/>
      </c>
      <c r="Q2083">
        <f>"L001-902303751"=U2083</f>
        <v/>
      </c>
      <c r="R2083">
        <f>G2083-W2083</f>
        <v/>
      </c>
      <c r="S2083" s="36" t="n">
        <v>45628</v>
      </c>
      <c r="T2083" t="inlineStr"/>
      <c r="U2083" t="inlineStr">
        <is>
          <t>L001-107032791</t>
        </is>
      </c>
      <c r="V2083" t="inlineStr">
        <is>
          <t>នីបផន អិចប្រេស (ខេមបូឌា) ខូ អិលធីឌី</t>
        </is>
      </c>
      <c r="W2083" t="n">
        <v>0</v>
      </c>
      <c r="X2083" t="n">
        <v>0</v>
      </c>
    </row>
    <row r="2084">
      <c r="A2084" t="n">
        <v>2083</v>
      </c>
      <c r="B2084" t="inlineStr">
        <is>
          <t>Needle</t>
        </is>
      </c>
      <c r="C2084" t="inlineStr">
        <is>
          <t>ក្លាក ហ៊ូ ឯ.ក</t>
        </is>
      </c>
      <c r="D2084" t="inlineStr">
        <is>
          <t>K007-901639199</t>
        </is>
      </c>
      <c r="E2084" t="inlineStr">
        <is>
          <t>IN3071</t>
        </is>
      </c>
      <c r="F2084" t="inlineStr">
        <is>
          <t>31-12-2024</t>
        </is>
      </c>
      <c r="G2084" t="n">
        <v>1570</v>
      </c>
      <c r="I2084">
        <f>G2084</f>
        <v/>
      </c>
      <c r="K2084">
        <f>I2084-G2084</f>
        <v/>
      </c>
      <c r="M2084" t="inlineStr">
        <is>
          <t>IN3071</t>
        </is>
      </c>
      <c r="N2084" t="inlineStr">
        <is>
          <t>8259500</t>
        </is>
      </c>
      <c r="O2084">
        <f>M2084=N2084</f>
        <v/>
      </c>
      <c r="P2084">
        <f>AND(MONTH(F2084)=MONTH(S2084), YEAR(F2084)=YEAR(S2084))</f>
        <v/>
      </c>
      <c r="Q2084">
        <f>"L001-902303751"=U2084</f>
        <v/>
      </c>
      <c r="R2084">
        <f>G2084-W2084</f>
        <v/>
      </c>
      <c r="S2084" s="36" t="n">
        <v>45628</v>
      </c>
      <c r="T2084" t="n">
        <v>82595</v>
      </c>
      <c r="U2084" t="inlineStr">
        <is>
          <t>L001-107032791</t>
        </is>
      </c>
      <c r="V2084" t="inlineStr">
        <is>
          <t>នីបផន អិចប្រេស (ខេមបូឌា) ខូ អិលធីឌី</t>
        </is>
      </c>
      <c r="W2084" t="n">
        <v>82595</v>
      </c>
      <c r="X2084" t="n">
        <v>0</v>
      </c>
    </row>
    <row r="2085">
      <c r="A2085" t="n">
        <v>2084</v>
      </c>
      <c r="B2085" t="inlineStr">
        <is>
          <t>Detergent, Bearings, Exit Lights, Bobbin case, Bobbin, magnet, cylinder, cylinder, Eyewash Statiioin, THC, plate, Cross, Upper Hook, Hook, Sparepart and Presser foot</t>
        </is>
      </c>
      <c r="C2085" t="inlineStr">
        <is>
          <t>ក្លាក ហ៊ូ ឯ.ក</t>
        </is>
      </c>
      <c r="D2085" t="inlineStr">
        <is>
          <t>K007-901639199</t>
        </is>
      </c>
      <c r="E2085" t="inlineStr">
        <is>
          <t>IN3072</t>
        </is>
      </c>
      <c r="F2085" t="inlineStr">
        <is>
          <t>31-12-2024</t>
        </is>
      </c>
      <c r="G2085" t="n">
        <v>706186</v>
      </c>
      <c r="I2085">
        <f>G2085</f>
        <v/>
      </c>
      <c r="K2085">
        <f>I2085-G2085</f>
        <v/>
      </c>
      <c r="M2085" t="inlineStr">
        <is>
          <t>IN3072</t>
        </is>
      </c>
      <c r="N2085" t="inlineStr"/>
      <c r="O2085">
        <f>M2085=N2085</f>
        <v/>
      </c>
      <c r="P2085">
        <f>AND(MONTH(F2085)=MONTH(S2085), YEAR(F2085)=YEAR(S2085))</f>
        <v/>
      </c>
      <c r="Q2085">
        <f>"L001-902303751"=U2085</f>
        <v/>
      </c>
      <c r="R2085">
        <f>G2085-W2085</f>
        <v/>
      </c>
      <c r="S2085" s="36" t="n">
        <v>45628</v>
      </c>
      <c r="T2085" t="inlineStr"/>
      <c r="U2085" t="inlineStr">
        <is>
          <t>L001-107032791</t>
        </is>
      </c>
      <c r="V2085" t="inlineStr">
        <is>
          <t>នីបផន អិចប្រេស (ខេមបូឌា) ខូ អិលធីឌី</t>
        </is>
      </c>
      <c r="W2085" t="n">
        <v>0</v>
      </c>
      <c r="X2085" t="n">
        <v>0</v>
      </c>
    </row>
    <row r="2086">
      <c r="A2086" t="n">
        <v>2085</v>
      </c>
      <c r="B2086" t="inlineStr">
        <is>
          <t>Welding rods, Grinding wheel and Plastic tissue box and towel holder</t>
        </is>
      </c>
      <c r="C2086" t="inlineStr">
        <is>
          <t>ក្លាក ហ៊ូ ឯ.ក</t>
        </is>
      </c>
      <c r="D2086" t="inlineStr">
        <is>
          <t>K007-901639199</t>
        </is>
      </c>
      <c r="E2086" t="inlineStr">
        <is>
          <t>IN3073</t>
        </is>
      </c>
      <c r="F2086" t="inlineStr">
        <is>
          <t>31-12-2024</t>
        </is>
      </c>
      <c r="G2086" t="n">
        <v>169654</v>
      </c>
      <c r="I2086">
        <f>G2086</f>
        <v/>
      </c>
      <c r="K2086">
        <f>I2086-G2086</f>
        <v/>
      </c>
      <c r="M2086" t="inlineStr">
        <is>
          <t>IN3073</t>
        </is>
      </c>
      <c r="N2086" t="inlineStr">
        <is>
          <t>8249200</t>
        </is>
      </c>
      <c r="O2086">
        <f>M2086=N2086</f>
        <v/>
      </c>
      <c r="P2086">
        <f>AND(MONTH(F2086)=MONTH(S2086), YEAR(F2086)=YEAR(S2086))</f>
        <v/>
      </c>
      <c r="Q2086">
        <f>"L001-902303751"=U2086</f>
        <v/>
      </c>
      <c r="R2086">
        <f>G2086-W2086</f>
        <v/>
      </c>
      <c r="S2086" s="36" t="n">
        <v>45656</v>
      </c>
      <c r="T2086" t="n">
        <v>82492</v>
      </c>
      <c r="U2086" t="inlineStr">
        <is>
          <t>K002-901800477</t>
        </is>
      </c>
      <c r="V2086" t="inlineStr">
        <is>
          <t>អាយធីអាយ អ៊ិនធើណេសិនណល ត្រេនស័្ពរថេសិន (ខេមបូឌា) ឯ.ក</t>
        </is>
      </c>
      <c r="W2086" t="n">
        <v>82492</v>
      </c>
      <c r="X2086" t="n">
        <v>0</v>
      </c>
    </row>
    <row r="2087">
      <c r="A2087" t="n">
        <v>2086</v>
      </c>
      <c r="B2087" t="inlineStr">
        <is>
          <t>Export Administration Fee, Port Formalily and Service Charge</t>
        </is>
      </c>
      <c r="C2087" t="inlineStr">
        <is>
          <t>ឆាយ ដា ឡូយីស្ទីក</t>
        </is>
      </c>
      <c r="D2087" t="inlineStr">
        <is>
          <t>L001-100063098</t>
        </is>
      </c>
      <c r="E2087" t="inlineStr">
        <is>
          <t>2412018489</t>
        </is>
      </c>
      <c r="F2087" t="inlineStr">
        <is>
          <t>10-12-2024</t>
        </is>
      </c>
      <c r="G2087" t="n">
        <v>76073</v>
      </c>
      <c r="I2087">
        <f>G2087</f>
        <v/>
      </c>
      <c r="K2087">
        <f>I2087-G2087</f>
        <v/>
      </c>
      <c r="M2087" t="inlineStr">
        <is>
          <t>2412018489</t>
        </is>
      </c>
      <c r="N2087" t="inlineStr">
        <is>
          <t>8249200</t>
        </is>
      </c>
      <c r="O2087">
        <f>M2087=N2087</f>
        <v/>
      </c>
      <c r="P2087">
        <f>AND(MONTH(F2087)=MONTH(S2087), YEAR(F2087)=YEAR(S2087))</f>
        <v/>
      </c>
      <c r="Q2087">
        <f>"L001-902303751"=U2087</f>
        <v/>
      </c>
      <c r="R2087">
        <f>G2087-W2087</f>
        <v/>
      </c>
      <c r="S2087" s="36" t="n">
        <v>45656</v>
      </c>
      <c r="T2087" t="n">
        <v>82492</v>
      </c>
      <c r="U2087" t="inlineStr">
        <is>
          <t>L001-107032791</t>
        </is>
      </c>
      <c r="V2087" t="inlineStr">
        <is>
          <t>នីបផន អិចប្រេស (ខេមបូឌា) ខូ អិលធីឌី</t>
        </is>
      </c>
      <c r="W2087" t="n">
        <v>82492</v>
      </c>
      <c r="X2087" t="n">
        <v>0</v>
      </c>
    </row>
    <row r="2088">
      <c r="A2088" t="n">
        <v>2087</v>
      </c>
      <c r="B2088" t="inlineStr">
        <is>
          <t>Export Administration Fee, Port Formalily and Service Charge</t>
        </is>
      </c>
      <c r="C2088" t="inlineStr">
        <is>
          <t>ឆាយ ដា ឡូយីស្ទីក</t>
        </is>
      </c>
      <c r="D2088" t="inlineStr">
        <is>
          <t>L001-100063098</t>
        </is>
      </c>
      <c r="E2088" t="inlineStr">
        <is>
          <t>2412018482</t>
        </is>
      </c>
      <c r="F2088" t="inlineStr">
        <is>
          <t>10-12-2024</t>
        </is>
      </c>
      <c r="G2088" t="n">
        <v>76073</v>
      </c>
      <c r="I2088">
        <f>G2088</f>
        <v/>
      </c>
      <c r="K2088">
        <f>I2088-G2088</f>
        <v/>
      </c>
      <c r="M2088" t="inlineStr">
        <is>
          <t>2412018482</t>
        </is>
      </c>
      <c r="N2088" t="inlineStr"/>
      <c r="O2088">
        <f>M2088=N2088</f>
        <v/>
      </c>
      <c r="P2088">
        <f>AND(MONTH(F2088)=MONTH(S2088), YEAR(F2088)=YEAR(S2088))</f>
        <v/>
      </c>
      <c r="Q2088">
        <f>"L001-902303751"=U2088</f>
        <v/>
      </c>
      <c r="R2088">
        <f>G2088-W2088</f>
        <v/>
      </c>
      <c r="S2088" s="36" t="n">
        <v>45649</v>
      </c>
      <c r="T2088" t="inlineStr"/>
      <c r="U2088" t="inlineStr">
        <is>
          <t>L001-107032791</t>
        </is>
      </c>
      <c r="V2088" t="inlineStr">
        <is>
          <t>នីបផន អិចប្រេស (ខេមបូឌា) ខូ អិលធីឌី</t>
        </is>
      </c>
      <c r="W2088" t="n">
        <v>0</v>
      </c>
      <c r="X2088" t="n">
        <v>0</v>
      </c>
    </row>
    <row r="2089">
      <c r="A2089" t="n">
        <v>2088</v>
      </c>
      <c r="B2089" t="inlineStr">
        <is>
          <t>Export Administration Fee, Port Formalily, Service Charge and Overtime Inspection</t>
        </is>
      </c>
      <c r="C2089" t="inlineStr">
        <is>
          <t>ឆាយ ដា ឡូយីស្ទីក</t>
        </is>
      </c>
      <c r="D2089" t="inlineStr">
        <is>
          <t>L001-100063098</t>
        </is>
      </c>
      <c r="E2089" t="inlineStr">
        <is>
          <t>2412019236</t>
        </is>
      </c>
      <c r="F2089" t="inlineStr">
        <is>
          <t>24-12-2024</t>
        </is>
      </c>
      <c r="G2089" t="n">
        <v>136244</v>
      </c>
      <c r="I2089">
        <f>G2089</f>
        <v/>
      </c>
      <c r="K2089">
        <f>I2089-G2089</f>
        <v/>
      </c>
      <c r="M2089" t="inlineStr">
        <is>
          <t>2412019236</t>
        </is>
      </c>
      <c r="N2089" t="inlineStr">
        <is>
          <t>8482200</t>
        </is>
      </c>
      <c r="O2089">
        <f>M2089=N2089</f>
        <v/>
      </c>
      <c r="P2089">
        <f>AND(MONTH(F2089)=MONTH(S2089), YEAR(F2089)=YEAR(S2089))</f>
        <v/>
      </c>
      <c r="Q2089">
        <f>"L001-902303751"=U2089</f>
        <v/>
      </c>
      <c r="R2089">
        <f>G2089-W2089</f>
        <v/>
      </c>
      <c r="S2089" s="36" t="n">
        <v>45649</v>
      </c>
      <c r="T2089" t="n">
        <v>84822</v>
      </c>
      <c r="U2089" t="inlineStr">
        <is>
          <t>K005-901805913</t>
        </is>
      </c>
      <c r="V2089" t="inlineStr">
        <is>
          <t>ស្តារ ខង់ខដ (ខេមបូឌា) ឯ.ក</t>
        </is>
      </c>
      <c r="W2089" t="n">
        <v>84822</v>
      </c>
      <c r="X2089" t="n">
        <v>0</v>
      </c>
    </row>
    <row r="2090">
      <c r="A2090" t="n">
        <v>2089</v>
      </c>
      <c r="B2090" t="inlineStr">
        <is>
          <t>Export Administration Fee, Port Formalily and Service Charge</t>
        </is>
      </c>
      <c r="C2090" t="inlineStr">
        <is>
          <t>ឆាយ ដា ឡូយីស្ទីក</t>
        </is>
      </c>
      <c r="D2090" t="inlineStr">
        <is>
          <t>L001-100063098</t>
        </is>
      </c>
      <c r="E2090" t="inlineStr">
        <is>
          <t>2412018870</t>
        </is>
      </c>
      <c r="F2090" t="inlineStr">
        <is>
          <t>17-12-2024</t>
        </is>
      </c>
      <c r="G2090" t="n">
        <v>75959</v>
      </c>
      <c r="I2090">
        <f>G2090</f>
        <v/>
      </c>
      <c r="K2090">
        <f>I2090-G2090</f>
        <v/>
      </c>
      <c r="M2090" t="inlineStr">
        <is>
          <t>2412018870</t>
        </is>
      </c>
      <c r="N2090" t="inlineStr"/>
      <c r="O2090">
        <f>M2090=N2090</f>
        <v/>
      </c>
      <c r="P2090">
        <f>AND(MONTH(F2090)=MONTH(S2090), YEAR(F2090)=YEAR(S2090))</f>
        <v/>
      </c>
      <c r="Q2090">
        <f>"L001-902303751"=U2090</f>
        <v/>
      </c>
      <c r="R2090">
        <f>G2090-W2090</f>
        <v/>
      </c>
      <c r="S2090" s="36" t="n">
        <v>45656</v>
      </c>
      <c r="T2090" t="inlineStr"/>
      <c r="U2090" t="inlineStr">
        <is>
          <t>L001-107032791</t>
        </is>
      </c>
      <c r="V2090" t="inlineStr">
        <is>
          <t>នីបផន អិចប្រេស (ខេមបូឌា) ខូ អិលធីឌី</t>
        </is>
      </c>
      <c r="W2090" t="n">
        <v>0</v>
      </c>
      <c r="X2090" t="n">
        <v>0</v>
      </c>
    </row>
    <row r="2091">
      <c r="A2091" t="n">
        <v>2090</v>
      </c>
      <c r="B2091" t="inlineStr">
        <is>
          <t>Stationery</t>
        </is>
      </c>
      <c r="C2091" t="inlineStr">
        <is>
          <t>ស៊ី &amp; ជី ត្រេឌីង ឯ.ក</t>
        </is>
      </c>
      <c r="D2091" t="inlineStr">
        <is>
          <t>K010-902205065</t>
        </is>
      </c>
      <c r="E2091" t="inlineStr">
        <is>
          <t>2024-0107</t>
        </is>
      </c>
      <c r="F2091" t="inlineStr">
        <is>
          <t>26-12-2024</t>
        </is>
      </c>
      <c r="G2091" t="n">
        <v>2704</v>
      </c>
      <c r="I2091">
        <f>G2091</f>
        <v/>
      </c>
      <c r="K2091">
        <f>I2091-G2091</f>
        <v/>
      </c>
      <c r="M2091" t="inlineStr">
        <is>
          <t>20240107</t>
        </is>
      </c>
      <c r="N2091" t="inlineStr"/>
      <c r="O2091">
        <f>M2091=N2091</f>
        <v/>
      </c>
      <c r="P2091">
        <f>AND(MONTH(F2091)=MONTH(S2091), YEAR(F2091)=YEAR(S2091))</f>
        <v/>
      </c>
      <c r="Q2091">
        <f>"L001-902303751"=U2091</f>
        <v/>
      </c>
      <c r="R2091">
        <f>G2091-W2091</f>
        <v/>
      </c>
      <c r="S2091" s="36" t="n">
        <v>45656</v>
      </c>
      <c r="T2091" t="inlineStr"/>
      <c r="U2091" t="inlineStr">
        <is>
          <t>L001-107032791</t>
        </is>
      </c>
      <c r="V2091" t="inlineStr">
        <is>
          <t>នីបផន អិចប្រេស (ខេមបូឌា) ខូ អិលធីឌី</t>
        </is>
      </c>
      <c r="W2091" t="n">
        <v>0</v>
      </c>
      <c r="X2091" t="n">
        <v>0</v>
      </c>
    </row>
    <row r="2092">
      <c r="A2092" t="n">
        <v>2091</v>
      </c>
      <c r="B2092" t="inlineStr">
        <is>
          <t>Stationery</t>
        </is>
      </c>
      <c r="C2092" t="inlineStr">
        <is>
          <t>ស៊ី &amp; ជី ត្រេឌីង ឯ.ក</t>
        </is>
      </c>
      <c r="D2092" t="inlineStr">
        <is>
          <t>K010-902205065</t>
        </is>
      </c>
      <c r="E2092" t="inlineStr">
        <is>
          <t>2024-0108</t>
        </is>
      </c>
      <c r="F2092" t="inlineStr">
        <is>
          <t>26-12-2024</t>
        </is>
      </c>
      <c r="G2092" t="n">
        <v>2009755</v>
      </c>
      <c r="I2092">
        <f>G2092</f>
        <v/>
      </c>
      <c r="K2092">
        <f>I2092-G2092</f>
        <v/>
      </c>
      <c r="M2092" t="inlineStr">
        <is>
          <t>20240108</t>
        </is>
      </c>
      <c r="N2092" t="inlineStr">
        <is>
          <t>11055000</t>
        </is>
      </c>
      <c r="O2092">
        <f>M2092=N2092</f>
        <v/>
      </c>
      <c r="P2092">
        <f>AND(MONTH(F2092)=MONTH(S2092), YEAR(F2092)=YEAR(S2092))</f>
        <v/>
      </c>
      <c r="Q2092">
        <f>"L001-902303751"=U2092</f>
        <v/>
      </c>
      <c r="R2092">
        <f>G2092-W2092</f>
        <v/>
      </c>
      <c r="S2092" s="36" t="n">
        <v>45649</v>
      </c>
      <c r="T2092" t="n">
        <v>110550</v>
      </c>
      <c r="U2092" t="inlineStr">
        <is>
          <t>K005-100150195</t>
        </is>
      </c>
      <c r="V2092" t="inlineStr">
        <is>
          <t>អេស អ វី ស៊ី ហ្វ្រេត សឺវីស (ខេមបូឌា) ខូ អិលធីឌី</t>
        </is>
      </c>
      <c r="W2092" t="n">
        <v>110550</v>
      </c>
      <c r="X2092" t="n">
        <v>0</v>
      </c>
    </row>
    <row r="2093">
      <c r="A2093" t="n">
        <v>2092</v>
      </c>
      <c r="B2093" t="inlineStr">
        <is>
          <t>Handling Charges Origin, VGM Processing Fee, Seal Surcharge, Documentation Origin, Entry Summary Declaration and Teminal Handling Charge Origin</t>
        </is>
      </c>
      <c r="C2093" t="inlineStr">
        <is>
          <t>ឌីប៊ី សេនឃើរ (ខេមបូឌា) លីមីធីត</t>
        </is>
      </c>
      <c r="D2093" t="inlineStr">
        <is>
          <t>L001-107041723</t>
        </is>
      </c>
      <c r="E2093" t="inlineStr">
        <is>
          <t>2400009976</t>
        </is>
      </c>
      <c r="F2093" t="inlineStr">
        <is>
          <t>20-12-2024</t>
        </is>
      </c>
      <c r="G2093" t="n">
        <v>142675</v>
      </c>
      <c r="I2093">
        <f>G2093</f>
        <v/>
      </c>
      <c r="K2093">
        <f>I2093-G2093</f>
        <v/>
      </c>
      <c r="M2093" t="inlineStr">
        <is>
          <t>2400009976</t>
        </is>
      </c>
      <c r="N2093" t="inlineStr">
        <is>
          <t>8239000</t>
        </is>
      </c>
      <c r="O2093">
        <f>M2093=N2093</f>
        <v/>
      </c>
      <c r="P2093">
        <f>AND(MONTH(F2093)=MONTH(S2093), YEAR(F2093)=YEAR(S2093))</f>
        <v/>
      </c>
      <c r="Q2093">
        <f>"L001-902303751"=U2093</f>
        <v/>
      </c>
      <c r="R2093">
        <f>G2093-W2093</f>
        <v/>
      </c>
      <c r="S2093" s="36" t="n">
        <v>45642</v>
      </c>
      <c r="T2093" t="n">
        <v>82390</v>
      </c>
      <c r="U2093" t="inlineStr">
        <is>
          <t>L001-107032791</t>
        </is>
      </c>
      <c r="V2093" t="inlineStr">
        <is>
          <t>នីបផន អិចប្រេស (ខេមបូឌា) ខូ អិលធីឌី</t>
        </is>
      </c>
      <c r="W2093" t="n">
        <v>82390</v>
      </c>
      <c r="X2093" t="n">
        <v>0</v>
      </c>
    </row>
    <row r="2094">
      <c r="A2094" t="n">
        <v>2093</v>
      </c>
      <c r="B2094" t="inlineStr">
        <is>
          <t>Template design software</t>
        </is>
      </c>
      <c r="C2094" t="inlineStr">
        <is>
          <t>ក្លាក ហ៊ូ ឯ.ក</t>
        </is>
      </c>
      <c r="D2094" t="inlineStr">
        <is>
          <t>K007-901639199</t>
        </is>
      </c>
      <c r="E2094" t="inlineStr">
        <is>
          <t>IN3017</t>
        </is>
      </c>
      <c r="F2094" t="inlineStr">
        <is>
          <t>31-12-2024</t>
        </is>
      </c>
      <c r="G2094" t="n">
        <v>241500</v>
      </c>
      <c r="I2094">
        <f>G2094</f>
        <v/>
      </c>
      <c r="K2094">
        <f>I2094-G2094</f>
        <v/>
      </c>
      <c r="M2094" t="inlineStr">
        <is>
          <t>IN3017</t>
        </is>
      </c>
      <c r="N2094" t="inlineStr">
        <is>
          <t>19943600</t>
        </is>
      </c>
      <c r="O2094">
        <f>M2094=N2094</f>
        <v/>
      </c>
      <c r="P2094">
        <f>AND(MONTH(F2094)=MONTH(S2094), YEAR(F2094)=YEAR(S2094))</f>
        <v/>
      </c>
      <c r="Q2094">
        <f>"L001-902303751"=U2094</f>
        <v/>
      </c>
      <c r="R2094">
        <f>G2094-W2094</f>
        <v/>
      </c>
      <c r="S2094" s="36" t="n">
        <v>45628</v>
      </c>
      <c r="T2094" t="n">
        <v>199436</v>
      </c>
      <c r="U2094" t="inlineStr">
        <is>
          <t>K005-100150195</t>
        </is>
      </c>
      <c r="V2094" t="inlineStr">
        <is>
          <t>អេស អ វី ស៊ី ហ្វ្រេត សឺវីស (ខេមបូឌា) ខូ អិលធីឌី</t>
        </is>
      </c>
      <c r="W2094" t="n">
        <v>199436</v>
      </c>
      <c r="X2094" t="n">
        <v>0</v>
      </c>
    </row>
    <row r="2095">
      <c r="A2095" t="n">
        <v>2094</v>
      </c>
      <c r="B2095" t="inlineStr">
        <is>
          <t>BL Amendment Fee</t>
        </is>
      </c>
      <c r="C2095" t="inlineStr">
        <is>
          <t>ឌីប៊ី សេនឃើរ (ខេមបូឌា) លីមីធីត</t>
        </is>
      </c>
      <c r="D2095" t="inlineStr">
        <is>
          <t>L001-107041723</t>
        </is>
      </c>
      <c r="E2095" t="inlineStr">
        <is>
          <t>2400009958</t>
        </is>
      </c>
      <c r="F2095" t="inlineStr">
        <is>
          <t>20-12-2024</t>
        </is>
      </c>
      <c r="G2095" t="n">
        <v>24114</v>
      </c>
      <c r="I2095">
        <f>G2095</f>
        <v/>
      </c>
      <c r="K2095">
        <f>I2095-G2095</f>
        <v/>
      </c>
      <c r="M2095" t="inlineStr">
        <is>
          <t>2400009958</t>
        </is>
      </c>
      <c r="N2095" t="inlineStr">
        <is>
          <t>11066000</t>
        </is>
      </c>
      <c r="O2095">
        <f>M2095=N2095</f>
        <v/>
      </c>
      <c r="P2095">
        <f>AND(MONTH(F2095)=MONTH(S2095), YEAR(F2095)=YEAR(S2095))</f>
        <v/>
      </c>
      <c r="Q2095">
        <f>"L001-902303751"=U2095</f>
        <v/>
      </c>
      <c r="R2095">
        <f>G2095-W2095</f>
        <v/>
      </c>
      <c r="S2095" s="36" t="n">
        <v>45656</v>
      </c>
      <c r="T2095" t="n">
        <v>110660</v>
      </c>
      <c r="U2095" t="inlineStr">
        <is>
          <t>L001-107032791</t>
        </is>
      </c>
      <c r="V2095" t="inlineStr">
        <is>
          <t>នីបផន អិចប្រេស (ខេមបូឌា) ខូ អិលធីឌី</t>
        </is>
      </c>
      <c r="W2095" t="n">
        <v>110660</v>
      </c>
      <c r="X2095" t="n">
        <v>0</v>
      </c>
    </row>
    <row r="2096">
      <c r="A2096" t="n">
        <v>2095</v>
      </c>
      <c r="B2096" t="inlineStr">
        <is>
          <t>Teminal Handling Charge, EMF, Container Imbalance Charge, Document Fee, Handling Charge and D/O</t>
        </is>
      </c>
      <c r="C2096" t="inlineStr">
        <is>
          <t>ខេអិលអិន ហ្វ្រេត (ខេមបូឌា) ឯ.ក</t>
        </is>
      </c>
      <c r="D2096" t="inlineStr">
        <is>
          <t>L001-100074669</t>
        </is>
      </c>
      <c r="E2096" t="inlineStr">
        <is>
          <t>IVO20125</t>
        </is>
      </c>
      <c r="F2096" t="inlineStr">
        <is>
          <t>24-12-2024</t>
        </is>
      </c>
      <c r="G2096" t="n">
        <v>79050</v>
      </c>
      <c r="I2096">
        <f>G2096</f>
        <v/>
      </c>
      <c r="K2096">
        <f>I2096-G2096</f>
        <v/>
      </c>
      <c r="M2096" t="inlineStr">
        <is>
          <t>IVO20125</t>
        </is>
      </c>
      <c r="N2096" t="inlineStr">
        <is>
          <t>11066000</t>
        </is>
      </c>
      <c r="O2096">
        <f>M2096=N2096</f>
        <v/>
      </c>
      <c r="P2096">
        <f>AND(MONTH(F2096)=MONTH(S2096), YEAR(F2096)=YEAR(S2096))</f>
        <v/>
      </c>
      <c r="Q2096">
        <f>"L001-902303751"=U2096</f>
        <v/>
      </c>
      <c r="R2096">
        <f>G2096-W2096</f>
        <v/>
      </c>
      <c r="S2096" s="36" t="n">
        <v>45656</v>
      </c>
      <c r="T2096" t="n">
        <v>110660</v>
      </c>
      <c r="U2096" t="inlineStr">
        <is>
          <t>L001-107032791</t>
        </is>
      </c>
      <c r="V2096" t="inlineStr">
        <is>
          <t>នីបផន អិចប្រេស (ខេមបូឌា) ខូ អិលធីឌី</t>
        </is>
      </c>
      <c r="W2096" t="n">
        <v>110660</v>
      </c>
      <c r="X2096" t="n">
        <v>0</v>
      </c>
    </row>
    <row r="2097">
      <c r="A2097" t="n">
        <v>2096</v>
      </c>
      <c r="B2097" t="inlineStr">
        <is>
          <t>Customs Clearance Fee and Trucking Fee</t>
        </is>
      </c>
      <c r="C2097" t="inlineStr">
        <is>
          <t>ត្រាយអ៊ែងហ្គល ឡូជីស្ទីក (ខេមបូឌា) ឯ.ក</t>
        </is>
      </c>
      <c r="D2097" t="inlineStr">
        <is>
          <t>K010-902101743</t>
        </is>
      </c>
      <c r="E2097" t="inlineStr">
        <is>
          <t>TAG-24-00938</t>
        </is>
      </c>
      <c r="F2097" t="inlineStr">
        <is>
          <t>25-12-2024</t>
        </is>
      </c>
      <c r="G2097" t="n">
        <v>28133</v>
      </c>
      <c r="I2097">
        <f>G2097</f>
        <v/>
      </c>
      <c r="K2097">
        <f>I2097-G2097</f>
        <v/>
      </c>
      <c r="M2097" t="inlineStr">
        <is>
          <t>TAG2400938</t>
        </is>
      </c>
      <c r="N2097" t="inlineStr">
        <is>
          <t>8249200</t>
        </is>
      </c>
      <c r="O2097">
        <f>M2097=N2097</f>
        <v/>
      </c>
      <c r="P2097">
        <f>AND(MONTH(F2097)=MONTH(S2097), YEAR(F2097)=YEAR(S2097))</f>
        <v/>
      </c>
      <c r="Q2097">
        <f>"L001-902303751"=U2097</f>
        <v/>
      </c>
      <c r="R2097">
        <f>G2097-W2097</f>
        <v/>
      </c>
      <c r="S2097" s="36" t="n">
        <v>45656</v>
      </c>
      <c r="T2097" t="n">
        <v>82492</v>
      </c>
      <c r="U2097" t="inlineStr">
        <is>
          <t>L001-107032791</t>
        </is>
      </c>
      <c r="V2097" t="inlineStr">
        <is>
          <t>នីបផន អិចប្រេស (ខេមបូឌា) ខូ អិលធីឌី</t>
        </is>
      </c>
      <c r="W2097" t="n">
        <v>82492</v>
      </c>
      <c r="X2097" t="n">
        <v>0</v>
      </c>
    </row>
    <row r="2098">
      <c r="A2098" t="n">
        <v>2097</v>
      </c>
      <c r="B2098" t="inlineStr">
        <is>
          <t>THC Fee, LCL Fee, Scanner Fee, Document Fee, Agency Fee, DO Fee and CIC</t>
        </is>
      </c>
      <c r="C2098" t="inlineStr">
        <is>
          <t>ខ្វនធើម ឡូជីស្ទីក (ខេមបូឌា) ឯ.ក</t>
        </is>
      </c>
      <c r="D2098" t="inlineStr">
        <is>
          <t>K002-901900921</t>
        </is>
      </c>
      <c r="E2098" t="inlineStr">
        <is>
          <t>QT241893</t>
        </is>
      </c>
      <c r="F2098" t="inlineStr">
        <is>
          <t>18-12-2024</t>
        </is>
      </c>
      <c r="G2098" t="n">
        <v>65743</v>
      </c>
      <c r="I2098">
        <f>G2098</f>
        <v/>
      </c>
      <c r="K2098">
        <f>I2098-G2098</f>
        <v/>
      </c>
      <c r="M2098" t="inlineStr">
        <is>
          <t>QT241893</t>
        </is>
      </c>
      <c r="N2098" t="inlineStr">
        <is>
          <t>11052300</t>
        </is>
      </c>
      <c r="O2098">
        <f>M2098=N2098</f>
        <v/>
      </c>
      <c r="P2098">
        <f>AND(MONTH(F2098)=MONTH(S2098), YEAR(F2098)=YEAR(S2098))</f>
        <v/>
      </c>
      <c r="Q2098">
        <f>"L001-902303751"=U2098</f>
        <v/>
      </c>
      <c r="R2098">
        <f>G2098-W2098</f>
        <v/>
      </c>
      <c r="S2098" s="36" t="n">
        <v>45642</v>
      </c>
      <c r="T2098" t="n">
        <v>110523</v>
      </c>
      <c r="U2098" t="inlineStr">
        <is>
          <t>L001-107041723</t>
        </is>
      </c>
      <c r="V2098" t="inlineStr">
        <is>
          <t>ឌីប៊ី សេនឃើរ (ខេមបូឌា) លីមីធីត</t>
        </is>
      </c>
      <c r="W2098" t="n">
        <v>110523</v>
      </c>
      <c r="X2098" t="n">
        <v>0</v>
      </c>
    </row>
    <row r="2099">
      <c r="A2099" t="n">
        <v>2098</v>
      </c>
      <c r="B2099" t="inlineStr">
        <is>
          <t>Customs Clearance Fee and Trucking Fee</t>
        </is>
      </c>
      <c r="C2099" t="inlineStr">
        <is>
          <t>ត្រាយអ៊ែងហ្គល ឡូជីស្ទីក (ខេមបូឌា) ឯ.ក</t>
        </is>
      </c>
      <c r="D2099" t="inlineStr">
        <is>
          <t>K010-902101743</t>
        </is>
      </c>
      <c r="E2099" t="inlineStr">
        <is>
          <t>TAG-24-00935</t>
        </is>
      </c>
      <c r="F2099" t="inlineStr">
        <is>
          <t>24-12-2024</t>
        </is>
      </c>
      <c r="G2099" t="n">
        <v>28133</v>
      </c>
      <c r="I2099">
        <f>G2099</f>
        <v/>
      </c>
      <c r="K2099">
        <f>I2099-G2099</f>
        <v/>
      </c>
      <c r="M2099" t="inlineStr">
        <is>
          <t>TAG2400935</t>
        </is>
      </c>
      <c r="N2099" t="inlineStr">
        <is>
          <t>8239000</t>
        </is>
      </c>
      <c r="O2099">
        <f>M2099=N2099</f>
        <v/>
      </c>
      <c r="P2099">
        <f>AND(MONTH(F2099)=MONTH(S2099), YEAR(F2099)=YEAR(S2099))</f>
        <v/>
      </c>
      <c r="Q2099">
        <f>"L001-902303751"=U2099</f>
        <v/>
      </c>
      <c r="R2099">
        <f>G2099-W2099</f>
        <v/>
      </c>
      <c r="S2099" s="36" t="n">
        <v>45642</v>
      </c>
      <c r="T2099" t="n">
        <v>82390</v>
      </c>
      <c r="U2099" t="inlineStr">
        <is>
          <t>L001-100045995</t>
        </is>
      </c>
      <c r="V2099" t="inlineStr">
        <is>
          <t>ឌីអេចអិល ឡូជីស្ទីក (ខេមបូឌា)</t>
        </is>
      </c>
      <c r="W2099" t="n">
        <v>82390</v>
      </c>
      <c r="X2099" t="n">
        <v>0</v>
      </c>
    </row>
    <row r="2100">
      <c r="A2100" t="n">
        <v>2099</v>
      </c>
      <c r="B2100" t="inlineStr">
        <is>
          <t>THC, CFS, Scan Fee, CIC-Imbalance, Agency Fee, Document Fee, D.O Fee LSS, Handling Fee, Importer Security Filing, Fuel Surcharge and Iinbound Manifest Filing</t>
        </is>
      </c>
      <c r="C2100" t="inlineStr">
        <is>
          <t>ហ្វ្រេតាស (ខេមបូឌា) ឯ.ក</t>
        </is>
      </c>
      <c r="D2100" t="inlineStr">
        <is>
          <t>K007-901638107</t>
        </is>
      </c>
      <c r="E2100" t="inlineStr">
        <is>
          <t>Y24-163</t>
        </is>
      </c>
      <c r="F2100" t="inlineStr">
        <is>
          <t>17-12-2024</t>
        </is>
      </c>
      <c r="G2100" t="n">
        <v>165583</v>
      </c>
      <c r="I2100">
        <f>G2100</f>
        <v/>
      </c>
      <c r="K2100">
        <f>I2100-G2100</f>
        <v/>
      </c>
      <c r="M2100" t="inlineStr">
        <is>
          <t>Y24163</t>
        </is>
      </c>
      <c r="N2100" t="inlineStr"/>
      <c r="O2100">
        <f>M2100=N2100</f>
        <v/>
      </c>
      <c r="P2100">
        <f>AND(MONTH(F2100)=MONTH(S2100), YEAR(F2100)=YEAR(S2100))</f>
        <v/>
      </c>
      <c r="Q2100">
        <f>"L001-902303751"=U2100</f>
        <v/>
      </c>
      <c r="R2100">
        <f>G2100-W2100</f>
        <v/>
      </c>
      <c r="S2100" s="36" t="n">
        <v>45649</v>
      </c>
      <c r="T2100" t="inlineStr"/>
      <c r="U2100" t="inlineStr">
        <is>
          <t>K005-901902888</t>
        </is>
      </c>
      <c r="V2100" t="inlineStr">
        <is>
          <t>អឹឡាយអិន ហ្វ័រវើឌីង (ខេមបូឌា) ឯ.ក</t>
        </is>
      </c>
      <c r="W2100" t="n">
        <v>0</v>
      </c>
      <c r="X2100" t="n">
        <v>0</v>
      </c>
    </row>
    <row r="2101">
      <c r="A2101" t="n">
        <v>2100</v>
      </c>
      <c r="B2101" t="inlineStr">
        <is>
          <t>Customs Clearance Fee and Trucking Fee</t>
        </is>
      </c>
      <c r="C2101" t="inlineStr">
        <is>
          <t>ត្រាយអ៊ែងហ្គល ឡូជីស្ទីក (ខេមបូឌា) ឯ.ក</t>
        </is>
      </c>
      <c r="D2101" t="inlineStr">
        <is>
          <t>K010-902101743</t>
        </is>
      </c>
      <c r="E2101" t="inlineStr">
        <is>
          <t>TAG-24-00936</t>
        </is>
      </c>
      <c r="F2101" t="inlineStr">
        <is>
          <t>24-12-2024</t>
        </is>
      </c>
      <c r="G2101" t="n">
        <v>28133</v>
      </c>
      <c r="I2101">
        <f>G2101</f>
        <v/>
      </c>
      <c r="K2101">
        <f>I2101-G2101</f>
        <v/>
      </c>
      <c r="M2101" t="inlineStr">
        <is>
          <t>TAG2400936</t>
        </is>
      </c>
      <c r="N2101" t="inlineStr"/>
      <c r="O2101">
        <f>M2101=N2101</f>
        <v/>
      </c>
      <c r="P2101">
        <f>AND(MONTH(F2101)=MONTH(S2101), YEAR(F2101)=YEAR(S2101))</f>
        <v/>
      </c>
      <c r="Q2101">
        <f>"L001-902303751"=U2101</f>
        <v/>
      </c>
      <c r="R2101">
        <f>G2101-W2101</f>
        <v/>
      </c>
      <c r="S2101" s="36" t="n">
        <v>45649</v>
      </c>
      <c r="T2101" t="inlineStr"/>
      <c r="U2101" t="inlineStr">
        <is>
          <t>K005-901805913</t>
        </is>
      </c>
      <c r="V2101" t="inlineStr">
        <is>
          <t>ស្តារ ខង់ខដ (ខេមបូឌា) ឯ.ក</t>
        </is>
      </c>
      <c r="W2101" t="n">
        <v>0</v>
      </c>
      <c r="X2101" t="n">
        <v>0</v>
      </c>
    </row>
    <row r="2102">
      <c r="A2102" t="n">
        <v>2101</v>
      </c>
      <c r="B2102" t="inlineStr">
        <is>
          <t>Terminal Handling Charge, EMF, 3 Party Trucking, Container Imbalance Charge, D/O Fee, Document Fee and Handling Charge</t>
        </is>
      </c>
      <c r="C2102" t="inlineStr">
        <is>
          <t>ខេអិលអិន ហ្វ្រេត (ខេមបូឌា) ឯ.ក</t>
        </is>
      </c>
      <c r="D2102" t="inlineStr">
        <is>
          <t>L001-100074669</t>
        </is>
      </c>
      <c r="E2102" t="inlineStr">
        <is>
          <t>IVO19771</t>
        </is>
      </c>
      <c r="F2102" t="inlineStr">
        <is>
          <t>16-12-2024</t>
        </is>
      </c>
      <c r="G2102" t="n">
        <v>91232</v>
      </c>
      <c r="I2102">
        <f>G2102</f>
        <v/>
      </c>
      <c r="K2102">
        <f>I2102-G2102</f>
        <v/>
      </c>
      <c r="M2102" t="inlineStr">
        <is>
          <t>IVO19771</t>
        </is>
      </c>
      <c r="N2102" t="inlineStr"/>
      <c r="O2102">
        <f>M2102=N2102</f>
        <v/>
      </c>
      <c r="P2102">
        <f>AND(MONTH(F2102)=MONTH(S2102), YEAR(F2102)=YEAR(S2102))</f>
        <v/>
      </c>
      <c r="Q2102">
        <f>"L001-902303751"=U2102</f>
        <v/>
      </c>
      <c r="R2102">
        <f>G2102-W2102</f>
        <v/>
      </c>
      <c r="S2102" s="36" t="n">
        <v>45642</v>
      </c>
      <c r="T2102" t="inlineStr"/>
      <c r="U2102" t="inlineStr">
        <is>
          <t>L001-107032791</t>
        </is>
      </c>
      <c r="V2102" t="inlineStr">
        <is>
          <t>នីបផន អិចប្រេស (ខេមបូឌា) ខូ អិលធីឌី</t>
        </is>
      </c>
      <c r="W2102" t="n">
        <v>0</v>
      </c>
      <c r="X2102" t="n">
        <v>0</v>
      </c>
    </row>
    <row r="2103">
      <c r="A2103" t="n">
        <v>2102</v>
      </c>
      <c r="B2103" t="inlineStr">
        <is>
          <t>Customs Clearance Fee and Trucking Fee</t>
        </is>
      </c>
      <c r="C2103" t="inlineStr">
        <is>
          <t>ត្រាយអ៊ែងហ្គល ឡូជីស្ទីក (ខេមបូឌា) ឯ.ក</t>
        </is>
      </c>
      <c r="D2103" t="inlineStr">
        <is>
          <t>K010-902101743</t>
        </is>
      </c>
      <c r="E2103" t="inlineStr">
        <is>
          <t>TAG-24-00945</t>
        </is>
      </c>
      <c r="F2103" t="inlineStr">
        <is>
          <t>25-12-2024</t>
        </is>
      </c>
      <c r="G2103" t="n">
        <v>108513</v>
      </c>
      <c r="I2103">
        <f>G2103</f>
        <v/>
      </c>
      <c r="K2103">
        <f>I2103-G2103</f>
        <v/>
      </c>
      <c r="M2103" t="inlineStr">
        <is>
          <t>TAG2400945</t>
        </is>
      </c>
      <c r="N2103" t="inlineStr"/>
      <c r="O2103">
        <f>M2103=N2103</f>
        <v/>
      </c>
      <c r="P2103">
        <f>AND(MONTH(F2103)=MONTH(S2103), YEAR(F2103)=YEAR(S2103))</f>
        <v/>
      </c>
      <c r="Q2103">
        <f>"L001-902303751"=U2103</f>
        <v/>
      </c>
      <c r="R2103">
        <f>G2103-W2103</f>
        <v/>
      </c>
      <c r="S2103" s="36" t="n">
        <v>45628</v>
      </c>
      <c r="T2103" t="inlineStr"/>
      <c r="U2103" t="inlineStr">
        <is>
          <t>K005-901805913</t>
        </is>
      </c>
      <c r="V2103" t="inlineStr">
        <is>
          <t>ស្តារ ខង់ខដ (ខេមបូឌា) ឯ.ក</t>
        </is>
      </c>
      <c r="W2103" t="n">
        <v>0</v>
      </c>
      <c r="X2103" t="n">
        <v>0</v>
      </c>
    </row>
    <row r="2104">
      <c r="A2104" t="n">
        <v>2103</v>
      </c>
      <c r="B2104" t="inlineStr">
        <is>
          <t>Cargo Terminal</t>
        </is>
      </c>
      <c r="C2104" t="inlineStr">
        <is>
          <t>សូស៊ីយេតេ កុងសេស្យូនែរ ដឺ ឡាអេរ៉ូព័រ</t>
        </is>
      </c>
      <c r="D2104" t="inlineStr">
        <is>
          <t>L001-100047300</t>
        </is>
      </c>
      <c r="E2104" t="inlineStr">
        <is>
          <t>2400100200</t>
        </is>
      </c>
      <c r="F2104" t="inlineStr">
        <is>
          <t>10-12-2024</t>
        </is>
      </c>
      <c r="G2104" t="n">
        <v>6374</v>
      </c>
      <c r="I2104">
        <f>G2104</f>
        <v/>
      </c>
      <c r="K2104">
        <f>I2104-G2104</f>
        <v/>
      </c>
      <c r="M2104" t="inlineStr">
        <is>
          <t>2400100200</t>
        </is>
      </c>
      <c r="N2104" t="inlineStr">
        <is>
          <t>250724700</t>
        </is>
      </c>
      <c r="O2104">
        <f>M2104=N2104</f>
        <v/>
      </c>
      <c r="P2104">
        <f>AND(MONTH(F2104)=MONTH(S2104), YEAR(F2104)=YEAR(S2104))</f>
        <v/>
      </c>
      <c r="Q2104">
        <f>"L001-902303751"=U2104</f>
        <v/>
      </c>
      <c r="R2104">
        <f>G2104-W2104</f>
        <v/>
      </c>
      <c r="S2104" s="36" t="n">
        <v>45628</v>
      </c>
      <c r="T2104" t="n">
        <v>2507247</v>
      </c>
      <c r="U2104" t="inlineStr">
        <is>
          <t>K004-105012505</t>
        </is>
      </c>
      <c r="V2104" t="inlineStr">
        <is>
          <t>អេស៊ាន ហ្វ្រេត (ខេមបូឌា)</t>
        </is>
      </c>
      <c r="W2104" t="n">
        <v>2507247</v>
      </c>
      <c r="X2104" t="n">
        <v>0</v>
      </c>
    </row>
    <row r="2105">
      <c r="A2105" t="n">
        <v>2104</v>
      </c>
      <c r="B2105" t="inlineStr">
        <is>
          <t>Terminal Handling Charge, EMF, 3 Party Trucking, Container Imbalance Charge, D/O Fee, Document Fee and Handling Charge</t>
        </is>
      </c>
      <c r="C2105" t="inlineStr">
        <is>
          <t>ខេអិលអិន ហ្វ្រេត (ខេមបូឌា) ឯ.ក</t>
        </is>
      </c>
      <c r="D2105" t="inlineStr">
        <is>
          <t>L001-100074669</t>
        </is>
      </c>
      <c r="E2105" t="inlineStr">
        <is>
          <t>IVO18940</t>
        </is>
      </c>
      <c r="F2105" t="inlineStr">
        <is>
          <t>06-12-2024</t>
        </is>
      </c>
      <c r="G2105" t="n">
        <v>115820</v>
      </c>
      <c r="I2105">
        <f>G2105</f>
        <v/>
      </c>
      <c r="K2105">
        <f>I2105-G2105</f>
        <v/>
      </c>
      <c r="M2105" t="inlineStr">
        <is>
          <t>IVO18940</t>
        </is>
      </c>
      <c r="N2105" t="inlineStr"/>
      <c r="O2105">
        <f>M2105=N2105</f>
        <v/>
      </c>
      <c r="P2105">
        <f>AND(MONTH(F2105)=MONTH(S2105), YEAR(F2105)=YEAR(S2105))</f>
        <v/>
      </c>
      <c r="Q2105">
        <f>"L001-902303751"=U2105</f>
        <v/>
      </c>
      <c r="R2105">
        <f>G2105-W2105</f>
        <v/>
      </c>
      <c r="S2105" s="36" t="n">
        <v>45628</v>
      </c>
      <c r="T2105" t="inlineStr"/>
      <c r="U2105" t="inlineStr">
        <is>
          <t>K005-100150195</t>
        </is>
      </c>
      <c r="V2105" t="inlineStr">
        <is>
          <t>អេស អ វី ស៊ី ហ្វ្រេត សឺវីស (ខេមបូឌា) ខូ អិលធីឌី</t>
        </is>
      </c>
      <c r="W2105" t="n">
        <v>0</v>
      </c>
      <c r="X2105" t="n">
        <v>0</v>
      </c>
    </row>
    <row r="2106">
      <c r="A2106" t="n">
        <v>2105</v>
      </c>
      <c r="B2106" t="inlineStr">
        <is>
          <t>Cargo Terminal</t>
        </is>
      </c>
      <c r="C2106" t="inlineStr">
        <is>
          <t>សូស៊ីយេតេ កុងសេស្យូនែរ ដឺ ឡាអេរ៉ូព័រ</t>
        </is>
      </c>
      <c r="D2106" t="inlineStr">
        <is>
          <t>L001-100047300</t>
        </is>
      </c>
      <c r="E2106" t="inlineStr">
        <is>
          <t>2400102483</t>
        </is>
      </c>
      <c r="F2106" t="inlineStr">
        <is>
          <t>17-12-2024</t>
        </is>
      </c>
      <c r="G2106" t="n">
        <v>16624</v>
      </c>
      <c r="I2106">
        <f>G2106</f>
        <v/>
      </c>
      <c r="K2106">
        <f>I2106-G2106</f>
        <v/>
      </c>
      <c r="M2106" t="inlineStr">
        <is>
          <t>2400102483</t>
        </is>
      </c>
      <c r="N2106" t="inlineStr"/>
      <c r="O2106">
        <f>M2106=N2106</f>
        <v/>
      </c>
      <c r="P2106">
        <f>AND(MONTH(F2106)=MONTH(S2106), YEAR(F2106)=YEAR(S2106))</f>
        <v/>
      </c>
      <c r="Q2106">
        <f>"L001-902303751"=U2106</f>
        <v/>
      </c>
      <c r="R2106">
        <f>G2106-W2106</f>
        <v/>
      </c>
      <c r="S2106" s="36" t="n">
        <v>45656</v>
      </c>
      <c r="T2106" t="inlineStr"/>
      <c r="U2106" t="inlineStr">
        <is>
          <t>L001-107032791</t>
        </is>
      </c>
      <c r="V2106" t="inlineStr">
        <is>
          <t>នីបផន អិចប្រេស (ខេមបូឌា) ខូ អិលធីឌី</t>
        </is>
      </c>
      <c r="W2106" t="n">
        <v>0</v>
      </c>
      <c r="X2106" t="n">
        <v>0</v>
      </c>
    </row>
    <row r="2107">
      <c r="A2107" t="n">
        <v>2106</v>
      </c>
      <c r="B2107" t="inlineStr">
        <is>
          <t>Customs Clearance Fee and Trucking Fee</t>
        </is>
      </c>
      <c r="C2107" t="inlineStr">
        <is>
          <t>ត្រាយអ៊ែងហ្គល ឡូជីស្ទីក (ខេមបូឌា) ឯ.ក</t>
        </is>
      </c>
      <c r="D2107" t="inlineStr">
        <is>
          <t>K010-902101743</t>
        </is>
      </c>
      <c r="E2107" t="inlineStr">
        <is>
          <t>TAG-24-00949</t>
        </is>
      </c>
      <c r="F2107" t="inlineStr">
        <is>
          <t>25-12-2024</t>
        </is>
      </c>
      <c r="G2107" t="n">
        <v>28133</v>
      </c>
      <c r="I2107">
        <f>G2107</f>
        <v/>
      </c>
      <c r="K2107">
        <f>I2107-G2107</f>
        <v/>
      </c>
      <c r="M2107" t="inlineStr">
        <is>
          <t>TAG2400949</t>
        </is>
      </c>
      <c r="N2107" t="inlineStr"/>
      <c r="O2107">
        <f>M2107=N2107</f>
        <v/>
      </c>
      <c r="P2107">
        <f>AND(MONTH(F2107)=MONTH(S2107), YEAR(F2107)=YEAR(S2107))</f>
        <v/>
      </c>
      <c r="Q2107">
        <f>"L001-902303751"=U2107</f>
        <v/>
      </c>
      <c r="R2107">
        <f>G2107-W2107</f>
        <v/>
      </c>
      <c r="S2107" s="36" t="n">
        <v>45656</v>
      </c>
      <c r="T2107" t="inlineStr"/>
      <c r="U2107" t="inlineStr">
        <is>
          <t>L001-107041723</t>
        </is>
      </c>
      <c r="V2107" t="inlineStr">
        <is>
          <t>ឌីប៊ី សេនឃើរ (ខេមបូឌា) លីមីធីត</t>
        </is>
      </c>
      <c r="W2107" t="n">
        <v>0</v>
      </c>
      <c r="X2107" t="n">
        <v>0</v>
      </c>
    </row>
    <row r="2108">
      <c r="A2108" t="n">
        <v>2107</v>
      </c>
      <c r="B2108" t="inlineStr">
        <is>
          <t>Customs Clearance Fee and Trucking Fee</t>
        </is>
      </c>
      <c r="C2108" t="inlineStr">
        <is>
          <t>ត្រាយអ៊ែងហ្គល ឡូជីស្ទីក (ខេមបូឌា) ឯ.ក</t>
        </is>
      </c>
      <c r="D2108" t="inlineStr">
        <is>
          <t>K010-902101743</t>
        </is>
      </c>
      <c r="E2108" t="inlineStr">
        <is>
          <t>TAG-24-00953</t>
        </is>
      </c>
      <c r="F2108" t="inlineStr">
        <is>
          <t>25-12-2024</t>
        </is>
      </c>
      <c r="G2108" t="n">
        <v>108513</v>
      </c>
      <c r="I2108">
        <f>G2108</f>
        <v/>
      </c>
      <c r="K2108">
        <f>I2108-G2108</f>
        <v/>
      </c>
      <c r="M2108" t="inlineStr">
        <is>
          <t>TAG2400953</t>
        </is>
      </c>
      <c r="N2108" t="inlineStr"/>
      <c r="O2108">
        <f>M2108=N2108</f>
        <v/>
      </c>
      <c r="P2108">
        <f>AND(MONTH(F2108)=MONTH(S2108), YEAR(F2108)=YEAR(S2108))</f>
        <v/>
      </c>
      <c r="Q2108">
        <f>"L001-902303751"=U2108</f>
        <v/>
      </c>
      <c r="R2108">
        <f>G2108-W2108</f>
        <v/>
      </c>
      <c r="S2108" s="36" t="n">
        <v>45656</v>
      </c>
      <c r="T2108" t="inlineStr"/>
      <c r="U2108" t="inlineStr">
        <is>
          <t>K005-901805913</t>
        </is>
      </c>
      <c r="V2108" t="inlineStr">
        <is>
          <t>ស្តារ ខង់ខដ (ខេមបូឌា) ឯ.ក</t>
        </is>
      </c>
      <c r="W2108" t="n">
        <v>0</v>
      </c>
      <c r="X2108" t="n">
        <v>0</v>
      </c>
    </row>
    <row r="2109">
      <c r="A2109" t="n">
        <v>2108</v>
      </c>
      <c r="B2109" t="inlineStr">
        <is>
          <t>DOC Fee and Agency Fee</t>
        </is>
      </c>
      <c r="C2109" t="inlineStr">
        <is>
          <t>អ៊ែតវ៉ានស៍ គ្លរី ឡូជីស្ទីក (ខេមបូឌា) (អេ ជី អិល)</t>
        </is>
      </c>
      <c r="D2109" t="inlineStr">
        <is>
          <t>K005-100059945</t>
        </is>
      </c>
      <c r="E2109" t="inlineStr">
        <is>
          <t>AGL2401978</t>
        </is>
      </c>
      <c r="F2109" t="inlineStr">
        <is>
          <t>20-12-2024</t>
        </is>
      </c>
      <c r="G2109" t="n">
        <v>44209</v>
      </c>
      <c r="I2109">
        <f>G2109</f>
        <v/>
      </c>
      <c r="K2109">
        <f>I2109-G2109</f>
        <v/>
      </c>
      <c r="M2109" t="inlineStr">
        <is>
          <t>AGL2401978</t>
        </is>
      </c>
      <c r="N2109" t="inlineStr"/>
      <c r="O2109">
        <f>M2109=N2109</f>
        <v/>
      </c>
      <c r="P2109">
        <f>AND(MONTH(F2109)=MONTH(S2109), YEAR(F2109)=YEAR(S2109))</f>
        <v/>
      </c>
      <c r="Q2109">
        <f>"L001-902303751"=U2109</f>
        <v/>
      </c>
      <c r="R2109">
        <f>G2109-W2109</f>
        <v/>
      </c>
      <c r="S2109" s="36" t="n">
        <v>45643</v>
      </c>
      <c r="T2109" t="inlineStr"/>
      <c r="U2109" t="inlineStr">
        <is>
          <t>K002-901800477</t>
        </is>
      </c>
      <c r="V2109" t="inlineStr">
        <is>
          <t>អាយធីអាយ អ៊ិនធើណេសិនណល ត្រេនស័្ពរថេសិន (ខេមបូឌា) ឯ.ក</t>
        </is>
      </c>
      <c r="W2109" t="n">
        <v>0</v>
      </c>
      <c r="X2109" t="n">
        <v>0</v>
      </c>
    </row>
    <row r="2110">
      <c r="A2110" t="n">
        <v>2109</v>
      </c>
      <c r="B2110" t="inlineStr">
        <is>
          <t>Cargo Terminal</t>
        </is>
      </c>
      <c r="C2110" t="inlineStr">
        <is>
          <t>សូស៊ីយេតេ កុងសេស្យូនែរ ដឺ ឡាអេរ៉ូព័រ</t>
        </is>
      </c>
      <c r="D2110" t="inlineStr">
        <is>
          <t>L001-100047300</t>
        </is>
      </c>
      <c r="E2110" t="inlineStr">
        <is>
          <t>2400103817</t>
        </is>
      </c>
      <c r="F2110" t="inlineStr">
        <is>
          <t>21-12-2024</t>
        </is>
      </c>
      <c r="G2110" t="n">
        <v>2492</v>
      </c>
      <c r="I2110">
        <f>G2110</f>
        <v/>
      </c>
      <c r="K2110">
        <f>I2110-G2110</f>
        <v/>
      </c>
      <c r="M2110" t="inlineStr">
        <is>
          <t>2400103817</t>
        </is>
      </c>
      <c r="N2110" t="inlineStr">
        <is>
          <t>84883300</t>
        </is>
      </c>
      <c r="O2110">
        <f>M2110=N2110</f>
        <v/>
      </c>
      <c r="P2110">
        <f>AND(MONTH(F2110)=MONTH(S2110), YEAR(F2110)=YEAR(S2110))</f>
        <v/>
      </c>
      <c r="Q2110">
        <f>"L001-902303751"=U2110</f>
        <v/>
      </c>
      <c r="R2110">
        <f>G2110-W2110</f>
        <v/>
      </c>
      <c r="S2110" s="36" t="n">
        <v>45645</v>
      </c>
      <c r="T2110" t="n">
        <v>848833</v>
      </c>
      <c r="U2110" t="inlineStr">
        <is>
          <t>K004-105012505</t>
        </is>
      </c>
      <c r="V2110" t="inlineStr">
        <is>
          <t>អេស៊ាន ហ្វ្រេត (ខេមបូឌា)</t>
        </is>
      </c>
      <c r="W2110" t="n">
        <v>848833</v>
      </c>
      <c r="X2110" t="n">
        <v>0</v>
      </c>
    </row>
    <row r="2111">
      <c r="A2111" t="n">
        <v>2110</v>
      </c>
      <c r="B2111" t="inlineStr">
        <is>
          <t>Document Fee, Agency Fee, Delivery Order Fee, THC Fee, Scan Fee and CIC Fee</t>
        </is>
      </c>
      <c r="C2111" t="inlineStr">
        <is>
          <t>អូរៀនថល ឡូជីស្ទីក &amp; ឌីស្ទ្រីប៊្យូសិន (ខេមបូឌា)</t>
        </is>
      </c>
      <c r="D2111" t="inlineStr">
        <is>
          <t>L001-103007369</t>
        </is>
      </c>
      <c r="E2111" t="inlineStr">
        <is>
          <t>24-13900</t>
        </is>
      </c>
      <c r="F2111" t="inlineStr">
        <is>
          <t>20-12-2024</t>
        </is>
      </c>
      <c r="G2111" t="n">
        <v>116357</v>
      </c>
      <c r="I2111">
        <f>G2111</f>
        <v/>
      </c>
      <c r="K2111">
        <f>I2111-G2111</f>
        <v/>
      </c>
      <c r="M2111" t="inlineStr">
        <is>
          <t>2413900</t>
        </is>
      </c>
      <c r="N2111" t="inlineStr">
        <is>
          <t>11055000</t>
        </is>
      </c>
      <c r="O2111">
        <f>M2111=N2111</f>
        <v/>
      </c>
      <c r="P2111">
        <f>AND(MONTH(F2111)=MONTH(S2111), YEAR(F2111)=YEAR(S2111))</f>
        <v/>
      </c>
      <c r="Q2111">
        <f>"L001-902303751"=U2111</f>
        <v/>
      </c>
      <c r="R2111">
        <f>G2111-W2111</f>
        <v/>
      </c>
      <c r="S2111" s="36" t="n">
        <v>45649</v>
      </c>
      <c r="T2111" t="n">
        <v>110550</v>
      </c>
      <c r="U2111" t="inlineStr">
        <is>
          <t>L001-107032791</t>
        </is>
      </c>
      <c r="V2111" t="inlineStr">
        <is>
          <t>នីបផន អិចប្រេស (ខេមបូឌា) ខូ អិលធីឌី</t>
        </is>
      </c>
      <c r="W2111" t="n">
        <v>110550</v>
      </c>
      <c r="X2111" t="n">
        <v>0</v>
      </c>
    </row>
    <row r="2112">
      <c r="A2112" t="n">
        <v>2111</v>
      </c>
      <c r="B2112" t="inlineStr">
        <is>
          <t>DOC Fee and Agency Fee</t>
        </is>
      </c>
      <c r="C2112" t="inlineStr">
        <is>
          <t>អ៊ែតវ៉ានស៍ គ្លរី ឡូជីស្ទីក (ខេមបូឌា) (អេ ជី អិល)</t>
        </is>
      </c>
      <c r="D2112" t="inlineStr">
        <is>
          <t>K005-100059945</t>
        </is>
      </c>
      <c r="E2112" t="inlineStr">
        <is>
          <t>AGL2401949</t>
        </is>
      </c>
      <c r="F2112" t="inlineStr">
        <is>
          <t>16-12-2024</t>
        </is>
      </c>
      <c r="G2112" t="n">
        <v>44209</v>
      </c>
      <c r="I2112">
        <f>G2112</f>
        <v/>
      </c>
      <c r="K2112">
        <f>I2112-G2112</f>
        <v/>
      </c>
      <c r="M2112" t="inlineStr">
        <is>
          <t>AGL2401949</t>
        </is>
      </c>
      <c r="N2112" t="inlineStr">
        <is>
          <t>11310300</t>
        </is>
      </c>
      <c r="O2112">
        <f>M2112=N2112</f>
        <v/>
      </c>
      <c r="P2112">
        <f>AND(MONTH(F2112)=MONTH(S2112), YEAR(F2112)=YEAR(S2112))</f>
        <v/>
      </c>
      <c r="Q2112">
        <f>"L001-902303751"=U2112</f>
        <v/>
      </c>
      <c r="R2112">
        <f>G2112-W2112</f>
        <v/>
      </c>
      <c r="S2112" s="36" t="n">
        <v>45636</v>
      </c>
      <c r="T2112" t="n">
        <v>113103</v>
      </c>
      <c r="U2112" t="inlineStr">
        <is>
          <t>L001-100045340</t>
        </is>
      </c>
      <c r="V2112" t="inlineStr">
        <is>
          <t xml:space="preserve">ស៊ីវ៉ា អ៊ែរ អ៊ែន អូសៀន (ខេមបូឌា) ឯ.ក </t>
        </is>
      </c>
      <c r="W2112" t="n">
        <v>113103</v>
      </c>
      <c r="X2112" t="n">
        <v>0</v>
      </c>
    </row>
    <row r="2113">
      <c r="A2113" t="n">
        <v>2112</v>
      </c>
      <c r="B2113" t="inlineStr">
        <is>
          <t>Charge from Warehouse/cy to trucks</t>
        </is>
      </c>
      <c r="C2113" t="inlineStr">
        <is>
          <t>កំពង់ផែស្វយ័តក្រុងព្រះសីហនុ</t>
        </is>
      </c>
      <c r="D2113" t="inlineStr">
        <is>
          <t>L001-100044638</t>
        </is>
      </c>
      <c r="E2113" t="inlineStr">
        <is>
          <t>270667</t>
        </is>
      </c>
      <c r="F2113" t="inlineStr">
        <is>
          <t>25-12-2024</t>
        </is>
      </c>
      <c r="G2113" t="n">
        <v>1231</v>
      </c>
      <c r="I2113">
        <f>G2113</f>
        <v/>
      </c>
      <c r="K2113">
        <f>I2113-G2113</f>
        <v/>
      </c>
      <c r="M2113" t="inlineStr">
        <is>
          <t>270667</t>
        </is>
      </c>
      <c r="N2113" t="inlineStr">
        <is>
          <t>9861300</t>
        </is>
      </c>
      <c r="O2113">
        <f>M2113=N2113</f>
        <v/>
      </c>
      <c r="P2113">
        <f>AND(MONTH(F2113)=MONTH(S2113), YEAR(F2113)=YEAR(S2113))</f>
        <v/>
      </c>
      <c r="Q2113">
        <f>"L001-902303751"=U2113</f>
        <v/>
      </c>
      <c r="R2113">
        <f>G2113-W2113</f>
        <v/>
      </c>
      <c r="S2113" s="36" t="n">
        <v>45636</v>
      </c>
      <c r="T2113" t="n">
        <v>98613</v>
      </c>
      <c r="U2113" t="inlineStr">
        <is>
          <t>L001-107032791</t>
        </is>
      </c>
      <c r="V2113" t="inlineStr">
        <is>
          <t>នីបផន អិចប្រេស (ខេមបូឌា) ខូ អិលធីឌី</t>
        </is>
      </c>
      <c r="W2113" t="n">
        <v>98613</v>
      </c>
      <c r="X2113" t="n">
        <v>0</v>
      </c>
    </row>
    <row r="2114">
      <c r="A2114" t="n">
        <v>2113</v>
      </c>
      <c r="B2114" t="inlineStr">
        <is>
          <t>Customs Clearance Fee and Trucking Fee</t>
        </is>
      </c>
      <c r="C2114" t="inlineStr">
        <is>
          <t>ត្រាយអ៊ែងហ្គល ឡូជីស្ទីក (ខេមបូឌា) ឯ.ក</t>
        </is>
      </c>
      <c r="D2114" t="inlineStr">
        <is>
          <t>K010-902101743</t>
        </is>
      </c>
      <c r="E2114" t="inlineStr">
        <is>
          <t>TAG-24-00952</t>
        </is>
      </c>
      <c r="F2114" t="inlineStr">
        <is>
          <t>25-12-2024</t>
        </is>
      </c>
      <c r="G2114" t="n">
        <v>55711</v>
      </c>
      <c r="I2114">
        <f>G2114</f>
        <v/>
      </c>
      <c r="K2114">
        <f>I2114-G2114</f>
        <v/>
      </c>
      <c r="M2114" t="inlineStr">
        <is>
          <t>TAG2400952</t>
        </is>
      </c>
      <c r="N2114" t="inlineStr">
        <is>
          <t>11057800</t>
        </is>
      </c>
      <c r="O2114">
        <f>M2114=N2114</f>
        <v/>
      </c>
      <c r="P2114">
        <f>AND(MONTH(F2114)=MONTH(S2114), YEAR(F2114)=YEAR(S2114))</f>
        <v/>
      </c>
      <c r="Q2114">
        <f>"L001-902303751"=U2114</f>
        <v/>
      </c>
      <c r="R2114">
        <f>G2114-W2114</f>
        <v/>
      </c>
      <c r="S2114" s="36" t="n">
        <v>45639</v>
      </c>
      <c r="T2114" t="n">
        <v>110578</v>
      </c>
      <c r="U2114" t="inlineStr">
        <is>
          <t>K002-901800477</t>
        </is>
      </c>
      <c r="V2114" t="inlineStr">
        <is>
          <t>អាយធីអាយ អ៊ិនធើណេសិនណល ត្រេនស័្ពរថេសិន (ខេមបូឌា) ឯ.ក</t>
        </is>
      </c>
      <c r="W2114" t="n">
        <v>110578</v>
      </c>
      <c r="X2114" t="n">
        <v>0</v>
      </c>
    </row>
    <row r="2115">
      <c r="A2115" t="n">
        <v>2114</v>
      </c>
      <c r="B2115" t="inlineStr">
        <is>
          <t>Customs Clearance Fee</t>
        </is>
      </c>
      <c r="C2115" t="inlineStr">
        <is>
          <t>ត្រាយអ៊ែងហ្គល ឡូជីស្ទីក (ខេមបូឌា) ឯ.ក</t>
        </is>
      </c>
      <c r="D2115" t="inlineStr">
        <is>
          <t>K010-902101743</t>
        </is>
      </c>
      <c r="E2115" t="inlineStr">
        <is>
          <t>TAG-24-00940</t>
        </is>
      </c>
      <c r="F2115" t="inlineStr">
        <is>
          <t>25-12-2024</t>
        </is>
      </c>
      <c r="G2115" t="n">
        <v>8038</v>
      </c>
      <c r="I2115">
        <f>G2115</f>
        <v/>
      </c>
      <c r="K2115">
        <f>I2115-G2115</f>
        <v/>
      </c>
      <c r="M2115" t="inlineStr">
        <is>
          <t>TAG2400940</t>
        </is>
      </c>
      <c r="N2115" t="inlineStr">
        <is>
          <t>8259500</t>
        </is>
      </c>
      <c r="O2115">
        <f>M2115=N2115</f>
        <v/>
      </c>
      <c r="P2115">
        <f>AND(MONTH(F2115)=MONTH(S2115), YEAR(F2115)=YEAR(S2115))</f>
        <v/>
      </c>
      <c r="Q2115">
        <f>"L001-902303751"=U2115</f>
        <v/>
      </c>
      <c r="R2115">
        <f>G2115-W2115</f>
        <v/>
      </c>
      <c r="S2115" s="36" t="n">
        <v>45628</v>
      </c>
      <c r="T2115" t="n">
        <v>82595</v>
      </c>
      <c r="U2115" t="inlineStr">
        <is>
          <t>L001-107032791</t>
        </is>
      </c>
      <c r="V2115" t="inlineStr">
        <is>
          <t>នីបផន អិចប្រេស (ខេមបូឌា) ខូ អិលធីឌី</t>
        </is>
      </c>
      <c r="W2115" t="n">
        <v>82595</v>
      </c>
      <c r="X2115" t="n">
        <v>0</v>
      </c>
    </row>
    <row r="2116">
      <c r="A2116" t="n">
        <v>2115</v>
      </c>
      <c r="B2116" t="inlineStr">
        <is>
          <t>Customs Clearance Fee and Trucking Fee</t>
        </is>
      </c>
      <c r="C2116" t="inlineStr">
        <is>
          <t>ត្រាយអ៊ែងហ្គល ឡូជីស្ទីក (ខេមបូឌា) ឯ.ក</t>
        </is>
      </c>
      <c r="D2116" t="inlineStr">
        <is>
          <t>K010-902101743</t>
        </is>
      </c>
      <c r="E2116" t="inlineStr">
        <is>
          <t>TAG-24-00923</t>
        </is>
      </c>
      <c r="F2116" t="inlineStr">
        <is>
          <t>20-12-2024</t>
        </is>
      </c>
      <c r="G2116" t="n">
        <v>108513</v>
      </c>
      <c r="I2116">
        <f>G2116</f>
        <v/>
      </c>
      <c r="K2116">
        <f>I2116-G2116</f>
        <v/>
      </c>
      <c r="M2116" t="inlineStr">
        <is>
          <t>TAG2400923</t>
        </is>
      </c>
      <c r="N2116" t="inlineStr">
        <is>
          <t>8249200</t>
        </is>
      </c>
      <c r="O2116">
        <f>M2116=N2116</f>
        <v/>
      </c>
      <c r="P2116">
        <f>AND(MONTH(F2116)=MONTH(S2116), YEAR(F2116)=YEAR(S2116))</f>
        <v/>
      </c>
      <c r="Q2116">
        <f>"L001-902303751"=U2116</f>
        <v/>
      </c>
      <c r="R2116">
        <f>G2116-W2116</f>
        <v/>
      </c>
      <c r="S2116" s="36" t="n">
        <v>45656</v>
      </c>
      <c r="T2116" t="n">
        <v>82492</v>
      </c>
      <c r="U2116" t="inlineStr">
        <is>
          <t>L001-100182259</t>
        </is>
      </c>
      <c r="V2116" t="inlineStr">
        <is>
          <t>សាខាក្រុមហ៊ុន ប៊ី ឡូជីស្ទីក ខបភើរេសិន (ខេមបូឌា)</t>
        </is>
      </c>
      <c r="W2116" t="n">
        <v>82492</v>
      </c>
      <c r="X2116" t="n">
        <v>0</v>
      </c>
    </row>
    <row r="2117">
      <c r="A2117" t="n">
        <v>2116</v>
      </c>
      <c r="B2117" t="inlineStr">
        <is>
          <t>Docmentation Origin, Handling Charges Origin, PLACI fee and HAWB Transmission Fee</t>
        </is>
      </c>
      <c r="C2117" t="inlineStr">
        <is>
          <t>ឌីប៊ី សេនឃើរ (ខេមបូឌា) លីមីធីត</t>
        </is>
      </c>
      <c r="D2117" t="inlineStr">
        <is>
          <t>L001-107041723</t>
        </is>
      </c>
      <c r="E2117" t="inlineStr">
        <is>
          <t>2400009498</t>
        </is>
      </c>
      <c r="F2117" t="inlineStr">
        <is>
          <t>02-12-2024</t>
        </is>
      </c>
      <c r="G2117" t="n">
        <v>49557</v>
      </c>
      <c r="I2117">
        <f>G2117</f>
        <v/>
      </c>
      <c r="K2117">
        <f>I2117-G2117</f>
        <v/>
      </c>
      <c r="M2117" t="inlineStr">
        <is>
          <t>2400009498</t>
        </is>
      </c>
      <c r="N2117" t="inlineStr"/>
      <c r="O2117">
        <f>M2117=N2117</f>
        <v/>
      </c>
      <c r="P2117">
        <f>AND(MONTH(F2117)=MONTH(S2117), YEAR(F2117)=YEAR(S2117))</f>
        <v/>
      </c>
      <c r="Q2117">
        <f>"L001-902303751"=U2117</f>
        <v/>
      </c>
      <c r="R2117">
        <f>G2117-W2117</f>
        <v/>
      </c>
      <c r="S2117" s="36" t="n">
        <v>45636</v>
      </c>
      <c r="T2117" t="inlineStr"/>
      <c r="U2117" t="inlineStr">
        <is>
          <t>L001-100045995</t>
        </is>
      </c>
      <c r="V2117" t="inlineStr">
        <is>
          <t>ឌីអេចអិល ឡូជីស្ទីក (ខេមបូឌា)</t>
        </is>
      </c>
      <c r="W2117" t="n">
        <v>0</v>
      </c>
      <c r="X2117" t="n">
        <v>0</v>
      </c>
    </row>
    <row r="2118">
      <c r="A2118" t="n">
        <v>2117</v>
      </c>
      <c r="B2118" t="inlineStr">
        <is>
          <t>Send Materials</t>
        </is>
      </c>
      <c r="C2118" t="inlineStr">
        <is>
          <t>ឌី អេច អិល អិចប្រេស (ខេមបូឌា)</t>
        </is>
      </c>
      <c r="D2118" t="inlineStr">
        <is>
          <t>L001-100045197</t>
        </is>
      </c>
      <c r="E2118" t="inlineStr">
        <is>
          <t>PNHIR00262142</t>
        </is>
      </c>
      <c r="F2118" t="inlineStr">
        <is>
          <t>19-12-2024</t>
        </is>
      </c>
      <c r="G2118" t="n">
        <v>16599</v>
      </c>
      <c r="I2118">
        <f>G2118</f>
        <v/>
      </c>
      <c r="K2118">
        <f>I2118-G2118</f>
        <v/>
      </c>
      <c r="M2118" t="inlineStr">
        <is>
          <t>PNHIR00262142</t>
        </is>
      </c>
      <c r="N2118" t="inlineStr"/>
      <c r="O2118">
        <f>M2118=N2118</f>
        <v/>
      </c>
      <c r="P2118">
        <f>AND(MONTH(F2118)=MONTH(S2118), YEAR(F2118)=YEAR(S2118))</f>
        <v/>
      </c>
      <c r="Q2118">
        <f>"L001-902303751"=U2118</f>
        <v/>
      </c>
      <c r="R2118">
        <f>G2118-W2118</f>
        <v/>
      </c>
      <c r="S2118" s="36" t="n">
        <v>45636</v>
      </c>
      <c r="T2118" t="inlineStr"/>
      <c r="U2118" t="inlineStr">
        <is>
          <t>K005-100150195</t>
        </is>
      </c>
      <c r="V2118" t="inlineStr">
        <is>
          <t>អេស អ វី ស៊ី ហ្វ្រេត សឺវីស (ខេមបូឌា) ខូ អិលធីឌី</t>
        </is>
      </c>
      <c r="W2118" t="n">
        <v>0</v>
      </c>
      <c r="X2118" t="n">
        <v>0</v>
      </c>
    </row>
    <row r="2119">
      <c r="A2119" t="n">
        <v>2118</v>
      </c>
      <c r="B2119" t="inlineStr">
        <is>
          <t>Send Materials</t>
        </is>
      </c>
      <c r="C2119" t="inlineStr">
        <is>
          <t>ឌី អេច អិល អិចប្រេស (ខេមបូឌា)</t>
        </is>
      </c>
      <c r="D2119" t="inlineStr">
        <is>
          <t>L001-100045197</t>
        </is>
      </c>
      <c r="E2119" t="inlineStr">
        <is>
          <t>PNHIR00261813</t>
        </is>
      </c>
      <c r="F2119" t="inlineStr">
        <is>
          <t>18-12-2024</t>
        </is>
      </c>
      <c r="G2119" t="n">
        <v>8042</v>
      </c>
      <c r="I2119">
        <f>G2119</f>
        <v/>
      </c>
      <c r="K2119">
        <f>I2119-G2119</f>
        <v/>
      </c>
      <c r="M2119" t="inlineStr">
        <is>
          <t>PNHIR00261813</t>
        </is>
      </c>
      <c r="N2119" t="inlineStr"/>
      <c r="O2119">
        <f>M2119=N2119</f>
        <v/>
      </c>
      <c r="P2119">
        <f>AND(MONTH(F2119)=MONTH(S2119), YEAR(F2119)=YEAR(S2119))</f>
        <v/>
      </c>
      <c r="Q2119">
        <f>"L001-902303751"=U2119</f>
        <v/>
      </c>
      <c r="R2119">
        <f>G2119-W2119</f>
        <v/>
      </c>
      <c r="S2119" s="36" t="n">
        <v>45636</v>
      </c>
      <c r="T2119" t="inlineStr"/>
      <c r="U2119" t="inlineStr">
        <is>
          <t>L001-107041723</t>
        </is>
      </c>
      <c r="V2119" t="inlineStr">
        <is>
          <t>ឌីប៊ី សេនឃើរ (ខេមបូឌា) លីមីធីត</t>
        </is>
      </c>
      <c r="W2119" t="n">
        <v>0</v>
      </c>
      <c r="X2119" t="n">
        <v>0</v>
      </c>
    </row>
    <row r="2120">
      <c r="A2120" t="n">
        <v>2119</v>
      </c>
      <c r="B2120" t="inlineStr">
        <is>
          <t>Send Materials</t>
        </is>
      </c>
      <c r="C2120" t="inlineStr">
        <is>
          <t>ឌី អេច អិល អិចប្រេស (ខេមបូឌា)</t>
        </is>
      </c>
      <c r="D2120" t="inlineStr">
        <is>
          <t>L001-100045197</t>
        </is>
      </c>
      <c r="E2120" t="inlineStr">
        <is>
          <t>PNHIR00260252</t>
        </is>
      </c>
      <c r="F2120" t="inlineStr">
        <is>
          <t>12-12-2024</t>
        </is>
      </c>
      <c r="G2120" t="n">
        <v>7205</v>
      </c>
      <c r="I2120">
        <f>G2120</f>
        <v/>
      </c>
      <c r="K2120">
        <f>I2120-G2120</f>
        <v/>
      </c>
      <c r="M2120" t="inlineStr">
        <is>
          <t>PNHIR00260252</t>
        </is>
      </c>
      <c r="N2120" t="inlineStr"/>
      <c r="O2120">
        <f>M2120=N2120</f>
        <v/>
      </c>
      <c r="P2120">
        <f>AND(MONTH(F2120)=MONTH(S2120), YEAR(F2120)=YEAR(S2120))</f>
        <v/>
      </c>
      <c r="Q2120">
        <f>"L001-902303751"=U2120</f>
        <v/>
      </c>
      <c r="R2120">
        <f>G2120-W2120</f>
        <v/>
      </c>
      <c r="S2120" s="36" t="n">
        <v>45628</v>
      </c>
      <c r="T2120" t="inlineStr"/>
      <c r="U2120" t="inlineStr">
        <is>
          <t>L001-107041723</t>
        </is>
      </c>
      <c r="V2120" t="inlineStr">
        <is>
          <t>ឌីប៊ី សេនឃើរ (ខេមបូឌា) លីមីធីត</t>
        </is>
      </c>
      <c r="W2120" t="n">
        <v>0</v>
      </c>
      <c r="X2120" t="n">
        <v>0</v>
      </c>
    </row>
    <row r="2121">
      <c r="A2121" t="n">
        <v>2120</v>
      </c>
      <c r="B2121" t="inlineStr">
        <is>
          <t>Non Woven Interlining</t>
        </is>
      </c>
      <c r="C2121" t="inlineStr">
        <is>
          <t>ដេលី ហ្គាមេន អេកសេសឺរី</t>
        </is>
      </c>
      <c r="D2121" t="inlineStr">
        <is>
          <t>L001-108012794</t>
        </is>
      </c>
      <c r="E2121" t="inlineStr">
        <is>
          <t>00542</t>
        </is>
      </c>
      <c r="F2121" t="inlineStr">
        <is>
          <t>26-12-2024</t>
        </is>
      </c>
      <c r="G2121" t="n">
        <v>9084</v>
      </c>
      <c r="I2121">
        <f>G2121</f>
        <v/>
      </c>
      <c r="K2121">
        <f>I2121-G2121</f>
        <v/>
      </c>
      <c r="M2121" t="inlineStr">
        <is>
          <t>00542</t>
        </is>
      </c>
      <c r="N2121" t="inlineStr"/>
      <c r="O2121">
        <f>M2121=N2121</f>
        <v/>
      </c>
      <c r="P2121">
        <f>AND(MONTH(F2121)=MONTH(S2121), YEAR(F2121)=YEAR(S2121))</f>
        <v/>
      </c>
      <c r="Q2121">
        <f>"L001-902303751"=U2121</f>
        <v/>
      </c>
      <c r="R2121">
        <f>G2121-W2121</f>
        <v/>
      </c>
      <c r="S2121" s="36" t="n">
        <v>45628</v>
      </c>
      <c r="T2121" t="inlineStr"/>
      <c r="U2121" t="inlineStr">
        <is>
          <t>L001-107032791</t>
        </is>
      </c>
      <c r="V2121" t="inlineStr">
        <is>
          <t>នីបផន អិចប្រេស (ខេមបូឌា) ខូ អិលធីឌី</t>
        </is>
      </c>
      <c r="W2121" t="n">
        <v>0</v>
      </c>
      <c r="X2121" t="n">
        <v>0</v>
      </c>
    </row>
    <row r="2122">
      <c r="A2122" t="n">
        <v>2121</v>
      </c>
      <c r="B2122" t="inlineStr">
        <is>
          <t>Documentation Origin, Handling Charges Origin, Airfreight, PLACI Fee and HAWB Transmission Fee</t>
        </is>
      </c>
      <c r="C2122" t="inlineStr">
        <is>
          <t>ឌីប៊ី សេនឃើរ (ខេមបូឌា) លីមីធីត</t>
        </is>
      </c>
      <c r="D2122" t="inlineStr">
        <is>
          <t>L001-107041723</t>
        </is>
      </c>
      <c r="E2122" t="inlineStr">
        <is>
          <t>2400010051</t>
        </is>
      </c>
      <c r="F2122" t="inlineStr">
        <is>
          <t>24-12-2024</t>
        </is>
      </c>
      <c r="G2122" t="n">
        <v>49434</v>
      </c>
      <c r="I2122">
        <f>G2122</f>
        <v/>
      </c>
      <c r="K2122">
        <f>I2122-G2122</f>
        <v/>
      </c>
      <c r="M2122" t="inlineStr">
        <is>
          <t>2400010051</t>
        </is>
      </c>
      <c r="N2122" t="inlineStr">
        <is>
          <t>11052300</t>
        </is>
      </c>
      <c r="O2122">
        <f>M2122=N2122</f>
        <v/>
      </c>
      <c r="P2122">
        <f>AND(MONTH(F2122)=MONTH(S2122), YEAR(F2122)=YEAR(S2122))</f>
        <v/>
      </c>
      <c r="Q2122">
        <f>"L001-902303751"=U2122</f>
        <v/>
      </c>
      <c r="R2122">
        <f>G2122-W2122</f>
        <v/>
      </c>
      <c r="S2122" s="36" t="n">
        <v>45643</v>
      </c>
      <c r="T2122" t="n">
        <v>110523</v>
      </c>
      <c r="U2122" t="inlineStr">
        <is>
          <t>K002-901800477</t>
        </is>
      </c>
      <c r="V2122" t="inlineStr">
        <is>
          <t>អាយធីអាយ អ៊ិនធើណេសិនណល ត្រេនស័្ពរថេសិន (ខេមបូឌា) ឯ.ក</t>
        </is>
      </c>
      <c r="W2122" t="n">
        <v>110523</v>
      </c>
      <c r="X2122" t="n">
        <v>0</v>
      </c>
    </row>
    <row r="2123">
      <c r="A2123" t="n">
        <v>2122</v>
      </c>
      <c r="B2123" t="inlineStr">
        <is>
          <t>Documentation Origin, Handling Charges, Entry Summary Declaration, Terminal Handling Charge Origin, Seal Surcharge and VGM Processing Fee</t>
        </is>
      </c>
      <c r="C2123" t="inlineStr">
        <is>
          <t>ឌីប៊ី សេនឃើរ (ខេមបូឌា) លីមីធីត</t>
        </is>
      </c>
      <c r="D2123" t="inlineStr">
        <is>
          <t>L001-107041723</t>
        </is>
      </c>
      <c r="E2123" t="inlineStr">
        <is>
          <t>2400009802</t>
        </is>
      </c>
      <c r="F2123" t="inlineStr">
        <is>
          <t>16-12-2024</t>
        </is>
      </c>
      <c r="G2123" t="n">
        <v>194922</v>
      </c>
      <c r="I2123">
        <f>G2123</f>
        <v/>
      </c>
      <c r="K2123">
        <f>I2123-G2123</f>
        <v/>
      </c>
      <c r="M2123" t="inlineStr">
        <is>
          <t>2400009802</t>
        </is>
      </c>
      <c r="N2123" t="inlineStr"/>
      <c r="O2123">
        <f>M2123=N2123</f>
        <v/>
      </c>
      <c r="P2123">
        <f>AND(MONTH(F2123)=MONTH(S2123), YEAR(F2123)=YEAR(S2123))</f>
        <v/>
      </c>
      <c r="Q2123">
        <f>"L001-902303751"=U2123</f>
        <v/>
      </c>
      <c r="R2123">
        <f>G2123-W2123</f>
        <v/>
      </c>
      <c r="S2123" s="36" t="n">
        <v>45645</v>
      </c>
      <c r="T2123" t="inlineStr"/>
      <c r="U2123" t="inlineStr">
        <is>
          <t>L001-107000385</t>
        </is>
      </c>
      <c r="V2123" t="inlineStr">
        <is>
          <t>អិចស្ពោលាំងកា ហ្រ្វេត (ខេមបូឌា) លីមីធីត</t>
        </is>
      </c>
      <c r="W2123" t="n">
        <v>0</v>
      </c>
      <c r="X2123" t="n">
        <v>0</v>
      </c>
    </row>
    <row r="2124">
      <c r="A2124" t="n">
        <v>2123</v>
      </c>
      <c r="B2124" t="inlineStr">
        <is>
          <t>Documentation Origin, Handling Charges, Entry Summary Declaration, Terminal Handling Charge Origin, Seal Surcharge and VGM Processing Fee</t>
        </is>
      </c>
      <c r="C2124" t="inlineStr">
        <is>
          <t>ឌីប៊ី សេនឃើរ (ខេមបូឌា) លីមីធីត</t>
        </is>
      </c>
      <c r="D2124" t="inlineStr">
        <is>
          <t>L001-107041723</t>
        </is>
      </c>
      <c r="E2124" t="inlineStr">
        <is>
          <t>2400009803</t>
        </is>
      </c>
      <c r="F2124" t="inlineStr">
        <is>
          <t>16-12-2024</t>
        </is>
      </c>
      <c r="G2124" t="n">
        <v>142675</v>
      </c>
      <c r="I2124">
        <f>G2124</f>
        <v/>
      </c>
      <c r="K2124">
        <f>I2124-G2124</f>
        <v/>
      </c>
      <c r="M2124" t="inlineStr">
        <is>
          <t>2400009803</t>
        </is>
      </c>
      <c r="N2124" t="inlineStr">
        <is>
          <t>8241000</t>
        </is>
      </c>
      <c r="O2124">
        <f>M2124=N2124</f>
        <v/>
      </c>
      <c r="P2124">
        <f>AND(MONTH(F2124)=MONTH(S2124), YEAR(F2124)=YEAR(S2124))</f>
        <v/>
      </c>
      <c r="Q2124">
        <f>"L001-902303751"=U2124</f>
        <v/>
      </c>
      <c r="R2124">
        <f>G2124-W2124</f>
        <v/>
      </c>
      <c r="S2124" s="36" t="n">
        <v>45649</v>
      </c>
      <c r="T2124" t="n">
        <v>82410</v>
      </c>
      <c r="U2124" t="inlineStr">
        <is>
          <t>L001-107032791</t>
        </is>
      </c>
      <c r="V2124" t="inlineStr">
        <is>
          <t>នីបផន អិចប្រេស (ខេមបូឌា) ខូ អិលធីឌី</t>
        </is>
      </c>
      <c r="W2124" t="n">
        <v>82410</v>
      </c>
      <c r="X2124" t="n">
        <v>0</v>
      </c>
    </row>
    <row r="2125">
      <c r="A2125" t="n">
        <v>2124</v>
      </c>
      <c r="B2125" t="inlineStr">
        <is>
          <t>Documentation Origin, Handling Charges, PLACI Fee and HAWB Transmission Fee</t>
        </is>
      </c>
      <c r="C2125" t="inlineStr">
        <is>
          <t>ឌីប៊ី សេនឃើរ (ខេមបូឌា) លីមីធីត</t>
        </is>
      </c>
      <c r="D2125" t="inlineStr">
        <is>
          <t>L001-107041723</t>
        </is>
      </c>
      <c r="E2125" t="inlineStr">
        <is>
          <t>2400009974</t>
        </is>
      </c>
      <c r="F2125" t="inlineStr">
        <is>
          <t>20-12-2024</t>
        </is>
      </c>
      <c r="G2125" t="n">
        <v>49434</v>
      </c>
      <c r="I2125">
        <f>G2125</f>
        <v/>
      </c>
      <c r="K2125">
        <f>I2125-G2125</f>
        <v/>
      </c>
      <c r="M2125" t="inlineStr">
        <is>
          <t>2400009974</t>
        </is>
      </c>
      <c r="N2125" t="inlineStr">
        <is>
          <t>8482200</t>
        </is>
      </c>
      <c r="O2125">
        <f>M2125=N2125</f>
        <v/>
      </c>
      <c r="P2125">
        <f>AND(MONTH(F2125)=MONTH(S2125), YEAR(F2125)=YEAR(S2125))</f>
        <v/>
      </c>
      <c r="Q2125">
        <f>"L001-902303751"=U2125</f>
        <v/>
      </c>
      <c r="R2125">
        <f>G2125-W2125</f>
        <v/>
      </c>
      <c r="S2125" s="36" t="n">
        <v>45649</v>
      </c>
      <c r="T2125" t="n">
        <v>84822</v>
      </c>
      <c r="U2125" t="inlineStr">
        <is>
          <t>L001-100045340</t>
        </is>
      </c>
      <c r="V2125" t="inlineStr">
        <is>
          <t xml:space="preserve">ស៊ីវ៉ា អ៊ែរ អ៊ែន អូសៀន (ខេមបូឌា) ឯ.ក </t>
        </is>
      </c>
      <c r="W2125" t="n">
        <v>84822</v>
      </c>
      <c r="X2125" t="n">
        <v>0</v>
      </c>
    </row>
    <row r="2126">
      <c r="A2126" t="n">
        <v>2125</v>
      </c>
      <c r="B2126" t="inlineStr">
        <is>
          <t>Documentation Origin, Handling Charges Origin, Airfreight, PLACI Fee and HAWB Transmission Fee</t>
        </is>
      </c>
      <c r="C2126" t="inlineStr">
        <is>
          <t>ឌីប៊ី សេនឃើរ (ខេមបូឌា) លីមីធីត</t>
        </is>
      </c>
      <c r="D2126" t="inlineStr">
        <is>
          <t>L001-107041723</t>
        </is>
      </c>
      <c r="E2126" t="inlineStr">
        <is>
          <t>2400009685</t>
        </is>
      </c>
      <c r="F2126" t="inlineStr">
        <is>
          <t>10-12-2024</t>
        </is>
      </c>
      <c r="G2126" t="n">
        <v>444108</v>
      </c>
      <c r="I2126">
        <f>G2126</f>
        <v/>
      </c>
      <c r="K2126">
        <f>I2126-G2126</f>
        <v/>
      </c>
      <c r="M2126" t="inlineStr">
        <is>
          <t>2400009685</t>
        </is>
      </c>
      <c r="N2126" t="inlineStr"/>
      <c r="O2126">
        <f>M2126=N2126</f>
        <v/>
      </c>
      <c r="P2126">
        <f>AND(MONTH(F2126)=MONTH(S2126), YEAR(F2126)=YEAR(S2126))</f>
        <v/>
      </c>
      <c r="Q2126">
        <f>"L001-902303751"=U2126</f>
        <v/>
      </c>
      <c r="R2126">
        <f>G2126-W2126</f>
        <v/>
      </c>
      <c r="S2126" s="36" t="n">
        <v>45636</v>
      </c>
      <c r="T2126" t="inlineStr"/>
      <c r="U2126" t="inlineStr">
        <is>
          <t>K005-901805913</t>
        </is>
      </c>
      <c r="V2126" t="inlineStr">
        <is>
          <t>ស្តារ ខង់ខដ (ខេមបូឌា) ឯ.ក</t>
        </is>
      </c>
      <c r="W2126" t="n">
        <v>0</v>
      </c>
      <c r="X2126" t="n">
        <v>0</v>
      </c>
    </row>
    <row r="2127">
      <c r="A2127" t="n">
        <v>2126</v>
      </c>
      <c r="B2127" t="inlineStr">
        <is>
          <t>VGM Processing Fee, Late SI/VGM, Seal Surcharge, Handling Chargies Origin, Terminal Handling Charge Origin, Documentation Origin and Entry Summary Declaration</t>
        </is>
      </c>
      <c r="C2127" t="inlineStr">
        <is>
          <t>ឌីប៊ី សេនឃើរ (ខេមបូឌា) លីមីធីត</t>
        </is>
      </c>
      <c r="D2127" t="inlineStr">
        <is>
          <t>L001-107041723</t>
        </is>
      </c>
      <c r="E2127" t="inlineStr">
        <is>
          <t>2400009665</t>
        </is>
      </c>
      <c r="F2127" t="inlineStr">
        <is>
          <t>09-12-2024</t>
        </is>
      </c>
      <c r="G2127" t="n">
        <v>195310</v>
      </c>
      <c r="I2127">
        <f>G2127</f>
        <v/>
      </c>
      <c r="K2127">
        <f>I2127-G2127</f>
        <v/>
      </c>
      <c r="M2127" t="inlineStr">
        <is>
          <t>2400009665</t>
        </is>
      </c>
      <c r="N2127" t="inlineStr">
        <is>
          <t>9861300</t>
        </is>
      </c>
      <c r="O2127">
        <f>M2127=N2127</f>
        <v/>
      </c>
      <c r="P2127">
        <f>AND(MONTH(F2127)=MONTH(S2127), YEAR(F2127)=YEAR(S2127))</f>
        <v/>
      </c>
      <c r="Q2127">
        <f>"L001-902303751"=U2127</f>
        <v/>
      </c>
      <c r="R2127">
        <f>G2127-W2127</f>
        <v/>
      </c>
      <c r="S2127" s="36" t="n">
        <v>45636</v>
      </c>
      <c r="T2127" t="n">
        <v>98613</v>
      </c>
      <c r="U2127" t="inlineStr">
        <is>
          <t>L001-107032791</t>
        </is>
      </c>
      <c r="V2127" t="inlineStr">
        <is>
          <t>នីបផន អិចប្រេស (ខេមបូឌា) ខូ អិលធីឌី</t>
        </is>
      </c>
      <c r="W2127" t="n">
        <v>98613</v>
      </c>
      <c r="X2127" t="n">
        <v>0</v>
      </c>
    </row>
    <row r="2128">
      <c r="A2128" t="n">
        <v>2127</v>
      </c>
      <c r="B2128" t="inlineStr">
        <is>
          <t>Docmentation Origin, Handling Charges Origin, Entry Summary Declaration, Terminal Handling Charge Origin, Seal Surcharge and VGM Processing Fee</t>
        </is>
      </c>
      <c r="C2128" t="inlineStr">
        <is>
          <t>ឌីប៊ី សេនឃើរ (ខេមបូឌា) លីមីធីត</t>
        </is>
      </c>
      <c r="D2128" t="inlineStr">
        <is>
          <t>L001-107041723</t>
        </is>
      </c>
      <c r="E2128" t="inlineStr">
        <is>
          <t>2400010103</t>
        </is>
      </c>
      <c r="F2128" t="inlineStr">
        <is>
          <t>26-12-2024</t>
        </is>
      </c>
      <c r="G2128" t="n">
        <v>142639</v>
      </c>
      <c r="I2128">
        <f>G2128</f>
        <v/>
      </c>
      <c r="K2128">
        <f>I2128-G2128</f>
        <v/>
      </c>
      <c r="M2128" t="inlineStr">
        <is>
          <t>2400010103</t>
        </is>
      </c>
      <c r="N2128" t="inlineStr">
        <is>
          <t>8259500</t>
        </is>
      </c>
      <c r="O2128">
        <f>M2128=N2128</f>
        <v/>
      </c>
      <c r="P2128">
        <f>AND(MONTH(F2128)=MONTH(S2128), YEAR(F2128)=YEAR(S2128))</f>
        <v/>
      </c>
      <c r="Q2128">
        <f>"L001-902303751"=U2128</f>
        <v/>
      </c>
      <c r="R2128">
        <f>G2128-W2128</f>
        <v/>
      </c>
      <c r="S2128" s="36" t="n">
        <v>45628</v>
      </c>
      <c r="T2128" t="n">
        <v>82595</v>
      </c>
      <c r="U2128" t="inlineStr">
        <is>
          <t>L001-107041723</t>
        </is>
      </c>
      <c r="V2128" t="inlineStr">
        <is>
          <t>ឌីប៊ី សេនឃើរ (ខេមបូឌា) លីមីធីត</t>
        </is>
      </c>
      <c r="W2128" t="n">
        <v>82595</v>
      </c>
      <c r="X2128" t="n">
        <v>0</v>
      </c>
    </row>
    <row r="2129">
      <c r="A2129" t="n">
        <v>2128</v>
      </c>
      <c r="B2129" t="inlineStr">
        <is>
          <t>Seal Surcharge, Terminal Handling Charge Origin, Documentation Origin, Handling Charges Origin, Entry Summary Declaration and VGM Processing Fee</t>
        </is>
      </c>
      <c r="C2129" t="inlineStr">
        <is>
          <t>ឌីប៊ី សេនឃើរ (ខេមបូឌា) លីមីធីត</t>
        </is>
      </c>
      <c r="D2129" t="inlineStr">
        <is>
          <t>L001-107041723</t>
        </is>
      </c>
      <c r="E2129" t="inlineStr">
        <is>
          <t>2400009403</t>
        </is>
      </c>
      <c r="F2129" t="inlineStr">
        <is>
          <t>28-12-2024</t>
        </is>
      </c>
      <c r="G2129" t="n">
        <v>143065</v>
      </c>
      <c r="I2129">
        <f>G2129</f>
        <v/>
      </c>
      <c r="K2129">
        <f>I2129-G2129</f>
        <v/>
      </c>
      <c r="M2129" t="inlineStr">
        <is>
          <t>2400009403</t>
        </is>
      </c>
      <c r="N2129" t="inlineStr"/>
      <c r="O2129">
        <f>M2129=N2129</f>
        <v/>
      </c>
      <c r="P2129">
        <f>AND(MONTH(F2129)=MONTH(S2129), YEAR(F2129)=YEAR(S2129))</f>
        <v/>
      </c>
      <c r="Q2129">
        <f>"L001-902303751"=U2129</f>
        <v/>
      </c>
      <c r="R2129">
        <f>G2129-W2129</f>
        <v/>
      </c>
      <c r="S2129" s="36" t="n">
        <v>45649</v>
      </c>
      <c r="T2129" t="inlineStr"/>
      <c r="U2129" t="inlineStr">
        <is>
          <t>L001-107032791</t>
        </is>
      </c>
      <c r="V2129" t="inlineStr">
        <is>
          <t>នីបផន អិចប្រេស (ខេមបូឌា) ខូ អិលធីឌី</t>
        </is>
      </c>
      <c r="W2129" t="n">
        <v>0</v>
      </c>
      <c r="X2129" t="n">
        <v>0</v>
      </c>
    </row>
    <row r="2130">
      <c r="A2130" t="n">
        <v>2129</v>
      </c>
      <c r="B2130" t="inlineStr">
        <is>
          <t>Docmentation Origin, Handling Charges Origin, PLACI fee and HAWB Transmission Fee</t>
        </is>
      </c>
      <c r="C2130" t="inlineStr">
        <is>
          <t>ឌីប៊ី សេនឃើរ (ខេមបូឌា) លីមីធីត</t>
        </is>
      </c>
      <c r="D2130" t="inlineStr">
        <is>
          <t>L001-107041723</t>
        </is>
      </c>
      <c r="E2130" t="inlineStr">
        <is>
          <t>2400009787</t>
        </is>
      </c>
      <c r="F2130" t="inlineStr">
        <is>
          <t>14-12-2024</t>
        </is>
      </c>
      <c r="G2130" t="n">
        <v>69563</v>
      </c>
      <c r="I2130">
        <f>G2130</f>
        <v/>
      </c>
      <c r="K2130">
        <f>I2130-G2130</f>
        <v/>
      </c>
      <c r="M2130" t="inlineStr">
        <is>
          <t>2400009787</t>
        </is>
      </c>
      <c r="N2130" t="inlineStr"/>
      <c r="O2130">
        <f>M2130=N2130</f>
        <v/>
      </c>
      <c r="P2130">
        <f>AND(MONTH(F2130)=MONTH(S2130), YEAR(F2130)=YEAR(S2130))</f>
        <v/>
      </c>
      <c r="Q2130">
        <f>"L001-902303751"=U2130</f>
        <v/>
      </c>
      <c r="R2130">
        <f>G2130-W2130</f>
        <v/>
      </c>
      <c r="S2130" s="36" t="n">
        <v>45636</v>
      </c>
      <c r="T2130" t="inlineStr"/>
      <c r="U2130" t="inlineStr">
        <is>
          <t>L001-107032791</t>
        </is>
      </c>
      <c r="V2130" t="inlineStr">
        <is>
          <t>នីបផន អិចប្រេស (ខេមបូឌា) ខូ អិលធីឌី</t>
        </is>
      </c>
      <c r="W2130" t="n">
        <v>0</v>
      </c>
      <c r="X2130" t="n">
        <v>0</v>
      </c>
    </row>
    <row r="2131">
      <c r="A2131" t="n">
        <v>2130</v>
      </c>
      <c r="B2131" t="inlineStr">
        <is>
          <t>Send Materials</t>
        </is>
      </c>
      <c r="C2131" t="inlineStr">
        <is>
          <t>ឌី អេច អិល អិចប្រេស (ខេមបូឌា)</t>
        </is>
      </c>
      <c r="D2131" t="inlineStr">
        <is>
          <t>L001-100045197</t>
        </is>
      </c>
      <c r="E2131" t="inlineStr">
        <is>
          <t>PNHIR00262877</t>
        </is>
      </c>
      <c r="F2131" t="inlineStr">
        <is>
          <t>23-12-2024</t>
        </is>
      </c>
      <c r="G2131" t="n">
        <v>8040</v>
      </c>
      <c r="I2131">
        <f>G2131</f>
        <v/>
      </c>
      <c r="K2131">
        <f>I2131-G2131</f>
        <v/>
      </c>
      <c r="M2131" t="inlineStr">
        <is>
          <t>PNHIR00262877</t>
        </is>
      </c>
      <c r="N2131" t="inlineStr">
        <is>
          <t>11052300</t>
        </is>
      </c>
      <c r="O2131">
        <f>M2131=N2131</f>
        <v/>
      </c>
      <c r="P2131">
        <f>AND(MONTH(F2131)=MONTH(S2131), YEAR(F2131)=YEAR(S2131))</f>
        <v/>
      </c>
      <c r="Q2131">
        <f>"L001-902303751"=U2131</f>
        <v/>
      </c>
      <c r="R2131">
        <f>G2131-W2131</f>
        <v/>
      </c>
      <c r="S2131" s="36" t="n">
        <v>45642</v>
      </c>
      <c r="T2131" t="n">
        <v>110523</v>
      </c>
      <c r="U2131" t="inlineStr">
        <is>
          <t>L001-107032791</t>
        </is>
      </c>
      <c r="V2131" t="inlineStr">
        <is>
          <t>នីបផន អិចប្រេស (ខេមបូឌា) ខូ អិលធីឌី</t>
        </is>
      </c>
      <c r="W2131" t="n">
        <v>110523</v>
      </c>
      <c r="X2131" t="n">
        <v>0</v>
      </c>
    </row>
    <row r="2132">
      <c r="A2132" t="n">
        <v>2131</v>
      </c>
      <c r="B2132" t="inlineStr">
        <is>
          <t>Send Materials</t>
        </is>
      </c>
      <c r="C2132" t="inlineStr">
        <is>
          <t>ឌី អេច អិល អិចប្រេស (ខេមបូឌា)</t>
        </is>
      </c>
      <c r="D2132" t="inlineStr">
        <is>
          <t>L001-100045197</t>
        </is>
      </c>
      <c r="E2132" t="inlineStr">
        <is>
          <t>PNHIR00263401</t>
        </is>
      </c>
      <c r="F2132" t="inlineStr">
        <is>
          <t>25-12-2024</t>
        </is>
      </c>
      <c r="G2132" t="n">
        <v>8038</v>
      </c>
      <c r="I2132">
        <f>G2132</f>
        <v/>
      </c>
      <c r="K2132">
        <f>I2132-G2132</f>
        <v/>
      </c>
      <c r="M2132" t="inlineStr">
        <is>
          <t>PNHIR00263401</t>
        </is>
      </c>
      <c r="N2132" t="inlineStr">
        <is>
          <t>11321500</t>
        </is>
      </c>
      <c r="O2132">
        <f>M2132=N2132</f>
        <v/>
      </c>
      <c r="P2132">
        <f>AND(MONTH(F2132)=MONTH(S2132), YEAR(F2132)=YEAR(S2132))</f>
        <v/>
      </c>
      <c r="Q2132">
        <f>"L001-902303751"=U2132</f>
        <v/>
      </c>
      <c r="R2132">
        <f>G2132-W2132</f>
        <v/>
      </c>
      <c r="S2132" s="36" t="n">
        <v>45628</v>
      </c>
      <c r="T2132" t="n">
        <v>113215</v>
      </c>
      <c r="U2132" t="inlineStr">
        <is>
          <t>K005-901805913</t>
        </is>
      </c>
      <c r="V2132" t="inlineStr">
        <is>
          <t>ស្តារ ខង់ខដ (ខេមបូឌា) ឯ.ក</t>
        </is>
      </c>
      <c r="W2132" t="n">
        <v>113215</v>
      </c>
      <c r="X2132" t="n">
        <v>0</v>
      </c>
    </row>
    <row r="2133">
      <c r="A2133" t="n">
        <v>2132</v>
      </c>
      <c r="B2133" t="inlineStr">
        <is>
          <t>Send Materials</t>
        </is>
      </c>
      <c r="C2133" t="inlineStr">
        <is>
          <t>ឌី អេច អិល អិចប្រេស (ខេមបូឌា)</t>
        </is>
      </c>
      <c r="D2133" t="inlineStr">
        <is>
          <t>L001-100045197</t>
        </is>
      </c>
      <c r="E2133" t="inlineStr">
        <is>
          <t>PNHIR00264223</t>
        </is>
      </c>
      <c r="F2133" t="inlineStr">
        <is>
          <t>27-12-2024</t>
        </is>
      </c>
      <c r="G2133" t="n">
        <v>6031</v>
      </c>
      <c r="I2133">
        <f>G2133</f>
        <v/>
      </c>
      <c r="K2133">
        <f>I2133-G2133</f>
        <v/>
      </c>
      <c r="M2133" t="inlineStr">
        <is>
          <t>PNHIR00264223</t>
        </is>
      </c>
      <c r="N2133" t="inlineStr">
        <is>
          <t>1607600</t>
        </is>
      </c>
      <c r="O2133">
        <f>M2133=N2133</f>
        <v/>
      </c>
      <c r="P2133">
        <f>AND(MONTH(F2133)=MONTH(S2133), YEAR(F2133)=YEAR(S2133))</f>
        <v/>
      </c>
      <c r="Q2133">
        <f>"L001-902303751"=U2133</f>
        <v/>
      </c>
      <c r="R2133">
        <f>G2133-W2133</f>
        <v/>
      </c>
      <c r="S2133" s="36" t="n">
        <v>45651</v>
      </c>
      <c r="T2133" t="n">
        <v>16076</v>
      </c>
      <c r="U2133" t="inlineStr">
        <is>
          <t>L001-100045340</t>
        </is>
      </c>
      <c r="V2133" t="inlineStr">
        <is>
          <t xml:space="preserve">ស៊ីវ៉ា អ៊ែរ អ៊ែន អូសៀន (ខេមបូឌា) ឯ.ក </t>
        </is>
      </c>
      <c r="W2133" t="n">
        <v>16076</v>
      </c>
      <c r="X2133" t="n">
        <v>0</v>
      </c>
    </row>
    <row r="2134">
      <c r="A2134" t="n">
        <v>2133</v>
      </c>
      <c r="B2134" t="inlineStr">
        <is>
          <t>Terminal Handling Charge, EMF, 3 Party Trucking, Container Imbalance Charge, D/O Fee, Document Fee and Handling Charge</t>
        </is>
      </c>
      <c r="C2134" t="inlineStr">
        <is>
          <t>ខេអិលអិន ហ្វ្រេត (ខេមបូឌា) ឯ.ក</t>
        </is>
      </c>
      <c r="D2134" t="inlineStr">
        <is>
          <t>L001-100074669</t>
        </is>
      </c>
      <c r="E2134" t="inlineStr">
        <is>
          <t>IVO18939</t>
        </is>
      </c>
      <c r="F2134" t="inlineStr">
        <is>
          <t>02-12-2024</t>
        </is>
      </c>
      <c r="G2134" t="n">
        <v>111052</v>
      </c>
      <c r="I2134">
        <f>G2134</f>
        <v/>
      </c>
      <c r="K2134">
        <f>I2134-G2134</f>
        <v/>
      </c>
      <c r="M2134" t="inlineStr">
        <is>
          <t>IVO18939</t>
        </is>
      </c>
      <c r="N2134" t="inlineStr"/>
      <c r="O2134">
        <f>M2134=N2134</f>
        <v/>
      </c>
      <c r="P2134">
        <f>AND(MONTH(F2134)=MONTH(S2134), YEAR(F2134)=YEAR(S2134))</f>
        <v/>
      </c>
      <c r="Q2134">
        <f>"L001-902303751"=U2134</f>
        <v/>
      </c>
      <c r="R2134">
        <f>G2134-W2134</f>
        <v/>
      </c>
      <c r="S2134" s="36" t="n">
        <v>45656</v>
      </c>
      <c r="T2134" t="inlineStr"/>
      <c r="U2134" t="inlineStr">
        <is>
          <t>L001-107032791</t>
        </is>
      </c>
      <c r="V2134" t="inlineStr">
        <is>
          <t>នីបផន អិចប្រេស (ខេមបូឌា) ខូ អិលធីឌី</t>
        </is>
      </c>
      <c r="W2134" t="n">
        <v>0</v>
      </c>
      <c r="X2134" t="n">
        <v>0</v>
      </c>
    </row>
    <row r="2135">
      <c r="A2135" t="n">
        <v>2134</v>
      </c>
      <c r="B2135" t="inlineStr">
        <is>
          <t>Customs Clearance Fee</t>
        </is>
      </c>
      <c r="C2135" t="inlineStr">
        <is>
          <t>ត្រាយអ៊ែងហ្គល ឡូជីស្ទីក (ខេមបូឌា) ឯ.ក</t>
        </is>
      </c>
      <c r="D2135" t="inlineStr">
        <is>
          <t>K010-902101743</t>
        </is>
      </c>
      <c r="E2135" t="inlineStr">
        <is>
          <t>TAG-24-00906</t>
        </is>
      </c>
      <c r="F2135" t="inlineStr">
        <is>
          <t>16-12-2024</t>
        </is>
      </c>
      <c r="G2135" t="n">
        <v>8038</v>
      </c>
      <c r="I2135">
        <f>G2135</f>
        <v/>
      </c>
      <c r="K2135">
        <f>I2135-G2135</f>
        <v/>
      </c>
      <c r="M2135" t="inlineStr">
        <is>
          <t>TAG2400906</t>
        </is>
      </c>
      <c r="N2135" t="inlineStr"/>
      <c r="O2135">
        <f>M2135=N2135</f>
        <v/>
      </c>
      <c r="P2135">
        <f>AND(MONTH(F2135)=MONTH(S2135), YEAR(F2135)=YEAR(S2135))</f>
        <v/>
      </c>
      <c r="Q2135">
        <f>"L001-902303751"=U2135</f>
        <v/>
      </c>
      <c r="R2135">
        <f>G2135-W2135</f>
        <v/>
      </c>
      <c r="S2135" s="36" t="n">
        <v>45656</v>
      </c>
      <c r="T2135" t="inlineStr"/>
      <c r="U2135" t="inlineStr">
        <is>
          <t>L001-107032791</t>
        </is>
      </c>
      <c r="V2135" t="inlineStr">
        <is>
          <t>នីបផន អិចប្រេស (ខេមបូឌា) ខូ អិលធីឌី</t>
        </is>
      </c>
      <c r="W2135" t="n">
        <v>0</v>
      </c>
      <c r="X2135" t="n">
        <v>0</v>
      </c>
    </row>
    <row r="2136">
      <c r="A2136" t="n">
        <v>2135</v>
      </c>
      <c r="B2136" t="inlineStr">
        <is>
          <t>Terminal Handling Charge, Container Freight Station, Scanning Fee, Delivery Order Fee, Document Fee, Agency Fee, Co-Loader Fee and Container Imbalance Charge</t>
        </is>
      </c>
      <c r="C2136" t="inlineStr">
        <is>
          <t>ផេនដា គ្លូប៊ល ឡូជីស្ទីក (ខេមបូឌា)</t>
        </is>
      </c>
      <c r="D2136" t="inlineStr">
        <is>
          <t>K005-901501155</t>
        </is>
      </c>
      <c r="E2136" t="inlineStr">
        <is>
          <t>PD240485</t>
        </is>
      </c>
      <c r="F2136" t="inlineStr">
        <is>
          <t>03-12-2024</t>
        </is>
      </c>
      <c r="G2136" t="n">
        <v>114611</v>
      </c>
      <c r="I2136">
        <f>G2136</f>
        <v/>
      </c>
      <c r="K2136">
        <f>I2136-G2136</f>
        <v/>
      </c>
      <c r="M2136" t="inlineStr">
        <is>
          <t>PD240485</t>
        </is>
      </c>
      <c r="N2136" t="inlineStr">
        <is>
          <t>11052300</t>
        </is>
      </c>
      <c r="O2136">
        <f>M2136=N2136</f>
        <v/>
      </c>
      <c r="P2136">
        <f>AND(MONTH(F2136)=MONTH(S2136), YEAR(F2136)=YEAR(S2136))</f>
        <v/>
      </c>
      <c r="Q2136">
        <f>"L001-902303751"=U2136</f>
        <v/>
      </c>
      <c r="R2136">
        <f>G2136-W2136</f>
        <v/>
      </c>
      <c r="S2136" s="36" t="n">
        <v>45642</v>
      </c>
      <c r="T2136" t="n">
        <v>110523</v>
      </c>
      <c r="U2136" t="inlineStr">
        <is>
          <t>L001-107041723</t>
        </is>
      </c>
      <c r="V2136" t="inlineStr">
        <is>
          <t>ឌីប៊ី សេនឃើរ (ខេមបូឌា) លីមីធីត</t>
        </is>
      </c>
      <c r="W2136" t="n">
        <v>110523</v>
      </c>
      <c r="X2136" t="n">
        <v>0</v>
      </c>
    </row>
    <row r="2137">
      <c r="A2137" t="n">
        <v>2136</v>
      </c>
      <c r="B2137" t="inlineStr">
        <is>
          <t>Charge from Warehouse/cy to trucks and Storage Charges</t>
        </is>
      </c>
      <c r="C2137" t="inlineStr">
        <is>
          <t>កំពង់ផែស្វយ័តក្រុងព្រះសីហនុ</t>
        </is>
      </c>
      <c r="D2137" t="inlineStr">
        <is>
          <t>L001-100044638</t>
        </is>
      </c>
      <c r="E2137" t="inlineStr">
        <is>
          <t>258934</t>
        </is>
      </c>
      <c r="F2137" t="inlineStr">
        <is>
          <t>11-12-2024</t>
        </is>
      </c>
      <c r="G2137" t="n">
        <v>1393</v>
      </c>
      <c r="I2137">
        <f>G2137</f>
        <v/>
      </c>
      <c r="K2137">
        <f>I2137-G2137</f>
        <v/>
      </c>
      <c r="M2137" t="inlineStr">
        <is>
          <t>258934</t>
        </is>
      </c>
      <c r="N2137" t="inlineStr">
        <is>
          <t>11079800</t>
        </is>
      </c>
      <c r="O2137">
        <f>M2137=N2137</f>
        <v/>
      </c>
      <c r="P2137">
        <f>AND(MONTH(F2137)=MONTH(S2137), YEAR(F2137)=YEAR(S2137))</f>
        <v/>
      </c>
      <c r="Q2137">
        <f>"L001-902303751"=U2137</f>
        <v/>
      </c>
      <c r="R2137">
        <f>G2137-W2137</f>
        <v/>
      </c>
      <c r="S2137" s="36" t="n">
        <v>45628</v>
      </c>
      <c r="T2137" t="n">
        <v>110798</v>
      </c>
      <c r="U2137" t="inlineStr">
        <is>
          <t>L001-107032791</t>
        </is>
      </c>
      <c r="V2137" t="inlineStr">
        <is>
          <t>នីបផន អិចប្រេស (ខេមបូឌា) ខូ អិលធីឌី</t>
        </is>
      </c>
      <c r="W2137" t="n">
        <v>110798</v>
      </c>
      <c r="X2137" t="n">
        <v>0</v>
      </c>
    </row>
    <row r="2138">
      <c r="A2138" t="n">
        <v>2137</v>
      </c>
      <c r="B2138" t="inlineStr">
        <is>
          <t>Customs Clearance Fee and Trucking Fee</t>
        </is>
      </c>
      <c r="C2138" t="inlineStr">
        <is>
          <t>ត្រាយអ៊ែងហ្គល ឡូជីស្ទីក (ខេមបូឌា) ឯ.ក</t>
        </is>
      </c>
      <c r="D2138" t="inlineStr">
        <is>
          <t>K010-902101743</t>
        </is>
      </c>
      <c r="E2138" t="inlineStr">
        <is>
          <t>TAG-24-00933</t>
        </is>
      </c>
      <c r="F2138" t="inlineStr">
        <is>
          <t>24-12-2024</t>
        </is>
      </c>
      <c r="G2138" t="n">
        <v>32152</v>
      </c>
      <c r="I2138">
        <f>G2138</f>
        <v/>
      </c>
      <c r="K2138">
        <f>I2138-G2138</f>
        <v/>
      </c>
      <c r="M2138" t="inlineStr">
        <is>
          <t>TAG2400933</t>
        </is>
      </c>
      <c r="N2138" t="inlineStr">
        <is>
          <t>1607600</t>
        </is>
      </c>
      <c r="O2138">
        <f>M2138=N2138</f>
        <v/>
      </c>
      <c r="P2138">
        <f>AND(MONTH(F2138)=MONTH(S2138), YEAR(F2138)=YEAR(S2138))</f>
        <v/>
      </c>
      <c r="Q2138">
        <f>"L001-902303751"=U2138</f>
        <v/>
      </c>
      <c r="R2138">
        <f>G2138-W2138</f>
        <v/>
      </c>
      <c r="S2138" s="36" t="n">
        <v>45651</v>
      </c>
      <c r="T2138" t="n">
        <v>16076</v>
      </c>
      <c r="U2138" t="inlineStr">
        <is>
          <t>L001-100045340</t>
        </is>
      </c>
      <c r="V2138" t="inlineStr">
        <is>
          <t xml:space="preserve">ស៊ីវ៉ា អ៊ែរ អ៊ែន អូសៀន (ខេមបូឌា) ឯ.ក </t>
        </is>
      </c>
      <c r="W2138" t="n">
        <v>16076</v>
      </c>
      <c r="X2138" t="n">
        <v>0</v>
      </c>
    </row>
    <row r="2139">
      <c r="A2139" t="n">
        <v>2138</v>
      </c>
      <c r="B2139" t="inlineStr">
        <is>
          <t>Send Doc</t>
        </is>
      </c>
      <c r="C2139" t="inlineStr">
        <is>
          <t>ឌី អេច អិល អិចប្រេស (ខេមបូឌា)</t>
        </is>
      </c>
      <c r="D2139" t="inlineStr">
        <is>
          <t>L001-100045197</t>
        </is>
      </c>
      <c r="E2139" t="inlineStr">
        <is>
          <t>PNHIR00264760</t>
        </is>
      </c>
      <c r="F2139" t="inlineStr">
        <is>
          <t>31-12-2024</t>
        </is>
      </c>
      <c r="G2139" t="n">
        <v>27354</v>
      </c>
      <c r="I2139">
        <f>G2139</f>
        <v/>
      </c>
      <c r="K2139">
        <f>I2139-G2139</f>
        <v/>
      </c>
      <c r="M2139" t="inlineStr">
        <is>
          <t>PNHIR00264760</t>
        </is>
      </c>
      <c r="N2139" t="inlineStr">
        <is>
          <t>8249200</t>
        </is>
      </c>
      <c r="O2139">
        <f>M2139=N2139</f>
        <v/>
      </c>
      <c r="P2139">
        <f>AND(MONTH(F2139)=MONTH(S2139), YEAR(F2139)=YEAR(S2139))</f>
        <v/>
      </c>
      <c r="Q2139">
        <f>"L001-902303751"=U2139</f>
        <v/>
      </c>
      <c r="R2139">
        <f>G2139-W2139</f>
        <v/>
      </c>
      <c r="S2139" s="36" t="n">
        <v>45656</v>
      </c>
      <c r="T2139" t="n">
        <v>82492</v>
      </c>
      <c r="U2139" t="inlineStr">
        <is>
          <t>L001-107041723</t>
        </is>
      </c>
      <c r="V2139" t="inlineStr">
        <is>
          <t>ឌីប៊ី សេនឃើរ (ខេមបូឌា) លីមីធីត</t>
        </is>
      </c>
      <c r="W2139" t="n">
        <v>82492</v>
      </c>
      <c r="X2139" t="n">
        <v>0</v>
      </c>
    </row>
    <row r="2140">
      <c r="A2140" t="n">
        <v>2139</v>
      </c>
      <c r="B2140" t="inlineStr">
        <is>
          <t>Customs Clearance Fee and Trucking Fee</t>
        </is>
      </c>
      <c r="C2140" t="inlineStr">
        <is>
          <t>ត្រាយអ៊ែងហ្គល ឡូជីស្ទីក (ខេមបូឌា) ឯ.ក</t>
        </is>
      </c>
      <c r="D2140" t="inlineStr">
        <is>
          <t>K010-902101743</t>
        </is>
      </c>
      <c r="E2140" t="inlineStr">
        <is>
          <t>TAG-24-00928</t>
        </is>
      </c>
      <c r="F2140" t="inlineStr">
        <is>
          <t>24-12-2024</t>
        </is>
      </c>
      <c r="G2140" t="n">
        <v>108513</v>
      </c>
      <c r="I2140">
        <f>G2140</f>
        <v/>
      </c>
      <c r="K2140">
        <f>I2140-G2140</f>
        <v/>
      </c>
      <c r="M2140" t="inlineStr">
        <is>
          <t>TAG2400928</t>
        </is>
      </c>
      <c r="N2140" t="inlineStr"/>
      <c r="O2140">
        <f>M2140=N2140</f>
        <v/>
      </c>
      <c r="P2140">
        <f>AND(MONTH(F2140)=MONTH(S2140), YEAR(F2140)=YEAR(S2140))</f>
        <v/>
      </c>
      <c r="Q2140">
        <f>"L001-902303751"=U2140</f>
        <v/>
      </c>
      <c r="R2140">
        <f>G2140-W2140</f>
        <v/>
      </c>
      <c r="S2140" s="36" t="n">
        <v>45656</v>
      </c>
      <c r="T2140" t="inlineStr"/>
      <c r="U2140" t="inlineStr">
        <is>
          <t>L001-100182259</t>
        </is>
      </c>
      <c r="V2140" t="inlineStr">
        <is>
          <t>សាខាក្រុមហ៊ុន ប៊ី ឡូជីស្ទីក ខបភើរេសិន (ខេមបូឌា)</t>
        </is>
      </c>
      <c r="W2140" t="n">
        <v>0</v>
      </c>
      <c r="X2140" t="n">
        <v>0</v>
      </c>
    </row>
    <row r="2141">
      <c r="A2141" t="n">
        <v>2140</v>
      </c>
      <c r="B2141" t="inlineStr">
        <is>
          <t>Send Materials</t>
        </is>
      </c>
      <c r="C2141" t="inlineStr">
        <is>
          <t>ឌី អេច អិល អិចប្រេស (ខេមបូឌា)</t>
        </is>
      </c>
      <c r="D2141" t="inlineStr">
        <is>
          <t>L001-100045197</t>
        </is>
      </c>
      <c r="E2141" t="inlineStr">
        <is>
          <t>PNHR000514135</t>
        </is>
      </c>
      <c r="F2141" t="inlineStr">
        <is>
          <t>31-12-2024</t>
        </is>
      </c>
      <c r="G2141" t="n">
        <v>73629</v>
      </c>
      <c r="I2141">
        <f>G2141</f>
        <v/>
      </c>
      <c r="K2141">
        <f>I2141-G2141</f>
        <v/>
      </c>
      <c r="M2141" t="inlineStr">
        <is>
          <t>PNHR000514135</t>
        </is>
      </c>
      <c r="N2141" t="inlineStr">
        <is>
          <t>11066000</t>
        </is>
      </c>
      <c r="O2141">
        <f>M2141=N2141</f>
        <v/>
      </c>
      <c r="P2141">
        <f>AND(MONTH(F2141)=MONTH(S2141), YEAR(F2141)=YEAR(S2141))</f>
        <v/>
      </c>
      <c r="Q2141">
        <f>"L001-902303751"=U2141</f>
        <v/>
      </c>
      <c r="R2141">
        <f>G2141-W2141</f>
        <v/>
      </c>
      <c r="S2141" s="36" t="n">
        <v>45656</v>
      </c>
      <c r="T2141" t="n">
        <v>110660</v>
      </c>
      <c r="U2141" t="inlineStr">
        <is>
          <t>L001-107032791</t>
        </is>
      </c>
      <c r="V2141" t="inlineStr">
        <is>
          <t>នីបផន អិចប្រេស (ខេមបូឌា) ខូ អិលធីឌី</t>
        </is>
      </c>
      <c r="W2141" t="n">
        <v>110660</v>
      </c>
      <c r="X2141" t="n">
        <v>0</v>
      </c>
    </row>
    <row r="2142">
      <c r="A2142" t="n">
        <v>2141</v>
      </c>
      <c r="B2142" t="inlineStr">
        <is>
          <t>Send Doc</t>
        </is>
      </c>
      <c r="C2142" t="inlineStr">
        <is>
          <t>ឌី អេច អិល អិចប្រេស (ខេមបូឌា)</t>
        </is>
      </c>
      <c r="D2142" t="inlineStr">
        <is>
          <t>L001-100045197</t>
        </is>
      </c>
      <c r="E2142" t="inlineStr">
        <is>
          <t>PNHR000513620</t>
        </is>
      </c>
      <c r="F2142" t="inlineStr">
        <is>
          <t>26-12-2024</t>
        </is>
      </c>
      <c r="G2142" t="n">
        <v>38882</v>
      </c>
      <c r="I2142">
        <f>G2142</f>
        <v/>
      </c>
      <c r="K2142">
        <f>I2142-G2142</f>
        <v/>
      </c>
      <c r="M2142" t="inlineStr">
        <is>
          <t>PNHR000513620</t>
        </is>
      </c>
      <c r="N2142" t="inlineStr"/>
      <c r="O2142">
        <f>M2142=N2142</f>
        <v/>
      </c>
      <c r="P2142">
        <f>AND(MONTH(F2142)=MONTH(S2142), YEAR(F2142)=YEAR(S2142))</f>
        <v/>
      </c>
      <c r="Q2142">
        <f>"L001-902303751"=U2142</f>
        <v/>
      </c>
      <c r="R2142">
        <f>G2142-W2142</f>
        <v/>
      </c>
      <c r="S2142" s="36" t="n">
        <v>45649</v>
      </c>
      <c r="T2142" t="inlineStr"/>
      <c r="U2142" t="inlineStr">
        <is>
          <t>L001-107032791</t>
        </is>
      </c>
      <c r="V2142" t="inlineStr">
        <is>
          <t>នីបផន អិចប្រេស (ខេមបូឌា) ខូ អិលធីឌី</t>
        </is>
      </c>
      <c r="W2142" t="n">
        <v>0</v>
      </c>
      <c r="X2142" t="n">
        <v>0</v>
      </c>
    </row>
    <row r="2143">
      <c r="A2143" t="n">
        <v>2142</v>
      </c>
      <c r="B2143" t="inlineStr">
        <is>
          <t>Send Doc</t>
        </is>
      </c>
      <c r="C2143" t="inlineStr">
        <is>
          <t>ឌី អេច អិល អិចប្រេស (ខេមបូឌា)</t>
        </is>
      </c>
      <c r="D2143" t="inlineStr">
        <is>
          <t>L001-100045197</t>
        </is>
      </c>
      <c r="E2143" t="inlineStr">
        <is>
          <t>PNHR000512991</t>
        </is>
      </c>
      <c r="F2143" t="inlineStr">
        <is>
          <t>19-12-2024</t>
        </is>
      </c>
      <c r="G2143" t="n">
        <v>80999</v>
      </c>
      <c r="I2143">
        <f>G2143</f>
        <v/>
      </c>
      <c r="K2143">
        <f>I2143-G2143</f>
        <v/>
      </c>
      <c r="M2143" t="inlineStr">
        <is>
          <t>PNHR000512991</t>
        </is>
      </c>
      <c r="N2143" t="inlineStr"/>
      <c r="O2143">
        <f>M2143=N2143</f>
        <v/>
      </c>
      <c r="P2143">
        <f>AND(MONTH(F2143)=MONTH(S2143), YEAR(F2143)=YEAR(S2143))</f>
        <v/>
      </c>
      <c r="Q2143">
        <f>"L001-902303751"=U2143</f>
        <v/>
      </c>
      <c r="R2143">
        <f>G2143-W2143</f>
        <v/>
      </c>
      <c r="S2143" s="36" t="n">
        <v>45656</v>
      </c>
      <c r="T2143" t="inlineStr"/>
      <c r="U2143" t="inlineStr">
        <is>
          <t>K002-901800477</t>
        </is>
      </c>
      <c r="V2143" t="inlineStr">
        <is>
          <t>អាយធីអាយ អ៊ិនធើណេសិនណល ត្រេនស័្ពរថេសិន (ខេមបូឌា) ឯ.ក</t>
        </is>
      </c>
      <c r="W2143" t="n">
        <v>0</v>
      </c>
      <c r="X2143" t="n">
        <v>0</v>
      </c>
    </row>
    <row r="2144">
      <c r="A2144" t="n">
        <v>2143</v>
      </c>
      <c r="B2144" t="inlineStr">
        <is>
          <t>Send Materials</t>
        </is>
      </c>
      <c r="C2144" t="inlineStr">
        <is>
          <t>ឌី អេច អិល អិចប្រេស (ខេមបូឌា)</t>
        </is>
      </c>
      <c r="D2144" t="inlineStr">
        <is>
          <t>L001-100045197</t>
        </is>
      </c>
      <c r="E2144" t="inlineStr">
        <is>
          <t>PNHR000512324</t>
        </is>
      </c>
      <c r="F2144" t="inlineStr">
        <is>
          <t>12-12-2024</t>
        </is>
      </c>
      <c r="G2144" t="n">
        <v>109753</v>
      </c>
      <c r="I2144">
        <f>G2144</f>
        <v/>
      </c>
      <c r="K2144">
        <f>I2144-G2144</f>
        <v/>
      </c>
      <c r="M2144" t="inlineStr">
        <is>
          <t>PNHR000512324</t>
        </is>
      </c>
      <c r="N2144" t="inlineStr">
        <is>
          <t>11068800</t>
        </is>
      </c>
      <c r="O2144">
        <f>M2144=N2144</f>
        <v/>
      </c>
      <c r="P2144">
        <f>AND(MONTH(F2144)=MONTH(S2144), YEAR(F2144)=YEAR(S2144))</f>
        <v/>
      </c>
      <c r="Q2144">
        <f>"L001-902303751"=U2144</f>
        <v/>
      </c>
      <c r="R2144">
        <f>G2144-W2144</f>
        <v/>
      </c>
      <c r="S2144" s="36" t="n">
        <v>45636</v>
      </c>
      <c r="T2144" t="n">
        <v>110688</v>
      </c>
      <c r="U2144" t="inlineStr">
        <is>
          <t>L001-100045995</t>
        </is>
      </c>
      <c r="V2144" t="inlineStr">
        <is>
          <t>ឌីអេចអិល ឡូជីស្ទីក (ខេមបូឌា)</t>
        </is>
      </c>
      <c r="W2144" t="n">
        <v>110688</v>
      </c>
      <c r="X2144" t="n">
        <v>0</v>
      </c>
    </row>
    <row r="2145">
      <c r="A2145" t="n">
        <v>2144</v>
      </c>
      <c r="B2145" t="inlineStr">
        <is>
          <t>Send Materials</t>
        </is>
      </c>
      <c r="C2145" t="inlineStr">
        <is>
          <t>ឌី អេច អិល អិចប្រេស (ខេមបូឌា)</t>
        </is>
      </c>
      <c r="D2145" t="inlineStr">
        <is>
          <t>L001-100045197</t>
        </is>
      </c>
      <c r="E2145" t="inlineStr">
        <is>
          <t>PNHR000511749</t>
        </is>
      </c>
      <c r="F2145" t="inlineStr">
        <is>
          <t>05-12-2024</t>
        </is>
      </c>
      <c r="G2145" t="n">
        <v>68694</v>
      </c>
      <c r="I2145">
        <f>G2145</f>
        <v/>
      </c>
      <c r="K2145">
        <f>I2145-G2145</f>
        <v/>
      </c>
      <c r="M2145" t="inlineStr">
        <is>
          <t>PNHR000511749</t>
        </is>
      </c>
      <c r="N2145" t="inlineStr">
        <is>
          <t>17106300</t>
        </is>
      </c>
      <c r="O2145">
        <f>M2145=N2145</f>
        <v/>
      </c>
      <c r="P2145">
        <f>AND(MONTH(F2145)=MONTH(S2145), YEAR(F2145)=YEAR(S2145))</f>
        <v/>
      </c>
      <c r="Q2145">
        <f>"L001-902303751"=U2145</f>
        <v/>
      </c>
      <c r="R2145">
        <f>G2145-W2145</f>
        <v/>
      </c>
      <c r="S2145" s="36" t="n">
        <v>45636</v>
      </c>
      <c r="T2145" t="n">
        <v>171063</v>
      </c>
      <c r="U2145" t="inlineStr">
        <is>
          <t>L001-107032791</t>
        </is>
      </c>
      <c r="V2145" t="inlineStr">
        <is>
          <t>នីបផន អិចប្រេស (ខេមបូឌា) ខូ អិលធីឌី</t>
        </is>
      </c>
      <c r="W2145" t="n">
        <v>171063</v>
      </c>
      <c r="X2145" t="n">
        <v>0</v>
      </c>
    </row>
    <row r="2146">
      <c r="A2146" t="n">
        <v>2145</v>
      </c>
      <c r="B2146" t="inlineStr">
        <is>
          <t>Decoration</t>
        </is>
      </c>
      <c r="C2146" t="inlineStr">
        <is>
          <t>ដឹ សាយ អេឡិកត្រូមេឃែនីខល អេនជីនារីង ឯ.ក</t>
        </is>
      </c>
      <c r="D2146" t="inlineStr">
        <is>
          <t>K009-902303599</t>
        </is>
      </c>
      <c r="E2146" t="inlineStr">
        <is>
          <t>00049</t>
        </is>
      </c>
      <c r="F2146" t="inlineStr">
        <is>
          <t>19-12-2024</t>
        </is>
      </c>
      <c r="G2146" t="n">
        <v>949453</v>
      </c>
      <c r="I2146">
        <f>G2146</f>
        <v/>
      </c>
      <c r="K2146">
        <f>I2146-G2146</f>
        <v/>
      </c>
      <c r="M2146" t="inlineStr">
        <is>
          <t>00049</t>
        </is>
      </c>
      <c r="N2146" t="inlineStr"/>
      <c r="O2146">
        <f>M2146=N2146</f>
        <v/>
      </c>
      <c r="P2146">
        <f>AND(MONTH(F2146)=MONTH(S2146), YEAR(F2146)=YEAR(S2146))</f>
        <v/>
      </c>
      <c r="Q2146">
        <f>"L001-902303751"=U2146</f>
        <v/>
      </c>
      <c r="R2146">
        <f>G2146-W2146</f>
        <v/>
      </c>
      <c r="S2146" s="36" t="n">
        <v>45642</v>
      </c>
      <c r="T2146" t="inlineStr"/>
      <c r="U2146" t="inlineStr">
        <is>
          <t>L001-100045995</t>
        </is>
      </c>
      <c r="V2146" t="inlineStr">
        <is>
          <t>ឌីអេចអិល ឡូជីស្ទីក (ខេមបូឌា)</t>
        </is>
      </c>
      <c r="W2146" t="n">
        <v>0</v>
      </c>
      <c r="X2146" t="n">
        <v>0</v>
      </c>
    </row>
    <row r="2147">
      <c r="I2147">
        <f>G2147</f>
        <v/>
      </c>
      <c r="K2147">
        <f>I2147-G2147</f>
        <v/>
      </c>
      <c r="M2147" t="inlineStr"/>
      <c r="N2147" t="inlineStr">
        <is>
          <t>8259500</t>
        </is>
      </c>
      <c r="O2147">
        <f>M2147=N2147</f>
        <v/>
      </c>
      <c r="P2147">
        <f>AND(MONTH(F2147)=MONTH(S2147), YEAR(F2147)=YEAR(S2147))</f>
        <v/>
      </c>
      <c r="Q2147">
        <f>"L001-902303751"=U2147</f>
        <v/>
      </c>
      <c r="R2147">
        <f>G2147-W2147</f>
        <v/>
      </c>
      <c r="S2147" s="36" t="n">
        <v>45628</v>
      </c>
      <c r="T2147" t="n">
        <v>82595</v>
      </c>
      <c r="U2147" t="inlineStr">
        <is>
          <t>K005-100150195</t>
        </is>
      </c>
      <c r="V2147" t="inlineStr">
        <is>
          <t>អេស អ វី ស៊ី ហ្វ្រេត សឺវីស (ខេមបូឌា) ខូ អិលធីឌី</t>
        </is>
      </c>
      <c r="W2147" t="n">
        <v>82595</v>
      </c>
      <c r="X2147" t="n">
        <v>0</v>
      </c>
    </row>
    <row r="2148">
      <c r="I2148">
        <f>G2148</f>
        <v/>
      </c>
      <c r="K2148">
        <f>I2148-G2148</f>
        <v/>
      </c>
      <c r="M2148" t="inlineStr"/>
      <c r="N2148" t="inlineStr"/>
      <c r="O2148">
        <f>M2148=N2148</f>
        <v/>
      </c>
      <c r="P2148">
        <f>AND(MONTH(F2148)=MONTH(S2148), YEAR(F2148)=YEAR(S2148))</f>
        <v/>
      </c>
      <c r="Q2148">
        <f>"L001-902303751"=U2148</f>
        <v/>
      </c>
      <c r="R2148">
        <f>G2148-W2148</f>
        <v/>
      </c>
      <c r="S2148" s="36" t="n">
        <v>45628</v>
      </c>
      <c r="T2148" t="inlineStr"/>
      <c r="U2148" t="inlineStr">
        <is>
          <t>K005-901805913</t>
        </is>
      </c>
      <c r="V2148" t="inlineStr">
        <is>
          <t>ស្តារ ខង់ខដ (ខេមបូឌា) ឯ.ក</t>
        </is>
      </c>
      <c r="W2148" t="n">
        <v>0</v>
      </c>
      <c r="X2148" t="n">
        <v>0</v>
      </c>
    </row>
    <row r="2149">
      <c r="I2149">
        <f>G2149</f>
        <v/>
      </c>
      <c r="K2149">
        <f>I2149-G2149</f>
        <v/>
      </c>
      <c r="M2149" t="inlineStr"/>
      <c r="N2149" t="inlineStr">
        <is>
          <t>11066000</t>
        </is>
      </c>
      <c r="O2149">
        <f>M2149=N2149</f>
        <v/>
      </c>
      <c r="P2149">
        <f>AND(MONTH(F2149)=MONTH(S2149), YEAR(F2149)=YEAR(S2149))</f>
        <v/>
      </c>
      <c r="Q2149">
        <f>"L001-902303751"=U2149</f>
        <v/>
      </c>
      <c r="R2149">
        <f>G2149-W2149</f>
        <v/>
      </c>
      <c r="S2149" s="36" t="n">
        <v>45656</v>
      </c>
      <c r="T2149" t="n">
        <v>110660</v>
      </c>
      <c r="U2149" t="inlineStr">
        <is>
          <t>L001-107032791</t>
        </is>
      </c>
      <c r="V2149" t="inlineStr">
        <is>
          <t>នីបផន អិចប្រេស (ខេមបូឌា) ខូ អិលធីឌី</t>
        </is>
      </c>
      <c r="W2149" t="n">
        <v>110660</v>
      </c>
      <c r="X2149" t="n">
        <v>0</v>
      </c>
    </row>
    <row r="2150">
      <c r="I2150">
        <f>G2150</f>
        <v/>
      </c>
      <c r="K2150">
        <f>I2150-G2150</f>
        <v/>
      </c>
      <c r="M2150" t="inlineStr"/>
      <c r="N2150" t="inlineStr">
        <is>
          <t>11307400</t>
        </is>
      </c>
      <c r="O2150">
        <f>M2150=N2150</f>
        <v/>
      </c>
      <c r="P2150">
        <f>AND(MONTH(F2150)=MONTH(S2150), YEAR(F2150)=YEAR(S2150))</f>
        <v/>
      </c>
      <c r="Q2150">
        <f>"L001-902303751"=U2150</f>
        <v/>
      </c>
      <c r="R2150">
        <f>G2150-W2150</f>
        <v/>
      </c>
      <c r="S2150" s="36" t="n">
        <v>45656</v>
      </c>
      <c r="T2150" t="n">
        <v>113074</v>
      </c>
      <c r="U2150" t="inlineStr">
        <is>
          <t>K005-901805913</t>
        </is>
      </c>
      <c r="V2150" t="inlineStr">
        <is>
          <t>ស្តារ ខង់ខដ (ខេមបូឌា) ឯ.ក</t>
        </is>
      </c>
      <c r="W2150" t="n">
        <v>113074</v>
      </c>
      <c r="X2150" t="n">
        <v>0</v>
      </c>
    </row>
    <row r="2151">
      <c r="I2151">
        <f>G2151</f>
        <v/>
      </c>
      <c r="K2151">
        <f>I2151-G2151</f>
        <v/>
      </c>
      <c r="M2151" t="inlineStr"/>
      <c r="N2151" t="inlineStr"/>
      <c r="O2151">
        <f>M2151=N2151</f>
        <v/>
      </c>
      <c r="P2151">
        <f>AND(MONTH(F2151)=MONTH(S2151), YEAR(F2151)=YEAR(S2151))</f>
        <v/>
      </c>
      <c r="Q2151">
        <f>"L001-902303751"=U2151</f>
        <v/>
      </c>
      <c r="R2151">
        <f>G2151-W2151</f>
        <v/>
      </c>
      <c r="S2151" s="36" t="n">
        <v>45636</v>
      </c>
      <c r="T2151" t="inlineStr"/>
      <c r="U2151" t="inlineStr">
        <is>
          <t>L001-107032791</t>
        </is>
      </c>
      <c r="V2151" t="inlineStr">
        <is>
          <t>នីបផន អិចប្រេស (ខេមបូឌា) ខូ អិលធីឌី</t>
        </is>
      </c>
      <c r="W2151" t="n">
        <v>0</v>
      </c>
      <c r="X2151" t="n">
        <v>0</v>
      </c>
    </row>
    <row r="2152">
      <c r="I2152">
        <f>G2152</f>
        <v/>
      </c>
      <c r="K2152">
        <f>I2152-G2152</f>
        <v/>
      </c>
      <c r="M2152" t="inlineStr"/>
      <c r="N2152" t="inlineStr"/>
      <c r="O2152">
        <f>M2152=N2152</f>
        <v/>
      </c>
      <c r="P2152">
        <f>AND(MONTH(F2152)=MONTH(S2152), YEAR(F2152)=YEAR(S2152))</f>
        <v/>
      </c>
      <c r="Q2152">
        <f>"L001-902303751"=U2152</f>
        <v/>
      </c>
      <c r="R2152">
        <f>G2152-W2152</f>
        <v/>
      </c>
      <c r="S2152" s="36" t="n">
        <v>45642</v>
      </c>
      <c r="T2152" t="inlineStr"/>
      <c r="U2152" t="inlineStr">
        <is>
          <t>L001-107032791</t>
        </is>
      </c>
      <c r="V2152" t="inlineStr">
        <is>
          <t>នីបផន អិចប្រេស (ខេមបូឌា) ខូ អិលធីឌី</t>
        </is>
      </c>
      <c r="W2152" t="n">
        <v>0</v>
      </c>
      <c r="X2152" t="n">
        <v>0</v>
      </c>
    </row>
    <row r="2153">
      <c r="I2153">
        <f>G2153</f>
        <v/>
      </c>
      <c r="K2153">
        <f>I2153-G2153</f>
        <v/>
      </c>
      <c r="M2153" t="inlineStr"/>
      <c r="N2153" t="inlineStr">
        <is>
          <t>11079800</t>
        </is>
      </c>
      <c r="O2153">
        <f>M2153=N2153</f>
        <v/>
      </c>
      <c r="P2153">
        <f>AND(MONTH(F2153)=MONTH(S2153), YEAR(F2153)=YEAR(S2153))</f>
        <v/>
      </c>
      <c r="Q2153">
        <f>"L001-902303751"=U2153</f>
        <v/>
      </c>
      <c r="R2153">
        <f>G2153-W2153</f>
        <v/>
      </c>
      <c r="S2153" s="36" t="n">
        <v>45628</v>
      </c>
      <c r="T2153" t="n">
        <v>110798</v>
      </c>
      <c r="U2153" t="inlineStr">
        <is>
          <t>L001-107032791</t>
        </is>
      </c>
      <c r="V2153" t="inlineStr">
        <is>
          <t>នីបផន អិចប្រេស (ខេមបូឌា) ខូ អិលធីឌី</t>
        </is>
      </c>
      <c r="W2153" t="n">
        <v>110798</v>
      </c>
      <c r="X2153" t="n">
        <v>0</v>
      </c>
    </row>
    <row r="2154">
      <c r="I2154">
        <f>G2154</f>
        <v/>
      </c>
      <c r="K2154">
        <f>I2154-G2154</f>
        <v/>
      </c>
      <c r="M2154" t="inlineStr"/>
      <c r="N2154" t="inlineStr">
        <is>
          <t>11079800</t>
        </is>
      </c>
      <c r="O2154">
        <f>M2154=N2154</f>
        <v/>
      </c>
      <c r="P2154">
        <f>AND(MONTH(F2154)=MONTH(S2154), YEAR(F2154)=YEAR(S2154))</f>
        <v/>
      </c>
      <c r="Q2154">
        <f>"L001-902303751"=U2154</f>
        <v/>
      </c>
      <c r="R2154">
        <f>G2154-W2154</f>
        <v/>
      </c>
      <c r="S2154" s="36" t="n">
        <v>45628</v>
      </c>
      <c r="T2154" t="n">
        <v>110798</v>
      </c>
      <c r="U2154" t="inlineStr">
        <is>
          <t>L001-107032791</t>
        </is>
      </c>
      <c r="V2154" t="inlineStr">
        <is>
          <t>នីបផន អិចប្រេស (ខេមបូឌា) ខូ អិលធីឌី</t>
        </is>
      </c>
      <c r="W2154" t="n">
        <v>110798</v>
      </c>
      <c r="X2154" t="n">
        <v>0</v>
      </c>
    </row>
    <row r="2155">
      <c r="I2155">
        <f>G2155</f>
        <v/>
      </c>
      <c r="K2155">
        <f>I2155-G2155</f>
        <v/>
      </c>
      <c r="M2155" t="inlineStr"/>
      <c r="N2155" t="inlineStr">
        <is>
          <t>9690600</t>
        </is>
      </c>
      <c r="O2155">
        <f>M2155=N2155</f>
        <v/>
      </c>
      <c r="P2155">
        <f>AND(MONTH(F2155)=MONTH(S2155), YEAR(F2155)=YEAR(S2155))</f>
        <v/>
      </c>
      <c r="Q2155">
        <f>"L001-902303751"=U2155</f>
        <v/>
      </c>
      <c r="R2155">
        <f>G2155-W2155</f>
        <v/>
      </c>
      <c r="S2155" s="36" t="n">
        <v>45653</v>
      </c>
      <c r="T2155" t="n">
        <v>96906</v>
      </c>
      <c r="U2155" t="inlineStr">
        <is>
          <t>L001-100045340</t>
        </is>
      </c>
      <c r="V2155" t="inlineStr">
        <is>
          <t xml:space="preserve">ស៊ីវ៉ា អ៊ែរ អ៊ែន អូសៀន (ខេមបូឌា) ឯ.ក </t>
        </is>
      </c>
      <c r="W2155" t="n">
        <v>96906</v>
      </c>
      <c r="X2155" t="n">
        <v>0</v>
      </c>
    </row>
    <row r="2156">
      <c r="I2156">
        <f>G2156</f>
        <v/>
      </c>
      <c r="K2156">
        <f>I2156-G2156</f>
        <v/>
      </c>
      <c r="M2156" t="inlineStr"/>
      <c r="N2156" t="inlineStr">
        <is>
          <t>11066000</t>
        </is>
      </c>
      <c r="O2156">
        <f>M2156=N2156</f>
        <v/>
      </c>
      <c r="P2156">
        <f>AND(MONTH(F2156)=MONTH(S2156), YEAR(F2156)=YEAR(S2156))</f>
        <v/>
      </c>
      <c r="Q2156">
        <f>"L001-902303751"=U2156</f>
        <v/>
      </c>
      <c r="R2156">
        <f>G2156-W2156</f>
        <v/>
      </c>
      <c r="S2156" s="36" t="n">
        <v>45656</v>
      </c>
      <c r="T2156" t="n">
        <v>110660</v>
      </c>
      <c r="U2156" t="inlineStr">
        <is>
          <t>L001-107032791</t>
        </is>
      </c>
      <c r="V2156" t="inlineStr">
        <is>
          <t>នីបផន អិចប្រេស (ខេមបូឌា) ខូ អិលធីឌី</t>
        </is>
      </c>
      <c r="W2156" t="n">
        <v>110660</v>
      </c>
      <c r="X2156" t="n">
        <v>0</v>
      </c>
    </row>
    <row r="2157">
      <c r="I2157">
        <f>G2157</f>
        <v/>
      </c>
      <c r="K2157">
        <f>I2157-G2157</f>
        <v/>
      </c>
      <c r="M2157" t="inlineStr"/>
      <c r="N2157" t="inlineStr"/>
      <c r="O2157">
        <f>M2157=N2157</f>
        <v/>
      </c>
      <c r="P2157">
        <f>AND(MONTH(F2157)=MONTH(S2157), YEAR(F2157)=YEAR(S2157))</f>
        <v/>
      </c>
      <c r="Q2157">
        <f>"L001-902303751"=U2157</f>
        <v/>
      </c>
      <c r="R2157">
        <f>G2157-W2157</f>
        <v/>
      </c>
      <c r="S2157" s="36" t="n">
        <v>45656</v>
      </c>
      <c r="T2157" t="inlineStr"/>
      <c r="U2157" t="inlineStr">
        <is>
          <t>L001-107032791</t>
        </is>
      </c>
      <c r="V2157" t="inlineStr">
        <is>
          <t>នីបផន អិចប្រេស (ខេមបូឌា) ខូ អិលធីឌី</t>
        </is>
      </c>
      <c r="W2157" t="n">
        <v>0</v>
      </c>
      <c r="X2157" t="n">
        <v>0</v>
      </c>
    </row>
    <row r="2158">
      <c r="I2158">
        <f>G2158</f>
        <v/>
      </c>
      <c r="K2158">
        <f>I2158-G2158</f>
        <v/>
      </c>
      <c r="M2158" t="inlineStr"/>
      <c r="N2158" t="inlineStr">
        <is>
          <t>8249200</t>
        </is>
      </c>
      <c r="O2158">
        <f>M2158=N2158</f>
        <v/>
      </c>
      <c r="P2158">
        <f>AND(MONTH(F2158)=MONTH(S2158), YEAR(F2158)=YEAR(S2158))</f>
        <v/>
      </c>
      <c r="Q2158">
        <f>"L001-902303751"=U2158</f>
        <v/>
      </c>
      <c r="R2158">
        <f>G2158-W2158</f>
        <v/>
      </c>
      <c r="S2158" s="36" t="n">
        <v>45656</v>
      </c>
      <c r="T2158" t="n">
        <v>82492</v>
      </c>
      <c r="U2158" t="inlineStr">
        <is>
          <t>L001-107032791</t>
        </is>
      </c>
      <c r="V2158" t="inlineStr">
        <is>
          <t>នីបផន អិចប្រេស (ខេមបូឌា) ខូ អិលធីឌី</t>
        </is>
      </c>
      <c r="W2158" t="n">
        <v>82492</v>
      </c>
      <c r="X2158" t="n">
        <v>0</v>
      </c>
    </row>
    <row r="2159">
      <c r="I2159">
        <f>G2159</f>
        <v/>
      </c>
      <c r="K2159">
        <f>I2159-G2159</f>
        <v/>
      </c>
      <c r="M2159" t="inlineStr"/>
      <c r="N2159" t="inlineStr">
        <is>
          <t>8249200</t>
        </is>
      </c>
      <c r="O2159">
        <f>M2159=N2159</f>
        <v/>
      </c>
      <c r="P2159">
        <f>AND(MONTH(F2159)=MONTH(S2159), YEAR(F2159)=YEAR(S2159))</f>
        <v/>
      </c>
      <c r="Q2159">
        <f>"L001-902303751"=U2159</f>
        <v/>
      </c>
      <c r="R2159">
        <f>G2159-W2159</f>
        <v/>
      </c>
      <c r="S2159" s="36" t="n">
        <v>45656</v>
      </c>
      <c r="T2159" t="n">
        <v>82492</v>
      </c>
      <c r="U2159" t="inlineStr">
        <is>
          <t>L001-107032791</t>
        </is>
      </c>
      <c r="V2159" t="inlineStr">
        <is>
          <t>នីបផន អិចប្រេស (ខេមបូឌា) ខូ អិលធីឌី</t>
        </is>
      </c>
      <c r="W2159" t="n">
        <v>82492</v>
      </c>
      <c r="X2159" t="n">
        <v>0</v>
      </c>
    </row>
    <row r="2160">
      <c r="I2160">
        <f>G2160</f>
        <v/>
      </c>
      <c r="K2160">
        <f>I2160-G2160</f>
        <v/>
      </c>
      <c r="M2160" t="inlineStr"/>
      <c r="N2160" t="inlineStr"/>
      <c r="O2160">
        <f>M2160=N2160</f>
        <v/>
      </c>
      <c r="P2160">
        <f>AND(MONTH(F2160)=MONTH(S2160), YEAR(F2160)=YEAR(S2160))</f>
        <v/>
      </c>
      <c r="Q2160">
        <f>"L001-902303751"=U2160</f>
        <v/>
      </c>
      <c r="R2160">
        <f>G2160-W2160</f>
        <v/>
      </c>
      <c r="S2160" s="36" t="n">
        <v>45642</v>
      </c>
      <c r="T2160" t="inlineStr"/>
      <c r="U2160" t="inlineStr">
        <is>
          <t>L001-107041723</t>
        </is>
      </c>
      <c r="V2160" t="inlineStr">
        <is>
          <t>ឌីប៊ី សេនឃើរ (ខេមបូឌា) លីមីធីត</t>
        </is>
      </c>
      <c r="W2160" t="n">
        <v>0</v>
      </c>
      <c r="X2160" t="n">
        <v>0</v>
      </c>
    </row>
    <row r="2161">
      <c r="I2161">
        <f>G2161</f>
        <v/>
      </c>
      <c r="K2161">
        <f>I2161-G2161</f>
        <v/>
      </c>
      <c r="M2161" t="inlineStr"/>
      <c r="N2161" t="inlineStr">
        <is>
          <t>11293400</t>
        </is>
      </c>
      <c r="O2161">
        <f>M2161=N2161</f>
        <v/>
      </c>
      <c r="P2161">
        <f>AND(MONTH(F2161)=MONTH(S2161), YEAR(F2161)=YEAR(S2161))</f>
        <v/>
      </c>
      <c r="Q2161">
        <f>"L001-902303751"=U2161</f>
        <v/>
      </c>
      <c r="R2161">
        <f>G2161-W2161</f>
        <v/>
      </c>
      <c r="S2161" s="36" t="n">
        <v>45642</v>
      </c>
      <c r="T2161" t="n">
        <v>112934</v>
      </c>
      <c r="U2161" t="inlineStr">
        <is>
          <t>K005-901805913</t>
        </is>
      </c>
      <c r="V2161" t="inlineStr">
        <is>
          <t>ស្តារ ខង់ខដ (ខេមបូឌា) ឯ.ក</t>
        </is>
      </c>
      <c r="W2161" t="n">
        <v>112934</v>
      </c>
      <c r="X2161" t="n">
        <v>0</v>
      </c>
    </row>
    <row r="2162">
      <c r="I2162">
        <f>G2162</f>
        <v/>
      </c>
      <c r="K2162">
        <f>I2162-G2162</f>
        <v/>
      </c>
      <c r="M2162" t="inlineStr"/>
      <c r="N2162" t="inlineStr">
        <is>
          <t>12502200</t>
        </is>
      </c>
      <c r="O2162">
        <f>M2162=N2162</f>
        <v/>
      </c>
      <c r="P2162">
        <f>AND(MONTH(F2162)=MONTH(S2162), YEAR(F2162)=YEAR(S2162))</f>
        <v/>
      </c>
      <c r="Q2162">
        <f>"L001-902303751"=U2162</f>
        <v/>
      </c>
      <c r="R2162">
        <f>G2162-W2162</f>
        <v/>
      </c>
      <c r="S2162" s="36" t="n">
        <v>45649</v>
      </c>
      <c r="T2162" t="n">
        <v>125022</v>
      </c>
      <c r="U2162" t="inlineStr">
        <is>
          <t>L001-100045340</t>
        </is>
      </c>
      <c r="V2162" t="inlineStr">
        <is>
          <t xml:space="preserve">ស៊ីវ៉ា អ៊ែរ អ៊ែន អូសៀន (ខេមបូឌា) ឯ.ក </t>
        </is>
      </c>
      <c r="W2162" t="n">
        <v>125022</v>
      </c>
      <c r="X2162" t="n">
        <v>0</v>
      </c>
    </row>
    <row r="2163">
      <c r="I2163">
        <f>G2163</f>
        <v/>
      </c>
      <c r="K2163">
        <f>I2163-G2163</f>
        <v/>
      </c>
      <c r="M2163" t="inlineStr"/>
      <c r="N2163" t="inlineStr">
        <is>
          <t>11055000</t>
        </is>
      </c>
      <c r="O2163">
        <f>M2163=N2163</f>
        <v/>
      </c>
      <c r="P2163">
        <f>AND(MONTH(F2163)=MONTH(S2163), YEAR(F2163)=YEAR(S2163))</f>
        <v/>
      </c>
      <c r="Q2163">
        <f>"L001-902303751"=U2163</f>
        <v/>
      </c>
      <c r="R2163">
        <f>G2163-W2163</f>
        <v/>
      </c>
      <c r="S2163" s="36" t="n">
        <v>45649</v>
      </c>
      <c r="T2163" t="n">
        <v>110550</v>
      </c>
      <c r="U2163" t="inlineStr">
        <is>
          <t>L001-100045995</t>
        </is>
      </c>
      <c r="V2163" t="inlineStr">
        <is>
          <t>ឌីអេចអិល ឡូជីស្ទីក (ខេមបូឌា)</t>
        </is>
      </c>
      <c r="W2163" t="n">
        <v>110550</v>
      </c>
      <c r="X2163" t="n">
        <v>0</v>
      </c>
    </row>
    <row r="2164">
      <c r="I2164">
        <f>G2164</f>
        <v/>
      </c>
      <c r="K2164">
        <f>I2164-G2164</f>
        <v/>
      </c>
      <c r="M2164" t="inlineStr"/>
      <c r="N2164" t="inlineStr">
        <is>
          <t>1333720200</t>
        </is>
      </c>
      <c r="O2164">
        <f>M2164=N2164</f>
        <v/>
      </c>
      <c r="P2164">
        <f>AND(MONTH(F2164)=MONTH(S2164), YEAR(F2164)=YEAR(S2164))</f>
        <v/>
      </c>
      <c r="Q2164">
        <f>"L001-902303751"=U2164</f>
        <v/>
      </c>
      <c r="R2164">
        <f>G2164-W2164</f>
        <v/>
      </c>
      <c r="S2164" s="36" t="n">
        <v>45351</v>
      </c>
      <c r="T2164" t="n">
        <v>13337202</v>
      </c>
      <c r="U2164" t="inlineStr">
        <is>
          <t>L001-100047149</t>
        </is>
      </c>
      <c r="V2164" t="inlineStr">
        <is>
          <t>ធនាគារ អេស៊ីលីដា ភីអិលស៊ី</t>
        </is>
      </c>
      <c r="W2164" t="n">
        <v>13337202</v>
      </c>
      <c r="X2164" t="n">
        <v>0</v>
      </c>
    </row>
    <row r="2165">
      <c r="I2165">
        <f>G2165</f>
        <v/>
      </c>
      <c r="K2165">
        <f>I2165-G2165</f>
        <v/>
      </c>
      <c r="M2165" t="inlineStr"/>
      <c r="N2165" t="inlineStr">
        <is>
          <t>3677400</t>
        </is>
      </c>
      <c r="O2165">
        <f>M2165=N2165</f>
        <v/>
      </c>
      <c r="P2165">
        <f>AND(MONTH(F2165)=MONTH(S2165), YEAR(F2165)=YEAR(S2165))</f>
        <v/>
      </c>
      <c r="Q2165">
        <f>"L001-902303751"=U2165</f>
        <v/>
      </c>
      <c r="R2165">
        <f>G2165-W2165</f>
        <v/>
      </c>
      <c r="S2165" s="36" t="n">
        <v>45324</v>
      </c>
      <c r="T2165" t="n">
        <v>36774</v>
      </c>
      <c r="U2165" t="inlineStr">
        <is>
          <t>L001-100129250</t>
        </is>
      </c>
      <c r="V2165" t="inlineStr">
        <is>
          <t>អេស.អាយ គ្រុប</t>
        </is>
      </c>
      <c r="W2165" t="n">
        <v>36774</v>
      </c>
      <c r="X2165" t="n">
        <v>0</v>
      </c>
    </row>
    <row r="2166">
      <c r="I2166">
        <f>G2166</f>
        <v/>
      </c>
      <c r="K2166">
        <f>I2166-G2166</f>
        <v/>
      </c>
      <c r="M2166" t="inlineStr"/>
      <c r="N2166" t="inlineStr">
        <is>
          <t>3677400</t>
        </is>
      </c>
      <c r="O2166">
        <f>M2166=N2166</f>
        <v/>
      </c>
      <c r="P2166">
        <f>AND(MONTH(F2166)=MONTH(S2166), YEAR(F2166)=YEAR(S2166))</f>
        <v/>
      </c>
      <c r="Q2166">
        <f>"L001-902303751"=U2166</f>
        <v/>
      </c>
      <c r="R2166">
        <f>G2166-W2166</f>
        <v/>
      </c>
      <c r="S2166" s="36" t="n">
        <v>45324</v>
      </c>
      <c r="T2166" t="n">
        <v>36774</v>
      </c>
      <c r="U2166" t="inlineStr">
        <is>
          <t>L001-100078885</t>
        </is>
      </c>
      <c r="V2166" t="inlineStr">
        <is>
          <t>អង្គរ ដាតា ខមម្ញូនីខេសិន គ្រុប (អេ ឌី​ ស៊ី)</t>
        </is>
      </c>
      <c r="W2166" t="n">
        <v>36774</v>
      </c>
      <c r="X2166" t="n">
        <v>0</v>
      </c>
    </row>
    <row r="2167">
      <c r="I2167">
        <f>G2167</f>
        <v/>
      </c>
      <c r="K2167">
        <f>I2167-G2167</f>
        <v/>
      </c>
      <c r="M2167" t="inlineStr"/>
      <c r="N2167" t="inlineStr">
        <is>
          <t>1838700</t>
        </is>
      </c>
      <c r="O2167">
        <f>M2167=N2167</f>
        <v/>
      </c>
      <c r="P2167">
        <f>AND(MONTH(F2167)=MONTH(S2167), YEAR(F2167)=YEAR(S2167))</f>
        <v/>
      </c>
      <c r="Q2167">
        <f>"L001-902303751"=U2167</f>
        <v/>
      </c>
      <c r="R2167">
        <f>G2167-W2167</f>
        <v/>
      </c>
      <c r="S2167" s="36" t="n">
        <v>45324</v>
      </c>
      <c r="T2167" t="n">
        <v>18387</v>
      </c>
      <c r="U2167" t="inlineStr">
        <is>
          <t>L001-100078885</t>
        </is>
      </c>
      <c r="V2167" t="inlineStr">
        <is>
          <t>អង្គរ ដាតា ខមម្ញូនីខេសិន គ្រុប (អេ ឌី​ ស៊ី)</t>
        </is>
      </c>
      <c r="W2167" t="n">
        <v>18387</v>
      </c>
      <c r="X2167" t="n">
        <v>0</v>
      </c>
    </row>
    <row r="2168">
      <c r="I2168">
        <f>G2168</f>
        <v/>
      </c>
      <c r="K2168">
        <f>I2168-G2168</f>
        <v/>
      </c>
      <c r="M2168" t="inlineStr"/>
      <c r="N2168" t="inlineStr">
        <is>
          <t>1310303400</t>
        </is>
      </c>
      <c r="O2168">
        <f>M2168=N2168</f>
        <v/>
      </c>
      <c r="P2168">
        <f>AND(MONTH(F2168)=MONTH(S2168), YEAR(F2168)=YEAR(S2168))</f>
        <v/>
      </c>
      <c r="Q2168">
        <f>"L001-902303751"=U2168</f>
        <v/>
      </c>
      <c r="R2168">
        <f>G2168-W2168</f>
        <v/>
      </c>
      <c r="S2168" s="36" t="n">
        <v>45380</v>
      </c>
      <c r="T2168" t="n">
        <v>13103034</v>
      </c>
      <c r="U2168" t="inlineStr">
        <is>
          <t>L001-100047149</t>
        </is>
      </c>
      <c r="V2168" t="inlineStr">
        <is>
          <t>ធនាគារ អេស៊ីលីដា ភីអិលស៊ី</t>
        </is>
      </c>
      <c r="W2168" t="n">
        <v>13103034</v>
      </c>
      <c r="X2168" t="n">
        <v>0</v>
      </c>
    </row>
    <row r="2169">
      <c r="I2169">
        <f>G2169</f>
        <v/>
      </c>
      <c r="K2169">
        <f>I2169-G2169</f>
        <v/>
      </c>
      <c r="M2169" t="inlineStr"/>
      <c r="N2169" t="inlineStr">
        <is>
          <t>1826100</t>
        </is>
      </c>
      <c r="O2169">
        <f>M2169=N2169</f>
        <v/>
      </c>
      <c r="P2169">
        <f>AND(MONTH(F2169)=MONTH(S2169), YEAR(F2169)=YEAR(S2169))</f>
        <v/>
      </c>
      <c r="Q2169">
        <f>"L001-902303751"=U2169</f>
        <v/>
      </c>
      <c r="R2169">
        <f>G2169-W2169</f>
        <v/>
      </c>
      <c r="S2169" s="36" t="n">
        <v>45358</v>
      </c>
      <c r="T2169" t="n">
        <v>18261</v>
      </c>
      <c r="U2169" t="inlineStr">
        <is>
          <t>L001-100078885</t>
        </is>
      </c>
      <c r="V2169" t="inlineStr">
        <is>
          <t>អង្គរ ដាតា ខមម្ញូនីខេសិន គ្រុប (អេ ឌី​ ស៊ី)</t>
        </is>
      </c>
      <c r="W2169" t="n">
        <v>18261</v>
      </c>
      <c r="X2169" t="n">
        <v>0</v>
      </c>
    </row>
    <row r="2170">
      <c r="I2170">
        <f>G2170</f>
        <v/>
      </c>
      <c r="K2170">
        <f>I2170-G2170</f>
        <v/>
      </c>
      <c r="M2170" t="inlineStr"/>
      <c r="N2170" t="inlineStr">
        <is>
          <t>3658500</t>
        </is>
      </c>
      <c r="O2170">
        <f>M2170=N2170</f>
        <v/>
      </c>
      <c r="P2170">
        <f>AND(MONTH(F2170)=MONTH(S2170), YEAR(F2170)=YEAR(S2170))</f>
        <v/>
      </c>
      <c r="Q2170">
        <f>"L001-902303751"=U2170</f>
        <v/>
      </c>
      <c r="R2170">
        <f>G2170-W2170</f>
        <v/>
      </c>
      <c r="S2170" s="36" t="n">
        <v>45357</v>
      </c>
      <c r="T2170" t="n">
        <v>36585</v>
      </c>
      <c r="U2170" t="inlineStr">
        <is>
          <t>L001-100078885</t>
        </is>
      </c>
      <c r="V2170" t="inlineStr">
        <is>
          <t>អង្គរ ដាតា ខមម្ញូនីខេសិន គ្រុប (អេ ឌី​ ស៊ី)</t>
        </is>
      </c>
      <c r="W2170" t="n">
        <v>36585</v>
      </c>
      <c r="X2170" t="n">
        <v>0</v>
      </c>
    </row>
    <row r="2171">
      <c r="I2171">
        <f>G2171</f>
        <v/>
      </c>
      <c r="K2171">
        <f>I2171-G2171</f>
        <v/>
      </c>
      <c r="M2171" t="inlineStr"/>
      <c r="N2171" t="inlineStr">
        <is>
          <t>50436900</t>
        </is>
      </c>
      <c r="O2171">
        <f>M2171=N2171</f>
        <v/>
      </c>
      <c r="P2171">
        <f>AND(MONTH(F2171)=MONTH(S2171), YEAR(F2171)=YEAR(S2171))</f>
        <v/>
      </c>
      <c r="Q2171">
        <f>"L001-902303751"=U2171</f>
        <v/>
      </c>
      <c r="R2171">
        <f>G2171-W2171</f>
        <v/>
      </c>
      <c r="S2171" s="36" t="n">
        <v>45358</v>
      </c>
      <c r="T2171" t="n">
        <v>504369</v>
      </c>
      <c r="U2171" t="inlineStr">
        <is>
          <t>L001-100078885</t>
        </is>
      </c>
      <c r="V2171" t="inlineStr">
        <is>
          <t>អង្គរ ដាតា ខមម្ញូនីខេសិន គ្រុប (អេ ឌី​ ស៊ី)</t>
        </is>
      </c>
      <c r="W2171" t="n">
        <v>504369</v>
      </c>
      <c r="X2171" t="n">
        <v>0</v>
      </c>
    </row>
    <row r="2172">
      <c r="I2172">
        <f>G2172</f>
        <v/>
      </c>
      <c r="K2172">
        <f>I2172-G2172</f>
        <v/>
      </c>
      <c r="M2172" t="inlineStr"/>
      <c r="N2172" t="inlineStr">
        <is>
          <t>3658500</t>
        </is>
      </c>
      <c r="O2172">
        <f>M2172=N2172</f>
        <v/>
      </c>
      <c r="P2172">
        <f>AND(MONTH(F2172)=MONTH(S2172), YEAR(F2172)=YEAR(S2172))</f>
        <v/>
      </c>
      <c r="Q2172">
        <f>"L001-902303751"=U2172</f>
        <v/>
      </c>
      <c r="R2172">
        <f>G2172-W2172</f>
        <v/>
      </c>
      <c r="S2172" s="36" t="n">
        <v>45357</v>
      </c>
      <c r="T2172" t="n">
        <v>36585</v>
      </c>
      <c r="U2172" t="inlineStr">
        <is>
          <t>L001-100129250</t>
        </is>
      </c>
      <c r="V2172" t="inlineStr">
        <is>
          <t>អេស.អាយ គ្រុប</t>
        </is>
      </c>
      <c r="W2172" t="n">
        <v>36585</v>
      </c>
      <c r="X2172" t="n">
        <v>0</v>
      </c>
    </row>
    <row r="2173">
      <c r="I2173">
        <f>G2173</f>
        <v/>
      </c>
      <c r="K2173">
        <f>I2173-G2173</f>
        <v/>
      </c>
      <c r="M2173" t="inlineStr"/>
      <c r="N2173" t="inlineStr">
        <is>
          <t>909700</t>
        </is>
      </c>
      <c r="O2173">
        <f>M2173=N2173</f>
        <v/>
      </c>
      <c r="P2173">
        <f>AND(MONTH(F2173)=MONTH(S2173), YEAR(F2173)=YEAR(S2173))</f>
        <v/>
      </c>
      <c r="Q2173">
        <f>"L001-902303751"=U2173</f>
        <v/>
      </c>
      <c r="R2173">
        <f>G2173-W2173</f>
        <v/>
      </c>
      <c r="S2173" s="36" t="n">
        <v>45363</v>
      </c>
      <c r="T2173" t="n">
        <v>9097</v>
      </c>
      <c r="U2173" t="inlineStr">
        <is>
          <t>L001-100078885</t>
        </is>
      </c>
      <c r="V2173" t="inlineStr">
        <is>
          <t>អង្គរ ដាតា ខមម្ញូនីខេសិន គ្រុប (អេ ឌី​ ស៊ី)</t>
        </is>
      </c>
      <c r="W2173" t="n">
        <v>9097</v>
      </c>
      <c r="X2173" t="n">
        <v>0</v>
      </c>
    </row>
    <row r="2174">
      <c r="I2174">
        <f>G2174</f>
        <v/>
      </c>
      <c r="K2174">
        <f>I2174-G2174</f>
        <v/>
      </c>
      <c r="M2174" t="inlineStr"/>
      <c r="N2174" t="inlineStr">
        <is>
          <t>57296000</t>
        </is>
      </c>
      <c r="O2174">
        <f>M2174=N2174</f>
        <v/>
      </c>
      <c r="P2174">
        <f>AND(MONTH(F2174)=MONTH(S2174), YEAR(F2174)=YEAR(S2174))</f>
        <v/>
      </c>
      <c r="Q2174">
        <f>"L001-902303751"=U2174</f>
        <v/>
      </c>
      <c r="R2174">
        <f>G2174-W2174</f>
        <v/>
      </c>
      <c r="S2174" s="36" t="n">
        <v>45386</v>
      </c>
      <c r="T2174" t="n">
        <v>572960</v>
      </c>
      <c r="U2174" t="inlineStr">
        <is>
          <t>L001-100078885</t>
        </is>
      </c>
      <c r="V2174" t="inlineStr">
        <is>
          <t>អង្គរ ដាតា ខមម្ញូនីខេសិន គ្រុប (អេ ឌី​ ស៊ី)</t>
        </is>
      </c>
      <c r="W2174" t="n">
        <v>572960</v>
      </c>
      <c r="X2174" t="n">
        <v>0</v>
      </c>
    </row>
    <row r="2175">
      <c r="I2175">
        <f>G2175</f>
        <v/>
      </c>
      <c r="K2175">
        <f>I2175-G2175</f>
        <v/>
      </c>
      <c r="M2175" t="inlineStr"/>
      <c r="N2175" t="inlineStr">
        <is>
          <t>3635100</t>
        </is>
      </c>
      <c r="O2175">
        <f>M2175=N2175</f>
        <v/>
      </c>
      <c r="P2175">
        <f>AND(MONTH(F2175)=MONTH(S2175), YEAR(F2175)=YEAR(S2175))</f>
        <v/>
      </c>
      <c r="Q2175">
        <f>"L001-902303751"=U2175</f>
        <v/>
      </c>
      <c r="R2175">
        <f>G2175-W2175</f>
        <v/>
      </c>
      <c r="S2175" s="36" t="n">
        <v>45384</v>
      </c>
      <c r="T2175" t="n">
        <v>36351</v>
      </c>
      <c r="U2175" t="inlineStr">
        <is>
          <t>L001-100078885</t>
        </is>
      </c>
      <c r="V2175" t="inlineStr">
        <is>
          <t>អង្គរ ដាតា ខមម្ញូនីខេសិន គ្រុប (អេ ឌី​ ស៊ី)</t>
        </is>
      </c>
      <c r="W2175" t="n">
        <v>36351</v>
      </c>
      <c r="X2175" t="n">
        <v>0</v>
      </c>
    </row>
    <row r="2176">
      <c r="I2176">
        <f>G2176</f>
        <v/>
      </c>
      <c r="K2176">
        <f>I2176-G2176</f>
        <v/>
      </c>
      <c r="M2176" t="inlineStr"/>
      <c r="N2176" t="inlineStr">
        <is>
          <t>27478800</t>
        </is>
      </c>
      <c r="O2176">
        <f>M2176=N2176</f>
        <v/>
      </c>
      <c r="P2176">
        <f>AND(MONTH(F2176)=MONTH(S2176), YEAR(F2176)=YEAR(S2176))</f>
        <v/>
      </c>
      <c r="Q2176">
        <f>"L001-902303751"=U2176</f>
        <v/>
      </c>
      <c r="R2176">
        <f>G2176-W2176</f>
        <v/>
      </c>
      <c r="S2176" s="36" t="n">
        <v>45385</v>
      </c>
      <c r="T2176" t="n">
        <v>274788</v>
      </c>
      <c r="U2176" t="inlineStr">
        <is>
          <t>K005-100150195</t>
        </is>
      </c>
      <c r="V2176" t="inlineStr">
        <is>
          <t>អេស អ វី ស៊ី ហ្វ្រេត សឺវីស (ខេមបូឌា) ខូ អិលធីឌី</t>
        </is>
      </c>
      <c r="W2176" t="n">
        <v>274788</v>
      </c>
      <c r="X2176" t="n">
        <v>0</v>
      </c>
    </row>
    <row r="2177">
      <c r="I2177">
        <f>G2177</f>
        <v/>
      </c>
      <c r="K2177">
        <f>I2177-G2177</f>
        <v/>
      </c>
      <c r="M2177" t="inlineStr"/>
      <c r="N2177" t="inlineStr">
        <is>
          <t>1345652500</t>
        </is>
      </c>
      <c r="O2177">
        <f>M2177=N2177</f>
        <v/>
      </c>
      <c r="P2177">
        <f>AND(MONTH(F2177)=MONTH(S2177), YEAR(F2177)=YEAR(S2177))</f>
        <v/>
      </c>
      <c r="Q2177">
        <f>"L001-902303751"=U2177</f>
        <v/>
      </c>
      <c r="R2177">
        <f>G2177-W2177</f>
        <v/>
      </c>
      <c r="S2177" s="36" t="n">
        <v>45412</v>
      </c>
      <c r="T2177" t="n">
        <v>13456525</v>
      </c>
      <c r="U2177" t="inlineStr">
        <is>
          <t>L001-100047149</t>
        </is>
      </c>
      <c r="V2177" t="inlineStr">
        <is>
          <t>ធនាគារ អេស៊ីលីដា ភីអិលស៊ី</t>
        </is>
      </c>
      <c r="W2177" t="n">
        <v>13456525</v>
      </c>
      <c r="X2177" t="n">
        <v>0</v>
      </c>
    </row>
    <row r="2178">
      <c r="I2178">
        <f>G2178</f>
        <v/>
      </c>
      <c r="K2178">
        <f>I2178-G2178</f>
        <v/>
      </c>
      <c r="M2178" t="inlineStr"/>
      <c r="N2178" t="inlineStr">
        <is>
          <t>3635100</t>
        </is>
      </c>
      <c r="O2178">
        <f>M2178=N2178</f>
        <v/>
      </c>
      <c r="P2178">
        <f>AND(MONTH(F2178)=MONTH(S2178), YEAR(F2178)=YEAR(S2178))</f>
        <v/>
      </c>
      <c r="Q2178">
        <f>"L001-902303751"=U2178</f>
        <v/>
      </c>
      <c r="R2178">
        <f>G2178-W2178</f>
        <v/>
      </c>
      <c r="S2178" s="36" t="n">
        <v>45384</v>
      </c>
      <c r="T2178" t="n">
        <v>36351</v>
      </c>
      <c r="U2178" t="inlineStr">
        <is>
          <t>L001-100129250</t>
        </is>
      </c>
      <c r="V2178" t="inlineStr">
        <is>
          <t>អេស.អាយ គ្រុប</t>
        </is>
      </c>
      <c r="W2178" t="n">
        <v>36351</v>
      </c>
      <c r="X2178" t="n">
        <v>0</v>
      </c>
    </row>
    <row r="2179">
      <c r="I2179">
        <f>G2179</f>
        <v/>
      </c>
      <c r="K2179">
        <f>I2179-G2179</f>
        <v/>
      </c>
      <c r="M2179" t="inlineStr"/>
      <c r="N2179" t="inlineStr">
        <is>
          <t>3664800</t>
        </is>
      </c>
      <c r="O2179">
        <f>M2179=N2179</f>
        <v/>
      </c>
      <c r="P2179">
        <f>AND(MONTH(F2179)=MONTH(S2179), YEAR(F2179)=YEAR(S2179))</f>
        <v/>
      </c>
      <c r="Q2179">
        <f>"L001-902303751"=U2179</f>
        <v/>
      </c>
      <c r="R2179">
        <f>G2179-W2179</f>
        <v/>
      </c>
      <c r="S2179" s="36" t="n">
        <v>45415</v>
      </c>
      <c r="T2179" t="n">
        <v>36648</v>
      </c>
      <c r="U2179" t="inlineStr">
        <is>
          <t>L001-100129250</t>
        </is>
      </c>
      <c r="V2179" t="inlineStr">
        <is>
          <t>អេស.អាយ គ្រុប</t>
        </is>
      </c>
      <c r="W2179" t="n">
        <v>36648</v>
      </c>
      <c r="X2179" t="n">
        <v>0</v>
      </c>
    </row>
    <row r="2180">
      <c r="I2180">
        <f>G2180</f>
        <v/>
      </c>
      <c r="K2180">
        <f>I2180-G2180</f>
        <v/>
      </c>
      <c r="M2180" t="inlineStr"/>
      <c r="N2180" t="inlineStr">
        <is>
          <t>1415319200</t>
        </is>
      </c>
      <c r="O2180">
        <f>M2180=N2180</f>
        <v/>
      </c>
      <c r="P2180">
        <f>AND(MONTH(F2180)=MONTH(S2180), YEAR(F2180)=YEAR(S2180))</f>
        <v/>
      </c>
      <c r="Q2180">
        <f>"L001-902303751"=U2180</f>
        <v/>
      </c>
      <c r="R2180">
        <f>G2180-W2180</f>
        <v/>
      </c>
      <c r="S2180" s="36" t="n">
        <v>45443</v>
      </c>
      <c r="T2180" t="n">
        <v>14153192</v>
      </c>
      <c r="U2180" t="inlineStr">
        <is>
          <t>L001-100047149</t>
        </is>
      </c>
      <c r="V2180" t="inlineStr">
        <is>
          <t>ធនាគារ អេស៊ីលីដា ភីអិលស៊ី</t>
        </is>
      </c>
      <c r="W2180" t="n">
        <v>14153192</v>
      </c>
      <c r="X2180" t="n">
        <v>0</v>
      </c>
    </row>
    <row r="2181">
      <c r="I2181">
        <f>G2181</f>
        <v/>
      </c>
      <c r="K2181">
        <f>I2181-G2181</f>
        <v/>
      </c>
      <c r="M2181" t="inlineStr"/>
      <c r="N2181" t="inlineStr">
        <is>
          <t>57981200</t>
        </is>
      </c>
      <c r="O2181">
        <f>M2181=N2181</f>
        <v/>
      </c>
      <c r="P2181">
        <f>AND(MONTH(F2181)=MONTH(S2181), YEAR(F2181)=YEAR(S2181))</f>
        <v/>
      </c>
      <c r="Q2181">
        <f>"L001-902303751"=U2181</f>
        <v/>
      </c>
      <c r="R2181">
        <f>G2181-W2181</f>
        <v/>
      </c>
      <c r="S2181" s="36" t="n">
        <v>45418</v>
      </c>
      <c r="T2181" t="n">
        <v>579812</v>
      </c>
      <c r="U2181" t="inlineStr">
        <is>
          <t>L001-100078885</t>
        </is>
      </c>
      <c r="V2181" t="inlineStr">
        <is>
          <t>អង្គរ ដាតា ខមម្ញូនីខេសិន គ្រុប (អេ ឌី​ ស៊ី)</t>
        </is>
      </c>
      <c r="W2181" t="n">
        <v>579812</v>
      </c>
      <c r="X2181" t="n">
        <v>0</v>
      </c>
    </row>
    <row r="2182">
      <c r="I2182">
        <f>G2182</f>
        <v/>
      </c>
      <c r="K2182">
        <f>I2182-G2182</f>
        <v/>
      </c>
      <c r="M2182" t="inlineStr"/>
      <c r="N2182" t="inlineStr">
        <is>
          <t>3664800</t>
        </is>
      </c>
      <c r="O2182">
        <f>M2182=N2182</f>
        <v/>
      </c>
      <c r="P2182">
        <f>AND(MONTH(F2182)=MONTH(S2182), YEAR(F2182)=YEAR(S2182))</f>
        <v/>
      </c>
      <c r="Q2182">
        <f>"L001-902303751"=U2182</f>
        <v/>
      </c>
      <c r="R2182">
        <f>G2182-W2182</f>
        <v/>
      </c>
      <c r="S2182" s="36" t="n">
        <v>45415</v>
      </c>
      <c r="T2182" t="n">
        <v>36648</v>
      </c>
      <c r="U2182" t="inlineStr">
        <is>
          <t>L001-100078885</t>
        </is>
      </c>
      <c r="V2182" t="inlineStr">
        <is>
          <t>អង្គរ ដាតា ខមម្ញូនីខេសិន គ្រុប (អេ ឌី​ ស៊ី)</t>
        </is>
      </c>
      <c r="W2182" t="n">
        <v>36648</v>
      </c>
      <c r="X2182" t="n">
        <v>0</v>
      </c>
    </row>
    <row r="2183">
      <c r="I2183">
        <f>G2183</f>
        <v/>
      </c>
      <c r="K2183">
        <f>I2183-G2183</f>
        <v/>
      </c>
      <c r="M2183" t="inlineStr"/>
      <c r="N2183" t="inlineStr">
        <is>
          <t>1169015100</t>
        </is>
      </c>
      <c r="O2183">
        <f>M2183=N2183</f>
        <v/>
      </c>
      <c r="P2183">
        <f>AND(MONTH(F2183)=MONTH(S2183), YEAR(F2183)=YEAR(S2183))</f>
        <v/>
      </c>
      <c r="Q2183">
        <f>"L001-902303751"=U2183</f>
        <v/>
      </c>
      <c r="R2183">
        <f>G2183-W2183</f>
        <v/>
      </c>
      <c r="S2183" s="36" t="n">
        <v>45471</v>
      </c>
      <c r="T2183" t="n">
        <v>11690151</v>
      </c>
      <c r="U2183" t="inlineStr">
        <is>
          <t>L001-100047149</t>
        </is>
      </c>
      <c r="V2183" t="inlineStr">
        <is>
          <t>ធនាគារ អេស៊ីលីដា ភីអិលស៊ី</t>
        </is>
      </c>
      <c r="W2183" t="n">
        <v>11690151</v>
      </c>
      <c r="X2183" t="n">
        <v>0</v>
      </c>
    </row>
    <row r="2184">
      <c r="I2184">
        <f>G2184</f>
        <v/>
      </c>
      <c r="K2184">
        <f>I2184-G2184</f>
        <v/>
      </c>
      <c r="M2184" t="inlineStr"/>
      <c r="N2184" t="inlineStr">
        <is>
          <t>3693600</t>
        </is>
      </c>
      <c r="O2184">
        <f>M2184=N2184</f>
        <v/>
      </c>
      <c r="P2184">
        <f>AND(MONTH(F2184)=MONTH(S2184), YEAR(F2184)=YEAR(S2184))</f>
        <v/>
      </c>
      <c r="Q2184">
        <f>"L001-902303751"=U2184</f>
        <v/>
      </c>
      <c r="R2184">
        <f>G2184-W2184</f>
        <v/>
      </c>
      <c r="S2184" s="36" t="n">
        <v>45447</v>
      </c>
      <c r="T2184" t="n">
        <v>36936</v>
      </c>
      <c r="U2184" t="inlineStr">
        <is>
          <t>L001-100129250</t>
        </is>
      </c>
      <c r="V2184" t="inlineStr">
        <is>
          <t>អេស.អាយ គ្រុប</t>
        </is>
      </c>
      <c r="W2184" t="n">
        <v>36936</v>
      </c>
      <c r="X2184" t="n">
        <v>0</v>
      </c>
    </row>
    <row r="2185">
      <c r="I2185">
        <f>G2185</f>
        <v/>
      </c>
      <c r="K2185">
        <f>I2185-G2185</f>
        <v/>
      </c>
      <c r="M2185" t="inlineStr"/>
      <c r="N2185" t="inlineStr">
        <is>
          <t>28333100</t>
        </is>
      </c>
      <c r="O2185">
        <f>M2185=N2185</f>
        <v/>
      </c>
      <c r="P2185">
        <f>AND(MONTH(F2185)=MONTH(S2185), YEAR(F2185)=YEAR(S2185))</f>
        <v/>
      </c>
      <c r="Q2185">
        <f>"L001-902303751"=U2185</f>
        <v/>
      </c>
      <c r="R2185">
        <f>G2185-W2185</f>
        <v/>
      </c>
      <c r="S2185" s="36" t="n">
        <v>45448</v>
      </c>
      <c r="T2185" t="n">
        <v>283331</v>
      </c>
      <c r="U2185" t="inlineStr">
        <is>
          <t>L001-100078885</t>
        </is>
      </c>
      <c r="V2185" t="inlineStr">
        <is>
          <t>អង្គរ ដាតា ខមម្ញូនីខេសិន គ្រុប (អេ ឌី​ ស៊ី)</t>
        </is>
      </c>
      <c r="W2185" t="n">
        <v>283331</v>
      </c>
      <c r="X2185" t="n">
        <v>0</v>
      </c>
    </row>
    <row r="2186">
      <c r="I2186">
        <f>G2186</f>
        <v/>
      </c>
      <c r="K2186">
        <f>I2186-G2186</f>
        <v/>
      </c>
      <c r="M2186" t="inlineStr"/>
      <c r="N2186" t="inlineStr">
        <is>
          <t>3693600</t>
        </is>
      </c>
      <c r="O2186">
        <f>M2186=N2186</f>
        <v/>
      </c>
      <c r="P2186">
        <f>AND(MONTH(F2186)=MONTH(S2186), YEAR(F2186)=YEAR(S2186))</f>
        <v/>
      </c>
      <c r="Q2186">
        <f>"L001-902303751"=U2186</f>
        <v/>
      </c>
      <c r="R2186">
        <f>G2186-W2186</f>
        <v/>
      </c>
      <c r="S2186" s="36" t="n">
        <v>45447</v>
      </c>
      <c r="T2186" t="n">
        <v>36936</v>
      </c>
      <c r="U2186" t="inlineStr">
        <is>
          <t>L001-100078885</t>
        </is>
      </c>
      <c r="V2186" t="inlineStr">
        <is>
          <t>អង្គរ ដាតា ខមម្ញូនីខេសិន គ្រុប (អេ ឌី​ ស៊ី)</t>
        </is>
      </c>
      <c r="W2186" t="n">
        <v>36936</v>
      </c>
      <c r="X2186" t="n">
        <v>0</v>
      </c>
    </row>
    <row r="2187">
      <c r="I2187">
        <f>G2187</f>
        <v/>
      </c>
      <c r="K2187">
        <f>I2187-G2187</f>
        <v/>
      </c>
      <c r="M2187" t="inlineStr"/>
      <c r="N2187" t="inlineStr">
        <is>
          <t>3705300</t>
        </is>
      </c>
      <c r="O2187">
        <f>M2187=N2187</f>
        <v/>
      </c>
      <c r="P2187">
        <f>AND(MONTH(F2187)=MONTH(S2187), YEAR(F2187)=YEAR(S2187))</f>
        <v/>
      </c>
      <c r="Q2187">
        <f>"L001-902303751"=U2187</f>
        <v/>
      </c>
      <c r="R2187">
        <f>G2187-W2187</f>
        <v/>
      </c>
      <c r="S2187" s="36" t="n">
        <v>45478</v>
      </c>
      <c r="T2187" t="n">
        <v>37053</v>
      </c>
      <c r="U2187" t="inlineStr">
        <is>
          <t>L001-100129250</t>
        </is>
      </c>
      <c r="V2187" t="inlineStr">
        <is>
          <t>អេស.អាយ គ្រុប</t>
        </is>
      </c>
      <c r="W2187" t="n">
        <v>37053</v>
      </c>
      <c r="X2187" t="n">
        <v>0</v>
      </c>
    </row>
    <row r="2188">
      <c r="I2188">
        <f>G2188</f>
        <v/>
      </c>
      <c r="K2188">
        <f>I2188-G2188</f>
        <v/>
      </c>
      <c r="M2188" t="inlineStr"/>
      <c r="N2188" t="inlineStr">
        <is>
          <t>19563000</t>
        </is>
      </c>
      <c r="O2188">
        <f>M2188=N2188</f>
        <v/>
      </c>
      <c r="P2188">
        <f>AND(MONTH(F2188)=MONTH(S2188), YEAR(F2188)=YEAR(S2188))</f>
        <v/>
      </c>
      <c r="Q2188">
        <f>"L001-902303751"=U2188</f>
        <v/>
      </c>
      <c r="R2188">
        <f>G2188-W2188</f>
        <v/>
      </c>
      <c r="S2188" s="36" t="n">
        <v>45482</v>
      </c>
      <c r="T2188" t="n">
        <v>195630</v>
      </c>
      <c r="U2188" t="inlineStr">
        <is>
          <t>L001-100078885</t>
        </is>
      </c>
      <c r="V2188" t="inlineStr">
        <is>
          <t>អង្គរ ដាតា ខមម្ញូនីខេសិន គ្រុប (អេ ឌី​ ស៊ី)</t>
        </is>
      </c>
      <c r="W2188" t="n">
        <v>195630</v>
      </c>
      <c r="X2188" t="n">
        <v>0</v>
      </c>
    </row>
    <row r="2189">
      <c r="I2189">
        <f>G2189</f>
        <v/>
      </c>
      <c r="K2189">
        <f>I2189-G2189</f>
        <v/>
      </c>
      <c r="M2189" t="inlineStr"/>
      <c r="N2189" t="inlineStr">
        <is>
          <t>1512414700</t>
        </is>
      </c>
      <c r="O2189">
        <f>M2189=N2189</f>
        <v/>
      </c>
      <c r="P2189">
        <f>AND(MONTH(F2189)=MONTH(S2189), YEAR(F2189)=YEAR(S2189))</f>
        <v/>
      </c>
      <c r="Q2189">
        <f>"L001-902303751"=U2189</f>
        <v/>
      </c>
      <c r="R2189">
        <f>G2189-W2189</f>
        <v/>
      </c>
      <c r="S2189" s="36" t="n">
        <v>45504</v>
      </c>
      <c r="T2189" t="n">
        <v>15124147</v>
      </c>
      <c r="U2189" t="inlineStr">
        <is>
          <t>L001-100047149</t>
        </is>
      </c>
      <c r="V2189" t="inlineStr">
        <is>
          <t>ធនាគារ អេស៊ីលីដា ភីអិលស៊ី</t>
        </is>
      </c>
      <c r="W2189" t="n">
        <v>15124147</v>
      </c>
      <c r="X2189" t="n">
        <v>0</v>
      </c>
    </row>
    <row r="2190">
      <c r="I2190">
        <f>G2190</f>
        <v/>
      </c>
      <c r="K2190">
        <f>I2190-G2190</f>
        <v/>
      </c>
      <c r="M2190" t="inlineStr"/>
      <c r="N2190" t="inlineStr">
        <is>
          <t>3705300</t>
        </is>
      </c>
      <c r="O2190">
        <f>M2190=N2190</f>
        <v/>
      </c>
      <c r="P2190">
        <f>AND(MONTH(F2190)=MONTH(S2190), YEAR(F2190)=YEAR(S2190))</f>
        <v/>
      </c>
      <c r="Q2190">
        <f>"L001-902303751"=U2190</f>
        <v/>
      </c>
      <c r="R2190">
        <f>G2190-W2190</f>
        <v/>
      </c>
      <c r="S2190" s="36" t="n">
        <v>45478</v>
      </c>
      <c r="T2190" t="n">
        <v>37053</v>
      </c>
      <c r="U2190" t="inlineStr">
        <is>
          <t>L001-100078885</t>
        </is>
      </c>
      <c r="V2190" t="inlineStr">
        <is>
          <t>អង្គរ ដាតា ខមម្ញូនីខេសិន គ្រុប (អេ ឌី​ ស៊ី)</t>
        </is>
      </c>
      <c r="W2190" t="n">
        <v>37053</v>
      </c>
      <c r="X2190" t="n">
        <v>0</v>
      </c>
    </row>
    <row r="2191">
      <c r="I2191">
        <f>G2191</f>
        <v/>
      </c>
      <c r="K2191">
        <f>I2191-G2191</f>
        <v/>
      </c>
      <c r="M2191" t="inlineStr"/>
      <c r="N2191" t="inlineStr">
        <is>
          <t>45811000</t>
        </is>
      </c>
      <c r="O2191">
        <f>M2191=N2191</f>
        <v/>
      </c>
      <c r="P2191">
        <f>AND(MONTH(F2191)=MONTH(S2191), YEAR(F2191)=YEAR(S2191))</f>
        <v/>
      </c>
      <c r="Q2191">
        <f>"L001-902303751"=U2191</f>
        <v/>
      </c>
      <c r="R2191">
        <f>G2191-W2191</f>
        <v/>
      </c>
      <c r="S2191" s="36" t="n">
        <v>45497</v>
      </c>
      <c r="T2191" t="n">
        <v>458110</v>
      </c>
      <c r="U2191" t="inlineStr">
        <is>
          <t>L001-100047149</t>
        </is>
      </c>
      <c r="V2191" t="inlineStr">
        <is>
          <t>ធនាគារ អេស៊ីលីដា ភីអិលស៊ី</t>
        </is>
      </c>
      <c r="W2191" t="n">
        <v>458110</v>
      </c>
      <c r="X2191" t="n">
        <v>0</v>
      </c>
    </row>
    <row r="2192">
      <c r="I2192">
        <f>G2192</f>
        <v/>
      </c>
      <c r="K2192">
        <f>I2192-G2192</f>
        <v/>
      </c>
      <c r="M2192" t="inlineStr"/>
      <c r="N2192" t="inlineStr">
        <is>
          <t>1237029500</t>
        </is>
      </c>
      <c r="O2192">
        <f>M2192=N2192</f>
        <v/>
      </c>
      <c r="P2192">
        <f>AND(MONTH(F2192)=MONTH(S2192), YEAR(F2192)=YEAR(S2192))</f>
        <v/>
      </c>
      <c r="Q2192">
        <f>"L001-902303751"=U2192</f>
        <v/>
      </c>
      <c r="R2192">
        <f>G2192-W2192</f>
        <v/>
      </c>
      <c r="S2192" s="36" t="n">
        <v>45534</v>
      </c>
      <c r="T2192" t="n">
        <v>12370295</v>
      </c>
      <c r="U2192" t="inlineStr">
        <is>
          <t>L001-100047149</t>
        </is>
      </c>
      <c r="V2192" t="inlineStr">
        <is>
          <t>ធនាគារ អេស៊ីលីដា ភីអិលស៊ី</t>
        </is>
      </c>
      <c r="W2192" t="n">
        <v>12370295</v>
      </c>
      <c r="X2192" t="n">
        <v>0</v>
      </c>
    </row>
    <row r="2193">
      <c r="I2193">
        <f>G2193</f>
        <v/>
      </c>
      <c r="K2193">
        <f>I2193-G2193</f>
        <v/>
      </c>
      <c r="M2193" t="inlineStr"/>
      <c r="N2193" t="inlineStr">
        <is>
          <t>3697200</t>
        </is>
      </c>
      <c r="O2193">
        <f>M2193=N2193</f>
        <v/>
      </c>
      <c r="P2193">
        <f>AND(MONTH(F2193)=MONTH(S2193), YEAR(F2193)=YEAR(S2193))</f>
        <v/>
      </c>
      <c r="Q2193">
        <f>"L001-902303751"=U2193</f>
        <v/>
      </c>
      <c r="R2193">
        <f>G2193-W2193</f>
        <v/>
      </c>
      <c r="S2193" s="36" t="n">
        <v>45511</v>
      </c>
      <c r="T2193" t="n">
        <v>36972</v>
      </c>
      <c r="U2193" t="inlineStr">
        <is>
          <t>L001-100078885</t>
        </is>
      </c>
      <c r="V2193" t="inlineStr">
        <is>
          <t>អង្គរ ដាតា ខមម្ញូនីខេសិន គ្រុប (អេ ឌី​ ស៊ី)</t>
        </is>
      </c>
      <c r="W2193" t="n">
        <v>36972</v>
      </c>
      <c r="X2193" t="n">
        <v>0</v>
      </c>
    </row>
    <row r="2194">
      <c r="I2194">
        <f>G2194</f>
        <v/>
      </c>
      <c r="K2194">
        <f>I2194-G2194</f>
        <v/>
      </c>
      <c r="M2194" t="inlineStr"/>
      <c r="N2194" t="inlineStr">
        <is>
          <t>21092600</t>
        </is>
      </c>
      <c r="O2194">
        <f>M2194=N2194</f>
        <v/>
      </c>
      <c r="P2194">
        <f>AND(MONTH(F2194)=MONTH(S2194), YEAR(F2194)=YEAR(S2194))</f>
        <v/>
      </c>
      <c r="Q2194">
        <f>"L001-902303751"=U2194</f>
        <v/>
      </c>
      <c r="R2194">
        <f>G2194-W2194</f>
        <v/>
      </c>
      <c r="S2194" s="36" t="n">
        <v>45510</v>
      </c>
      <c r="T2194" t="n">
        <v>210926</v>
      </c>
      <c r="U2194" t="inlineStr">
        <is>
          <t>L001-100078885</t>
        </is>
      </c>
      <c r="V2194" t="inlineStr">
        <is>
          <t>អង្គរ ដាតា ខមម្ញូនីខេសិន គ្រុប (អេ ឌី​ ស៊ី)</t>
        </is>
      </c>
      <c r="W2194" t="n">
        <v>210926</v>
      </c>
      <c r="X2194" t="n">
        <v>0</v>
      </c>
    </row>
    <row r="2195">
      <c r="I2195">
        <f>G2195</f>
        <v/>
      </c>
      <c r="K2195">
        <f>I2195-G2195</f>
        <v/>
      </c>
      <c r="M2195" t="inlineStr"/>
      <c r="N2195" t="inlineStr">
        <is>
          <t>1220604100</t>
        </is>
      </c>
      <c r="O2195">
        <f>M2195=N2195</f>
        <v/>
      </c>
      <c r="P2195">
        <f>AND(MONTH(F2195)=MONTH(S2195), YEAR(F2195)=YEAR(S2195))</f>
        <v/>
      </c>
      <c r="Q2195">
        <f>"L001-902303751"=U2195</f>
        <v/>
      </c>
      <c r="R2195">
        <f>G2195-W2195</f>
        <v/>
      </c>
      <c r="S2195" s="36" t="n">
        <v>45565</v>
      </c>
      <c r="T2195" t="n">
        <v>12206041</v>
      </c>
      <c r="U2195" t="inlineStr">
        <is>
          <t>L001-100047149</t>
        </is>
      </c>
      <c r="V2195" t="inlineStr">
        <is>
          <t>ធនាគារ អេស៊ីលីដា ភីអិលស៊ី</t>
        </is>
      </c>
      <c r="W2195" t="n">
        <v>12206041</v>
      </c>
      <c r="X2195" t="n">
        <v>0</v>
      </c>
    </row>
    <row r="2196">
      <c r="I2196">
        <f>G2196</f>
        <v/>
      </c>
      <c r="K2196">
        <f>I2196-G2196</f>
        <v/>
      </c>
      <c r="M2196" t="inlineStr"/>
      <c r="N2196" t="inlineStr">
        <is>
          <t>19397000</t>
        </is>
      </c>
      <c r="O2196">
        <f>M2196=N2196</f>
        <v/>
      </c>
      <c r="P2196">
        <f>AND(MONTH(F2196)=MONTH(S2196), YEAR(F2196)=YEAR(S2196))</f>
        <v/>
      </c>
      <c r="Q2196">
        <f>"L001-902303751"=U2196</f>
        <v/>
      </c>
      <c r="R2196">
        <f>G2196-W2196</f>
        <v/>
      </c>
      <c r="S2196" s="36" t="n">
        <v>45545</v>
      </c>
      <c r="T2196" t="n">
        <v>193970</v>
      </c>
      <c r="U2196" t="inlineStr">
        <is>
          <t>L001-100078885</t>
        </is>
      </c>
      <c r="V2196" t="inlineStr">
        <is>
          <t>អង្គរ ដាតា ខមម្ញូនីខេសិន គ្រុប (អេ ឌី​ ស៊ី)</t>
        </is>
      </c>
      <c r="W2196" t="n">
        <v>193970</v>
      </c>
      <c r="X2196" t="n">
        <v>0</v>
      </c>
    </row>
    <row r="2197">
      <c r="I2197">
        <f>G2197</f>
        <v/>
      </c>
      <c r="K2197">
        <f>I2197-G2197</f>
        <v/>
      </c>
      <c r="M2197" t="inlineStr"/>
      <c r="N2197" t="inlineStr">
        <is>
          <t>3655800</t>
        </is>
      </c>
      <c r="O2197">
        <f>M2197=N2197</f>
        <v/>
      </c>
      <c r="P2197">
        <f>AND(MONTH(F2197)=MONTH(S2197), YEAR(F2197)=YEAR(S2197))</f>
        <v/>
      </c>
      <c r="Q2197">
        <f>"L001-902303751"=U2197</f>
        <v/>
      </c>
      <c r="R2197">
        <f>G2197-W2197</f>
        <v/>
      </c>
      <c r="S2197" s="36" t="n">
        <v>45538</v>
      </c>
      <c r="T2197" t="n">
        <v>36558</v>
      </c>
      <c r="U2197" t="inlineStr">
        <is>
          <t>L001-100078885</t>
        </is>
      </c>
      <c r="V2197" t="inlineStr">
        <is>
          <t>អង្គរ ដាតា ខមម្ញូនីខេសិន គ្រុប (អេ ឌី​ ស៊ី)</t>
        </is>
      </c>
      <c r="W2197" t="n">
        <v>36558</v>
      </c>
      <c r="X2197" t="n">
        <v>0</v>
      </c>
    </row>
    <row r="2198">
      <c r="I2198">
        <f>G2198</f>
        <v/>
      </c>
      <c r="K2198">
        <f>I2198-G2198</f>
        <v/>
      </c>
      <c r="M2198" t="inlineStr"/>
      <c r="N2198" t="inlineStr">
        <is>
          <t>1856700</t>
        </is>
      </c>
      <c r="O2198">
        <f>M2198=N2198</f>
        <v/>
      </c>
      <c r="P2198">
        <f>AND(MONTH(F2198)=MONTH(S2198), YEAR(F2198)=YEAR(S2198))</f>
        <v/>
      </c>
      <c r="Q2198">
        <f>"L001-902303751"=U2198</f>
        <v/>
      </c>
      <c r="R2198">
        <f>G2198-W2198</f>
        <v/>
      </c>
      <c r="S2198" s="36" t="n">
        <v>45203</v>
      </c>
      <c r="T2198" t="n">
        <v>18567</v>
      </c>
      <c r="U2198" t="inlineStr">
        <is>
          <t>L001-100078885</t>
        </is>
      </c>
      <c r="V2198" t="inlineStr">
        <is>
          <t>អង្គរ ដាតា ខមម្ញូនីខេសិន គ្រុប (អេ ឌី​ ស៊ី)</t>
        </is>
      </c>
      <c r="W2198" t="n">
        <v>18567</v>
      </c>
      <c r="X2198" t="n">
        <v>0</v>
      </c>
    </row>
    <row r="2199">
      <c r="I2199">
        <f>G2199</f>
        <v/>
      </c>
      <c r="K2199">
        <f>I2199-G2199</f>
        <v/>
      </c>
      <c r="M2199" t="inlineStr"/>
      <c r="N2199" t="inlineStr">
        <is>
          <t>3713400</t>
        </is>
      </c>
      <c r="O2199">
        <f>M2199=N2199</f>
        <v/>
      </c>
      <c r="P2199">
        <f>AND(MONTH(F2199)=MONTH(S2199), YEAR(F2199)=YEAR(S2199))</f>
        <v/>
      </c>
      <c r="Q2199">
        <f>"L001-902303751"=U2199</f>
        <v/>
      </c>
      <c r="R2199">
        <f>G2199-W2199</f>
        <v/>
      </c>
      <c r="S2199" s="36" t="n">
        <v>45203</v>
      </c>
      <c r="T2199" t="n">
        <v>37134</v>
      </c>
      <c r="U2199" t="inlineStr">
        <is>
          <t>L001-100078885</t>
        </is>
      </c>
      <c r="V2199" t="inlineStr">
        <is>
          <t>អង្គរ ដាតា ខមម្ញូនីខេសិន គ្រុប (អេ ឌី​ ស៊ី)</t>
        </is>
      </c>
      <c r="W2199" t="n">
        <v>37134</v>
      </c>
      <c r="X2199" t="n">
        <v>0</v>
      </c>
    </row>
    <row r="2200">
      <c r="I2200">
        <f>G2200</f>
        <v/>
      </c>
      <c r="K2200">
        <f>I2200-G2200</f>
        <v/>
      </c>
      <c r="M2200" t="inlineStr"/>
      <c r="N2200" t="inlineStr">
        <is>
          <t>170077500</t>
        </is>
      </c>
      <c r="O2200">
        <f>M2200=N2200</f>
        <v/>
      </c>
      <c r="P2200">
        <f>AND(MONTH(F2200)=MONTH(S2200), YEAR(F2200)=YEAR(S2200))</f>
        <v/>
      </c>
      <c r="Q2200">
        <f>"L001-902303751"=U2200</f>
        <v/>
      </c>
      <c r="R2200">
        <f>G2200-W2200</f>
        <v/>
      </c>
      <c r="S2200" s="36" t="n">
        <v>45208</v>
      </c>
      <c r="T2200" t="n">
        <v>1700775</v>
      </c>
      <c r="U2200" t="inlineStr">
        <is>
          <t>L001-100078885</t>
        </is>
      </c>
      <c r="V2200" t="inlineStr">
        <is>
          <t>អង្គរ ដាតា ខមម្ញូនីខេសិន គ្រុប (អេ ឌី​ ស៊ី)</t>
        </is>
      </c>
      <c r="W2200" t="n">
        <v>1700775</v>
      </c>
      <c r="X2200" t="n">
        <v>0</v>
      </c>
    </row>
    <row r="2201">
      <c r="I2201">
        <f>G2201</f>
        <v/>
      </c>
      <c r="K2201">
        <f>I2201-G2201</f>
        <v/>
      </c>
      <c r="M2201" t="inlineStr"/>
      <c r="N2201" t="inlineStr">
        <is>
          <t>3714300</t>
        </is>
      </c>
      <c r="O2201">
        <f>M2201=N2201</f>
        <v/>
      </c>
      <c r="P2201">
        <f>AND(MONTH(F2201)=MONTH(S2201), YEAR(F2201)=YEAR(S2201))</f>
        <v/>
      </c>
      <c r="Q2201">
        <f>"L001-902303751"=U2201</f>
        <v/>
      </c>
      <c r="R2201">
        <f>G2201-W2201</f>
        <v/>
      </c>
      <c r="S2201" s="36" t="n">
        <v>45202</v>
      </c>
      <c r="T2201" t="n">
        <v>37143</v>
      </c>
      <c r="U2201" t="inlineStr">
        <is>
          <t>L001-100129250</t>
        </is>
      </c>
      <c r="V2201" t="inlineStr">
        <is>
          <t>អេស.អាយ គ្រុប</t>
        </is>
      </c>
      <c r="W2201" t="n">
        <v>37143</v>
      </c>
      <c r="X2201" t="n">
        <v>0</v>
      </c>
    </row>
    <row r="2202">
      <c r="I2202">
        <f>G2202</f>
        <v/>
      </c>
      <c r="K2202">
        <f>I2202-G2202</f>
        <v/>
      </c>
      <c r="M2202" t="inlineStr"/>
      <c r="N2202" t="inlineStr">
        <is>
          <t>1247505100</t>
        </is>
      </c>
      <c r="O2202">
        <f>M2202=N2202</f>
        <v/>
      </c>
      <c r="P2202">
        <f>AND(MONTH(F2202)=MONTH(S2202), YEAR(F2202)=YEAR(S2202))</f>
        <v/>
      </c>
      <c r="Q2202">
        <f>"L001-902303751"=U2202</f>
        <v/>
      </c>
      <c r="R2202">
        <f>G2202-W2202</f>
        <v/>
      </c>
      <c r="S2202" s="36" t="n">
        <v>45230</v>
      </c>
      <c r="T2202" t="n">
        <v>12475051</v>
      </c>
      <c r="U2202" t="inlineStr">
        <is>
          <t>L001-100047149</t>
        </is>
      </c>
      <c r="V2202" t="inlineStr">
        <is>
          <t>ធនាគារ អេស៊ីលីដា ភីអិលស៊ី</t>
        </is>
      </c>
      <c r="W2202" t="n">
        <v>12475051</v>
      </c>
      <c r="X2202" t="n">
        <v>0</v>
      </c>
    </row>
    <row r="2203">
      <c r="I2203">
        <f>G2203</f>
        <v/>
      </c>
      <c r="K2203">
        <f>I2203-G2203</f>
        <v/>
      </c>
      <c r="M2203" t="inlineStr"/>
      <c r="N2203" t="inlineStr">
        <is>
          <t>1856700</t>
        </is>
      </c>
      <c r="O2203">
        <f>M2203=N2203</f>
        <v/>
      </c>
      <c r="P2203">
        <f>AND(MONTH(F2203)=MONTH(S2203), YEAR(F2203)=YEAR(S2203))</f>
        <v/>
      </c>
      <c r="Q2203">
        <f>"L001-902303751"=U2203</f>
        <v/>
      </c>
      <c r="R2203">
        <f>G2203-W2203</f>
        <v/>
      </c>
      <c r="S2203" s="36" t="n">
        <v>45203</v>
      </c>
      <c r="T2203" t="n">
        <v>18567</v>
      </c>
      <c r="U2203" t="inlineStr">
        <is>
          <t>L001-100078885</t>
        </is>
      </c>
      <c r="V2203" t="inlineStr">
        <is>
          <t>អង្គរ ដាតា ខមម្ញូនីខេសិន គ្រុប (អេ ឌី​ ស៊ី)</t>
        </is>
      </c>
      <c r="W2203" t="n">
        <v>18567</v>
      </c>
      <c r="X2203" t="n">
        <v>0</v>
      </c>
    </row>
    <row r="2204">
      <c r="I2204">
        <f>G2204</f>
        <v/>
      </c>
      <c r="K2204">
        <f>I2204-G2204</f>
        <v/>
      </c>
      <c r="M2204" t="inlineStr"/>
      <c r="N2204" t="inlineStr">
        <is>
          <t>19206400</t>
        </is>
      </c>
      <c r="O2204">
        <f>M2204=N2204</f>
        <v/>
      </c>
      <c r="P2204">
        <f>AND(MONTH(F2204)=MONTH(S2204), YEAR(F2204)=YEAR(S2204))</f>
        <v/>
      </c>
      <c r="Q2204">
        <f>"L001-902303751"=U2204</f>
        <v/>
      </c>
      <c r="R2204">
        <f>G2204-W2204</f>
        <v/>
      </c>
      <c r="S2204" s="36" t="n">
        <v>45581</v>
      </c>
      <c r="T2204" t="n">
        <v>192064</v>
      </c>
      <c r="U2204" t="inlineStr">
        <is>
          <t>L001-100078885</t>
        </is>
      </c>
      <c r="V2204" t="inlineStr">
        <is>
          <t>អង្គរ ដាតា ខមម្ញូនីខេសិន គ្រុប (អេ ឌី​ ស៊ី)</t>
        </is>
      </c>
      <c r="W2204" t="n">
        <v>192064</v>
      </c>
      <c r="X2204" t="n">
        <v>0</v>
      </c>
    </row>
    <row r="2205">
      <c r="I2205">
        <f>G2205</f>
        <v/>
      </c>
      <c r="K2205">
        <f>I2205-G2205</f>
        <v/>
      </c>
      <c r="M2205" t="inlineStr"/>
      <c r="N2205" t="inlineStr">
        <is>
          <t>3659400</t>
        </is>
      </c>
      <c r="O2205">
        <f>M2205=N2205</f>
        <v/>
      </c>
      <c r="P2205">
        <f>AND(MONTH(F2205)=MONTH(S2205), YEAR(F2205)=YEAR(S2205))</f>
        <v/>
      </c>
      <c r="Q2205">
        <f>"L001-902303751"=U2205</f>
        <v/>
      </c>
      <c r="R2205">
        <f>G2205-W2205</f>
        <v/>
      </c>
      <c r="S2205" s="36" t="n">
        <v>45575</v>
      </c>
      <c r="T2205" t="n">
        <v>36594</v>
      </c>
      <c r="U2205" t="inlineStr">
        <is>
          <t>L001-100078885</t>
        </is>
      </c>
      <c r="V2205" t="inlineStr">
        <is>
          <t>អង្គរ ដាតា ខមម្ញូនីខេសិន គ្រុប (អេ ឌី​ ស៊ី)</t>
        </is>
      </c>
      <c r="W2205" t="n">
        <v>36594</v>
      </c>
      <c r="X2205" t="n">
        <v>0</v>
      </c>
    </row>
    <row r="2206">
      <c r="I2206">
        <f>G2206</f>
        <v/>
      </c>
      <c r="K2206">
        <f>I2206-G2206</f>
        <v/>
      </c>
      <c r="M2206" t="inlineStr"/>
      <c r="N2206" t="inlineStr">
        <is>
          <t>1372536400</t>
        </is>
      </c>
      <c r="O2206">
        <f>M2206=N2206</f>
        <v/>
      </c>
      <c r="P2206">
        <f>AND(MONTH(F2206)=MONTH(S2206), YEAR(F2206)=YEAR(S2206))</f>
        <v/>
      </c>
      <c r="Q2206">
        <f>"L001-902303751"=U2206</f>
        <v/>
      </c>
      <c r="R2206">
        <f>G2206-W2206</f>
        <v/>
      </c>
      <c r="S2206" s="36" t="n">
        <v>45596</v>
      </c>
      <c r="T2206" t="n">
        <v>13725364</v>
      </c>
      <c r="U2206" t="inlineStr">
        <is>
          <t>L001-100047149</t>
        </is>
      </c>
      <c r="V2206" t="inlineStr">
        <is>
          <t>ធនាគារ អេស៊ីលីដា ភីអិលស៊ី</t>
        </is>
      </c>
      <c r="W2206" t="n">
        <v>13725364</v>
      </c>
      <c r="X2206" t="n">
        <v>0</v>
      </c>
    </row>
    <row r="2207">
      <c r="I2207">
        <f>G2207</f>
        <v/>
      </c>
      <c r="K2207">
        <f>I2207-G2207</f>
        <v/>
      </c>
      <c r="M2207" t="inlineStr"/>
      <c r="N2207" t="inlineStr">
        <is>
          <t>40524200</t>
        </is>
      </c>
      <c r="O2207">
        <f>M2207=N2207</f>
        <v/>
      </c>
      <c r="P2207">
        <f>AND(MONTH(F2207)=MONTH(S2207), YEAR(F2207)=YEAR(S2207))</f>
        <v/>
      </c>
      <c r="Q2207">
        <f>"L001-902303751"=U2207</f>
        <v/>
      </c>
      <c r="R2207">
        <f>G2207-W2207</f>
        <v/>
      </c>
      <c r="S2207" s="36" t="n">
        <v>45237</v>
      </c>
      <c r="T2207" t="n">
        <v>405242</v>
      </c>
      <c r="U2207" t="inlineStr">
        <is>
          <t>L001-100078885</t>
        </is>
      </c>
      <c r="V2207" t="inlineStr">
        <is>
          <t>អង្គរ ដាតា ខមម្ញូនីខេសិន គ្រុប (អេ ឌី​ ស៊ី)</t>
        </is>
      </c>
      <c r="W2207" t="n">
        <v>405242</v>
      </c>
      <c r="X2207" t="n">
        <v>0</v>
      </c>
    </row>
    <row r="2208">
      <c r="I2208">
        <f>G2208</f>
        <v/>
      </c>
      <c r="K2208">
        <f>I2208-G2208</f>
        <v/>
      </c>
      <c r="M2208" t="inlineStr"/>
      <c r="N2208" t="inlineStr">
        <is>
          <t>1161438200</t>
        </is>
      </c>
      <c r="O2208">
        <f>M2208=N2208</f>
        <v/>
      </c>
      <c r="P2208">
        <f>AND(MONTH(F2208)=MONTH(S2208), YEAR(F2208)=YEAR(S2208))</f>
        <v/>
      </c>
      <c r="Q2208">
        <f>"L001-902303751"=U2208</f>
        <v/>
      </c>
      <c r="R2208">
        <f>G2208-W2208</f>
        <v/>
      </c>
      <c r="S2208" s="36" t="n">
        <v>45260</v>
      </c>
      <c r="T2208" t="n">
        <v>11614382</v>
      </c>
      <c r="U2208" t="inlineStr">
        <is>
          <t>L001-100047149</t>
        </is>
      </c>
      <c r="V2208" t="inlineStr">
        <is>
          <t>ធនាគារ អេស៊ីលីដា ភីអិលស៊ី</t>
        </is>
      </c>
      <c r="W2208" t="n">
        <v>11614382</v>
      </c>
      <c r="X2208" t="n">
        <v>0</v>
      </c>
    </row>
    <row r="2209">
      <c r="I2209">
        <f>G2209</f>
        <v/>
      </c>
      <c r="K2209">
        <f>I2209-G2209</f>
        <v/>
      </c>
      <c r="M2209" t="inlineStr"/>
      <c r="N2209" t="inlineStr">
        <is>
          <t>3717900</t>
        </is>
      </c>
      <c r="O2209">
        <f>M2209=N2209</f>
        <v/>
      </c>
      <c r="P2209">
        <f>AND(MONTH(F2209)=MONTH(S2209), YEAR(F2209)=YEAR(S2209))</f>
        <v/>
      </c>
      <c r="Q2209">
        <f>"L001-902303751"=U2209</f>
        <v/>
      </c>
      <c r="R2209">
        <f>G2209-W2209</f>
        <v/>
      </c>
      <c r="S2209" s="36" t="n">
        <v>45233</v>
      </c>
      <c r="T2209" t="n">
        <v>37179</v>
      </c>
      <c r="U2209" t="inlineStr">
        <is>
          <t>L001-100129250</t>
        </is>
      </c>
      <c r="V2209" t="inlineStr">
        <is>
          <t>អេស.អាយ គ្រុប</t>
        </is>
      </c>
      <c r="W2209" t="n">
        <v>37179</v>
      </c>
      <c r="X2209" t="n">
        <v>0</v>
      </c>
    </row>
    <row r="2210">
      <c r="I2210">
        <f>G2210</f>
        <v/>
      </c>
      <c r="K2210">
        <f>I2210-G2210</f>
        <v/>
      </c>
      <c r="M2210" t="inlineStr"/>
      <c r="N2210" t="inlineStr">
        <is>
          <t>1858900</t>
        </is>
      </c>
      <c r="O2210">
        <f>M2210=N2210</f>
        <v/>
      </c>
      <c r="P2210">
        <f>AND(MONTH(F2210)=MONTH(S2210), YEAR(F2210)=YEAR(S2210))</f>
        <v/>
      </c>
      <c r="Q2210">
        <f>"L001-902303751"=U2210</f>
        <v/>
      </c>
      <c r="R2210">
        <f>G2210-W2210</f>
        <v/>
      </c>
      <c r="S2210" s="36" t="n">
        <v>45233</v>
      </c>
      <c r="T2210" t="n">
        <v>18589</v>
      </c>
      <c r="U2210" t="inlineStr">
        <is>
          <t>L001-100078885</t>
        </is>
      </c>
      <c r="V2210" t="inlineStr">
        <is>
          <t>អង្គរ ដាតា ខមម្ញូនីខេសិន គ្រុប (អេ ឌី​ ស៊ី)</t>
        </is>
      </c>
      <c r="W2210" t="n">
        <v>18589</v>
      </c>
      <c r="X2210" t="n">
        <v>0</v>
      </c>
    </row>
    <row r="2211">
      <c r="I2211">
        <f>G2211</f>
        <v/>
      </c>
      <c r="K2211">
        <f>I2211-G2211</f>
        <v/>
      </c>
      <c r="M2211" t="inlineStr"/>
      <c r="N2211" t="inlineStr">
        <is>
          <t>1858900</t>
        </is>
      </c>
      <c r="O2211">
        <f>M2211=N2211</f>
        <v/>
      </c>
      <c r="P2211">
        <f>AND(MONTH(F2211)=MONTH(S2211), YEAR(F2211)=YEAR(S2211))</f>
        <v/>
      </c>
      <c r="Q2211">
        <f>"L001-902303751"=U2211</f>
        <v/>
      </c>
      <c r="R2211">
        <f>G2211-W2211</f>
        <v/>
      </c>
      <c r="S2211" s="36" t="n">
        <v>45233</v>
      </c>
      <c r="T2211" t="n">
        <v>18589</v>
      </c>
      <c r="U2211" t="inlineStr">
        <is>
          <t>L001-100078885</t>
        </is>
      </c>
      <c r="V2211" t="inlineStr">
        <is>
          <t>អង្គរ ដាតា ខមម្ញូនីខេសិន គ្រុប (អេ ឌី​ ស៊ី)</t>
        </is>
      </c>
      <c r="W2211" t="n">
        <v>18589</v>
      </c>
      <c r="X2211" t="n">
        <v>0</v>
      </c>
    </row>
    <row r="2212">
      <c r="I2212">
        <f>G2212</f>
        <v/>
      </c>
      <c r="K2212">
        <f>I2212-G2212</f>
        <v/>
      </c>
      <c r="M2212" t="inlineStr"/>
      <c r="N2212" t="inlineStr">
        <is>
          <t>3717900</t>
        </is>
      </c>
      <c r="O2212">
        <f>M2212=N2212</f>
        <v/>
      </c>
      <c r="P2212">
        <f>AND(MONTH(F2212)=MONTH(S2212), YEAR(F2212)=YEAR(S2212))</f>
        <v/>
      </c>
      <c r="Q2212">
        <f>"L001-902303751"=U2212</f>
        <v/>
      </c>
      <c r="R2212">
        <f>G2212-W2212</f>
        <v/>
      </c>
      <c r="S2212" s="36" t="n">
        <v>45233</v>
      </c>
      <c r="T2212" t="n">
        <v>37179</v>
      </c>
      <c r="U2212" t="inlineStr">
        <is>
          <t>L001-100078885</t>
        </is>
      </c>
      <c r="V2212" t="inlineStr">
        <is>
          <t>អង្គរ ដាតា ខមម្ញូនីខេសិន គ្រុប (អេ ឌី​ ស៊ី)</t>
        </is>
      </c>
      <c r="W2212" t="n">
        <v>37179</v>
      </c>
      <c r="X2212" t="n">
        <v>0</v>
      </c>
    </row>
    <row r="2213">
      <c r="I2213">
        <f>G2213</f>
        <v/>
      </c>
      <c r="K2213">
        <f>I2213-G2213</f>
        <v/>
      </c>
      <c r="M2213" t="inlineStr"/>
      <c r="N2213" t="inlineStr">
        <is>
          <t>19762100</t>
        </is>
      </c>
      <c r="O2213">
        <f>M2213=N2213</f>
        <v/>
      </c>
      <c r="P2213">
        <f>AND(MONTH(F2213)=MONTH(S2213), YEAR(F2213)=YEAR(S2213))</f>
        <v/>
      </c>
      <c r="Q2213">
        <f>"L001-902303751"=U2213</f>
        <v/>
      </c>
      <c r="R2213">
        <f>G2213-W2213</f>
        <v/>
      </c>
      <c r="S2213" s="36" t="n">
        <v>45608</v>
      </c>
      <c r="T2213" t="n">
        <v>197621</v>
      </c>
      <c r="U2213" t="inlineStr">
        <is>
          <t>L001-100078885</t>
        </is>
      </c>
      <c r="V2213" t="inlineStr">
        <is>
          <t>អង្គរ ដាតា ខមម្ញូនីខេសិន គ្រុប (អេ ឌី​ ស៊ី)</t>
        </is>
      </c>
      <c r="W2213" t="n">
        <v>197621</v>
      </c>
      <c r="X2213" t="n">
        <v>0</v>
      </c>
    </row>
    <row r="2214">
      <c r="I2214">
        <f>G2214</f>
        <v/>
      </c>
      <c r="K2214">
        <f>I2214-G2214</f>
        <v/>
      </c>
      <c r="M2214" t="inlineStr"/>
      <c r="N2214" t="inlineStr">
        <is>
          <t>3658500</t>
        </is>
      </c>
      <c r="O2214">
        <f>M2214=N2214</f>
        <v/>
      </c>
      <c r="P2214">
        <f>AND(MONTH(F2214)=MONTH(S2214), YEAR(F2214)=YEAR(S2214))</f>
        <v/>
      </c>
      <c r="Q2214">
        <f>"L001-902303751"=U2214</f>
        <v/>
      </c>
      <c r="R2214">
        <f>G2214-W2214</f>
        <v/>
      </c>
      <c r="S2214" s="36" t="n">
        <v>45601</v>
      </c>
      <c r="T2214" t="n">
        <v>36585</v>
      </c>
      <c r="U2214" t="inlineStr">
        <is>
          <t>L001-100078885</t>
        </is>
      </c>
      <c r="V2214" t="inlineStr">
        <is>
          <t>អង្គរ ដាតា ខមម្ញូនីខេសិន គ្រុប (អេ ឌី​ ស៊ី)</t>
        </is>
      </c>
      <c r="W2214" t="n">
        <v>36585</v>
      </c>
      <c r="X2214" t="n">
        <v>0</v>
      </c>
    </row>
    <row r="2215">
      <c r="I2215">
        <f>G2215</f>
        <v/>
      </c>
      <c r="K2215">
        <f>I2215-G2215</f>
        <v/>
      </c>
      <c r="M2215" t="inlineStr"/>
      <c r="N2215" t="inlineStr">
        <is>
          <t>906549400</t>
        </is>
      </c>
      <c r="O2215">
        <f>M2215=N2215</f>
        <v/>
      </c>
      <c r="P2215">
        <f>AND(MONTH(F2215)=MONTH(S2215), YEAR(F2215)=YEAR(S2215))</f>
        <v/>
      </c>
      <c r="Q2215">
        <f>"L001-902303751"=U2215</f>
        <v/>
      </c>
      <c r="R2215">
        <f>G2215-W2215</f>
        <v/>
      </c>
      <c r="S2215" s="36" t="n">
        <v>45625</v>
      </c>
      <c r="T2215" t="n">
        <v>9065494</v>
      </c>
      <c r="U2215" t="inlineStr">
        <is>
          <t>L001-100047149</t>
        </is>
      </c>
      <c r="V2215" t="inlineStr">
        <is>
          <t>ធនាគារ អេស៊ីលីដា ភីអិលស៊ី</t>
        </is>
      </c>
      <c r="W2215" t="n">
        <v>9065494</v>
      </c>
      <c r="X2215" t="n">
        <v>0</v>
      </c>
    </row>
    <row r="2216">
      <c r="I2216">
        <f>G2216</f>
        <v/>
      </c>
      <c r="K2216">
        <f>I2216-G2216</f>
        <v/>
      </c>
      <c r="M2216" t="inlineStr"/>
      <c r="N2216" t="inlineStr">
        <is>
          <t>36576000</t>
        </is>
      </c>
      <c r="O2216">
        <f>M2216=N2216</f>
        <v/>
      </c>
      <c r="P2216">
        <f>AND(MONTH(F2216)=MONTH(S2216), YEAR(F2216)=YEAR(S2216))</f>
        <v/>
      </c>
      <c r="Q2216">
        <f>"L001-902303751"=U2216</f>
        <v/>
      </c>
      <c r="R2216">
        <f>G2216-W2216</f>
        <v/>
      </c>
      <c r="S2216" s="36" t="n">
        <v>45602</v>
      </c>
      <c r="T2216" t="n">
        <v>365760</v>
      </c>
      <c r="U2216" t="inlineStr">
        <is>
          <t>L001-100181244</t>
        </is>
      </c>
      <c r="V2216" t="inlineStr">
        <is>
          <t>ខ្វាន់ទុម ហ្គាមេន ឯ.ក</t>
        </is>
      </c>
      <c r="W2216" t="n">
        <v>365760</v>
      </c>
      <c r="X2216" t="n">
        <v>0</v>
      </c>
    </row>
    <row r="2217">
      <c r="I2217">
        <f>G2217</f>
        <v/>
      </c>
      <c r="K2217">
        <f>I2217-G2217</f>
        <v/>
      </c>
      <c r="M2217" t="inlineStr"/>
      <c r="N2217" t="inlineStr">
        <is>
          <t>1850400</t>
        </is>
      </c>
      <c r="O2217">
        <f>M2217=N2217</f>
        <v/>
      </c>
      <c r="P2217">
        <f>AND(MONTH(F2217)=MONTH(S2217), YEAR(F2217)=YEAR(S2217))</f>
        <v/>
      </c>
      <c r="Q2217">
        <f>"L001-902303751"=U2217</f>
        <v/>
      </c>
      <c r="R2217">
        <f>G2217-W2217</f>
        <v/>
      </c>
      <c r="S2217" s="36" t="n">
        <v>45265</v>
      </c>
      <c r="T2217" t="n">
        <v>18504</v>
      </c>
      <c r="U2217" t="inlineStr">
        <is>
          <t>L001-100078885</t>
        </is>
      </c>
      <c r="V2217" t="inlineStr">
        <is>
          <t>អង្គរ ដាតា ខមម្ញូនីខេសិន គ្រុប (អេ ឌី​ ស៊ី)</t>
        </is>
      </c>
      <c r="W2217" t="n">
        <v>18504</v>
      </c>
      <c r="X2217" t="n">
        <v>0</v>
      </c>
    </row>
    <row r="2218">
      <c r="I2218">
        <f>G2218</f>
        <v/>
      </c>
      <c r="K2218">
        <f>I2218-G2218</f>
        <v/>
      </c>
      <c r="M2218" t="inlineStr"/>
      <c r="N2218" t="inlineStr">
        <is>
          <t>1363554400</t>
        </is>
      </c>
      <c r="O2218">
        <f>M2218=N2218</f>
        <v/>
      </c>
      <c r="P2218">
        <f>AND(MONTH(F2218)=MONTH(S2218), YEAR(F2218)=YEAR(S2218))</f>
        <v/>
      </c>
      <c r="Q2218">
        <f>"L001-902303751"=U2218</f>
        <v/>
      </c>
      <c r="R2218">
        <f>G2218-W2218</f>
        <v/>
      </c>
      <c r="S2218" s="36" t="n">
        <v>45289</v>
      </c>
      <c r="T2218" t="n">
        <v>13635544</v>
      </c>
      <c r="U2218" t="inlineStr">
        <is>
          <t>L001-100047149</t>
        </is>
      </c>
      <c r="V2218" t="inlineStr">
        <is>
          <t>ធនាគារ អេស៊ីលីដា ភីអិលស៊ី</t>
        </is>
      </c>
      <c r="W2218" t="n">
        <v>13635544</v>
      </c>
      <c r="X2218" t="n">
        <v>0</v>
      </c>
    </row>
    <row r="2219">
      <c r="I2219">
        <f>G2219</f>
        <v/>
      </c>
      <c r="K2219">
        <f>I2219-G2219</f>
        <v/>
      </c>
      <c r="M2219" t="inlineStr"/>
      <c r="N2219" t="inlineStr">
        <is>
          <t>3700800</t>
        </is>
      </c>
      <c r="O2219">
        <f>M2219=N2219</f>
        <v/>
      </c>
      <c r="P2219">
        <f>AND(MONTH(F2219)=MONTH(S2219), YEAR(F2219)=YEAR(S2219))</f>
        <v/>
      </c>
      <c r="Q2219">
        <f>"L001-902303751"=U2219</f>
        <v/>
      </c>
      <c r="R2219">
        <f>G2219-W2219</f>
        <v/>
      </c>
      <c r="S2219" s="36" t="n">
        <v>45265</v>
      </c>
      <c r="T2219" t="n">
        <v>37008</v>
      </c>
      <c r="U2219" t="inlineStr">
        <is>
          <t>L001-100129250</t>
        </is>
      </c>
      <c r="V2219" t="inlineStr">
        <is>
          <t>អេស.អាយ គ្រុប</t>
        </is>
      </c>
      <c r="W2219" t="n">
        <v>37008</v>
      </c>
      <c r="X2219" t="n">
        <v>0</v>
      </c>
    </row>
    <row r="2220">
      <c r="I2220">
        <f>G2220</f>
        <v/>
      </c>
      <c r="K2220">
        <f>I2220-G2220</f>
        <v/>
      </c>
      <c r="M2220" t="inlineStr"/>
      <c r="N2220" t="inlineStr">
        <is>
          <t>3700800</t>
        </is>
      </c>
      <c r="O2220">
        <f>M2220=N2220</f>
        <v/>
      </c>
      <c r="P2220">
        <f>AND(MONTH(F2220)=MONTH(S2220), YEAR(F2220)=YEAR(S2220))</f>
        <v/>
      </c>
      <c r="Q2220">
        <f>"L001-902303751"=U2220</f>
        <v/>
      </c>
      <c r="R2220">
        <f>G2220-W2220</f>
        <v/>
      </c>
      <c r="S2220" s="36" t="n">
        <v>45265</v>
      </c>
      <c r="T2220" t="n">
        <v>37008</v>
      </c>
      <c r="U2220" t="inlineStr">
        <is>
          <t>L001-100078885</t>
        </is>
      </c>
      <c r="V2220" t="inlineStr">
        <is>
          <t>អង្គរ ដាតា ខមម្ញូនីខេសិន គ្រុប (អេ ឌី​ ស៊ី)</t>
        </is>
      </c>
      <c r="W2220" t="n">
        <v>37008</v>
      </c>
      <c r="X2220" t="n">
        <v>0</v>
      </c>
    </row>
    <row r="2221">
      <c r="I2221">
        <f>G2221</f>
        <v/>
      </c>
      <c r="K2221">
        <f>I2221-G2221</f>
        <v/>
      </c>
      <c r="M2221" t="inlineStr"/>
      <c r="N2221" t="inlineStr">
        <is>
          <t>1850400</t>
        </is>
      </c>
      <c r="O2221">
        <f>M2221=N2221</f>
        <v/>
      </c>
      <c r="P2221">
        <f>AND(MONTH(F2221)=MONTH(S2221), YEAR(F2221)=YEAR(S2221))</f>
        <v/>
      </c>
      <c r="Q2221">
        <f>"L001-902303751"=U2221</f>
        <v/>
      </c>
      <c r="R2221">
        <f>G2221-W2221</f>
        <v/>
      </c>
      <c r="S2221" s="36" t="n">
        <v>45265</v>
      </c>
      <c r="T2221" t="n">
        <v>18504</v>
      </c>
      <c r="U2221" t="inlineStr">
        <is>
          <t>L001-100078885</t>
        </is>
      </c>
      <c r="V2221" t="inlineStr">
        <is>
          <t>អង្គរ ដាតា ខមម្ញូនីខេសិន គ្រុប (អេ ឌី​ ស៊ី)</t>
        </is>
      </c>
      <c r="W2221" t="n">
        <v>18504</v>
      </c>
      <c r="X2221" t="n">
        <v>0</v>
      </c>
    </row>
    <row r="2222">
      <c r="I2222">
        <f>G2222</f>
        <v/>
      </c>
      <c r="K2222">
        <f>I2222-G2222</f>
        <v/>
      </c>
      <c r="M2222" t="inlineStr"/>
      <c r="N2222" t="inlineStr">
        <is>
          <t>42624600</t>
        </is>
      </c>
      <c r="O2222">
        <f>M2222=N2222</f>
        <v/>
      </c>
      <c r="P2222">
        <f>AND(MONTH(F2222)=MONTH(S2222), YEAR(F2222)=YEAR(S2222))</f>
        <v/>
      </c>
      <c r="Q2222">
        <f>"L001-902303751"=U2222</f>
        <v/>
      </c>
      <c r="R2222">
        <f>G2222-W2222</f>
        <v/>
      </c>
      <c r="S2222" s="36" t="n">
        <v>45265</v>
      </c>
      <c r="T2222" t="n">
        <v>426246</v>
      </c>
      <c r="U2222" t="inlineStr">
        <is>
          <t>L001-100078885</t>
        </is>
      </c>
      <c r="V2222" t="inlineStr">
        <is>
          <t>អង្គរ ដាតា ខមម្ញូនីខេសិន គ្រុប (អេ ឌី​ ស៊ី)</t>
        </is>
      </c>
      <c r="W2222" t="n">
        <v>426246</v>
      </c>
      <c r="X2222" t="n">
        <v>0</v>
      </c>
    </row>
    <row r="2223">
      <c r="I2223">
        <f>G2223</f>
        <v/>
      </c>
      <c r="K2223">
        <f>I2223-G2223</f>
        <v/>
      </c>
      <c r="M2223" t="inlineStr"/>
      <c r="N2223" t="inlineStr">
        <is>
          <t>19388600</t>
        </is>
      </c>
      <c r="O2223">
        <f>M2223=N2223</f>
        <v/>
      </c>
      <c r="P2223">
        <f>AND(MONTH(F2223)=MONTH(S2223), YEAR(F2223)=YEAR(S2223))</f>
        <v/>
      </c>
      <c r="Q2223">
        <f>"L001-902303751"=U2223</f>
        <v/>
      </c>
      <c r="R2223">
        <f>G2223-W2223</f>
        <v/>
      </c>
      <c r="S2223" s="36" t="n">
        <v>45631</v>
      </c>
      <c r="T2223" t="n">
        <v>193886</v>
      </c>
      <c r="U2223" t="inlineStr">
        <is>
          <t>L001-100078885</t>
        </is>
      </c>
      <c r="V2223" t="inlineStr">
        <is>
          <t>អង្គរ ដាតា ខមម្ញូនីខេសិន គ្រុប (អេ ឌី​ ស៊ី)</t>
        </is>
      </c>
      <c r="W2223" t="n">
        <v>193886</v>
      </c>
      <c r="X2223" t="n">
        <v>0</v>
      </c>
    </row>
    <row r="2224">
      <c r="I2224">
        <f>G2224</f>
        <v/>
      </c>
      <c r="K2224">
        <f>I2224-G2224</f>
        <v/>
      </c>
      <c r="M2224" t="inlineStr"/>
      <c r="N2224" t="inlineStr">
        <is>
          <t>1269580900</t>
        </is>
      </c>
      <c r="O2224">
        <f>M2224=N2224</f>
        <v/>
      </c>
      <c r="P2224">
        <f>AND(MONTH(F2224)=MONTH(S2224), YEAR(F2224)=YEAR(S2224))</f>
        <v/>
      </c>
      <c r="Q2224">
        <f>"L001-902303751"=U2224</f>
        <v/>
      </c>
      <c r="R2224">
        <f>G2224-W2224</f>
        <v/>
      </c>
      <c r="S2224" s="36" t="n">
        <v>45657</v>
      </c>
      <c r="T2224" t="n">
        <v>12695809</v>
      </c>
      <c r="U2224" t="inlineStr">
        <is>
          <t>L001-100047149</t>
        </is>
      </c>
      <c r="V2224" t="inlineStr">
        <is>
          <t>ធនាគារ អេស៊ីលីដា ភីអិលស៊ី</t>
        </is>
      </c>
      <c r="W2224" t="n">
        <v>12695809</v>
      </c>
      <c r="X2224" t="n">
        <v>0</v>
      </c>
    </row>
    <row r="2225">
      <c r="I2225">
        <f>G2225</f>
        <v/>
      </c>
      <c r="K2225">
        <f>I2225-G2225</f>
        <v/>
      </c>
      <c r="M2225" t="inlineStr"/>
      <c r="N2225" t="inlineStr">
        <is>
          <t>3628800</t>
        </is>
      </c>
      <c r="O2225">
        <f>M2225=N2225</f>
        <v/>
      </c>
      <c r="P2225">
        <f>AND(MONTH(F2225)=MONTH(S2225), YEAR(F2225)=YEAR(S2225))</f>
        <v/>
      </c>
      <c r="Q2225">
        <f>"L001-902303751"=U2225</f>
        <v/>
      </c>
      <c r="R2225">
        <f>G2225-W2225</f>
        <v/>
      </c>
      <c r="S2225" s="36" t="n">
        <v>45629</v>
      </c>
      <c r="T2225" t="n">
        <v>36288</v>
      </c>
      <c r="U2225" t="inlineStr">
        <is>
          <t>L001-100078885</t>
        </is>
      </c>
      <c r="V2225" t="inlineStr">
        <is>
          <t>អង្គរ ដាតា ខមម្ញូនីខេសិន គ្រុប (អេ ឌី​ ស៊ី)</t>
        </is>
      </c>
      <c r="W2225" t="n">
        <v>36288</v>
      </c>
      <c r="X2225" t="n">
        <v>0</v>
      </c>
    </row>
    <row r="2226">
      <c r="I2226">
        <f>G2226</f>
        <v/>
      </c>
      <c r="K2226">
        <f>I2226-G2226</f>
        <v/>
      </c>
      <c r="M2226" t="inlineStr"/>
      <c r="N2226" t="inlineStr">
        <is>
          <t>174309400</t>
        </is>
      </c>
      <c r="O2226">
        <f>M2226=N2226</f>
        <v/>
      </c>
      <c r="P2226">
        <f>AND(MONTH(F2226)=MONTH(S2226), YEAR(F2226)=YEAR(S2226))</f>
        <v/>
      </c>
      <c r="Q2226">
        <f>"L001-902303751"=U2226</f>
        <v/>
      </c>
      <c r="R2226">
        <f>G2226-W2226</f>
        <v/>
      </c>
      <c r="S2226" s="36" t="n">
        <v>45532</v>
      </c>
      <c r="T2226" t="n">
        <v>1743094</v>
      </c>
      <c r="U2226" t="inlineStr">
        <is>
          <t>L001-100181244</t>
        </is>
      </c>
      <c r="V2226" t="inlineStr">
        <is>
          <t>ខ្វាន់ទុម ហ្គាមេន ឯ.ក</t>
        </is>
      </c>
      <c r="W2226" t="n">
        <v>1743094</v>
      </c>
      <c r="X2226" t="n">
        <v>0</v>
      </c>
    </row>
    <row r="2227">
      <c r="I2227">
        <f>G2227</f>
        <v/>
      </c>
      <c r="K2227">
        <f>I2227-G2227</f>
        <v/>
      </c>
      <c r="M2227" t="inlineStr"/>
      <c r="N2227" t="inlineStr">
        <is>
          <t>4600600</t>
        </is>
      </c>
      <c r="O2227">
        <f>M2227=N2227</f>
        <v/>
      </c>
      <c r="P2227">
        <f>AND(MONTH(F2227)=MONTH(S2227), YEAR(F2227)=YEAR(S2227))</f>
        <v/>
      </c>
      <c r="Q2227">
        <f>"L001-902303751"=U2227</f>
        <v/>
      </c>
      <c r="R2227">
        <f>G2227-W2227</f>
        <v/>
      </c>
      <c r="S2227" s="36" t="n">
        <v>45369</v>
      </c>
      <c r="T2227" t="n">
        <v>46006</v>
      </c>
      <c r="U2227" t="inlineStr">
        <is>
          <t>L001-107027232</t>
        </is>
      </c>
      <c r="V2227" t="inlineStr">
        <is>
          <t>បូវឃើរ ហ្គាមេន ព្រីនធីង (ខេមបូឌា) ខមភេនី លីមីធីត</t>
        </is>
      </c>
      <c r="W2227" t="n">
        <v>46006</v>
      </c>
      <c r="X2227" t="n">
        <v>0</v>
      </c>
    </row>
    <row r="2228">
      <c r="I2228">
        <f>G2228</f>
        <v/>
      </c>
      <c r="K2228">
        <f>I2228-G2228</f>
        <v/>
      </c>
      <c r="M2228" t="inlineStr"/>
      <c r="N2228" t="inlineStr">
        <is>
          <t>4600600</t>
        </is>
      </c>
      <c r="O2228">
        <f>M2228=N2228</f>
        <v/>
      </c>
      <c r="P2228">
        <f>AND(MONTH(F2228)=MONTH(S2228), YEAR(F2228)=YEAR(S2228))</f>
        <v/>
      </c>
      <c r="Q2228">
        <f>"L001-902303751"=U2228</f>
        <v/>
      </c>
      <c r="R2228">
        <f>G2228-W2228</f>
        <v/>
      </c>
      <c r="S2228" s="36" t="n">
        <v>45369</v>
      </c>
      <c r="T2228" t="n">
        <v>46006</v>
      </c>
      <c r="U2228" t="inlineStr">
        <is>
          <t>L001-107027232</t>
        </is>
      </c>
      <c r="V2228" t="inlineStr">
        <is>
          <t>បូវឃើរ ហ្គាមេន ព្រីនធីង (ខេមបូឌា) ខមភេនី លីមីធីត</t>
        </is>
      </c>
      <c r="W2228" t="n">
        <v>46006</v>
      </c>
      <c r="X2228" t="n">
        <v>0</v>
      </c>
    </row>
    <row r="2229">
      <c r="I2229">
        <f>G2229</f>
        <v/>
      </c>
      <c r="K2229">
        <f>I2229-G2229</f>
        <v/>
      </c>
      <c r="M2229" t="inlineStr"/>
      <c r="N2229" t="inlineStr">
        <is>
          <t>26273000</t>
        </is>
      </c>
      <c r="O2229">
        <f>M2229=N2229</f>
        <v/>
      </c>
      <c r="P2229">
        <f>AND(MONTH(F2229)=MONTH(S2229), YEAR(F2229)=YEAR(S2229))</f>
        <v/>
      </c>
      <c r="Q2229">
        <f>"L001-902303751"=U2229</f>
        <v/>
      </c>
      <c r="R2229">
        <f>G2229-W2229</f>
        <v/>
      </c>
      <c r="S2229" s="36" t="n">
        <v>45378</v>
      </c>
      <c r="T2229" t="n">
        <v>262730</v>
      </c>
      <c r="U2229" t="inlineStr">
        <is>
          <t>L001-100128718</t>
        </is>
      </c>
      <c r="V2229" t="inlineStr">
        <is>
          <t>ផែស្ងួត តេង ឡាយ</t>
        </is>
      </c>
      <c r="W2229" t="n">
        <v>262730</v>
      </c>
      <c r="X2229" t="n">
        <v>0</v>
      </c>
    </row>
    <row r="2230">
      <c r="I2230">
        <f>G2230</f>
        <v/>
      </c>
      <c r="K2230">
        <f>I2230-G2230</f>
        <v/>
      </c>
      <c r="M2230" t="inlineStr"/>
      <c r="N2230" t="inlineStr">
        <is>
          <t>22511500</t>
        </is>
      </c>
      <c r="O2230">
        <f>M2230=N2230</f>
        <v/>
      </c>
      <c r="P2230">
        <f>AND(MONTH(F2230)=MONTH(S2230), YEAR(F2230)=YEAR(S2230))</f>
        <v/>
      </c>
      <c r="Q2230">
        <f>"L001-902303751"=U2230</f>
        <v/>
      </c>
      <c r="R2230">
        <f>G2230-W2230</f>
        <v/>
      </c>
      <c r="S2230" s="36" t="n">
        <v>45443</v>
      </c>
      <c r="T2230" t="n">
        <v>225115</v>
      </c>
      <c r="U2230" t="inlineStr">
        <is>
          <t>L001-901900477</t>
        </is>
      </c>
      <c r="V2230" t="inlineStr">
        <is>
          <t>វីន សេង ហ្គាម៉ិន ប្រូសេស ហ្វីនីស ឯ.ក</t>
        </is>
      </c>
      <c r="W2230" t="n">
        <v>225115</v>
      </c>
      <c r="X2230" t="n">
        <v>0</v>
      </c>
    </row>
    <row r="2231">
      <c r="I2231">
        <f>G2231</f>
        <v/>
      </c>
      <c r="K2231">
        <f>I2231-G2231</f>
        <v/>
      </c>
      <c r="M2231" t="inlineStr"/>
      <c r="N2231" t="inlineStr">
        <is>
          <t>27948000</t>
        </is>
      </c>
      <c r="O2231">
        <f>M2231=N2231</f>
        <v/>
      </c>
      <c r="P2231">
        <f>AND(MONTH(F2231)=MONTH(S2231), YEAR(F2231)=YEAR(S2231))</f>
        <v/>
      </c>
      <c r="Q2231">
        <f>"L001-902303751"=U2231</f>
        <v/>
      </c>
      <c r="R2231">
        <f>G2231-W2231</f>
        <v/>
      </c>
      <c r="S2231" s="36" t="n">
        <v>45471</v>
      </c>
      <c r="T2231" t="n">
        <v>279480</v>
      </c>
      <c r="U2231" t="inlineStr">
        <is>
          <t>L001-100063098</t>
        </is>
      </c>
      <c r="V2231" t="inlineStr">
        <is>
          <t>ឆាយ ដា ឡូយីស្ទីក</t>
        </is>
      </c>
      <c r="W2231" t="n">
        <v>279480</v>
      </c>
      <c r="X2231" t="n">
        <v>0</v>
      </c>
    </row>
    <row r="2232">
      <c r="I2232">
        <f>G2232</f>
        <v/>
      </c>
      <c r="K2232">
        <f>I2232-G2232</f>
        <v/>
      </c>
      <c r="M2232" t="inlineStr"/>
      <c r="N2232" t="inlineStr">
        <is>
          <t>27621600</t>
        </is>
      </c>
      <c r="O2232">
        <f>M2232=N2232</f>
        <v/>
      </c>
      <c r="P2232">
        <f>AND(MONTH(F2232)=MONTH(S2232), YEAR(F2232)=YEAR(S2232))</f>
        <v/>
      </c>
      <c r="Q2232">
        <f>"L001-902303751"=U2232</f>
        <v/>
      </c>
      <c r="R2232">
        <f>G2232-W2232</f>
        <v/>
      </c>
      <c r="S2232" s="36" t="n">
        <v>45583</v>
      </c>
      <c r="T2232" t="n">
        <v>276216</v>
      </c>
      <c r="U2232" t="inlineStr">
        <is>
          <t>L001-100128718</t>
        </is>
      </c>
      <c r="V2232" t="inlineStr">
        <is>
          <t>ផែស្ងួត តេង ឡាយ</t>
        </is>
      </c>
      <c r="W2232" t="n">
        <v>276216</v>
      </c>
      <c r="X2232" t="n">
        <v>0</v>
      </c>
    </row>
    <row r="2233">
      <c r="I2233">
        <f>G2233</f>
        <v/>
      </c>
      <c r="K2233">
        <f>I2233-G2233</f>
        <v/>
      </c>
      <c r="M2233" t="inlineStr"/>
      <c r="N2233" t="inlineStr">
        <is>
          <t>9366200</t>
        </is>
      </c>
      <c r="O2233">
        <f>M2233=N2233</f>
        <v/>
      </c>
      <c r="P2233">
        <f>AND(MONTH(F2233)=MONTH(S2233), YEAR(F2233)=YEAR(S2233))</f>
        <v/>
      </c>
      <c r="Q2233">
        <f>"L001-902303751"=U2233</f>
        <v/>
      </c>
      <c r="R2233">
        <f>G2233-W2233</f>
        <v/>
      </c>
      <c r="S2233" s="36" t="n">
        <v>45279</v>
      </c>
      <c r="T2233" t="n">
        <v>93662</v>
      </c>
      <c r="U2233" t="inlineStr">
        <is>
          <t>L001-902000739</t>
        </is>
      </c>
      <c r="V2233" t="inlineStr">
        <is>
          <t>អាន រ៉ុង ហ្ស៊ី យី ឯ.ក</t>
        </is>
      </c>
      <c r="W2233" t="n">
        <v>93662</v>
      </c>
      <c r="X2233" t="n">
        <v>0</v>
      </c>
    </row>
  </sheetData>
  <printOptions horizontalCentered="1"/>
  <pageMargins left="0.2" right="0.2" top="0.5" bottom="0.45" header="0" footer="0"/>
  <pageSetup orientation="portrait" paperSize="9" scale="4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Sophara Rith</dc:creator>
  <dcterms:created xsi:type="dcterms:W3CDTF">2026-01-30T03:21:57Z</dcterms:created>
  <dcterms:modified xsi:type="dcterms:W3CDTF">2026-01-31T17:17:04Z</dcterms:modified>
  <cp:lastModifiedBy>Sophara Rith</cp:lastModifiedBy>
</cp:coreProperties>
</file>